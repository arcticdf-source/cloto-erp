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unk1="http://schemas.microsoft.com/office/spreadsheetml/2010/11/main" xmlns:r="http://schemas.openxmlformats.org/officeDocument/2006/relationships" xmlns:s="http://schemas.openxmlformats.org/spreadsheetml/2006/main" xmlns:mc="http://schemas.openxmlformats.org/markup-compatibility/2006" xmlns:xr2="http://schemas.microsoft.com/office/spreadsheetml/2015/revision2" xmlns:xr10="http://schemas.microsoft.com/office/spreadsheetml/2016/revision10" xmlns:xr="http://schemas.microsoft.com/office/spreadsheetml/2014/revision" xmlns:xr6="http://schemas.microsoft.com/office/spreadsheetml/2016/revision6" mc:Ignorable="unk1 xr xr6 xr10 xr2">
  <s:fileVersion appName="xl" lastEdited="7" lowestEdited="4" rupBuild="21001"/>
  <s:workbookPr filterPrivacy="1" defaultThemeVersion="124226"/>
  <s:bookViews>
    <s:workbookView xr2:uid="{00000000-000D-0000-FFFF-FFFF00000000}" xWindow="-120" yWindow="-120" windowWidth="29040" windowHeight="15840" tabRatio="710" activeTab="3"/>
  </s:bookViews>
  <s:sheets>
    <s:sheet name="март 2026" sheetId="50" state="visible" r:id="rId1"/>
    <s:sheet name="февраль 2026" sheetId="49" state="visible" r:id="rId2"/>
    <s:sheet name="январь 2026 " sheetId="48" state="visible" r:id="rId3"/>
    <s:sheet name="СВОДКА" sheetId="14" state="visible" r:id="rId4"/>
    <s:sheet name="Лист2" sheetId="2" state="visible" r:id="rId5"/>
    <s:sheet name="Лист3" sheetId="3" state="visible" r:id="rId6"/>
  </s:sheets>
  <s:calcPr calcId="179021" refMode="R1C1"/>
</s:workbook>
</file>

<file path=xl/sharedStrings.xml><?xml version="1.0" encoding="utf-8"?>
<s:sst xmlns:s="http://schemas.openxmlformats.org/spreadsheetml/2006/main" count="654" uniqueCount="127">
  <s:si>
    <s:t>СХТ</s:t>
  </s:si>
  <s:si>
    <s:t>АКРОС</s:t>
  </s:si>
  <s:si>
    <s:t>ПЕТРОИНЖИНИРИНГ</s:t>
  </s:si>
  <s:si>
    <s:t>БУРИНТЕХ</s:t>
  </s:si>
  <s:si>
    <s:t>БЕЙКЕР ХЬЮЗ</s:t>
  </s:si>
  <s:si>
    <s:t>ЦЕНЫ FCA Архангельск без НДС</s:t>
  </s:si>
  <s:si>
    <s:t>UNITROL</s:t>
  </s:si>
  <s:si>
    <s:t>ОМАС</s:t>
  </s:si>
  <s:si>
    <s:t>НАИМЕНОВАНИЕ</s:t>
  </s:si>
  <s:si>
    <s:t>ОТЧЕТНЫЙ ПЕРИОД</s:t>
  </s:si>
  <s:si>
    <s:t>ВЫРУЧКА ЗА МЕСЯЦ</s:t>
  </s:si>
  <s:si>
    <s:t>ИТОГО</s:t>
  </s:si>
  <s:si>
    <s:t>ОТГРУЗКИ в тоннах</s:t>
  </s:si>
  <s:si>
    <s:t>ОПТИТРОЛ п</s:t>
  </s:si>
  <s:si>
    <s:t>Отчетный период</s:t>
  </s:si>
  <s:si>
    <s:t>Выручка за месяц        (без учета доставки), руб</s:t>
  </s:si>
  <s:si>
    <s:t>МИРРИКО (МКО)/СПЭР</s:t>
  </s:si>
  <s:si>
    <s:t>ОПТИТРОЛ ж</s:t>
  </s:si>
  <s:si>
    <s:t>BaraFLC</s:t>
  </s:si>
  <s:si>
    <s:t>Реасолт</s:t>
  </s:si>
  <s:si>
    <s:t>MEX-ASR</s:t>
  </s:si>
  <s:si>
    <s:t>Atren SL</s:t>
  </s:si>
  <s:si>
    <s:t>LG DRILL</s:t>
  </s:si>
  <s:si>
    <s:t>СБМСУЛЬФ</s:t>
  </s:si>
  <s:si>
    <s:t>АСФАСОЛ</s:t>
  </s:si>
  <s:si>
    <s:t>ЛИКВИТРОЛ (СБМОЙЛФИЛЬТР)</s:t>
  </s:si>
  <s:si>
    <s:t>BLACKTROL</s:t>
  </s:si>
  <s:si>
    <s:t>ЭКСТРАМУЛ ДИРЕКТ</s:t>
  </s:si>
  <s:si>
    <s:t>DURATONE (КЛОТОНЕКС)</s:t>
  </s:si>
  <s:si>
    <s:t>РЕОМОД c</s:t>
  </s:si>
  <s:si>
    <s:t>РЕОМОД ж (UNIMOD, СБМОЙЛРЕО В)</s:t>
  </s:si>
  <s:si>
    <s:t>СТАБИЛАЙТ РУО(СБМОЙЛБЛОК)</s:t>
  </s:si>
  <s:si>
    <s:t>ТЕРРАПАН (BDF-911, Petro Stab)</s:t>
  </s:si>
  <s:si>
    <s:t>Суперслайдер РУО (Drilling Lube)</s:t>
  </s:si>
  <s:si>
    <s:t>МАКС-ФЛЕКС (АДВАНТА ж)</s:t>
  </s:si>
  <s:si>
    <s:t>ДЖИ-ДРИЛЛ</s:t>
  </s:si>
  <s:si>
    <s:t>ДРИЛАМИН</s:t>
  </s:si>
  <s:si>
    <s:t>КЛСП, R2D2</s:t>
  </s:si>
  <s:si>
    <s:t>Стабилайт II</s:t>
  </s:si>
  <s:si>
    <s:t>ТКШ/Петроальянск</s:t>
  </s:si>
  <s:si>
    <s:t>ТКШ/Петроальянс</s:t>
  </s:si>
  <s:si>
    <s:t>СС голд/Торк Трим</s:t>
  </s:si>
  <s:si>
    <s:t>Саф Сервис</s:t>
  </s:si>
  <s:si>
    <s:t>Старк Ойл</s:t>
  </s:si>
  <s:si>
    <s:t>Геотехновации</s:t>
  </s:si>
  <s:si>
    <s:t>СБМ</s:t>
  </s:si>
  <s:si>
    <s:t>Грайт</s:t>
  </s:si>
  <s:si>
    <s:t>ПОЛИКАП</s:t>
  </s:si>
  <s:si>
    <s:t>ХИМПРОМ</s:t>
  </s:si>
  <s:si>
    <s:t>ЭРИЕЛЛ</s:t>
  </s:si>
  <s:si>
    <s:t>ВЕЛЛТРИТ</s:t>
  </s:si>
  <s:si>
    <s:t>ЭНЕРГОРЕСУРС</s:t>
  </s:si>
  <s:si>
    <s:t>ЛениногорскРемСервис</s:t>
  </s:si>
  <s:si>
    <s:t>ТМГ Технолоджи</s:t>
  </s:si>
  <s:si>
    <s:t>Парм-Гинс</s:t>
  </s:si>
  <s:si>
    <s:t>Адванта сух</s:t>
  </s:si>
  <s:si>
    <s:t>KazPetroDrilling</s:t>
  </s:si>
  <s:si>
    <s:t>ЭкоФлуидз</s:t>
  </s:si>
  <s:si>
    <s:t>Татнефть</s:t>
  </s:si>
  <s:si>
    <s:t>PetroASF</s:t>
  </s:si>
  <s:si>
    <s:t>Petro ASF</s:t>
  </s:si>
  <s:si>
    <s:t>Мад-Сервис</s:t>
  </s:si>
  <s:si>
    <s:t>CSOilfield</s:t>
  </s:si>
  <s:si>
    <s:t>ХимБурСервис</s:t>
  </s:si>
  <s:si>
    <s:t>Руссинтеграл</s:t>
  </s:si>
  <s:si>
    <s:t>КомплексОйл</s:t>
  </s:si>
  <s:si>
    <s:t>АДВАНТА ЖИДКАЯ</s:t>
  </s:si>
  <s:si>
    <s:t>Соларкем</s:t>
  </s:si>
  <s:si>
    <s:t>ПерваяУральская</s:t>
  </s:si>
  <s:si>
    <s:t>МКСервис</s:t>
  </s:si>
  <s:si>
    <s:t>МК Сервис</s:t>
  </s:si>
  <s:si>
    <s:t>Полицелл</s:t>
  </s:si>
  <s:si>
    <s:t>ИНКО-Сервис</s:t>
  </s:si>
  <s:si>
    <s:t>Качество</s:t>
  </s:si>
  <s:si>
    <s:t>БГРП</s:t>
  </s:si>
  <s:si>
    <s:t>Ойл Инвест</s:t>
  </s:si>
  <s:si>
    <s:t>ОйлИнвест</s:t>
  </s:si>
  <s:si>
    <s:t>Морские платформы</s:t>
  </s:si>
  <s:si>
    <s:t>Политрол</s:t>
  </s:si>
  <s:si>
    <s:t>Грейс-лубрикантс</s:t>
  </s:si>
  <s:si>
    <s:t>ООО «НПО БЕТОХИМИКС»</s:t>
  </s:si>
  <s:si>
    <s:t>Petroyag</s:t>
  </s:si>
  <s:si>
    <s:t>ЛИКВИТРОЛ (СБМОЙЛФИЛЬТР), EWO MUL 2</s:t>
  </s:si>
  <s:si>
    <s:t>Сульф.Асф (Сульфобит)</s:t>
  </s:si>
  <s:si>
    <s:t>ЭКСТРАМУЛ (EZ MUL, EWO MUL, 2000)</s:t>
  </s:si>
  <s:si>
    <s:t>Халлибуртон/БурСервис</s:t>
  </s:si>
  <s:si>
    <s:t>СС платинум (СБМЛУБ ПЛЮС)</s:t>
  </s:si>
  <s:si>
    <s:t>УгутНефРЕсурс</s:t>
  </s:si>
  <s:si>
    <s:t xml:space="preserve">РЕОМОД c </s:t>
  </s:si>
  <s:si>
    <s:t>ПОЛИКАП/EZ MUD</s:t>
  </s:si>
  <s:si>
    <s:t>Алмазгеобур</s:t>
  </s:si>
  <s:si>
    <s:t>Алмазгеобрур</s:t>
  </s:si>
  <s:si>
    <s:t>НГС</s:t>
  </s:si>
  <s:si>
    <s:t>АВК</s:t>
  </s:si>
  <s:si>
    <s:t>SANEG</s:t>
  </s:si>
  <s:si>
    <s:t>АПП-490</s:t>
  </s:si>
  <s:si>
    <s:t>Веллбонд</s:t>
  </s:si>
  <s:si>
    <s:t>Белоруснефть</s:t>
  </s:si>
  <s:si>
    <s:t>ИНК-Сервис</s:t>
  </s:si>
  <s:si>
    <s:t>Сургутнефтегаз</s:t>
  </s:si>
  <s:si>
    <s:t>ТЕРМАВИС РУО</s:t>
  </s:si>
  <s:si>
    <s:t>RADIAGREEN RA</s:t>
  </s:si>
  <s:si>
    <s:t>Прогресс-2</s:t>
  </s:si>
  <s:si>
    <s:t>FWL</s:t>
  </s:si>
  <s:si>
    <s:t>Комар эпокси</s:t>
  </s:si>
  <s:si>
    <s:t>СC СОЛТ</s:t>
  </s:si>
  <s:si>
    <s:t>ЭКСТРАМУЛ СУПРИМ</s:t>
  </s:si>
  <s:si>
    <s:t>ЖИДКАЯ ОБСАДНАЯ КОЛОННА Ultrafine</s:t>
  </s:si>
  <s:si>
    <s:t>ЖИДКАЯ ОБСАДНАЯ КОЛОННА Fine</s:t>
  </s:si>
  <s:si>
    <s:t>ЖИДКАЯ ОБСАДНАЯ КОЛОННА Coarse</s:t>
  </s:si>
  <s:si>
    <s:t>ЖИДКАЯ ОБСАДНАЯ КОЛОННА Medium</s:t>
  </s:si>
  <s:si>
    <s:t>ОХОТСКАЯ ГГК</s:t>
  </s:si>
  <s:si>
    <s:t>ССК-Технологии</s:t>
  </s:si>
  <s:si>
    <s:t>+</s:t>
  </s:si>
  <s:si>
    <s:t>Волганефтетранс</s:t>
  </s:si>
  <s:si>
    <s:t>НПЦ по геологии</s:t>
  </s:si>
  <s:si>
    <s:t>ТАНАТИН жидкий</s:t>
  </s:si>
  <s:si>
    <s:t>ЭКСТРА-ДЕФ</s:t>
  </s:si>
  <s:si>
    <s:t>ИГС-Технология</s:t>
  </s:si>
  <s:si>
    <s:t>ИГС_Технология</s:t>
  </s:si>
  <s:si>
    <s:t>ЛИКВИТРОЛ</s:t>
  </s:si>
  <s:si>
    <s:t>СС платинум (DRILL-N-SLIDE)</s:t>
  </s:si>
  <s:si>
    <s:t>КАРБО БЛОК Fine</s:t>
  </s:si>
  <s:si>
    <s:t>КАРБО БЛОК Medium</s:t>
  </s:si>
  <s:si>
    <s:t>КАРБО БЛОК Coarse</s:t>
  </s:si>
  <s:si>
    <s:t>КОМОКС</s:t>
  </s:si>
  <s:si>
    <s:t>ПОЛИХИМПРОМ</s:t>
  </s:si>
</s:sst>
</file>

<file path=xl/styles.xml><?xml version="1.0" encoding="utf-8"?>
<s:styleSheet xmlns:unk1="http://schemas.microsoft.com/office/spreadsheetml/2010/11/main" xmlns:vyd="http://volga.yandex.com/schemas/document/model"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xmlns:x16r2="http://schemas.microsoft.com/office/spreadsheetml/2015/02/main" mc:Ignorable="x14ac x16r2 xr">
  <s:numFmts count="6">
    <s:numFmt numFmtId="44" formatCode="_-* #,##0.00\ &quot;₽&quot;_-;\-* #,##0.00\ &quot;₽&quot;_-;_-* &quot;-&quot;??\ &quot;₽&quot;_-;_-@_-"/>
    <s:numFmt numFmtId="164" formatCode="[$-419]mmmm\ yyyy;@"/>
    <s:numFmt numFmtId="165" formatCode="#,##0.00_ ;\-#,##0.00\ "/>
    <s:numFmt numFmtId="166" formatCode="#,##0.0"/>
    <s:numFmt numFmtId="167" formatCode="0.000"/>
    <s:numFmt numFmtId="168" formatCode="0.0000"/>
  </s:numFmts>
  <s:fonts x14ac:knownFonts="1" count="14">
    <s:font>
      <s:name val="Calibri"/>
      <s:family val="2"/>
      <s:color theme="1"/>
      <s:sz val="11"/>
      <s:scheme val="minor"/>
    </s:font>
    <s:font>
      <s:name val="Calibri"/>
      <s:charset val="204"/>
      <s:family val="2"/>
      <s:b val="1"/>
      <s:color rgb="FF3F3F3F"/>
      <s:sz val="11"/>
      <s:scheme val="minor"/>
    </s:font>
    <s:font>
      <s:name val="Times New Roman"/>
      <s:charset val="204"/>
      <s:family val="1"/>
      <s:color theme="1"/>
      <s:sz val="11"/>
    </s:font>
    <s:font>
      <s:name val="Times New Roman"/>
      <s:charset val="204"/>
      <s:family val="1"/>
      <s:b val="1"/>
      <s:color theme="1"/>
      <s:sz val="11"/>
    </s:font>
    <s:font>
      <s:name val="Times New Roman"/>
      <s:charset val="204"/>
      <s:family val="1"/>
      <s:b val="1"/>
      <s:color theme="1"/>
      <s:sz val="14"/>
    </s:font>
    <s:font>
      <s:name val="Times New Roman"/>
      <s:charset val="204"/>
      <s:family val="1"/>
      <s:b val="1"/>
      <s:sz val="14"/>
    </s:font>
    <s:font>
      <s:name val="Times New Roman"/>
      <s:charset val="204"/>
      <s:family val="1"/>
      <s:sz val="11"/>
    </s:font>
    <s:font>
      <s:name val="Times New Roman"/>
      <s:charset val="204"/>
      <s:family val="1"/>
      <s:color theme="1"/>
      <s:sz val="16"/>
    </s:font>
    <s:font>
      <s:name val="Times New Roman"/>
      <s:charset val="204"/>
      <s:family val="1"/>
      <s:b val="1"/>
      <s:color theme="1"/>
      <s:sz val="16"/>
    </s:font>
    <s:font>
      <s:name val="Times New Roman"/>
      <s:charset val="204"/>
      <s:family val="1"/>
      <s:b val="1"/>
      <s:sz val="12"/>
    </s:font>
    <s:font>
      <s:name val="Times New Roman"/>
      <s:charset val="204"/>
      <s:family val="1"/>
      <s:b val="1"/>
      <s:sz val="13"/>
    </s:font>
    <s:font>
      <s:name val="Calibri"/>
      <s:family val="2"/>
      <s:color theme="1"/>
      <s:sz val="14"/>
      <s:scheme val="minor"/>
    </s:font>
    <s:font>
      <s:name val="Times New Roman"/>
      <s:charset val="204"/>
      <s:family val="1"/>
      <s:sz val="14"/>
    </s:font>
    <s:font>
      <s:name val="Times New Roman"/>
      <s:charset val="204"/>
      <s:family val="1"/>
      <s:color theme="1"/>
      <s:sz val="14"/>
    </s:font>
  </s:fonts>
  <s:fills count="13">
    <s:fill>
      <s:patternFill patternType="none"/>
    </s:fill>
    <s:fill>
      <s:patternFill patternType="gray125"/>
    </s:fill>
    <s:fill>
      <s:patternFill patternType="solid">
        <s:fgColor rgb="FFF2F2F2"/>
      </s:patternFill>
    </s:fill>
    <s:fill>
      <s:patternFill patternType="solid">
        <s:fgColor theme="0"/>
        <s:bgColor indexed="64"/>
      </s:patternFill>
    </s:fill>
    <s:fill>
      <s:patternFill patternType="solid">
        <s:fgColor theme="9" tint="0.4"/>
        <s:bgColor indexed="64"/>
      </s:patternFill>
    </s:fill>
    <s:fill>
      <s:patternFill patternType="solid">
        <s:fgColor theme="9" tint="0.8"/>
        <s:bgColor indexed="64"/>
      </s:patternFill>
    </s:fill>
    <s:fill>
      <s:patternFill patternType="solid">
        <s:fgColor theme="6" tint="0.8"/>
        <s:bgColor indexed="64"/>
      </s:patternFill>
    </s:fill>
    <s:fill>
      <s:patternFill patternType="solid">
        <s:fgColor theme="6" tint="0.6"/>
        <s:bgColor indexed="64"/>
      </s:patternFill>
    </s:fill>
    <s:fill>
      <s:patternFill patternType="solid">
        <s:fgColor theme="6" tint="0.4"/>
        <s:bgColor indexed="64"/>
      </s:patternFill>
    </s:fill>
    <s:fill>
      <s:patternFill patternType="solid">
        <s:fgColor theme="5" tint="0.6"/>
        <s:bgColor indexed="64"/>
      </s:patternFill>
    </s:fill>
    <s:fill>
      <s:patternFill patternType="solid">
        <s:fgColor theme="5" tint="0.8"/>
        <s:bgColor indexed="64"/>
      </s:patternFill>
    </s:fill>
    <s:fill>
      <s:patternFill patternType="solid">
        <s:fgColor theme="4" tint="0.8"/>
        <s:bgColor indexed="64"/>
      </s:patternFill>
    </s:fill>
    <s:fill>
      <s:patternFill patternType="solid">
        <s:fgColor theme="9" tint="0.6"/>
        <s:bgColor indexed="64"/>
      </s:patternFill>
    </s:fill>
  </s:fills>
  <s:borders count="16">
    <s:border>
      <s:left/>
      <s:right/>
      <s:top/>
      <s:bottom/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 style="thin">
        <s:color indexed="64"/>
      </s:bottom>
      <s:diagonal/>
    </s:border>
    <s:border>
      <s:left style="thin">
        <s:color rgb="FF3F3F3F"/>
      </s:left>
      <s:right/>
      <s:top style="thin">
        <s:color rgb="FF3F3F3F"/>
      </s:top>
      <s:bottom style="thin">
        <s:color rgb="FF3F3F3F"/>
      </s:bottom>
      <s:diagonal/>
    </s:border>
    <s:border>
      <s:left/>
      <s:right style="thin">
        <s:color rgb="FF3F3F3F"/>
      </s:right>
      <s:top style="thin">
        <s:color rgb="FF3F3F3F"/>
      </s:top>
      <s:bottom style="thin">
        <s:color rgb="FF3F3F3F"/>
      </s:bottom>
      <s:diagonal/>
    </s:border>
    <s:border>
      <s:left style="thin">
        <s:color rgb="FF3F3F3F"/>
      </s:left>
      <s:right style="thin">
        <s:color rgb="FF3F3F3F"/>
      </s:right>
      <s:top style="thin">
        <s:color rgb="FF3F3F3F"/>
      </s:top>
      <s:bottom/>
      <s:diagonal/>
    </s:border>
    <s:border>
      <s:left style="thin">
        <s:color indexed="64"/>
      </s:left>
      <s:right style="thin">
        <s:color indexed="64"/>
      </s:right>
      <s:top style="thin">
        <s:color indexed="64"/>
      </s:top>
      <s:bottom/>
      <s:diagonal/>
    </s:border>
    <s:border>
      <s:left style="thin">
        <s:color indexed="64"/>
      </s:left>
      <s:right/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thin">
        <s:color indexed="64"/>
      </s:top>
      <s:bottom style="thin">
        <s:color indexed="64"/>
      </s:bottom>
      <s:diagonal/>
    </s:border>
    <s:border>
      <s:left style="medium">
        <s:color indexed="64"/>
      </s:left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thin">
        <s:color rgb="FF3F3F3F"/>
      </s:left>
      <s:right/>
      <s:top style="thin">
        <s:color rgb="FF3F3F3F"/>
      </s:top>
      <s:bottom/>
      <s:diagonal/>
    </s:border>
    <s:border>
      <s:left style="thin">
        <s:color indexed="64"/>
      </s:left>
      <s:right/>
      <s:top style="thin">
        <s:color indexed="64"/>
      </s:top>
      <s:bottom/>
      <s:diagonal/>
    </s:border>
    <s:border>
      <s:left/>
      <s:right style="medium">
        <s:color indexed="64"/>
      </s:right>
      <s:top style="medium">
        <s:color indexed="64"/>
      </s:top>
      <s:bottom style="medium">
        <s:color indexed="64"/>
      </s:bottom>
      <s:diagonal/>
    </s:border>
    <s:border>
      <s:left style="medium">
        <s:color indexed="64"/>
      </s:left>
      <s:right/>
      <s:top style="medium">
        <s:color indexed="64"/>
      </s:top>
      <s:bottom style="medium">
        <s:color indexed="64"/>
      </s:bottom>
      <s:diagonal/>
    </s:border>
    <s:border>
      <s:left/>
      <s:right/>
      <s:top style="medium">
        <s:color indexed="64"/>
      </s:top>
      <s:bottom style="medium">
        <s:color indexed="64"/>
      </s:bottom>
      <s:diagonal/>
    </s:border>
  </s:borders>
  <s:cellStyleXfs count="2">
    <s:xf numFmtId="0" fontId="0" fillId="0" borderId="0"/>
    <s:xf numFmtId="0" fontId="1" fillId="2" borderId="1" applyNumberFormat="0" applyAlignment="0" applyProtection="0"/>
  </s:cellStyleXfs>
  <s:cellXfs count="82">
    <s:xf numFmtId="0" fontId="0" fillId="0" borderId="0" xfId="0"/>
    <s:xf numFmtId="0" fontId="2" fillId="0" borderId="0" xfId="0" applyFont="1"/>
    <s:xf numFmtId="0" fontId="3" fillId="0" borderId="0" xfId="0" applyFont="1"/>
    <s:xf numFmtId="0" fontId="4" fillId="0" borderId="0" xfId="0" applyFont="1"/>
    <s:xf numFmtId="0" fontId="5" fillId="3" borderId="0" xfId="1" applyFont="1" applyFill="1" applyBorder="1"/>
    <s:xf numFmtId="0" fontId="6" fillId="0" borderId="0" xfId="0" applyFont="1"/>
    <s:xf numFmtId="164" fontId="7" fillId="5" borderId="2" xfId="0" applyNumberFormat="1" applyFont="1" applyFill="1" applyBorder="1"/>
    <s:xf numFmtId="0" fontId="8" fillId="4" borderId="2" xfId="0" applyFont="1" applyFill="1" applyBorder="1" applyAlignment="1">
      <s:alignment horizontal="center" wrapText="1" mc:Ignorable="vyd"/>
    </s:xf>
    <s:xf numFmtId="3" fontId="7" fillId="5" borderId="2" xfId="0" applyNumberFormat="1" applyFont="1" applyFill="1" applyBorder="1"/>
    <s:xf numFmtId="164" fontId="8" fillId="5" borderId="2" xfId="0" applyNumberFormat="1" applyFont="1" applyFill="1" applyBorder="1" applyAlignment="1">
      <s:alignment horizontal="right" mc:Ignorable="vyd"/>
    </s:xf>
    <s:xf numFmtId="3" fontId="8" fillId="5" borderId="2" xfId="0" applyNumberFormat="1" applyFont="1" applyFill="1" applyBorder="1"/>
    <s:xf numFmtId="0" fontId="5" fillId="8" borderId="1" xfId="1" applyFont="1" applyFill="1" applyAlignment="1">
      <s:alignment horizontal="center" vertical="center" mc:Ignorable="vyd"/>
    </s:xf>
    <s:xf numFmtId="0" fontId="5" fillId="9" borderId="1" xfId="1" applyFont="1" applyFill="1" applyAlignment="1">
      <s:alignment horizontal="center" vertical="center" mc:Ignorable="vyd"/>
    </s:xf>
    <s:xf numFmtId="0" fontId="9" fillId="10" borderId="1" xfId="1" applyFont="1" applyFill="1"/>
    <s:xf numFmtId="166" fontId="5" fillId="10" borderId="1" xfId="1" applyNumberFormat="1" applyFont="1" applyFill="1" applyAlignment="1">
      <s:alignment horizontal="center" vertical="center" mc:Ignorable="vyd"/>
    </s:xf>
    <s:xf numFmtId="166" fontId="5" fillId="10" borderId="3" xfId="1" applyNumberFormat="1" applyFont="1" applyFill="1" applyBorder="1" applyAlignment="1">
      <s:alignment horizontal="center" vertical="center" mc:Ignorable="vyd"/>
    </s:xf>
    <s:xf numFmtId="166" fontId="5" fillId="10" borderId="2" xfId="1" applyNumberFormat="1" applyFont="1" applyFill="1" applyBorder="1" applyAlignment="1">
      <s:alignment horizontal="center" vertical="center" mc:Ignorable="vyd"/>
    </s:xf>
    <s:xf numFmtId="166" fontId="5" fillId="10" borderId="2" xfId="0" applyNumberFormat="1" applyFont="1" applyFill="1" applyBorder="1" applyAlignment="1">
      <s:alignment horizontal="center" vertical="center" mc:Ignorable="vyd"/>
    </s:xf>
    <s:xf numFmtId="166" fontId="5" fillId="10" borderId="7" xfId="0" applyNumberFormat="1" applyFont="1" applyFill="1" applyBorder="1" applyAlignment="1">
      <s:alignment horizontal="center" vertical="center" mc:Ignorable="vyd"/>
    </s:xf>
    <s:xf numFmtId="165" fontId="4" fillId="8" borderId="10" xfId="0" applyNumberFormat="1" applyFont="1" applyFill="1" applyBorder="1" applyAlignment="1">
      <s:alignment horizontal="center" vertical="center" mc:Ignorable="vyd"/>
    </s:xf>
    <s:xf numFmtId="0" fontId="4" fillId="5" borderId="0" xfId="0" applyFont="1" applyFill="1"/>
    <s:xf numFmtId="17" fontId="4" fillId="5" borderId="0" xfId="0" applyNumberFormat="1" applyFont="1" applyFill="1" applyAlignment="1">
      <s:alignment horizontal="center" mc:Ignorable="vyd"/>
    </s:xf>
    <s:xf numFmtId="167" fontId="5" fillId="6" borderId="1" xfId="1" applyNumberFormat="1" applyFont="1" applyFill="1" applyAlignment="1">
      <s:alignment horizontal="center" vertical="center" mc:Ignorable="vyd"/>
    </s:xf>
    <s:xf numFmtId="167" fontId="5" fillId="6" borderId="3" xfId="1" applyNumberFormat="1" applyFont="1" applyFill="1" applyBorder="1" applyAlignment="1">
      <s:alignment horizontal="center" vertical="center" mc:Ignorable="vyd"/>
    </s:xf>
    <s:xf numFmtId="167" fontId="5" fillId="6" borderId="2" xfId="1" applyNumberFormat="1" applyFont="1" applyFill="1" applyBorder="1" applyAlignment="1">
      <s:alignment horizontal="center" vertical="center" mc:Ignorable="vyd"/>
    </s:xf>
    <s:xf numFmtId="167" fontId="5" fillId="6" borderId="2" xfId="0" applyNumberFormat="1" applyFont="1" applyFill="1" applyBorder="1" applyAlignment="1">
      <s:alignment horizontal="center" vertical="center" mc:Ignorable="vyd"/>
    </s:xf>
    <s:xf numFmtId="167" fontId="5" fillId="6" borderId="7" xfId="0" applyNumberFormat="1" applyFont="1" applyFill="1" applyBorder="1" applyAlignment="1">
      <s:alignment horizontal="center" vertical="center" mc:Ignorable="vyd"/>
    </s:xf>
    <s:xf numFmtId="167" fontId="5" fillId="6" borderId="1" xfId="1" applyNumberFormat="1" applyFont="1" applyFill="1" applyAlignment="1">
      <s:alignment horizontal="center" mc:Ignorable="vyd"/>
    </s:xf>
    <s:xf numFmtId="168" fontId="5" fillId="6" borderId="1" xfId="1" applyNumberFormat="1" applyFont="1" applyFill="1" applyAlignment="1">
      <s:alignment horizontal="center" vertical="center" mc:Ignorable="vyd"/>
    </s:xf>
    <s:xf numFmtId="0" fontId="10" fillId="10" borderId="1" xfId="1" applyFont="1" applyFill="1"/>
    <s:xf numFmtId="0" fontId="10" fillId="10" borderId="1" xfId="1" applyFont="1" applyFill="1" applyAlignment="1">
      <s:alignment horizontal="left" mc:Ignorable="vyd"/>
    </s:xf>
    <s:xf numFmtId="0" fontId="5" fillId="6" borderId="1" xfId="1" applyFont="1" applyFill="1" applyAlignment="1">
      <s:alignment horizontal="left" mc:Ignorable="vyd"/>
    </s:xf>
    <s:xf numFmtId="0" fontId="5" fillId="7" borderId="1" xfId="1" applyFont="1" applyFill="1" applyAlignment="1">
      <s:alignment horizontal="center" vertical="center" wrapText="1" mc:Ignorable="vyd"/>
    </s:xf>
    <s:xf numFmtId="0" fontId="5" fillId="7" borderId="6" xfId="0" applyFont="1" applyFill="1" applyBorder="1" applyAlignment="1">
      <s:alignment horizontal="center" vertical="center" wrapText="1" mc:Ignorable="vyd"/>
    </s:xf>
    <s:xf numFmtId="0" fontId="5" fillId="7" borderId="4" xfId="1" applyFont="1" applyFill="1" applyBorder="1" applyAlignment="1">
      <s:alignment horizontal="center" vertical="center" wrapText="1" mc:Ignorable="vyd"/>
    </s:xf>
    <s:xf numFmtId="0" fontId="5" fillId="7" borderId="3" xfId="1" applyFont="1" applyFill="1" applyBorder="1" applyAlignment="1">
      <s:alignment horizontal="center" vertical="center" wrapText="1" mc:Ignorable="vyd"/>
    </s:xf>
    <s:xf numFmtId="0" fontId="5" fillId="7" borderId="2" xfId="1" applyFont="1" applyFill="1" applyBorder="1" applyAlignment="1">
      <s:alignment horizontal="center" vertical="center" wrapText="1" mc:Ignorable="vyd"/>
    </s:xf>
    <s:xf numFmtId="0" fontId="5" fillId="7" borderId="2" xfId="0" applyFont="1" applyFill="1" applyBorder="1" applyAlignment="1">
      <s:alignment horizontal="center" vertical="center" wrapText="1" mc:Ignorable="vyd"/>
    </s:xf>
    <s:xf numFmtId="0" fontId="5" fillId="7" borderId="7" xfId="1" applyFont="1" applyFill="1" applyBorder="1" applyAlignment="1">
      <s:alignment horizontal="center" vertical="center" wrapText="1" mc:Ignorable="vyd"/>
    </s:xf>
    <s:xf numFmtId="0" fontId="5" fillId="7" borderId="8" xfId="1" applyFont="1" applyFill="1" applyBorder="1" applyAlignment="1">
      <s:alignment horizontal="center" vertical="center" wrapText="1" mc:Ignorable="vyd"/>
    </s:xf>
    <s:xf numFmtId="0" fontId="5" fillId="9" borderId="1" xfId="1" applyFont="1" applyFill="1" applyAlignment="1">
      <s:alignment horizontal="center" vertical="center" wrapText="1" mc:Ignorable="vyd"/>
    </s:xf>
    <s:xf numFmtId="0" fontId="5" fillId="9" borderId="6" xfId="0" applyFont="1" applyFill="1" applyBorder="1" applyAlignment="1">
      <s:alignment horizontal="center" vertical="center" wrapText="1" mc:Ignorable="vyd"/>
    </s:xf>
    <s:xf numFmtId="0" fontId="5" fillId="9" borderId="4" xfId="1" applyFont="1" applyFill="1" applyBorder="1" applyAlignment="1">
      <s:alignment horizontal="center" vertical="center" wrapText="1" mc:Ignorable="vyd"/>
    </s:xf>
    <s:xf numFmtId="0" fontId="5" fillId="9" borderId="3" xfId="1" applyFont="1" applyFill="1" applyBorder="1" applyAlignment="1">
      <s:alignment horizontal="center" vertical="center" wrapText="1" mc:Ignorable="vyd"/>
    </s:xf>
    <s:xf numFmtId="0" fontId="5" fillId="9" borderId="2" xfId="1" applyFont="1" applyFill="1" applyBorder="1" applyAlignment="1">
      <s:alignment horizontal="center" vertical="center" wrapText="1" mc:Ignorable="vyd"/>
    </s:xf>
    <s:xf numFmtId="0" fontId="5" fillId="9" borderId="2" xfId="0" applyFont="1" applyFill="1" applyBorder="1" applyAlignment="1">
      <s:alignment horizontal="center" vertical="center" wrapText="1" mc:Ignorable="vyd"/>
    </s:xf>
    <s:xf numFmtId="0" fontId="5" fillId="9" borderId="7" xfId="1" applyFont="1" applyFill="1" applyBorder="1" applyAlignment="1">
      <s:alignment horizontal="center" vertical="center" wrapText="1" mc:Ignorable="vyd"/>
    </s:xf>
    <s:xf numFmtId="0" fontId="11" fillId="0" borderId="0" xfId="0" applyFont="1"/>
    <s:xf numFmtId="44" fontId="11" fillId="0" borderId="0" xfId="0" applyNumberFormat="1" applyFont="1"/>
    <s:xf numFmtId="167" fontId="5" fillId="6" borderId="1" xfId="1" applyNumberFormat="1" applyFont="1" applyFill="1" applyAlignment="1">
      <s:alignment horizontal="left" mc:Ignorable="vyd"/>
    </s:xf>
    <s:xf numFmtId="167" fontId="12" fillId="6" borderId="2" xfId="0" applyNumberFormat="1" applyFont="1" applyFill="1" applyBorder="1" applyAlignment="1">
      <s:alignment horizontal="center" vertical="center" mc:Ignorable="vyd"/>
    </s:xf>
    <s:xf numFmtId="167" fontId="12" fillId="6" borderId="7" xfId="0" applyNumberFormat="1" applyFont="1" applyFill="1" applyBorder="1" applyAlignment="1">
      <s:alignment horizontal="center" vertical="center" mc:Ignorable="vyd"/>
    </s:xf>
    <s:xf numFmtId="44" fontId="12" fillId="6" borderId="9" xfId="0" applyNumberFormat="1" applyFont="1" applyFill="1" applyBorder="1"/>
    <s:xf numFmtId="0" fontId="5" fillId="6" borderId="1" xfId="1" applyFont="1" applyFill="1" applyBorder="1" applyAlignment="1">
      <s:alignment horizontal="left" mc:Ignorable="vyd"/>
    </s:xf>
    <s:xf numFmtId="167" fontId="5" fillId="6" borderId="1" xfId="1" applyNumberFormat="1" applyFont="1" applyFill="1" applyBorder="1" applyAlignment="1">
      <s:alignment horizontal="left" mc:Ignorable="vyd"/>
    </s:xf>
    <s:xf numFmtId="167" fontId="5" fillId="6" borderId="1" xfId="1" applyNumberFormat="1" applyFont="1" applyFill="1" applyBorder="1" applyAlignment="1">
      <s:alignment horizontal="center" vertical="center" mc:Ignorable="vyd"/>
    </s:xf>
    <s:xf numFmtId="0" fontId="5" fillId="6" borderId="5" xfId="1" applyFont="1" applyFill="1" applyBorder="1" applyAlignment="1">
      <s:alignment horizontal="left" mc:Ignorable="vyd"/>
    </s:xf>
    <s:xf numFmtId="167" fontId="5" fillId="6" borderId="5" xfId="1" applyNumberFormat="1" applyFont="1" applyFill="1" applyBorder="1" applyAlignment="1">
      <s:alignment horizontal="left" mc:Ignorable="vyd"/>
    </s:xf>
    <s:xf numFmtId="167" fontId="5" fillId="6" borderId="5" xfId="1" applyNumberFormat="1" applyFont="1" applyFill="1" applyBorder="1" applyAlignment="1">
      <s:alignment horizontal="center" vertical="center" mc:Ignorable="vyd"/>
    </s:xf>
    <s:xf numFmtId="167" fontId="5" fillId="6" borderId="11" xfId="1" applyNumberFormat="1" applyFont="1" applyFill="1" applyBorder="1" applyAlignment="1">
      <s:alignment horizontal="center" vertical="center" mc:Ignorable="vyd"/>
    </s:xf>
    <s:xf numFmtId="167" fontId="5" fillId="6" borderId="6" xfId="1" applyNumberFormat="1" applyFont="1" applyFill="1" applyBorder="1" applyAlignment="1">
      <s:alignment horizontal="center" vertical="center" mc:Ignorable="vyd"/>
    </s:xf>
    <s:xf numFmtId="167" fontId="12" fillId="6" borderId="6" xfId="0" applyNumberFormat="1" applyFont="1" applyFill="1" applyBorder="1" applyAlignment="1">
      <s:alignment horizontal="center" vertical="center" mc:Ignorable="vyd"/>
    </s:xf>
    <s:xf numFmtId="167" fontId="12" fillId="6" borderId="12" xfId="0" applyNumberFormat="1" applyFont="1" applyFill="1" applyBorder="1" applyAlignment="1">
      <s:alignment horizontal="center" vertical="center" mc:Ignorable="vyd"/>
    </s:xf>
    <s:xf numFmtId="165" fontId="4" fillId="8" borderId="10" xfId="0" applyNumberFormat="1" applyFont="1" applyFill="1" applyBorder="1"/>
    <s:xf numFmtId="165" fontId="4" fillId="4" borderId="10" xfId="0" applyNumberFormat="1" applyFont="1" applyFill="1" applyBorder="1" applyAlignment="1">
      <s:alignment horizontal="center" vertical="center" mc:Ignorable="vyd"/>
    </s:xf>
    <s:xf numFmtId="0" fontId="13" fillId="0" borderId="10" xfId="0" applyFont="1" applyBorder="1"/>
    <s:xf numFmtId="167" fontId="4" fillId="6" borderId="10" xfId="0" applyNumberFormat="1" applyFont="1" applyFill="1" applyBorder="1" applyAlignment="1">
      <s:alignment horizontal="center" vertical="center" mc:Ignorable="vyd"/>
    </s:xf>
    <s:xf numFmtId="0" fontId="13" fillId="3" borderId="0" xfId="0" applyFont="1" applyFill="1" applyBorder="1"/>
    <s:xf numFmtId="2" fontId="4" fillId="3" borderId="14" xfId="0" applyNumberFormat="1" applyFont="1" applyFill="1" applyBorder="1" applyAlignment="1">
      <s:alignment horizontal="center" vertical="center" mc:Ignorable="vyd"/>
    </s:xf>
    <s:xf numFmtId="2" fontId="4" fillId="3" borderId="15" xfId="0" applyNumberFormat="1" applyFont="1" applyFill="1" applyBorder="1" applyAlignment="1">
      <s:alignment horizontal="center" vertical="center" mc:Ignorable="vyd"/>
    </s:xf>
    <s:xf numFmtId="2" fontId="4" fillId="3" borderId="13" xfId="0" applyNumberFormat="1" applyFont="1" applyFill="1" applyBorder="1" applyAlignment="1">
      <s:alignment horizontal="center" vertical="center" mc:Ignorable="vyd"/>
    </s:xf>
    <s:xf numFmtId="2" fontId="4" fillId="11" borderId="13" xfId="0" applyNumberFormat="1" applyFont="1" applyFill="1" applyBorder="1" applyAlignment="1">
      <s:alignment horizontal="center" vertical="center" mc:Ignorable="vyd"/>
    </s:xf>
    <s:xf numFmtId="2" fontId="4" fillId="3" borderId="0" xfId="0" applyNumberFormat="1" applyFont="1" applyFill="1" applyBorder="1" applyAlignment="1">
      <s:alignment horizontal="center" vertical="center" mc:Ignorable="vyd"/>
    </s:xf>
    <s:xf numFmtId="0" fontId="5" fillId="12" borderId="1" xfId="1" applyFont="1" applyFill="1" applyAlignment="1">
      <s:alignment horizontal="center" vertical="center" wrapText="1" mc:Ignorable="vyd"/>
    </s:xf>
    <s:xf numFmtId="166" fontId="5" fillId="12" borderId="1" xfId="1" applyNumberFormat="1" applyFont="1" applyFill="1" applyAlignment="1">
      <s:alignment horizontal="center" vertical="center" mc:Ignorable="vyd"/>
    </s:xf>
    <s:xf numFmtId="167" fontId="5" fillId="12" borderId="1" xfId="1" applyNumberFormat="1" applyFont="1" applyFill="1" applyAlignment="1">
      <s:alignment horizontal="center" vertical="center" mc:Ignorable="vyd"/>
    </s:xf>
    <s:xf numFmtId="167" fontId="4" fillId="7" borderId="10" xfId="0" applyNumberFormat="1" applyFont="1" applyFill="1" applyBorder="1" applyAlignment="1">
      <s:alignment horizontal="center" vertical="center" mc:Ignorable="vyd"/>
    </s:xf>
    <s:xf numFmtId="167" fontId="4" fillId="11" borderId="15" xfId="0" applyNumberFormat="1" applyFont="1" applyFill="1" applyBorder="1" applyAlignment="1">
      <s:alignment horizontal="center" vertical="center" mc:Ignorable="vyd"/>
    </s:xf>
    <s:xf numFmtId="165" fontId="4" fillId="12" borderId="10" xfId="0" applyNumberFormat="1" applyFont="1" applyFill="1" applyBorder="1" applyAlignment="1">
      <s:alignment horizontal="center" vertical="center" mc:Ignorable="vyd"/>
    </s:xf>
    <s:xf numFmtId="166" fontId="0" fillId="0" borderId="0" xfId="0" applyNumberFormat="1"/>
    <s:xf numFmtId="4" fontId="5" fillId="10" borderId="1" xfId="1" applyNumberFormat="1" applyFont="1" applyFill="1" applyAlignment="1">
      <s:alignment horizontal="center" vertical="center" mc:Ignorable="vyd"/>
    </s:xf>
    <s:xf numFmtId="168" fontId="12" fillId="6" borderId="2" xfId="0" applyNumberFormat="1" applyFont="1" applyFill="1" applyBorder="1" applyAlignment="1">
      <s:alignment horizontal="center" vertical="center" mc:Ignorable="vyd"/>
    </s:xf>
  </s:cellXfs>
  <s:cellStyles count="2">
    <s:cellStyle name="Вывод" xfId="1" builtinId="21"/>
    <s:cellStyle name="Обычный" xfId="0" builtinId="0"/>
  </s:cellStyles>
  <s:dxfs count="0"/>
  <s:tableStyles count="0" defaultTableStyle="TableStyleMedium2" defaultPivotStyle="PivotStyleMedium9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7" Type="http://schemas.openxmlformats.org/officeDocument/2006/relationships/styles" Target="styles.xml"/><Relationship Id="rId9" Type="http://schemas.openxmlformats.org/officeDocument/2006/relationships/sharedStrings" Target="sharedStrings.xml"/><Relationship Target="theme/theme1.xml" Type="http://schemas.openxmlformats.org/officeDocument/2006/relationships/theme" Id="rId8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/Relationships>
</file>

<file path=xl/charts/chart1.xml><?xml version="1.0" encoding="utf-8"?>
<c:chartSpace xmlns:a="http://schemas.openxmlformats.org/drawingml/2006/main" xmlns:unk3="http://schemas.microsoft.com/office/drawing/2014/chart" xmlns:c="http://schemas.openxmlformats.org/drawingml/2006/chart" xmlns:c15="http://schemas.microsoft.com/office/drawing/2012/chart" xmlns:vyd="http://volga.yandex.com/schemas/document/model" xmlns:mc="http://schemas.openxmlformats.org/markup-compatibility/2006">
  <c:date1904 val="0"/>
  <c:lang val="ru-RU"/>
  <c:roundedCorners val="0"/>
  <c:chart>
    <c:title mc:Ignorable="vyd">
      <c:tx>
        <c:rich>
          <a:bodyPr lIns="0" tIns="0" rIns="0" bIns="0"/>
          <a:lstStyle/>
          <a:p>
            <a:pPr>
              <a:defRPr/>
            </a:pPr>
            <a:r>
              <a:rPr lang="ru-RU"/>
              <a:t>Выручка за месяц (без учета доставки), руб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СВОДКА!$C$1</c:f>
              <c:strCache>
                <c:ptCount val="1"/>
                <c:pt idx="0">
                  <c:v>Выручка за месяц        (без учета доставки), руб</c:v>
                </c:pt>
              </c:strCache>
            </c:strRef>
          </c:tx>
          <c:marker>
            <c:symbol val="circle"/>
            <c:size val="5"/>
            <c:spPr>
              <a:solidFill>
                <a:schemeClr val="accent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vert="horz"/>
              <a:lstStyle/>
              <a:p>
                <a:pPr>
                  <a:defRPr/>
                </a:pPr>
                <a:endParaRPr lang="ru-RU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uri="{CE6537A1-D6FC-4f65-9D91-7224C49458BB}">
                <c15:showLeaderLines val="0"/>
              </c:ext>
            </c:extLst>
          </c:dLbls>
          <c:cat>
            <c:numRef>
              <c:f>СВОДКА!$B$2:$B$13</c:f>
              <c:numCache>
                <c:formatCode>[$-419]mmmm\ yyyy;@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СВОДКА!$C$2:$C$13</c:f>
              <c:numCache>
                <c:formatCode>#,##0</c:formatCode>
                <c:ptCount val="12"/>
                <c:pt idx="0">
                  <c:v>26935200</c:v>
                </c:pt>
                <c:pt idx="1">
                  <c:v>39591660</c:v>
                </c:pt>
                <c:pt idx="2">
                  <c:v>46585005</c:v>
                </c:pt>
              </c:numCache>
            </c:numRef>
          </c:val>
          <c:smooth val="0"/>
          <c:extLst>
            <c:ext uri="{C3380CC4-5D6E-409C-BE32-E72D297353CC}">
              <unk3:uniqueId val="{00000000-481F-4366-8AEA-F86759CAF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923192"/>
        <c:axId val="227920056"/>
      </c:lineChart>
      <c:valAx>
        <c:axId val="227920056"/>
        <c:scaling>
          <c:orientation val="minMax"/>
          <c:max val="150000000"/>
        </c:scaling>
        <c:delete val="0"/>
        <c:axPos val="l"/>
        <c:majorGridlines/>
        <c:numFmt formatCode="#,##0" sourceLinked="0"/>
        <c:majorTickMark val="out"/>
        <c:minorTickMark val="none"/>
        <c:tickLblPos val="nextTo"/>
        <c:crossAx val="227923192"/>
        <c:crosses val="autoZero"/>
        <c:crossBetween val="between"/>
      </c:valAx>
      <c:dateAx>
        <c:axId val="227923192"/>
        <c:scaling>
          <c:orientation val="minMax"/>
        </c:scaling>
        <c:delete val="0"/>
        <c:axPos val="b"/>
        <c:minorGridlines/>
        <c:numFmt formatCode="[$-419]mmmm\ yyyy;@" sourceLinked="1"/>
        <c:majorTickMark val="out"/>
        <c:minorTickMark val="none"/>
        <c:tickLblPos val="nextTo"/>
        <c:crossAx val="227920056"/>
        <c:crosses val="autoZero"/>
        <c:auto val="1"/>
        <c:lblOffset val="100"/>
        <c:baseTimeUnit val="months"/>
      </c:dateAx>
    </c:plotArea>
    <c:plotVisOnly val="1"/>
    <c:dispBlanksAs val="gap"/>
    <c:showDLblsOverMax val="0"/>
  </c:chart>
  <c:txPr>
    <a:bodyPr lIns="0" tIns="0" rIns="0" bIns="0"/>
    <a:lstStyle/>
    <a:p>
      <a:pPr>
        <a:defRPr>
          <a:latin pitchFamily="18" charset="0" typeface="Times New Roman"/>
          <a:cs typeface="Times New Roman" pitchFamily="18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?><Relationships xmlns="http://schemas.openxmlformats.org/package/2006/relationships"><Relationship Target="../charts/chart1.xml" Type="http://schemas.openxmlformats.org/officeDocument/2006/relationships/chart" Id="rId1"/></Relationships>
</file>

<file path=xl/drawings/drawing1.xml><?xml version="1.0" encoding="utf-8"?>
<xdr:wsDr xmlns:c="http://schemas.openxmlformats.org/drawingml/2006/chart" xmlns:r="http://schemas.openxmlformats.org/officeDocument/2006/relationships" xmlns:unk2="http://schemas.microsoft.com/office/drawing/2014/main" xmlns:xdr="http://schemas.openxmlformats.org/drawingml/2006/spreadsheetDrawing" xmlns:a="http://schemas.openxmlformats.org/drawingml/2006/main">
  <xdr:twoCellAnchor>
    <xdr:from>
      <xdr:col>7</xdr:col>
      <xdr:colOff>40820</xdr:colOff>
      <xdr:row>0</xdr:row>
      <xdr:rowOff>0</xdr:rowOff>
    </xdr:from>
    <xdr:to>
      <xdr:col>30</xdr:col>
      <xdr:colOff>258534</xdr:colOff>
      <xdr:row>20</xdr:row>
      <xdr:rowOff>163286</xdr:rowOff>
    </xdr:to>
    <xdr:graphicFrame macro="">
      <xdr:nvGraphicFramePr>
        <xdr:cNvPr id="5" name="Диаграмма 4">
          <a:extLst>
            <a:ext uri="{FF2B5EF4-FFF2-40B4-BE49-F238E27FC236}">
              <unk2:creationId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4999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?><Relationships xmlns="http://schemas.openxmlformats.org/package/2006/relationships"><Relationship Id="rId1" Type="http://schemas.openxmlformats.org/officeDocument/2006/relationships/printerSettings" Target="../printerSettings/printerSettings4.bin"/><Relationship Target="../drawings/drawing1.xml" Type="http://schemas.openxmlformats.org/officeDocument/2006/relationships/drawing" Id="rId2"/></Relationships>
</file>

<file path=xl/worksheets/sheet1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06203B26-D22A-418A-B1CB-8F4545AF3FA3}">
  <s:dimension ref="A1:AW124"/>
  <s:sheetViews>
    <s:sheetView tabSelected="0" topLeftCell="A31" zoomScale="55" zoomScaleNormal="55" workbookViewId="0">
      <s:pane xSplit="1" topLeftCell="AF1" activePane="topRight" state="frozen"/>
      <s:selection pane="topRight" activeCell="AV62" sqref="AV62"/>
    </s:sheetView>
  </s:sheetViews>
  <s:sheetFormatPr x14ac:dyDescent="0.25" defaultColWidth="10" defaultRowHeight="15"/>
  <s:cols>
    <s:col min="1" max="1" width="40" customWidth="1"/>
    <s:col min="2" max="2" width="20.855" bestFit="1" customWidth="1"/>
    <s:col min="3" max="3" width="18.285" bestFit="1" customWidth="1"/>
    <s:col min="4" max="4" width="18.285" customWidth="1"/>
    <s:col min="5" max="5" width="20.855" bestFit="1" customWidth="1"/>
    <s:col min="6" max="6" width="20.855" customWidth="1"/>
    <s:col min="7" max="7" width="16.711" bestFit="1" customWidth="1"/>
    <s:col min="8" max="8" width="14.426" bestFit="1" customWidth="1"/>
    <s:col min="9" max="9" width="14.711" customWidth="1"/>
    <s:col min="10" max="10" width="17.285" customWidth="1"/>
    <s:col min="11" max="11" width="18.711" bestFit="1" customWidth="1"/>
    <s:col min="12" max="12" width="17" customWidth="1"/>
    <s:col min="13" max="13" width="18.285" bestFit="1" customWidth="1"/>
    <s:col min="14" max="14" width="20.285" bestFit="1" customWidth="1"/>
    <s:col min="15" max="15" width="20.57" bestFit="1" customWidth="1"/>
    <s:col min="16" max="16" width="28.285" customWidth="1"/>
    <s:col min="17" max="17" width="25.141" customWidth="1"/>
    <s:col min="18" max="18" width="18.426" customWidth="1"/>
    <s:col min="19" max="19" width="19.426" customWidth="1"/>
    <s:col min="20" max="20" width="36.426" customWidth="1"/>
    <s:col min="21" max="21" width="32.285" bestFit="1" customWidth="1"/>
    <s:col min="22" max="22" width="38.711" bestFit="1" customWidth="1"/>
    <s:col min="23" max="23" width="18.711" customWidth="1"/>
    <s:col min="24" max="24" width="51.141" customWidth="1"/>
    <s:col min="25" max="25" width="34.285" customWidth="1"/>
    <s:col min="26" max="26" width="17.57" customWidth="1"/>
    <s:col min="27" max="27" width="22.285" customWidth="1"/>
    <s:col min="28" max="28" width="30.426" customWidth="1"/>
    <s:col min="29" max="29" width="27.57" bestFit="1" customWidth="1"/>
    <s:col min="30" max="30" width="23.141" customWidth="1"/>
    <s:col min="31" max="31" width="38.426" bestFit="1" customWidth="1"/>
    <s:col min="32" max="32" width="20" bestFit="1" customWidth="1"/>
    <s:col min="33" max="33" width="23.141" bestFit="1" customWidth="1"/>
    <s:col min="34" max="34" width="44.855" bestFit="1" customWidth="1"/>
    <s:col min="35" max="35" width="40.426" bestFit="1" customWidth="1"/>
    <s:col min="36" max="36" width="25.285" bestFit="1" customWidth="1"/>
    <s:col min="37" max="37" width="17.57" customWidth="1"/>
    <s:col min="38" max="38" width="30.711" bestFit="1" customWidth="1"/>
    <s:col min="39" max="39" width="24.426" bestFit="1" customWidth="1"/>
    <s:col min="40" max="40" width="18" bestFit="1" customWidth="1"/>
    <s:col min="41" max="47" width="18" customWidth="1"/>
    <s:col min="48" max="48" width="28.57" customWidth="1"/>
    <s:col min="49" max="49" width="31" customWidth="1"/>
  </s:cols>
  <s:sheetData>
    <s:row r="1" ht="18.75">
      <s:c r="A1" s="20" t="s">
        <s:v>9</s:v>
      </s:c>
      <s:c r="B1" s="21">
        <s:v>46082</s:v>
      </s:c>
      <s:c r="C1" s="3"/>
      <s:c r="D1" s="3"/>
      <s:c r="E1" s="3"/>
      <s:c r="F1" s="3"/>
      <s:c r="G1" s="3"/>
      <s:c r="H1" s="3"/>
      <s:c r="I1" s="3"/>
      <s:c r="J1" s="3"/>
      <s:c r="K1" s="3"/>
      <s:c r="L1" s="3"/>
    </s:row>
    <s:row r="2">
      <s:c r="A2" s="2"/>
      <s:c r="B2" s="2"/>
      <s:c r="C2" s="2"/>
      <s:c r="D2" s="2"/>
      <s:c r="E2" s="2"/>
      <s:c r="F2" s="2"/>
      <s:c r="G2" s="2"/>
      <s:c r="H2" s="2"/>
      <s:c r="I2" s="2"/>
      <s:c r="J2" s="2"/>
      <s:c r="K2" s="2"/>
      <s:c r="L2" s="2"/>
    </s:row>
    <s:row r="3" ht="19.5">
      <s:c r="A3" s="3" t="s">
        <s:v>12</s:v>
      </s:c>
      <s:c r="B3" s="3"/>
      <s:c r="C3" s="3"/>
      <s:c r="D3" s="3"/>
      <s:c r="E3" s="3"/>
      <s:c r="F3" s="3"/>
      <s:c r="G3" s="3"/>
      <s:c r="H3" s="3"/>
      <s:c r="I3" s="3"/>
      <s:c r="J3" s="3"/>
      <s:c r="K3" s="3"/>
      <s:c r="L3" s="3"/>
      <s:c r="M3" s="47"/>
      <s:c r="N3" s="47"/>
      <s:c r="O3" s="47">
        <s:f>O7*69000+O41*69000</s:f>
        <s:v>0</s:v>
      </s:c>
      <s:c r="P3" s="47"/>
      <s:c r="Q3" s="47"/>
      <s:c r="R3" s="47"/>
      <s:c r="S3" s="47"/>
      <s:c r="T3" s="47"/>
      <s:c r="U3" s="47"/>
      <s:c r="V3" s="47"/>
      <s:c r="W3" s="47"/>
      <s:c r="X3" s="47"/>
      <s:c r="Y3" s="47"/>
      <s:c r="Z3" s="47"/>
      <s:c r="AA3" s="47"/>
      <s:c r="AB3" s="47"/>
      <s:c r="AC3" s="47"/>
      <s:c r="AD3" s="47"/>
      <s:c r="AE3" s="47"/>
      <s:c r="AF3" s="47"/>
      <s:c r="AG3" s="47"/>
      <s:c r="AH3" s="47"/>
      <s:c r="AI3" s="47"/>
      <s:c r="AJ3" s="47"/>
      <s:c r="AK3" s="47"/>
      <s:c r="AL3" s="47"/>
      <s:c r="AM3" s="47"/>
      <s:c r="AN3" s="47"/>
      <s:c r="AO3" s="47"/>
      <s:c r="AP3" s="47"/>
      <s:c r="AQ3" s="47"/>
      <s:c r="AR3" s="47"/>
      <s:c r="AS3" s="47"/>
      <s:c r="AT3" s="47"/>
      <s:c r="AU3" s="47"/>
      <s:c r="AV3" s="48">
        <s:f>SUM(AV5:AV61)</s:f>
        <s:v>39250905</s:v>
      </s:c>
    </s:row>
    <s:row r="4" ht="56.25">
      <s:c r="A4" s="11" t="s">
        <s:v>8</s:v>
      </s:c>
      <s:c r="B4" s="32" t="s">
        <s:v>18</s:v>
      </s:c>
      <s:c r="C4" s="32" t="s">
        <s:v>38</s:v>
      </s:c>
      <s:c r="D4" s="32" t="s">
        <s:v>83</s:v>
      </s:c>
      <s:c r="E4" s="32" t="s">
        <s:v>19</s:v>
      </s:c>
      <s:c r="F4" s="32" t="s">
        <s:v>59</s:v>
      </s:c>
      <s:c r="G4" s="32" t="s">
        <s:v>6</s:v>
      </s:c>
      <s:c r="H4" s="32" t="s">
        <s:v>20</s:v>
      </s:c>
      <s:c r="I4" s="32" t="s">
        <s:v>21</s:v>
      </s:c>
      <s:c r="J4" s="32" t="s">
        <s:v>22</s:v>
      </s:c>
      <s:c r="K4" s="32" t="s">
        <s:v>23</s:v>
      </s:c>
      <s:c r="L4" s="32" t="s">
        <s:v>24</s:v>
      </s:c>
      <s:c r="M4" s="32" t="s">
        <s:v>37</s:v>
      </s:c>
      <s:c r="N4" s="32" t="s">
        <s:v>13</s:v>
      </s:c>
      <s:c r="O4" s="32" t="s">
        <s:v>17</s:v>
      </s:c>
      <s:c r="P4" s="32" t="s">
        <s:v>82</s:v>
      </s:c>
      <s:c r="Q4" s="32" t="s">
        <s:v>41</s:v>
      </s:c>
      <s:c r="R4" s="32" t="s">
        <s:v>26</s:v>
      </s:c>
      <s:c r="S4" s="32" t="s">
        <s:v>121</s:v>
      </s:c>
      <s:c r="T4" s="32" t="s">
        <s:v>84</s:v>
      </s:c>
      <s:c r="U4" s="32" t="s">
        <s:v>27</s:v>
      </s:c>
      <s:c r="V4" s="32" t="s">
        <s:v>28</s:v>
      </s:c>
      <s:c r="W4" s="32" t="s">
        <s:v>88</s:v>
      </s:c>
      <s:c r="X4" s="32" t="s">
        <s:v>30</s:v>
      </s:c>
      <s:c r="Y4" s="32" t="s">
        <s:v>31</s:v>
      </s:c>
      <s:c r="Z4" s="32" t="s">
        <s:v>89</s:v>
      </s:c>
      <s:c r="AA4" s="32" t="s">
        <s:v>50</s:v>
      </s:c>
      <s:c r="AB4" s="33" t="s">
        <s:v>32</s:v>
      </s:c>
      <s:c r="AC4" s="32" t="s">
        <s:v>107</s:v>
      </s:c>
      <s:c r="AD4" s="32" t="s">
        <s:v>122</s:v>
      </s:c>
      <s:c r="AE4" s="34" t="s">
        <s:v>124</s:v>
      </s:c>
      <s:c r="AF4" s="32" t="s">
        <s:v>123</s:v>
      </s:c>
      <s:c r="AG4" s="35" t="s">
        <s:v>105</s:v>
      </s:c>
      <s:c r="AH4" s="32" t="s">
        <s:v>33</s:v>
      </s:c>
      <s:c r="AI4" s="36" t="s">
        <s:v>34</s:v>
      </s:c>
      <s:c r="AJ4" s="37" t="s">
        <s:v>106</s:v>
      </s:c>
      <s:c r="AK4" s="36" t="s">
        <s:v>35</s:v>
      </s:c>
      <s:c r="AL4" s="36" t="s">
        <s:v>100</s:v>
      </s:c>
      <s:c r="AM4" s="38" t="s">
        <s:v>66</s:v>
      </s:c>
      <s:c r="AN4" s="38" t="s">
        <s:v>120</s:v>
      </s:c>
      <s:c r="AO4" s="38" t="s">
        <s:v>116</s:v>
      </s:c>
      <s:c r="AP4" s="38" t="s">
        <s:v>117</s:v>
      </s:c>
      <s:c r="AQ4" s="38" t="s">
        <s:v>55</s:v>
      </s:c>
      <s:c r="AR4" s="38" t="s">
        <s:v>95</s:v>
      </s:c>
      <s:c r="AS4" s="38" t="s">
        <s:v>96</s:v>
      </s:c>
      <s:c r="AT4" s="38" t="s">
        <s:v>78</s:v>
      </s:c>
      <s:c r="AU4" s="38" t="s">
        <s:v>101</s:v>
      </s:c>
      <s:c r="AV4" s="39" t="s">
        <s:v>10</s:v>
      </s:c>
    </s:row>
    <s:row r="5" ht="18.75">
      <s:c r="A5" s="31" t="s">
        <s:v>103</s:v>
      </s:c>
      <s:c r="B5" s="49"/>
      <s:c r="C5" s="49"/>
      <s:c r="D5" s="49"/>
      <s:c r="E5" s="49"/>
      <s:c r="F5" s="49"/>
      <s:c r="G5" s="49"/>
      <s:c r="H5" s="49"/>
      <s:c r="I5" s="49"/>
      <s:c r="J5" s="49"/>
      <s:c r="K5" s="49"/>
      <s:c r="L5" s="49"/>
      <s:c r="M5" s="22"/>
      <s:c r="N5" s="22"/>
      <s:c r="O5" s="22"/>
      <s:c r="P5" s="22"/>
      <s:c r="Q5" s="22"/>
      <s:c r="R5" s="22"/>
      <s:c r="S5" s="22"/>
      <s:c r="T5" s="22"/>
      <s:c r="U5" s="22"/>
      <s:c r="V5" s="22"/>
      <s:c r="W5" s="22"/>
      <s:c r="X5" s="22"/>
      <s:c r="Y5" s="22"/>
      <s:c r="Z5" s="22"/>
      <s:c r="AA5" s="22"/>
      <s:c r="AB5" s="22"/>
      <s:c r="AC5" s="22"/>
      <s:c r="AD5" s="22"/>
      <s:c r="AE5" s="22"/>
      <s:c r="AF5" s="22"/>
      <s:c r="AG5" s="23"/>
      <s:c r="AH5" s="24"/>
      <s:c r="AI5" s="24"/>
      <s:c r="AJ5" s="24"/>
      <s:c r="AK5" s="24"/>
      <s:c r="AL5" s="50"/>
      <s:c r="AM5" s="51"/>
      <s:c r="AN5" s="51"/>
      <s:c r="AO5" s="51"/>
      <s:c r="AP5" s="51"/>
      <s:c r="AQ5" s="51"/>
      <s:c r="AR5" s="51"/>
      <s:c r="AS5" s="51"/>
      <s:c r="AT5" s="51"/>
      <s:c r="AU5" s="51"/>
      <s:c r="AV5" s="52">
        <s:f>B5*B68+C5*C68+D5*D68+E5*E68+F5*F68+G5*G68+H5*H68+I5*I68+J5*J68+K5*K68+L5*L68+AT5*AT69+AU69*AU5+M5*M68+N5*N68+O5*O68+P5*P68+Q5*Q68+R5*R68+S5*S68+T5*T68+U5*U68+V5*V68+W5*W68+X5*X68+Y5*Y68+Z5*Z68+AA5*AA68+AB5*AB68+AC5*AC68+AD5*AD68+AE5*AE68+AF5*AF68+AG5*AG68+AH5*AH68+AI5*AI68+AJ5*AJ68+AK5*AK68+AL5*AL68+AM5*AM68+AN5*AN68+AO5*AO68+AP5*AP68+AQ5*AQ68+AR5*AR68+AS5*AS68+AT5*AT68+AU5*AU68</s:f>
        <s:v>0</s:v>
      </s:c>
    </s:row>
    <s:row r="6" ht="18.75">
      <s:c r="A6" s="31" t="s">
        <s:v>62</s:v>
      </s:c>
      <s:c r="B6" s="49"/>
      <s:c r="C6" s="49"/>
      <s:c r="D6" s="49"/>
      <s:c r="E6" s="49"/>
      <s:c r="F6" s="49"/>
      <s:c r="G6" s="49"/>
      <s:c r="H6" s="49"/>
      <s:c r="I6" s="49"/>
      <s:c r="J6" s="49"/>
      <s:c r="K6" s="49"/>
      <s:c r="L6" s="49"/>
      <s:c r="M6" s="22"/>
      <s:c r="N6" s="22"/>
      <s:c r="O6" s="22"/>
      <s:c r="P6" s="22"/>
      <s:c r="Q6" s="22"/>
      <s:c r="R6" s="22"/>
      <s:c r="S6" s="22"/>
      <s:c r="T6" s="22"/>
      <s:c r="U6" s="22"/>
      <s:c r="V6" s="22"/>
      <s:c r="W6" s="22"/>
      <s:c r="X6" s="22"/>
      <s:c r="Y6" s="22"/>
      <s:c r="Z6" s="22"/>
      <s:c r="AA6" s="22"/>
      <s:c r="AB6" s="22"/>
      <s:c r="AC6" s="22"/>
      <s:c r="AD6" s="22"/>
      <s:c r="AE6" s="22"/>
      <s:c r="AF6" s="22"/>
      <s:c r="AG6" s="23"/>
      <s:c r="AH6" s="24"/>
      <s:c r="AI6" s="24"/>
      <s:c r="AJ6" s="24"/>
      <s:c r="AK6" s="24"/>
      <s:c r="AL6" s="50"/>
      <s:c r="AM6" s="51"/>
      <s:c r="AN6" s="51"/>
      <s:c r="AO6" s="51"/>
      <s:c r="AP6" s="51"/>
      <s:c r="AQ6" s="51"/>
      <s:c r="AR6" s="51"/>
      <s:c r="AS6" s="51"/>
      <s:c r="AT6" s="51"/>
      <s:c r="AU6" s="51"/>
      <s:c r="AV6" s="52">
        <s:f>B6*B69+C6*C69+D6*D69+E6*E69+F6*F69+G6*G69+H6*H69+I6*I69+J6*J69+K6*K69+L6*L69+AT6*AT70+AU70*AU6+M6*M69+N6*N69+O6*O69+P6*P69+Q6*Q69+R6*R69+S6*S69+T6*T69+U6*U69+V6*V69+W6*W69+X6*X69+Y6*Y69+Z6*Z69+AA6*AA69+AB6*AB69+AC6*AC69+AD6*AD69+AE6*AE69+AF6*AF69+AG6*AG69+AH6*AH69+AI6*AI69+AJ6*AJ69+AK6*AK69+AL6*AL69+AM6*AM69+AN6*AN69+AO6*AO69+AP6*AP69+AQ6*AQ69+AR6*AR69+AS6*AS69+AT6*AT69+AU6*AU69</s:f>
        <s:v>0</s:v>
      </s:c>
    </s:row>
    <s:row r="7" ht="18.75">
      <s:c r="A7" s="31" t="s">
        <s:v>56</s:v>
      </s:c>
      <s:c r="B7" s="49"/>
      <s:c r="C7" s="49"/>
      <s:c r="D7" s="49"/>
      <s:c r="E7" s="49"/>
      <s:c r="F7" s="49"/>
      <s:c r="G7" s="49"/>
      <s:c r="H7" s="49"/>
      <s:c r="I7" s="49"/>
      <s:c r="J7" s="49"/>
      <s:c r="K7" s="49"/>
      <s:c r="L7" s="49"/>
      <s:c r="M7" s="22"/>
      <s:c r="N7" s="22"/>
      <s:c r="O7" s="22"/>
      <s:c r="P7" s="22"/>
      <s:c r="Q7" s="22"/>
      <s:c r="R7" s="22"/>
      <s:c r="S7" s="22"/>
      <s:c r="T7" s="22"/>
      <s:c r="U7" s="22"/>
      <s:c r="V7" s="22"/>
      <s:c r="W7" s="22"/>
      <s:c r="X7" s="22"/>
      <s:c r="Y7" s="22"/>
      <s:c r="Z7" s="22"/>
      <s:c r="AA7" s="22"/>
      <s:c r="AB7" s="22"/>
      <s:c r="AC7" s="22"/>
      <s:c r="AD7" s="22"/>
      <s:c r="AE7" s="22"/>
      <s:c r="AF7" s="22"/>
      <s:c r="AG7" s="23"/>
      <s:c r="AH7" s="24"/>
      <s:c r="AI7" s="24"/>
      <s:c r="AJ7" s="24"/>
      <s:c r="AK7" s="24"/>
      <s:c r="AL7" s="50"/>
      <s:c r="AM7" s="51"/>
      <s:c r="AN7" s="51"/>
      <s:c r="AO7" s="51"/>
      <s:c r="AP7" s="51"/>
      <s:c r="AQ7" s="51"/>
      <s:c r="AR7" s="51"/>
      <s:c r="AS7" s="51"/>
      <s:c r="AT7" s="51"/>
      <s:c r="AU7" s="51"/>
      <s:c r="AV7" s="52">
        <s:f>B7*B70+C7*C70+D7*D70+E7*E70+F7*F70+G7*G70+H7*H70+I7*I70+J7*J70+K7*K70+L7*L70+AT7*AT71+AU71*AU7+M7*M70+N7*N70+O7*O70+P7*P70+Q7*Q70+R7*R70+S7*S70+T7*T70+U7*U70+V7*V70+W7*W70+X7*X70+Y7*Y70+Z7*Z70+AA7*AA70+AB7*AB70+AC7*AC70+AD7*AD70+AE7*AE70+AF7*AF70+AG7*AG70+AH7*AH70+AI7*AI70+AJ7*AJ70+AK7*AK70+AL7*AL70+AM7*AM70+AN7*AN70+AO7*AO70+AP7*AP70+AQ7*AQ70+AR7*AR70+AS7*AS70+AT7*AT70+AU7*AU70</s:f>
        <s:v>0</s:v>
      </s:c>
      <s:c r="AW7" t="s">
        <s:v>113</s:v>
      </s:c>
    </s:row>
    <s:row r="8" ht="18.75">
      <s:c r="A8" s="31" t="s">
        <s:v>81</s:v>
      </s:c>
      <s:c r="B8" s="49"/>
      <s:c r="C8" s="49"/>
      <s:c r="D8" s="49"/>
      <s:c r="E8" s="49"/>
      <s:c r="F8" s="49"/>
      <s:c r="G8" s="49"/>
      <s:c r="H8" s="49"/>
      <s:c r="I8" s="49"/>
      <s:c r="J8" s="49"/>
      <s:c r="K8" s="49"/>
      <s:c r="L8" s="49"/>
      <s:c r="M8" s="22"/>
      <s:c r="N8" s="22"/>
      <s:c r="O8" s="22"/>
      <s:c r="P8" s="22"/>
      <s:c r="Q8" s="22"/>
      <s:c r="R8" s="22"/>
      <s:c r="S8" s="22"/>
      <s:c r="T8" s="22"/>
      <s:c r="U8" s="22"/>
      <s:c r="V8" s="22"/>
      <s:c r="W8" s="22"/>
      <s:c r="X8" s="22"/>
      <s:c r="Y8" s="22"/>
      <s:c r="Z8" s="22"/>
      <s:c r="AA8" s="22"/>
      <s:c r="AB8" s="22"/>
      <s:c r="AC8" s="22"/>
      <s:c r="AD8" s="22"/>
      <s:c r="AE8" s="22"/>
      <s:c r="AF8" s="22"/>
      <s:c r="AG8" s="23"/>
      <s:c r="AH8" s="24"/>
      <s:c r="AI8" s="24"/>
      <s:c r="AJ8" s="24"/>
      <s:c r="AK8" s="24"/>
      <s:c r="AL8" s="50"/>
      <s:c r="AM8" s="51"/>
      <s:c r="AN8" s="51"/>
      <s:c r="AO8" s="51"/>
      <s:c r="AP8" s="51"/>
      <s:c r="AQ8" s="51"/>
      <s:c r="AR8" s="51"/>
      <s:c r="AS8" s="51"/>
      <s:c r="AT8" s="51"/>
      <s:c r="AU8" s="51"/>
      <s:c r="AV8" s="52">
        <s:f>B8*B71+C8*C71+D8*D71+E8*E71+F8*F71+G8*G71+H8*H71+I8*I71+J8*J71+K8*K71+L8*L71+AT8*AT72+AU72*AU8+M8*M71+N8*N71+O8*O71+P8*P71+Q8*Q71+R8*R71+S8*S71+T8*T71+U8*U71+V8*V71+W8*W71+X8*X71+Y8*Y71+Z8*Z71+AA8*AA71+AB8*AB71+AC8*AC71+AD8*AD71+AE8*AE71+AF8*AF71+AG8*AG71+AH8*AH71+AI8*AI71+AJ8*AJ71+AK8*AK71+AL8*AL71+AM8*AM71+AN8*AN71+AO8*AO71+AP8*AP71+AQ8*AQ71+AR8*AR71+AS8*AS71+AT8*AT71+AU8*AU71</s:f>
        <s:v>0</s:v>
      </s:c>
    </s:row>
    <s:row r="9" ht="18.75">
      <s:c r="A9" s="31" t="s">
        <s:v>1</s:v>
      </s:c>
      <s:c r="B9" s="27"/>
      <s:c r="C9" s="27"/>
      <s:c r="D9" s="27"/>
      <s:c r="E9" s="27"/>
      <s:c r="F9" s="27"/>
      <s:c r="G9" s="27"/>
      <s:c r="H9" s="27"/>
      <s:c r="I9" s="27"/>
      <s:c r="J9" s="27"/>
      <s:c r="K9" s="27"/>
      <s:c r="L9" s="27"/>
      <s:c r="M9" s="22"/>
      <s:c r="N9" s="22"/>
      <s:c r="O9" s="22"/>
      <s:c r="P9" s="22"/>
      <s:c r="Q9" s="22"/>
      <s:c r="R9" s="22"/>
      <s:c r="S9" s="22"/>
      <s:c r="T9" s="22"/>
      <s:c r="U9" s="22"/>
      <s:c r="V9" s="22"/>
      <s:c r="W9" s="22"/>
      <s:c r="X9" s="22"/>
      <s:c r="Y9" s="22"/>
      <s:c r="Z9" s="22"/>
      <s:c r="AA9" s="22"/>
      <s:c r="AB9" s="22"/>
      <s:c r="AC9" s="22"/>
      <s:c r="AD9" s="22"/>
      <s:c r="AE9" s="22"/>
      <s:c r="AF9" s="22"/>
      <s:c r="AG9" s="23"/>
      <s:c r="AH9" s="24">
        <s:v>17.600000000000001</s:v>
      </s:c>
      <s:c r="AI9" s="24"/>
      <s:c r="AJ9" s="24"/>
      <s:c r="AK9" s="24"/>
      <s:c r="AL9" s="25"/>
      <s:c r="AM9" s="26"/>
      <s:c r="AN9" s="26"/>
      <s:c r="AO9" s="26"/>
      <s:c r="AP9" s="26"/>
      <s:c r="AQ9" s="26"/>
      <s:c r="AR9" s="26"/>
      <s:c r="AS9" s="26"/>
      <s:c r="AT9" s="26"/>
      <s:c r="AU9" s="26"/>
      <s:c r="AV9" s="52">
        <s:f>B9*B72+C9*C72+D9*D72+E9*E72+F9*F72+G9*G72+H9*H72+I9*I72+J9*J72+K9*K72+L9*L72+AT9*AT73+AU73*AU9+M9*M72+N9*N72+O9*O72+P9*P72+Q9*Q72+R9*R72+S9*S72+T9*T72+U9*U72+V9*V72+W9*W72+X9*X72+Y9*Y72+Z9*Z72+AA9*AA72+AB9*AB72+AC9*AC72+AD9*AD72+AE9*AE72+AF9*AF72+AG9*AG72+AH9*AH72+AI9*AI72+AJ9*AJ72+AK9*AK72+AL9*AL72+AM9*AM72+AN9*AN72+AO9*AO72+AP9*AP72+AQ9*AQ72+AR9*AR72+AS9*AS72+AT9*AT72+AU9*AU72</s:f>
        <s:v>6494400.0000000009</s:v>
      </s:c>
      <s:c r="AW9" t="s">
        <s:v>113</s:v>
      </s:c>
    </s:row>
    <s:row r="10" ht="18.75">
      <s:c r="A10" s="31" t="s">
        <s:v>90</s:v>
      </s:c>
      <s:c r="B10" s="49"/>
      <s:c r="C10" s="49"/>
      <s:c r="D10" s="49"/>
      <s:c r="E10" s="49"/>
      <s:c r="F10" s="49"/>
      <s:c r="G10" s="49"/>
      <s:c r="H10" s="49"/>
      <s:c r="I10" s="49"/>
      <s:c r="J10" s="49"/>
      <s:c r="K10" s="49"/>
      <s:c r="L10" s="49"/>
      <s:c r="M10" s="22"/>
      <s:c r="N10" s="22"/>
      <s:c r="O10" s="22"/>
      <s:c r="P10" s="22"/>
      <s:c r="Q10" s="22"/>
      <s:c r="R10" s="22"/>
      <s:c r="S10" s="22"/>
      <s:c r="T10" s="22"/>
      <s:c r="U10" s="22"/>
      <s:c r="V10" s="22"/>
      <s:c r="W10" s="22"/>
      <s:c r="X10" s="22"/>
      <s:c r="Y10" s="22"/>
      <s:c r="Z10" s="22"/>
      <s:c r="AA10" s="22"/>
      <s:c r="AB10" s="22"/>
      <s:c r="AC10" s="22"/>
      <s:c r="AD10" s="22"/>
      <s:c r="AE10" s="22"/>
      <s:c r="AF10" s="22"/>
      <s:c r="AG10" s="23"/>
      <s:c r="AH10" s="24"/>
      <s:c r="AI10" s="24"/>
      <s:c r="AJ10" s="24"/>
      <s:c r="AK10" s="24"/>
      <s:c r="AL10" s="50"/>
      <s:c r="AM10" s="51"/>
      <s:c r="AN10" s="51"/>
      <s:c r="AO10" s="51"/>
      <s:c r="AP10" s="51"/>
      <s:c r="AQ10" s="51"/>
      <s:c r="AR10" s="51"/>
      <s:c r="AS10" s="51"/>
      <s:c r="AT10" s="51"/>
      <s:c r="AU10" s="51"/>
      <s:c r="AV10" s="52">
        <s:f>B10*B73+C10*C73+D10*D73+E10*E73+F10*F73+G10*G73+H10*H73+I10*I73+J10*J73+K10*K73+L10*L73+AT10*AT74+AU74*AU10+M10*M73+N10*N73+O10*O73+P10*P73+Q10*Q73+R10*R73+S10*S73+T10*T73+U10*U73+V10*V73+W10*W73+X10*X73+Y10*Y73+Z10*Z73+AA10*AA73+AB10*AB73+AC10*AC73+AD10*AD73+AE10*AE73+AF10*AF73+AG10*AG73+AH10*AH73+AI10*AI73+AJ10*AJ73+AK10*AK73+AL10*AL73+AM10*AM73+AN10*AN73+AO10*AO73+AP10*AP73+AQ10*AQ73+AR10*AR73+AS10*AS73+AT10*AT73+AU10*AU73</s:f>
        <s:v>0</s:v>
      </s:c>
    </s:row>
    <s:row r="11" ht="18.75">
      <s:c r="A11" s="31" t="s">
        <s:v>74</s:v>
      </s:c>
      <s:c r="B11" s="49"/>
      <s:c r="C11" s="49"/>
      <s:c r="D11" s="49"/>
      <s:c r="E11" s="49"/>
      <s:c r="F11" s="49"/>
      <s:c r="G11" s="49"/>
      <s:c r="H11" s="49"/>
      <s:c r="I11" s="49"/>
      <s:c r="J11" s="49"/>
      <s:c r="K11" s="49"/>
      <s:c r="L11" s="49"/>
      <s:c r="M11" s="22"/>
      <s:c r="N11" s="22"/>
      <s:c r="O11" s="22"/>
      <s:c r="P11" s="22"/>
      <s:c r="Q11" s="22"/>
      <s:c r="R11" s="22"/>
      <s:c r="S11" s="22"/>
      <s:c r="T11" s="22"/>
      <s:c r="U11" s="22"/>
      <s:c r="V11" s="22"/>
      <s:c r="W11" s="22"/>
      <s:c r="X11" s="22"/>
      <s:c r="Y11" s="22"/>
      <s:c r="Z11" s="22"/>
      <s:c r="AA11" s="22"/>
      <s:c r="AB11" s="22"/>
      <s:c r="AC11" s="22"/>
      <s:c r="AD11" s="22"/>
      <s:c r="AE11" s="22"/>
      <s:c r="AF11" s="22"/>
      <s:c r="AG11" s="23"/>
      <s:c r="AH11" s="24"/>
      <s:c r="AI11" s="24"/>
      <s:c r="AJ11" s="24"/>
      <s:c r="AK11" s="24"/>
      <s:c r="AL11" s="50"/>
      <s:c r="AM11" s="51"/>
      <s:c r="AN11" s="51"/>
      <s:c r="AO11" s="51"/>
      <s:c r="AP11" s="51"/>
      <s:c r="AQ11" s="51"/>
      <s:c r="AR11" s="51"/>
      <s:c r="AS11" s="51"/>
      <s:c r="AT11" s="51"/>
      <s:c r="AU11" s="51"/>
      <s:c r="AV11" s="52">
        <s:f>B11*B74+C11*C74+D11*D74+E11*E74+F11*F74+G11*G74+H11*H74+I11*I74+J11*J74+K11*K74+L11*L74+AT11*AT75+AU75*AU11+M11*M74+N11*N74+O11*O74+P11*P74+Q11*Q74+R11*R74+S11*S74+T11*T74+U11*U74+V11*V74+W11*W74+X11*X74+Y11*Y74+Z11*Z74+AA11*AA74+AB11*AB74+AC11*AC74+AD11*AD74+AE11*AE74+AF11*AF74+AG11*AG74+AH11*AH74+AI11*AI74+AJ11*AJ74+AK11*AK74+AL11*AL74+AM11*AM74+AN11*AN74+AO11*AO74+AP11*AP74+AQ11*AQ74+AR11*AR74+AS11*AS74+AT11*AT74+AU11*AU74</s:f>
        <s:v>0</s:v>
      </s:c>
    </s:row>
    <s:row r="12" ht="18.75">
      <s:c r="A12" s="31" t="s">
        <s:v>4</s:v>
      </s:c>
      <s:c r="B12" s="27"/>
      <s:c r="C12" s="27"/>
      <s:c r="D12" s="27"/>
      <s:c r="E12" s="27"/>
      <s:c r="F12" s="27"/>
      <s:c r="G12" s="27"/>
      <s:c r="H12" s="27"/>
      <s:c r="I12" s="27"/>
      <s:c r="J12" s="27"/>
      <s:c r="K12" s="27"/>
      <s:c r="L12" s="27"/>
      <s:c r="M12" s="22"/>
      <s:c r="N12" s="22"/>
      <s:c r="O12" s="22"/>
      <s:c r="P12" s="22"/>
      <s:c r="Q12" s="22"/>
      <s:c r="R12" s="22"/>
      <s:c r="S12" s="22"/>
      <s:c r="T12" s="22"/>
      <s:c r="U12" s="22"/>
      <s:c r="V12" s="22"/>
      <s:c r="W12" s="22"/>
      <s:c r="X12" s="22"/>
      <s:c r="Y12" s="22"/>
      <s:c r="Z12" s="22"/>
      <s:c r="AA12" s="22"/>
      <s:c r="AB12" s="22"/>
      <s:c r="AC12" s="22"/>
      <s:c r="AD12" s="22"/>
      <s:c r="AE12" s="22"/>
      <s:c r="AF12" s="22"/>
      <s:c r="AG12" s="23"/>
      <s:c r="AH12" s="24"/>
      <s:c r="AI12" s="24"/>
      <s:c r="AJ12" s="24"/>
      <s:c r="AK12" s="24"/>
      <s:c r="AL12" s="25"/>
      <s:c r="AM12" s="26"/>
      <s:c r="AN12" s="26"/>
      <s:c r="AO12" s="26"/>
      <s:c r="AP12" s="26"/>
      <s:c r="AQ12" s="26"/>
      <s:c r="AR12" s="26"/>
      <s:c r="AS12" s="26"/>
      <s:c r="AT12" s="26"/>
      <s:c r="AU12" s="26"/>
      <s:c r="AV12" s="52">
        <s:f>B12*B75+C12*C75+D12*D75+E12*E75+F12*F75+G12*G75+H12*H75+I12*I75+J12*J75+K12*K75+L12*L75+AT12*AT76+AU76*AU12+M12*M75+N12*N75+O12*O75+P12*P75+Q12*Q75+R12*R75+S12*S75+T12*T75+U12*U75+V12*V75+W12*W75+X12*X75+Y12*Y75+Z12*Z75+AA12*AA75+AB12*AB75+AC12*AC75+AD12*AD75+AE12*AE75+AF12*AF75+AG12*AG75+AH12*AH75+AI12*AI75+AJ12*AJ75+AK12*AK75+AL12*AL75+AM12*AM75+AN12*AN75+AO12*AO75+AP12*AP75+AQ12*AQ75+AR12*AR75+AS12*AS75+AT12*AT75+AU12*AU75</s:f>
        <s:v>0</s:v>
      </s:c>
    </s:row>
    <s:row r="13" ht="18.75">
      <s:c r="A13" s="31" t="s">
        <s:v>3</s:v>
      </s:c>
      <s:c r="B13" s="27"/>
      <s:c r="C13" s="27"/>
      <s:c r="D13" s="27"/>
      <s:c r="E13" s="27"/>
      <s:c r="F13" s="27"/>
      <s:c r="G13" s="27"/>
      <s:c r="H13" s="27"/>
      <s:c r="I13" s="27"/>
      <s:c r="J13" s="27"/>
      <s:c r="K13" s="27"/>
      <s:c r="L13" s="27"/>
      <s:c r="M13" s="22"/>
      <s:c r="N13" s="22"/>
      <s:c r="O13" s="22"/>
      <s:c r="P13" s="22"/>
      <s:c r="Q13" s="22"/>
      <s:c r="R13" s="22"/>
      <s:c r="S13" s="22"/>
      <s:c r="T13" s="22"/>
      <s:c r="U13" s="22"/>
      <s:c r="V13" s="22"/>
      <s:c r="W13" s="22"/>
      <s:c r="X13" s="22"/>
      <s:c r="Y13" s="22"/>
      <s:c r="Z13" s="22"/>
      <s:c r="AA13" s="22"/>
      <s:c r="AB13" s="22"/>
      <s:c r="AC13" s="22"/>
      <s:c r="AD13" s="22"/>
      <s:c r="AE13" s="22"/>
      <s:c r="AF13" s="22"/>
      <s:c r="AG13" s="23"/>
      <s:c r="AH13" s="24"/>
      <s:c r="AI13" s="24"/>
      <s:c r="AJ13" s="24"/>
      <s:c r="AK13" s="24"/>
      <s:c r="AL13" s="25"/>
      <s:c r="AM13" s="26"/>
      <s:c r="AN13" s="26"/>
      <s:c r="AO13" s="26"/>
      <s:c r="AP13" s="26"/>
      <s:c r="AQ13" s="26"/>
      <s:c r="AR13" s="26"/>
      <s:c r="AS13" s="26"/>
      <s:c r="AT13" s="26"/>
      <s:c r="AU13" s="26"/>
      <s:c r="AV13" s="52">
        <s:f>B13*B76+C13*C76+D13*D76+E13*E76+F13*F76+G13*G76+H13*H76+I13*I76+J13*J76+K13*K76+L13*L76+AT13*AT77+AU77*AU13+M13*M76+N13*N76+O13*O76+P13*P76+Q13*Q76+R13*R76+S13*S76+T13*T76+U13*U76+V13*V76+W13*W76+X13*X76+Y13*Y76+Z13*Z76+AA13*AA76+AB13*AB76+AC13*AC76+AD13*AD76+AE13*AE76+AF13*AF76+AG13*AG76+AH13*AH76+AI13*AI76+AJ13*AJ76+AK13*AK76+AL13*AL76+AM13*AM76+AN13*AN76+AO13*AO76+AP13*AP76+AQ13*AQ76+AR13*AR76+AS13*AS76+AT13*AT76+AU13*AU76</s:f>
        <s:v>0</s:v>
      </s:c>
    </s:row>
    <s:row r="14" ht="18.75">
      <s:c r="A14" s="31" t="s">
        <s:v>44</s:v>
      </s:c>
      <s:c r="B14" s="49"/>
      <s:c r="C14" s="49"/>
      <s:c r="D14" s="49"/>
      <s:c r="E14" s="49"/>
      <s:c r="F14" s="49"/>
      <s:c r="G14" s="49"/>
      <s:c r="H14" s="49"/>
      <s:c r="I14" s="49"/>
      <s:c r="J14" s="49"/>
      <s:c r="K14" s="49"/>
      <s:c r="L14" s="49"/>
      <s:c r="M14" s="22"/>
      <s:c r="N14" s="22"/>
      <s:c r="O14" s="22"/>
      <s:c r="P14" s="22"/>
      <s:c r="Q14" s="22"/>
      <s:c r="R14" s="22"/>
      <s:c r="S14" s="22"/>
      <s:c r="T14" s="22"/>
      <s:c r="U14" s="22"/>
      <s:c r="V14" s="22"/>
      <s:c r="W14" s="22"/>
      <s:c r="X14" s="22"/>
      <s:c r="Y14" s="22"/>
      <s:c r="Z14" s="22"/>
      <s:c r="AA14" s="22"/>
      <s:c r="AB14" s="22"/>
      <s:c r="AC14" s="22"/>
      <s:c r="AD14" s="22"/>
      <s:c r="AE14" s="22"/>
      <s:c r="AF14" s="22"/>
      <s:c r="AG14" s="23"/>
      <s:c r="AH14" s="24"/>
      <s:c r="AI14" s="24"/>
      <s:c r="AJ14" s="24"/>
      <s:c r="AK14" s="24"/>
      <s:c r="AL14" s="50"/>
      <s:c r="AM14" s="51"/>
      <s:c r="AN14" s="51"/>
      <s:c r="AO14" s="51"/>
      <s:c r="AP14" s="51"/>
      <s:c r="AQ14" s="51"/>
      <s:c r="AR14" s="51"/>
      <s:c r="AS14" s="51"/>
      <s:c r="AT14" s="51"/>
      <s:c r="AU14" s="51"/>
      <s:c r="AV14" s="52">
        <s:f>B14*B77+C14*C77+D14*D77+E14*E77+F14*F77+G14*G77+H14*H77+I14*I77+J14*J77+K14*K77+L14*L77+AT14*AT78+AU78*AU14+M14*M77+N14*N77+O14*O77+P14*P77+Q14*Q77+R14*R77+S14*S77+T14*T77+U14*U77+V14*V77+W14*W77+X14*X77+Y14*Y77+Z14*Z77+AA14*AA77+AB14*AB77+AC14*AC77+AD14*AD77+AE14*AE77+AF14*AF77+AG14*AG77+AH14*AH77+AI14*AI77+AJ14*AJ77+AK14*AK77+AL14*AL77+AM14*AM77+AN14*AN77+AO14*AO77+AP14*AP77+AQ14*AQ77+AR14*AR77+AS14*AS77+AT14*AT77+AU14*AU77</s:f>
        <s:v>0</s:v>
      </s:c>
    </s:row>
    <s:row r="15" ht="18.75">
      <s:c r="A15" s="31" t="s">
        <s:v>46</s:v>
      </s:c>
      <s:c r="B15" s="49"/>
      <s:c r="C15" s="49"/>
      <s:c r="D15" s="49"/>
      <s:c r="E15" s="49"/>
      <s:c r="F15" s="49"/>
      <s:c r="G15" s="49"/>
      <s:c r="H15" s="49"/>
      <s:c r="I15" s="49"/>
      <s:c r="J15" s="49"/>
      <s:c r="K15" s="49"/>
      <s:c r="L15" s="49"/>
      <s:c r="M15" s="22"/>
      <s:c r="N15" s="22"/>
      <s:c r="O15" s="22"/>
      <s:c r="P15" s="22"/>
      <s:c r="Q15" s="22"/>
      <s:c r="R15" s="22"/>
      <s:c r="S15" s="22"/>
      <s:c r="T15" s="22"/>
      <s:c r="U15" s="22"/>
      <s:c r="V15" s="22"/>
      <s:c r="W15" s="22"/>
      <s:c r="X15" s="22"/>
      <s:c r="Y15" s="22"/>
      <s:c r="Z15" s="22"/>
      <s:c r="AA15" s="22"/>
      <s:c r="AB15" s="22"/>
      <s:c r="AC15" s="22"/>
      <s:c r="AD15" s="22"/>
      <s:c r="AE15" s="22"/>
      <s:c r="AF15" s="22"/>
      <s:c r="AG15" s="23"/>
      <s:c r="AH15" s="24"/>
      <s:c r="AI15" s="24"/>
      <s:c r="AJ15" s="24"/>
      <s:c r="AK15" s="24"/>
      <s:c r="AL15" s="50"/>
      <s:c r="AM15" s="51"/>
      <s:c r="AN15" s="51"/>
      <s:c r="AO15" s="51"/>
      <s:c r="AP15" s="51"/>
      <s:c r="AQ15" s="51"/>
      <s:c r="AR15" s="51"/>
      <s:c r="AS15" s="51"/>
      <s:c r="AT15" s="51"/>
      <s:c r="AU15" s="51"/>
      <s:c r="AV15" s="52">
        <s:f>B15*B78+C15*C78+D15*D78+E15*E78+F15*F78+G15*G78+H15*H78+I15*I78+J15*J78+K15*K78+L15*L78+AT15*AT79+AU79*AU15+M15*M78+N15*N78+O15*O78+P15*P78+Q15*Q78+R15*R78+S15*S78+T15*T78+U15*U78+V15*V78+W15*W78+X15*X78+Y15*Y78+Z15*Z78+AA15*AA78+AB15*AB78+AC15*AC78+AD15*AD78+AE15*AE78+AF15*AF78+AG15*AG78+AH15*AH78+AI15*AI78+AJ15*AJ78+AK15*AK78+AL15*AL78+AM15*AM78+AN15*AN78+AO15*AO78+AP15*AP78+AQ15*AQ78+AR15*AR78+AS15*AS78+AT15*AT78+AU15*AU78</s:f>
        <s:v>0</s:v>
      </s:c>
    </s:row>
    <s:row r="16" ht="18.75">
      <s:c r="A16" s="31" t="s">
        <s:v>79</s:v>
      </s:c>
      <s:c r="B16" s="49"/>
      <s:c r="C16" s="49"/>
      <s:c r="D16" s="49"/>
      <s:c r="E16" s="49"/>
      <s:c r="F16" s="49"/>
      <s:c r="G16" s="49"/>
      <s:c r="H16" s="49"/>
      <s:c r="I16" s="49"/>
      <s:c r="J16" s="49"/>
      <s:c r="K16" s="49"/>
      <s:c r="L16" s="49"/>
      <s:c r="M16" s="22"/>
      <s:c r="N16" s="22"/>
      <s:c r="O16" s="22"/>
      <s:c r="P16" s="22"/>
      <s:c r="Q16" s="22"/>
      <s:c r="R16" s="22"/>
      <s:c r="S16" s="22"/>
      <s:c r="T16" s="22"/>
      <s:c r="U16" s="22"/>
      <s:c r="V16" s="22"/>
      <s:c r="W16" s="22"/>
      <s:c r="X16" s="22"/>
      <s:c r="Y16" s="22"/>
      <s:c r="Z16" s="22"/>
      <s:c r="AA16" s="22"/>
      <s:c r="AB16" s="22"/>
      <s:c r="AC16" s="22"/>
      <s:c r="AD16" s="22"/>
      <s:c r="AE16" s="22"/>
      <s:c r="AF16" s="22"/>
      <s:c r="AG16" s="23"/>
      <s:c r="AH16" s="24"/>
      <s:c r="AI16" s="24"/>
      <s:c r="AJ16" s="24"/>
      <s:c r="AK16" s="24"/>
      <s:c r="AL16" s="50"/>
      <s:c r="AM16" s="51"/>
      <s:c r="AN16" s="51"/>
      <s:c r="AO16" s="51"/>
      <s:c r="AP16" s="51"/>
      <s:c r="AQ16" s="51"/>
      <s:c r="AR16" s="51"/>
      <s:c r="AS16" s="51"/>
      <s:c r="AT16" s="51"/>
      <s:c r="AU16" s="51"/>
      <s:c r="AV16" s="52">
        <s:f>B16*B79+C16*C79+D16*D79+E16*E79+F16*F79+G16*G79+H16*H79+I16*I79+J16*J79+K16*K79+L16*L79+AT16*AT80+AU80*AU16+M16*M79+N16*N79+O16*O79+P16*P79+Q16*Q79+R16*R79+S16*S79+T16*T79+U16*U79+V16*V79+W16*W79+X16*X79+Y16*Y79+Z16*Z79+AA16*AA79+AB16*AB79+AC16*AC79+AD16*AD79+AE16*AE79+AF16*AF79+AG16*AG79+AH16*AH79+AI16*AI79+AJ16*AJ79+AK16*AK79+AL16*AL79+AM16*AM79+AN16*AN79+AO16*AO79+AP16*AP79+AQ16*AQ79+AR16*AR79+AS16*AS79+AT16*AT79+AU16*AU79</s:f>
        <s:v>0</s:v>
      </s:c>
    </s:row>
    <s:row r="17" ht="18.75">
      <s:c r="A17" s="31" t="s">
        <s:v>72</s:v>
      </s:c>
      <s:c r="B17" s="27"/>
      <s:c r="C17" s="27">
        <s:v>20</s:v>
      </s:c>
      <s:c r="D17" s="27"/>
      <s:c r="E17" s="27"/>
      <s:c r="F17" s="27"/>
      <s:c r="G17" s="27"/>
      <s:c r="H17" s="27"/>
      <s:c r="I17" s="27"/>
      <s:c r="J17" s="27"/>
      <s:c r="K17" s="27"/>
      <s:c r="L17" s="27"/>
      <s:c r="M17" s="22"/>
      <s:c r="N17" s="22"/>
      <s:c r="O17" s="22"/>
      <s:c r="P17" s="22"/>
      <s:c r="Q17" s="22"/>
      <s:c r="R17" s="22"/>
      <s:c r="S17" s="22"/>
      <s:c r="T17" s="22">
        <s:v>14.4</s:v>
      </s:c>
      <s:c r="U17" s="22"/>
      <s:c r="V17" s="22"/>
      <s:c r="W17" s="22">
        <s:v>0.72</s:v>
      </s:c>
      <s:c r="X17" s="22"/>
      <s:c r="Y17" s="22"/>
      <s:c r="Z17" s="22"/>
      <s:c r="AA17" s="22">
        <s:v>1.6</s:v>
      </s:c>
      <s:c r="AB17" s="22"/>
      <s:c r="AC17" s="22"/>
      <s:c r="AD17" s="22"/>
      <s:c r="AE17" s="22"/>
      <s:c r="AF17" s="22"/>
      <s:c r="AG17" s="23"/>
      <s:c r="AH17" s="24"/>
      <s:c r="AI17" s="24"/>
      <s:c r="AJ17" s="24"/>
      <s:c r="AK17" s="24"/>
      <s:c r="AL17" s="25"/>
      <s:c r="AM17" s="26"/>
      <s:c r="AN17" s="26"/>
      <s:c r="AO17" s="26"/>
      <s:c r="AP17" s="26"/>
      <s:c r="AQ17" s="26"/>
      <s:c r="AR17" s="26"/>
      <s:c r="AS17" s="26"/>
      <s:c r="AT17" s="26"/>
      <s:c r="AU17" s="26"/>
      <s:c r="AV17" s="52">
        <s:f>B17*B80+C17*C80+D17*D80+E17*E80+F17*F80+G17*G80+H17*H80+I17*I80+J17*J80+K17*K80+L17*L80+AT17*AT81+AU81*AU17+M17*M80+N17*N80+O17*O80+P17*P80+Q17*Q80+R17*R80+S17*S80+T17*T80+U17*U80+V17*V80+W17*W80+X17*X80+Y17*Y80+Z17*Z80+AA17*AA80+AB17*AB80+AC17*AC80+AD17*AD80+AE17*AE80+AF17*AF80+AG17*AG80+AH17*AH80+AI17*AI80+AJ17*AJ80+AK17*AK80+AL17*AL80+AM17*AM80+AN17*AN80+AO17*AO80+AP17*AP80+AQ17*AQ80+AR17*AR80+AS17*AS80+AT17*AT80+AU17*AU80</s:f>
        <s:v>3052400</s:v>
      </s:c>
      <s:c r="AW17" t="s">
        <s:v>113</s:v>
      </s:c>
    </s:row>
    <s:row r="18" ht="18.75">
      <s:c r="A18" s="31" t="s">
        <s:v>98</s:v>
      </s:c>
      <s:c r="B18" s="49"/>
      <s:c r="C18" s="49"/>
      <s:c r="D18" s="49"/>
      <s:c r="E18" s="49"/>
      <s:c r="F18" s="49"/>
      <s:c r="G18" s="49"/>
      <s:c r="H18" s="49"/>
      <s:c r="I18" s="49"/>
      <s:c r="J18" s="49"/>
      <s:c r="K18" s="49"/>
      <s:c r="L18" s="49"/>
      <s:c r="M18" s="22"/>
      <s:c r="N18" s="22"/>
      <s:c r="O18" s="22"/>
      <s:c r="P18" s="22"/>
      <s:c r="Q18" s="22"/>
      <s:c r="R18" s="22"/>
      <s:c r="S18" s="22"/>
      <s:c r="T18" s="22"/>
      <s:c r="U18" s="22"/>
      <s:c r="V18" s="22"/>
      <s:c r="W18" s="22"/>
      <s:c r="X18" s="22"/>
      <s:c r="Y18" s="22"/>
      <s:c r="Z18" s="22"/>
      <s:c r="AA18" s="22"/>
      <s:c r="AB18" s="22"/>
      <s:c r="AC18" s="22"/>
      <s:c r="AD18" s="22"/>
      <s:c r="AE18" s="22"/>
      <s:c r="AF18" s="22"/>
      <s:c r="AG18" s="23"/>
      <s:c r="AH18" s="24"/>
      <s:c r="AI18" s="24"/>
      <s:c r="AJ18" s="24"/>
      <s:c r="AK18" s="24"/>
      <s:c r="AL18" s="50"/>
      <s:c r="AM18" s="51"/>
      <s:c r="AN18" s="51"/>
      <s:c r="AO18" s="51"/>
      <s:c r="AP18" s="51"/>
      <s:c r="AQ18" s="51"/>
      <s:c r="AR18" s="51"/>
      <s:c r="AS18" s="51"/>
      <s:c r="AT18" s="51"/>
      <s:c r="AU18" s="51"/>
      <s:c r="AV18" s="52">
        <s:f>B18*B81+C18*C81+D18*D81+E18*E81+F18*F81+G18*G81+H18*H81+I18*I81+J18*J81+K18*K81+L18*L81+AT18*AT82+AU82*AU18+M18*M81+N18*N81+O18*O81+P18*P81+Q18*Q81+R18*R81+S18*S81+T18*T81+U18*U81+V18*V81+W18*W81+X18*X81+Y18*Y81+Z18*Z81+AA18*AA81+AB18*AB81+AC18*AC81+AD18*AD81+AE18*AE81+AF18*AF81+AG18*AG81+AH18*AH81+AI18*AI81+AJ18*AJ81+AK18*AK81+AL18*AL81+AM18*AM81+AN18*AN81+AO18*AO81+AP18*AP81+AQ18*AQ81+AR18*AR81+AS18*AS81+AT18*AT81+AU18*AU81</s:f>
        <s:v>0</s:v>
      </s:c>
    </s:row>
    <s:row r="19" ht="18.75">
      <s:c r="A19" s="31" t="s">
        <s:v>118</s:v>
      </s:c>
      <s:c r="B19" s="49"/>
      <s:c r="C19" s="49"/>
      <s:c r="D19" s="49"/>
      <s:c r="E19" s="49"/>
      <s:c r="F19" s="49"/>
      <s:c r="G19" s="49"/>
      <s:c r="H19" s="49"/>
      <s:c r="I19" s="49"/>
      <s:c r="J19" s="49"/>
      <s:c r="K19" s="49"/>
      <s:c r="L19" s="49"/>
      <s:c r="M19" s="22"/>
      <s:c r="N19" s="22"/>
      <s:c r="O19" s="22"/>
      <s:c r="P19" s="22"/>
      <s:c r="Q19" s="22"/>
      <s:c r="R19" s="22"/>
      <s:c r="S19" s="22"/>
      <s:c r="T19" s="22"/>
      <s:c r="U19" s="22"/>
      <s:c r="V19" s="22"/>
      <s:c r="W19" s="22"/>
      <s:c r="X19" s="22"/>
      <s:c r="Y19" s="22"/>
      <s:c r="Z19" s="22"/>
      <s:c r="AA19" s="22"/>
      <s:c r="AB19" s="22"/>
      <s:c r="AC19" s="22"/>
      <s:c r="AD19" s="22"/>
      <s:c r="AE19" s="22"/>
      <s:c r="AF19" s="22"/>
      <s:c r="AG19" s="23"/>
      <s:c r="AH19" s="24"/>
      <s:c r="AI19" s="24"/>
      <s:c r="AJ19" s="24"/>
      <s:c r="AK19" s="24"/>
      <s:c r="AL19" s="50"/>
      <s:c r="AM19" s="51"/>
      <s:c r="AN19" s="51"/>
      <s:c r="AO19" s="51"/>
      <s:c r="AP19" s="51"/>
      <s:c r="AQ19" s="51"/>
      <s:c r="AR19" s="51"/>
      <s:c r="AS19" s="51"/>
      <s:c r="AT19" s="51"/>
      <s:c r="AU19" s="51"/>
      <s:c r="AV19" s="52">
        <s:f>B19*B82+C19*C82+D19*D82+E19*E82+F19*F82+G19*G82+H19*H82+I19*I82+J19*J82+K19*K82+L19*L82+AT19*AT83+AU83*AU19+M19*M82+N19*N82+O19*O82+P19*P82+Q19*Q82+R19*R82+S19*S82+T19*T82+U19*U82+V19*V82+W19*W82+X19*X82+Y19*Y82+Z19*Z82+AA19*AA82+AB19*AB82+AC19*AC82+AD19*AD82+AE19*AE82+AF19*AF82+AG19*AG82+AH19*AH82+AI19*AI82+AJ19*AJ82+AK19*AK82+AL19*AL82+AM19*AM82+AN19*AN82+AO19*AO82+AP19*AP82+AQ19*AQ82+AR19*AR82+AS19*AS82+AT19*AT82+AU19*AU82</s:f>
        <s:v>0</s:v>
      </s:c>
    </s:row>
    <s:row r="20" ht="18.75">
      <s:c r="A20" s="31" t="s">
        <s:v>73</s:v>
      </s:c>
      <s:c r="B20" s="49"/>
      <s:c r="C20" s="49"/>
      <s:c r="D20" s="49"/>
      <s:c r="E20" s="49"/>
      <s:c r="F20" s="49"/>
      <s:c r="G20" s="49"/>
      <s:c r="H20" s="49"/>
      <s:c r="I20" s="49"/>
      <s:c r="J20" s="49"/>
      <s:c r="K20" s="49"/>
      <s:c r="L20" s="49"/>
      <s:c r="M20" s="22"/>
      <s:c r="N20" s="22"/>
      <s:c r="O20" s="22"/>
      <s:c r="P20" s="22"/>
      <s:c r="Q20" s="22"/>
      <s:c r="R20" s="22"/>
      <s:c r="S20" s="22"/>
      <s:c r="T20" s="22"/>
      <s:c r="U20" s="22"/>
      <s:c r="V20" s="22"/>
      <s:c r="W20" s="22"/>
      <s:c r="X20" s="22"/>
      <s:c r="Y20" s="22"/>
      <s:c r="Z20" s="22"/>
      <s:c r="AA20" s="22"/>
      <s:c r="AB20" s="22"/>
      <s:c r="AC20" s="22"/>
      <s:c r="AD20" s="22"/>
      <s:c r="AE20" s="22"/>
      <s:c r="AF20" s="22"/>
      <s:c r="AG20" s="23"/>
      <s:c r="AH20" s="24"/>
      <s:c r="AI20" s="24"/>
      <s:c r="AJ20" s="24"/>
      <s:c r="AK20" s="24"/>
      <s:c r="AL20" s="50"/>
      <s:c r="AM20" s="51"/>
      <s:c r="AN20" s="51"/>
      <s:c r="AO20" s="51"/>
      <s:c r="AP20" s="51"/>
      <s:c r="AQ20" s="51"/>
      <s:c r="AR20" s="51"/>
      <s:c r="AS20" s="51"/>
      <s:c r="AT20" s="51"/>
      <s:c r="AU20" s="51"/>
      <s:c r="AV20" s="52">
        <s:f>B20*B83+C20*C83+D20*D83+E20*E83+F20*F83+G20*G83+H20*H83+I20*I83+J20*J83+K20*K83+L20*L83+AT20*AT84+AU84*AU20+M20*M83+N20*N83+O20*O83+P20*P83+Q20*Q83+R20*R83+S20*S83+T20*T83+U20*U83+V20*V83+W20*W83+X20*X83+Y20*Y83+Z20*Z83+AA20*AA83+AB20*AB83+AC20*AC83+AD20*AD83+AE20*AE83+AF20*AF83+AG20*AG83+AH20*AH83+AI20*AI83+AJ20*AJ83+AK20*AK83+AL20*AL83+AM20*AM83+AN20*AN83+AO20*AO83+AP20*AP83+AQ20*AQ83+AR20*AR83+AS20*AS83+AT20*AT83+AU20*AU83</s:f>
        <s:v>0</s:v>
      </s:c>
    </s:row>
    <s:row r="21" ht="18.75">
      <s:c r="A21" s="31" t="s">
        <s:v>65</s:v>
      </s:c>
      <s:c r="B21" s="49"/>
      <s:c r="C21" s="49"/>
      <s:c r="D21" s="49"/>
      <s:c r="E21" s="49"/>
      <s:c r="F21" s="49"/>
      <s:c r="G21" s="49"/>
      <s:c r="H21" s="49"/>
      <s:c r="I21" s="49"/>
      <s:c r="J21" s="49"/>
      <s:c r="K21" s="49"/>
      <s:c r="L21" s="49"/>
      <s:c r="M21" s="22"/>
      <s:c r="N21" s="22"/>
      <s:c r="O21" s="22"/>
      <s:c r="P21" s="22"/>
      <s:c r="Q21" s="22"/>
      <s:c r="R21" s="22"/>
      <s:c r="S21" s="22"/>
      <s:c r="T21" s="22"/>
      <s:c r="U21" s="22"/>
      <s:c r="V21" s="22"/>
      <s:c r="W21" s="22"/>
      <s:c r="X21" s="22"/>
      <s:c r="Y21" s="22"/>
      <s:c r="Z21" s="22"/>
      <s:c r="AA21" s="22"/>
      <s:c r="AB21" s="22"/>
      <s:c r="AC21" s="22"/>
      <s:c r="AD21" s="22"/>
      <s:c r="AE21" s="22"/>
      <s:c r="AF21" s="22"/>
      <s:c r="AG21" s="23"/>
      <s:c r="AH21" s="24"/>
      <s:c r="AI21" s="24"/>
      <s:c r="AJ21" s="24"/>
      <s:c r="AK21" s="24"/>
      <s:c r="AL21" s="50"/>
      <s:c r="AM21" s="51"/>
      <s:c r="AN21" s="51"/>
      <s:c r="AO21" s="51"/>
      <s:c r="AP21" s="51"/>
      <s:c r="AQ21" s="51"/>
      <s:c r="AR21" s="51"/>
      <s:c r="AS21" s="51"/>
      <s:c r="AT21" s="51"/>
      <s:c r="AU21" s="51"/>
      <s:c r="AV21" s="52">
        <s:f>B21*B84+C21*C84+D21*D84+E21*E84+F21*F84+G21*G84+H21*H84+I21*I84+J21*J84+K21*K84+L21*L84+AT21*AT85+AU85*AU21+M21*M84+N21*N84+O21*O84+P21*P84+Q21*Q84+R21*R84+S21*S84+T21*T84+U21*U84+V21*V84+W21*W84+X21*X84+Y21*Y84+Z21*Z84+AA21*AA84+AB21*AB84+AC21*AC84+AD21*AD84+AE21*AE84+AF21*AF84+AG21*AG84+AH21*AH84+AI21*AI84+AJ21*AJ84+AK21*AK84+AL21*AL84+AM21*AM84+AN21*AN84+AO21*AO84+AP21*AP84+AQ21*AQ84+AR21*AR84+AS21*AS84+AT21*AT84+AU21*AU84</s:f>
        <s:v>0</s:v>
      </s:c>
    </s:row>
    <s:row r="22" ht="18.75">
      <s:c r="A22" s="31" t="s">
        <s:v>52</s:v>
      </s:c>
      <s:c r="B22" s="27"/>
      <s:c r="C22" s="27"/>
      <s:c r="D22" s="27"/>
      <s:c r="E22" s="27"/>
      <s:c r="F22" s="27"/>
      <s:c r="G22" s="27"/>
      <s:c r="H22" s="27"/>
      <s:c r="I22" s="27"/>
      <s:c r="J22" s="27"/>
      <s:c r="K22" s="27"/>
      <s:c r="L22" s="27"/>
      <s:c r="M22" s="22"/>
      <s:c r="N22" s="22"/>
      <s:c r="O22" s="22"/>
      <s:c r="P22" s="22"/>
      <s:c r="Q22" s="22"/>
      <s:c r="R22" s="22"/>
      <s:c r="S22" s="22"/>
      <s:c r="T22" s="22"/>
      <s:c r="U22" s="22"/>
      <s:c r="V22" s="22"/>
      <s:c r="W22" s="22"/>
      <s:c r="X22" s="22"/>
      <s:c r="Y22" s="22"/>
      <s:c r="Z22" s="22"/>
      <s:c r="AA22" s="22"/>
      <s:c r="AB22" s="22"/>
      <s:c r="AC22" s="22"/>
      <s:c r="AD22" s="22"/>
      <s:c r="AE22" s="22"/>
      <s:c r="AF22" s="22"/>
      <s:c r="AG22" s="23"/>
      <s:c r="AH22" s="24"/>
      <s:c r="AI22" s="24"/>
      <s:c r="AJ22" s="24"/>
      <s:c r="AK22" s="24"/>
      <s:c r="AL22" s="25"/>
      <s:c r="AM22" s="26"/>
      <s:c r="AN22" s="26"/>
      <s:c r="AO22" s="26"/>
      <s:c r="AP22" s="26"/>
      <s:c r="AQ22" s="26"/>
      <s:c r="AR22" s="26"/>
      <s:c r="AS22" s="26"/>
      <s:c r="AT22" s="26"/>
      <s:c r="AU22" s="26"/>
      <s:c r="AV22" s="52">
        <s:f>B22*B85+C22*C85+D22*D85+E22*E85+F22*F85+G22*G85+H22*H85+I22*I85+J22*J85+K22*K85+L22*L85+AT22*AT86+AU86*AU22+M22*M85+N22*N85+O22*O85+P22*P85+Q22*Q85+R22*R85+S22*S85+T22*T85+U22*U85+V22*V85+W22*W85+X22*X85+Y22*Y85+Z22*Z85+AA22*AA85+AB22*AB85+AC22*AC85+AD22*AD85+AE22*AE85+AF22*AF85+AG22*AG85+AH22*AH85+AI22*AI85+AJ22*AJ85+AK22*AK85+AL22*AL85+AM22*AM85+AN22*AN85+AO22*AO85+AP22*AP85+AQ22*AQ85+AR22*AR85+AS22*AS85+AT22*AT85+AU22*AU85</s:f>
        <s:v>0</s:v>
      </s:c>
    </s:row>
    <s:row r="23" ht="18.75">
      <s:c r="A23" s="31" t="s">
        <s:v>61</s:v>
      </s:c>
      <s:c r="B23" s="49"/>
      <s:c r="C23" s="49"/>
      <s:c r="D23" s="27">
        <s:v>112</s:v>
      </s:c>
      <s:c r="E23" s="49"/>
      <s:c r="F23" s="49"/>
      <s:c r="G23" s="49"/>
      <s:c r="H23" s="49"/>
      <s:c r="I23" s="49"/>
      <s:c r="J23" s="49"/>
      <s:c r="K23" s="49"/>
      <s:c r="L23" s="49"/>
      <s:c r="M23" s="22"/>
      <s:c r="N23" s="22"/>
      <s:c r="O23" s="22"/>
      <s:c r="P23" s="22"/>
      <s:c r="Q23" s="22"/>
      <s:c r="R23" s="22"/>
      <s:c r="S23" s="22"/>
      <s:c r="T23" s="22"/>
      <s:c r="U23" s="22"/>
      <s:c r="V23" s="22"/>
      <s:c r="W23" s="22"/>
      <s:c r="X23" s="22"/>
      <s:c r="Y23" s="22"/>
      <s:c r="Z23" s="22"/>
      <s:c r="AA23" s="22"/>
      <s:c r="AB23" s="22"/>
      <s:c r="AC23" s="22"/>
      <s:c r="AD23" s="22"/>
      <s:c r="AE23" s="22"/>
      <s:c r="AF23" s="22"/>
      <s:c r="AG23" s="23"/>
      <s:c r="AH23" s="24"/>
      <s:c r="AI23" s="24"/>
      <s:c r="AJ23" s="24"/>
      <s:c r="AK23" s="24">
        <s:v>4</s:v>
      </s:c>
      <s:c r="AL23" s="50"/>
      <s:c r="AM23" s="51"/>
      <s:c r="AN23" s="51"/>
      <s:c r="AO23" s="51"/>
      <s:c r="AP23" s="51"/>
      <s:c r="AQ23" s="51"/>
      <s:c r="AR23" s="51"/>
      <s:c r="AS23" s="51"/>
      <s:c r="AT23" s="51">
        <s:v>4</s:v>
      </s:c>
      <s:c r="AU23" s="51"/>
      <s:c r="AV23" s="52">
        <s:f>B23*B86+C23*C86+D23*D86+E23*E86+F23*F86+G23*G86+H23*H86+I23*I86+J23*J86+K23*K86+L23*L86+AT23*AT87+AU87*AU23+M23*M86+N23*N86+O23*O86+P23*P86+Q23*Q86+R23*R86+S23*S86+T23*T86+U23*U86+V23*V86+W23*W86+X23*X86+Y23*Y86+Z23*Z86+AA23*AA86+AB23*AB86+AC23*AC86+AD23*AD86+AE23*AE86+AF23*AF86+AG23*AG86+AH23*AH86+AI23*AI86+AJ23*AJ86+AK23*AK86+AL23*AL86+AM23*AM86+AN23*AN86+AO23*AO86+AP23*AP86+AQ23*AQ86+AR23*AR86+AS23*AS86+AT23*AT86+AU23*AU86</s:f>
        <s:v>5880000</s:v>
      </s:c>
    </s:row>
    <s:row r="24" ht="18.75">
      <s:c r="A24" s="31" t="s">
        <s:v>16</s:v>
      </s:c>
      <s:c r="B24" s="27"/>
      <s:c r="C24" s="27"/>
      <s:c r="D24" s="27"/>
      <s:c r="E24" s="27"/>
      <s:c r="F24" s="27"/>
      <s:c r="G24" s="27"/>
      <s:c r="H24" s="27"/>
      <s:c r="I24" s="27"/>
      <s:c r="J24" s="27"/>
      <s:c r="K24" s="27"/>
      <s:c r="L24" s="27"/>
      <s:c r="M24" s="22"/>
      <s:c r="N24" s="22"/>
      <s:c r="O24" s="22"/>
      <s:c r="P24" s="22"/>
      <s:c r="Q24" s="22"/>
      <s:c r="R24" s="22"/>
      <s:c r="S24" s="22"/>
      <s:c r="T24" s="22"/>
      <s:c r="U24" s="22"/>
      <s:c r="V24" s="22"/>
      <s:c r="W24" s="22"/>
      <s:c r="X24" s="22"/>
      <s:c r="Y24" s="22"/>
      <s:c r="Z24" s="22"/>
      <s:c r="AA24" s="22"/>
      <s:c r="AB24" s="22"/>
      <s:c r="AC24" s="22"/>
      <s:c r="AD24" s="22"/>
      <s:c r="AE24" s="22"/>
      <s:c r="AF24" s="22"/>
      <s:c r="AG24" s="23"/>
      <s:c r="AH24" s="24"/>
      <s:c r="AI24" s="24"/>
      <s:c r="AJ24" s="24"/>
      <s:c r="AK24" s="24"/>
      <s:c r="AL24" s="25"/>
      <s:c r="AM24" s="26"/>
      <s:c r="AN24" s="26"/>
      <s:c r="AO24" s="26"/>
      <s:c r="AP24" s="26"/>
      <s:c r="AQ24" s="26"/>
      <s:c r="AR24" s="26"/>
      <s:c r="AS24" s="26"/>
      <s:c r="AT24" s="26"/>
      <s:c r="AU24" s="26"/>
      <s:c r="AV24" s="52">
        <s:f>B24*B87+C24*C87+D24*D87+E24*E87+F24*F87+G24*G87+H24*H87+I24*I87+J24*J87+K24*K87+L24*L87+AT24*AT88+AU88*AU24+M24*M87+N24*N87+O24*O87+P24*P87+Q24*Q87+R24*R87+S24*S87+T24*T87+U24*U87+V24*V87+W24*W87+X24*X87+Y24*Y87+Z24*Z87+AA24*AA87+AB24*AB87+AC24*AC87+AD24*AD87+AE24*AE87+AF24*AF87+AG24*AG87+AH24*AH87+AI24*AI87+AJ24*AJ87+AK24*AK87+AL24*AL87+AM24*AM87+AN24*AN87+AO24*AO87+AP24*AP87+AQ24*AQ87+AR24*AR87+AS24*AS87+AT24*AT87+AU24*AU87</s:f>
        <s:v>0</s:v>
      </s:c>
    </s:row>
    <s:row r="25" ht="18.75">
      <s:c r="A25" s="31" t="s">
        <s:v>69</s:v>
      </s:c>
      <s:c r="B25" s="49"/>
      <s:c r="C25" s="49"/>
      <s:c r="D25" s="49"/>
      <s:c r="E25" s="49"/>
      <s:c r="F25" s="49"/>
      <s:c r="G25" s="49"/>
      <s:c r="H25" s="49"/>
      <s:c r="I25" s="49"/>
      <s:c r="J25" s="49"/>
      <s:c r="K25" s="49"/>
      <s:c r="L25" s="49"/>
      <s:c r="M25" s="22"/>
      <s:c r="N25" s="22"/>
      <s:c r="O25" s="22"/>
      <s:c r="P25" s="22"/>
      <s:c r="Q25" s="22"/>
      <s:c r="R25" s="22"/>
      <s:c r="S25" s="22"/>
      <s:c r="T25" s="22"/>
      <s:c r="U25" s="22"/>
      <s:c r="V25" s="22"/>
      <s:c r="W25" s="22"/>
      <s:c r="X25" s="22"/>
      <s:c r="Y25" s="22"/>
      <s:c r="Z25" s="22"/>
      <s:c r="AA25" s="22"/>
      <s:c r="AB25" s="22"/>
      <s:c r="AC25" s="22"/>
      <s:c r="AD25" s="22"/>
      <s:c r="AE25" s="22"/>
      <s:c r="AF25" s="22"/>
      <s:c r="AG25" s="23"/>
      <s:c r="AH25" s="24"/>
      <s:c r="AI25" s="24"/>
      <s:c r="AJ25" s="24"/>
      <s:c r="AK25" s="24"/>
      <s:c r="AL25" s="50"/>
      <s:c r="AM25" s="51"/>
      <s:c r="AN25" s="51"/>
      <s:c r="AO25" s="51"/>
      <s:c r="AP25" s="51"/>
      <s:c r="AQ25" s="51"/>
      <s:c r="AR25" s="51"/>
      <s:c r="AS25" s="51"/>
      <s:c r="AT25" s="51"/>
      <s:c r="AU25" s="51"/>
      <s:c r="AV25" s="52">
        <s:f>B25*B88+C25*C88+D25*D88+E25*E88+F25*F88+G25*G88+H25*H88+I25*I88+J25*J88+K25*K88+L25*L88+AT25*AT89+AU89*AU25+M25*M88+N25*N88+O25*O88+P25*P88+Q25*Q88+R25*R88+S25*S88+T25*T88+U25*U88+V25*V88+W25*W88+X25*X88+Y25*Y88+Z25*Z88+AA25*AA88+AB25*AB88+AC25*AC88+AD25*AD88+AE25*AE88+AF25*AF88+AG25*AG88+AH25*AH88+AI25*AI88+AJ25*AJ88+AK25*AK88+AL25*AL88+AM25*AM88+AN25*AN88+AO25*AO88+AP25*AP88+AQ25*AQ88+AR25*AR88+AS25*AS88+AT25*AT88+AU25*AU88</s:f>
        <s:v>0</s:v>
      </s:c>
    </s:row>
    <s:row r="26" ht="18.75">
      <s:c r="A26" s="31" t="s">
        <s:v>77</s:v>
      </s:c>
      <s:c r="B26" s="49"/>
      <s:c r="C26" s="49"/>
      <s:c r="D26" s="49"/>
      <s:c r="E26" s="49"/>
      <s:c r="F26" s="49"/>
      <s:c r="G26" s="49"/>
      <s:c r="H26" s="49"/>
      <s:c r="I26" s="49"/>
      <s:c r="J26" s="49"/>
      <s:c r="K26" s="49"/>
      <s:c r="L26" s="49"/>
      <s:c r="M26" s="22"/>
      <s:c r="N26" s="22"/>
      <s:c r="O26" s="22"/>
      <s:c r="P26" s="22"/>
      <s:c r="Q26" s="22"/>
      <s:c r="R26" s="22"/>
      <s:c r="S26" s="22"/>
      <s:c r="T26" s="22"/>
      <s:c r="U26" s="22"/>
      <s:c r="V26" s="22"/>
      <s:c r="W26" s="22"/>
      <s:c r="X26" s="22"/>
      <s:c r="Y26" s="22"/>
      <s:c r="Z26" s="22"/>
      <s:c r="AA26" s="22"/>
      <s:c r="AB26" s="22"/>
      <s:c r="AC26" s="22"/>
      <s:c r="AD26" s="22"/>
      <s:c r="AE26" s="22"/>
      <s:c r="AF26" s="22"/>
      <s:c r="AG26" s="23"/>
      <s:c r="AH26" s="24"/>
      <s:c r="AI26" s="24"/>
      <s:c r="AJ26" s="24"/>
      <s:c r="AK26" s="24"/>
      <s:c r="AL26" s="50"/>
      <s:c r="AM26" s="51"/>
      <s:c r="AN26" s="51"/>
      <s:c r="AO26" s="51"/>
      <s:c r="AP26" s="51"/>
      <s:c r="AQ26" s="51"/>
      <s:c r="AR26" s="51"/>
      <s:c r="AS26" s="51"/>
      <s:c r="AT26" s="51"/>
      <s:c r="AU26" s="51"/>
      <s:c r="AV26" s="52">
        <s:f>B26*B89+C26*C89+D26*D89+E26*E89+F26*F89+G26*G89+H26*H89+I26*I89+J26*J89+K26*K89+L26*L89+AT26*AT90+AU90*AU26+M26*M89+N26*N89+O26*O89+P26*P89+Q26*Q89+R26*R89+S26*S89+T26*T89+U26*U89+V26*V89+W26*W89+X26*X89+Y26*Y89+Z26*Z89+AA26*AA89+AB26*AB89+AC26*AC89+AD26*AD89+AE26*AE89+AF26*AF89+AG26*AG89+AH26*AH89+AI26*AI89+AJ26*AJ89+AK26*AK89+AL26*AL89+AM26*AM89+AN26*AN89+AO26*AO89+AP26*AP89+AQ26*AQ89+AR26*AR89+AS26*AS89+AT26*AT89+AU26*AU89</s:f>
        <s:v>0</s:v>
      </s:c>
    </s:row>
    <s:row r="27" ht="18.75">
      <s:c r="A27" s="31" t="s">
        <s:v>75</s:v>
      </s:c>
      <s:c r="B27" s="49"/>
      <s:c r="C27" s="49"/>
      <s:c r="D27" s="49"/>
      <s:c r="E27" s="49"/>
      <s:c r="F27" s="49"/>
      <s:c r="G27" s="49"/>
      <s:c r="H27" s="49"/>
      <s:c r="I27" s="49"/>
      <s:c r="J27" s="49"/>
      <s:c r="K27" s="49"/>
      <s:c r="L27" s="49"/>
      <s:c r="M27" s="22"/>
      <s:c r="N27" s="22"/>
      <s:c r="O27" s="22"/>
      <s:c r="P27" s="22"/>
      <s:c r="Q27" s="22"/>
      <s:c r="R27" s="22"/>
      <s:c r="S27" s="22"/>
      <s:c r="T27" s="22"/>
      <s:c r="U27" s="22"/>
      <s:c r="V27" s="22"/>
      <s:c r="W27" s="22"/>
      <s:c r="X27" s="22"/>
      <s:c r="Y27" s="22"/>
      <s:c r="Z27" s="22"/>
      <s:c r="AA27" s="22"/>
      <s:c r="AB27" s="22"/>
      <s:c r="AC27" s="22"/>
      <s:c r="AD27" s="22"/>
      <s:c r="AE27" s="22"/>
      <s:c r="AF27" s="22"/>
      <s:c r="AG27" s="23"/>
      <s:c r="AH27" s="24"/>
      <s:c r="AI27" s="24"/>
      <s:c r="AJ27" s="24"/>
      <s:c r="AK27" s="24"/>
      <s:c r="AL27" s="50"/>
      <s:c r="AM27" s="51"/>
      <s:c r="AN27" s="51"/>
      <s:c r="AO27" s="51"/>
      <s:c r="AP27" s="51"/>
      <s:c r="AQ27" s="51"/>
      <s:c r="AR27" s="51"/>
      <s:c r="AS27" s="51"/>
      <s:c r="AT27" s="51"/>
      <s:c r="AU27" s="51"/>
      <s:c r="AV27" s="52">
        <s:f>B27*B90+C27*C90+D27*D90+E27*E90+F27*F90+G27*G90+H27*H90+I27*I90+J27*J90+K27*K90+L27*L90+AT27*AT91+AU91*AU27+M27*M90+N27*N90+O27*O90+P27*P90+Q27*Q90+R27*R90+S27*S90+T27*T90+U27*U90+V27*V90+W27*W90+X27*X90+Y27*Y90+Z27*Z90+AA27*AA90+AB27*AB90+AC27*AC90+AD27*AD90+AE27*AE90+AF27*AF90+AG27*AG90+AH27*AH90+AI27*AI90+AJ27*AJ90+AK27*AK90+AL27*AL90+AM27*AM90+AN27*AN90+AO27*AO90+AP27*AP90+AQ27*AQ90+AR27*AR90+AS27*AS90+AT27*AT90+AU27*AU90</s:f>
        <s:v>0</s:v>
      </s:c>
    </s:row>
    <s:row r="28" ht="18.75">
      <s:c r="A28" s="31" t="s">
        <s:v>7</s:v>
      </s:c>
      <s:c r="B28" s="27"/>
      <s:c r="C28" s="27"/>
      <s:c r="D28" s="27">
        <s:v>60</s:v>
      </s:c>
      <s:c r="E28" s="27"/>
      <s:c r="F28" s="27"/>
      <s:c r="G28" s="27"/>
      <s:c r="H28" s="27"/>
      <s:c r="I28" s="27"/>
      <s:c r="J28" s="27"/>
      <s:c r="K28" s="27"/>
      <s:c r="L28" s="27"/>
      <s:c r="M28" s="22"/>
      <s:c r="N28" s="22"/>
      <s:c r="O28" s="22"/>
      <s:c r="P28" s="22"/>
      <s:c r="Q28" s="22"/>
      <s:c r="R28" s="22"/>
      <s:c r="S28" s="22"/>
      <s:c r="T28" s="22"/>
      <s:c r="U28" s="22"/>
      <s:c r="V28" s="22"/>
      <s:c r="W28" s="22"/>
      <s:c r="X28" s="22"/>
      <s:c r="Y28" s="22"/>
      <s:c r="Z28" s="22"/>
      <s:c r="AA28" s="22"/>
      <s:c r="AB28" s="22"/>
      <s:c r="AC28" s="22"/>
      <s:c r="AD28" s="22"/>
      <s:c r="AE28" s="22"/>
      <s:c r="AF28" s="22"/>
      <s:c r="AG28" s="23"/>
      <s:c r="AH28" s="24"/>
      <s:c r="AI28" s="24"/>
      <s:c r="AJ28" s="24"/>
      <s:c r="AK28" s="24"/>
      <s:c r="AL28" s="25"/>
      <s:c r="AM28" s="26"/>
      <s:c r="AN28" s="26"/>
      <s:c r="AO28" s="26"/>
      <s:c r="AP28" s="26"/>
      <s:c r="AQ28" s="26"/>
      <s:c r="AR28" s="26"/>
      <s:c r="AS28" s="26"/>
      <s:c r="AT28" s="26"/>
      <s:c r="AU28" s="26"/>
      <s:c r="AV28" s="52">
        <s:f>B28*B91+C28*C91+D28*D91+E28*E91+F28*F91+G28*G91+H28*H91+I28*I91+J28*J91+K28*K91+L28*L91+AT28*AT92+AU92*AU28+M28*M91+N28*N91+O28*O91+P28*P91+Q28*Q91+R28*R91+S28*S91+T28*T91+U28*U91+V28*V91+W28*W91+X28*X91+Y28*Y91+Z28*Z91+AA28*AA91+AB28*AB91+AC28*AC91+AD28*AD91+AE28*AE91+AF28*AF91+AG28*AG91+AH28*AH91+AI28*AI91+AJ28*AJ91+AK28*AK91+AL28*AL91+AM28*AM91+AN28*AN91+AO28*AO91+AP28*AP91+AQ28*AQ91+AR28*AR91+AS28*AS91+AT28*AT91+AU28*AU91</s:f>
        <s:v>2670000</s:v>
      </s:c>
      <s:c r="AW28" t="s">
        <s:v>113</s:v>
      </s:c>
    </s:row>
    <s:row r="29" ht="18.75">
      <s:c r="A29" s="31" t="s">
        <s:v>80</s:v>
      </s:c>
      <s:c r="B29" s="49"/>
      <s:c r="C29" s="49"/>
      <s:c r="D29" s="49"/>
      <s:c r="E29" s="49"/>
      <s:c r="F29" s="49"/>
      <s:c r="G29" s="49"/>
      <s:c r="H29" s="49"/>
      <s:c r="I29" s="49"/>
      <s:c r="J29" s="49"/>
      <s:c r="K29" s="49"/>
      <s:c r="L29" s="49"/>
      <s:c r="M29" s="22"/>
      <s:c r="N29" s="22"/>
      <s:c r="O29" s="22"/>
      <s:c r="P29" s="22"/>
      <s:c r="Q29" s="22"/>
      <s:c r="R29" s="22"/>
      <s:c r="S29" s="22"/>
      <s:c r="T29" s="22"/>
      <s:c r="U29" s="22"/>
      <s:c r="V29" s="22"/>
      <s:c r="W29" s="22"/>
      <s:c r="X29" s="22"/>
      <s:c r="Y29" s="22"/>
      <s:c r="Z29" s="22"/>
      <s:c r="AA29" s="22"/>
      <s:c r="AB29" s="22"/>
      <s:c r="AC29" s="22"/>
      <s:c r="AD29" s="22"/>
      <s:c r="AE29" s="22"/>
      <s:c r="AF29" s="22"/>
      <s:c r="AG29" s="23"/>
      <s:c r="AH29" s="24"/>
      <s:c r="AI29" s="24"/>
      <s:c r="AJ29" s="24"/>
      <s:c r="AK29" s="24"/>
      <s:c r="AL29" s="50"/>
      <s:c r="AM29" s="51"/>
      <s:c r="AN29" s="51"/>
      <s:c r="AO29" s="51"/>
      <s:c r="AP29" s="51"/>
      <s:c r="AQ29" s="51"/>
      <s:c r="AR29" s="51"/>
      <s:c r="AS29" s="51"/>
      <s:c r="AT29" s="51"/>
      <s:c r="AU29" s="51"/>
      <s:c r="AV29" s="52">
        <s:f>B29*B92+C29*C92+D29*D92+E29*E92+F29*F92+G29*G92+H29*H92+I29*I92+J29*J92+K29*K92+L29*L92+AT29*AT93+AU93*AU29+M29*M92+N29*N92+O29*O92+P29*P92+Q29*Q92+R29*R92+S29*S92+T29*T92+U29*U92+V29*V92+W29*W92+X29*X92+Y29*Y92+Z29*Z92+AA29*AA92+AB29*AB92+AC29*AC92+AD29*AD92+AE29*AE92+AF29*AF92+AG29*AG92+AH29*AH92+AI29*AI92+AJ29*AJ92+AK29*AK92+AL29*AL92+AM29*AM92+AN29*AN92+AO29*AO92+AP29*AP92+AQ29*AQ92+AR29*AR92+AS29*AS92+AT29*AT92+AU29*AU92</s:f>
        <s:v>0</s:v>
      </s:c>
    </s:row>
    <s:row r="30" ht="18.75">
      <s:c r="A30" s="31" t="s">
        <s:v>111</s:v>
      </s:c>
      <s:c r="B30" s="49"/>
      <s:c r="C30" s="49"/>
      <s:c r="D30" s="49"/>
      <s:c r="E30" s="49"/>
      <s:c r="F30" s="49"/>
      <s:c r="G30" s="49"/>
      <s:c r="H30" s="49"/>
      <s:c r="I30" s="49"/>
      <s:c r="J30" s="49"/>
      <s:c r="K30" s="49"/>
      <s:c r="L30" s="49"/>
      <s:c r="M30" s="22"/>
      <s:c r="N30" s="22"/>
      <s:c r="O30" s="22"/>
      <s:c r="P30" s="22"/>
      <s:c r="Q30" s="22"/>
      <s:c r="R30" s="22"/>
      <s:c r="S30" s="22"/>
      <s:c r="T30" s="22"/>
      <s:c r="U30" s="22"/>
      <s:c r="V30" s="22"/>
      <s:c r="W30" s="22"/>
      <s:c r="X30" s="22"/>
      <s:c r="Y30" s="22"/>
      <s:c r="Z30" s="22"/>
      <s:c r="AA30" s="22"/>
      <s:c r="AB30" s="22"/>
      <s:c r="AC30" s="22"/>
      <s:c r="AD30" s="22"/>
      <s:c r="AE30" s="22"/>
      <s:c r="AF30" s="22"/>
      <s:c r="AG30" s="23"/>
      <s:c r="AH30" s="24"/>
      <s:c r="AI30" s="24"/>
      <s:c r="AJ30" s="24"/>
      <s:c r="AK30" s="24"/>
      <s:c r="AL30" s="50"/>
      <s:c r="AM30" s="51"/>
      <s:c r="AN30" s="51"/>
      <s:c r="AO30" s="51"/>
      <s:c r="AP30" s="51"/>
      <s:c r="AQ30" s="51"/>
      <s:c r="AR30" s="51"/>
      <s:c r="AS30" s="51"/>
      <s:c r="AT30" s="51"/>
      <s:c r="AU30" s="51"/>
      <s:c r="AV30" s="52">
        <s:f>B30*B93+C30*C93+D30*D93+E30*E93+F30*F93+G30*G93+H30*H93+I30*I93+J30*J93+K30*K93+L30*L93+AT30*AT94+AU94*AU30+M30*M93+N30*N93+O30*O93+P30*P93+Q30*Q93+R30*R93+S30*S93+T30*T93+U30*U93+V30*V93+W30*W93+X30*X93+Y30*Y93+Z30*Z93+AA30*AA93+AB30*AB93+AC30*AC93+AD30*AD93+AE30*AE93+AF30*AF93+AG30*AG93+AH30*AH93+AI30*AI93+AJ30*AJ93+AK30*AK93+AL30*AL93+AM30*AM93+AN30*AN93+AO30*AO93+AP30*AP93+AQ30*AQ93+AR30*AR93+AS30*AS93+AT30*AT93+AU30*AU93</s:f>
        <s:v>0</s:v>
      </s:c>
      <s:c r="AW30" t="s">
        <s:v>113</s:v>
      </s:c>
    </s:row>
    <s:row r="31" ht="18.75">
      <s:c r="A31" s="31" t="s">
        <s:v>54</s:v>
      </s:c>
      <s:c r="B31" s="49"/>
      <s:c r="C31" s="49"/>
      <s:c r="D31" s="49"/>
      <s:c r="E31" s="49"/>
      <s:c r="F31" s="49"/>
      <s:c r="G31" s="49"/>
      <s:c r="H31" s="49"/>
      <s:c r="I31" s="49"/>
      <s:c r="J31" s="49"/>
      <s:c r="K31" s="49"/>
      <s:c r="L31" s="49"/>
      <s:c r="M31" s="22"/>
      <s:c r="N31" s="22"/>
      <s:c r="O31" s="22"/>
      <s:c r="P31" s="22"/>
      <s:c r="Q31" s="22"/>
      <s:c r="R31" s="22"/>
      <s:c r="S31" s="22"/>
      <s:c r="T31" s="22"/>
      <s:c r="U31" s="22"/>
      <s:c r="V31" s="22"/>
      <s:c r="W31" s="22"/>
      <s:c r="X31" s="22"/>
      <s:c r="Y31" s="22"/>
      <s:c r="Z31" s="22"/>
      <s:c r="AA31" s="22"/>
      <s:c r="AB31" s="22"/>
      <s:c r="AC31" s="22"/>
      <s:c r="AD31" s="22"/>
      <s:c r="AE31" s="22"/>
      <s:c r="AF31" s="22"/>
      <s:c r="AG31" s="23"/>
      <s:c r="AH31" s="24"/>
      <s:c r="AI31" s="24"/>
      <s:c r="AJ31" s="24"/>
      <s:c r="AK31" s="24"/>
      <s:c r="AL31" s="81"/>
      <s:c r="AM31" s="51"/>
      <s:c r="AN31" s="51"/>
      <s:c r="AO31" s="51"/>
      <s:c r="AP31" s="51"/>
      <s:c r="AQ31" s="26"/>
      <s:c r="AR31" s="26"/>
      <s:c r="AS31" s="26"/>
      <s:c r="AT31" s="26"/>
      <s:c r="AU31" s="51"/>
      <s:c r="AV31" s="52">
        <s:f>B31*B94+C31*C94+D31*D94+E31*E94+F31*F94+G31*G94+H31*H94+I31*I94+J31*J94+K31*K94+L31*L94+AT31*AT95+AU95*AU31+M31*M94+N31*N94+O31*O94+P31*P94+Q31*Q94+R31*R94+S31*S94+T31*T94+U31*U94+V31*V94+W31*W94+X31*X94+Y31*Y94+Z31*Z94+AA31*AA94+AB31*AB94+AC31*AC94+AD31*AD94+AE31*AE94+AF31*AF94+AG31*AG94+AH31*AH94+AI31*AI94+AJ31*AJ94+AK31*AK94+AL31*AL94+AM31*AM94+AN31*AN94+AO31*AO94+AP31*AP94+AQ31*AQ94+AR31*AR94+AS31*AS94+AT31*AT94+AU31*AU94</s:f>
        <s:v>0</s:v>
      </s:c>
    </s:row>
    <s:row r="32" ht="18.75">
      <s:c r="A32" s="31" t="s">
        <s:v>68</s:v>
      </s:c>
      <s:c r="B32" s="49"/>
      <s:c r="C32" s="49"/>
      <s:c r="D32" s="49"/>
      <s:c r="E32" s="49"/>
      <s:c r="F32" s="49"/>
      <s:c r="G32" s="49"/>
      <s:c r="H32" s="49"/>
      <s:c r="I32" s="49"/>
      <s:c r="J32" s="49"/>
      <s:c r="K32" s="49"/>
      <s:c r="L32" s="49"/>
      <s:c r="M32" s="22"/>
      <s:c r="N32" s="22"/>
      <s:c r="O32" s="22"/>
      <s:c r="P32" s="22"/>
      <s:c r="Q32" s="22"/>
      <s:c r="R32" s="22"/>
      <s:c r="S32" s="22"/>
      <s:c r="T32" s="22"/>
      <s:c r="U32" s="22"/>
      <s:c r="V32" s="22"/>
      <s:c r="W32" s="22"/>
      <s:c r="X32" s="22"/>
      <s:c r="Y32" s="22"/>
      <s:c r="Z32" s="22"/>
      <s:c r="AA32" s="22"/>
      <s:c r="AB32" s="22"/>
      <s:c r="AC32" s="22"/>
      <s:c r="AD32" s="22"/>
      <s:c r="AE32" s="22"/>
      <s:c r="AF32" s="22"/>
      <s:c r="AG32" s="23"/>
      <s:c r="AH32" s="24"/>
      <s:c r="AI32" s="24"/>
      <s:c r="AJ32" s="24"/>
      <s:c r="AK32" s="24"/>
      <s:c r="AL32" s="50"/>
      <s:c r="AM32" s="51"/>
      <s:c r="AN32" s="51"/>
      <s:c r="AO32" s="51"/>
      <s:c r="AP32" s="51"/>
      <s:c r="AQ32" s="51"/>
      <s:c r="AR32" s="51"/>
      <s:c r="AS32" s="51"/>
      <s:c r="AT32" s="51"/>
      <s:c r="AU32" s="51"/>
      <s:c r="AV32" s="52">
        <s:f>B32*B95+C32*C95+D32*D95+E32*E95+F32*F95+G32*G95+H32*H95+I32*I95+J32*J95+K32*K95+L32*L95+AT32*AT96+AU96*AU32+M32*M95+N32*N95+O32*O95+P32*P95+Q32*Q95+R32*R95+S32*S95+T32*T95+U32*U95+V32*V95+W32*W95+X32*X95+Y32*Y95+Z32*Z95+AA32*AA95+AB32*AB95+AC32*AC95+AD32*AD95+AE32*AE95+AF32*AF95+AG32*AG95+AH32*AH95+AI32*AI95+AJ32*AJ95+AK32*AK95+AL32*AL95+AM32*AM95+AN32*AN95+AO32*AO95+AP32*AP95+AQ32*AQ95+AR32*AR95+AS32*AS95+AT32*AT95+AU32*AU95</s:f>
        <s:v>0</s:v>
      </s:c>
    </s:row>
    <s:row r="33" ht="18.75">
      <s:c r="A33" s="31" t="s">
        <s:v>2</s:v>
      </s:c>
      <s:c r="B33" s="27"/>
      <s:c r="C33" s="27"/>
      <s:c r="D33" s="27">
        <s:v>10</s:v>
      </s:c>
      <s:c r="E33" s="27"/>
      <s:c r="F33" s="27"/>
      <s:c r="G33" s="27"/>
      <s:c r="H33" s="27"/>
      <s:c r="I33" s="27"/>
      <s:c r="J33" s="27"/>
      <s:c r="K33" s="27"/>
      <s:c r="L33" s="27"/>
      <s:c r="M33" s="22"/>
      <s:c r="N33" s="22"/>
      <s:c r="O33" s="22"/>
      <s:c r="P33" s="22"/>
      <s:c r="Q33" s="22"/>
      <s:c r="R33" s="22"/>
      <s:c r="S33" s="22">
        <s:v>9.6</s:v>
      </s:c>
      <s:c r="T33" s="22"/>
      <s:c r="U33" s="22"/>
      <s:c r="V33" s="22"/>
      <s:c r="W33" s="22"/>
      <s:c r="X33" s="22"/>
      <s:c r="Y33" s="22"/>
      <s:c r="Z33" s="22"/>
      <s:c r="AA33" s="22"/>
      <s:c r="AB33" s="22"/>
      <s:c r="AC33" s="22"/>
      <s:c r="AD33" s="22"/>
      <s:c r="AE33" s="22"/>
      <s:c r="AF33" s="22"/>
      <s:c r="AG33" s="23"/>
      <s:c r="AH33" s="24"/>
      <s:c r="AI33" s="24"/>
      <s:c r="AJ33" s="24"/>
      <s:c r="AK33" s="24"/>
      <s:c r="AL33" s="25"/>
      <s:c r="AM33" s="26"/>
      <s:c r="AN33" s="26"/>
      <s:c r="AO33" s="26"/>
      <s:c r="AP33" s="26"/>
      <s:c r="AQ33" s="26"/>
      <s:c r="AR33" s="26"/>
      <s:c r="AS33" s="26"/>
      <s:c r="AT33" s="26"/>
      <s:c r="AU33" s="26"/>
      <s:c r="AV33" s="52">
        <s:f>B33*B96+C33*C96+D33*D96+E33*E96+F33*F96+G33*G96+H33*H96+I33*I96+J33*J96+K33*K96+L33*L96+AT33*AT97+AU97*AU33+M33*M96+N33*N96+O33*O96+P33*P96+Q33*Q96+R33*R96+S33*S96+T33*T96+U33*U96+V33*V96+W33*W96+X33*X96+Y33*Y96+Z33*Z96+AA33*AA96+AB33*AB96+AC33*AC96+AD33*AD96+AE33*AE96+AF33*AF96+AG33*AG96+AH33*AH96+AI33*AI96+AJ33*AJ96+AK33*AK96+AL33*AL96+AM33*AM96+AN33*AN96+AO33*AO96+AP33*AP96+AQ33*AQ96+AR33*AR96+AS33*AS96+AT33*AT96+AU33*AU96</s:f>
        <s:v>2790000</s:v>
      </s:c>
    </s:row>
    <s:row r="34" ht="18.75">
      <s:c r="A34" s="31" t="s">
        <s:v>71</s:v>
      </s:c>
      <s:c r="B34" s="49"/>
      <s:c r="C34" s="49"/>
      <s:c r="D34" s="49"/>
      <s:c r="E34" s="49"/>
      <s:c r="F34" s="49"/>
      <s:c r="G34" s="49"/>
      <s:c r="H34" s="49"/>
      <s:c r="I34" s="49"/>
      <s:c r="J34" s="49"/>
      <s:c r="K34" s="49"/>
      <s:c r="L34" s="49"/>
      <s:c r="M34" s="22"/>
      <s:c r="N34" s="22"/>
      <s:c r="O34" s="22"/>
      <s:c r="P34" s="22"/>
      <s:c r="Q34" s="22"/>
      <s:c r="R34" s="22"/>
      <s:c r="S34" s="22"/>
      <s:c r="T34" s="22"/>
      <s:c r="U34" s="22"/>
      <s:c r="V34" s="22"/>
      <s:c r="W34" s="22"/>
      <s:c r="X34" s="22"/>
      <s:c r="Y34" s="22"/>
      <s:c r="Z34" s="22"/>
      <s:c r="AA34" s="22"/>
      <s:c r="AB34" s="22"/>
      <s:c r="AC34" s="22"/>
      <s:c r="AD34" s="22"/>
      <s:c r="AE34" s="22"/>
      <s:c r="AF34" s="22"/>
      <s:c r="AG34" s="23"/>
      <s:c r="AH34" s="24"/>
      <s:c r="AI34" s="24"/>
      <s:c r="AJ34" s="24"/>
      <s:c r="AK34" s="24"/>
      <s:c r="AL34" s="50"/>
      <s:c r="AM34" s="51"/>
      <s:c r="AN34" s="51"/>
      <s:c r="AO34" s="51"/>
      <s:c r="AP34" s="51"/>
      <s:c r="AQ34" s="51"/>
      <s:c r="AR34" s="51"/>
      <s:c r="AS34" s="51"/>
      <s:c r="AT34" s="51"/>
      <s:c r="AU34" s="51"/>
      <s:c r="AV34" s="52">
        <s:f>B34*B97+C34*C97+D34*D97+E34*E97+F34*F97+G34*G97+H34*H97+I34*I97+J34*J97+K34*K97+L34*L97+AT34*AT98+AU98*AU34+M34*M97+N34*N97+O34*O97+P34*P97+Q34*Q97+R34*R97+S34*S97+T34*T97+U34*U97+V34*V97+W34*W97+X34*X97+Y34*Y97+Z34*Z97+AA34*AA97+AB34*AB97+AC34*AC97+AD34*AD97+AE34*AE97+AF34*AF97+AG34*AG97+AH34*AH97+AI34*AI97+AJ34*AJ97+AK34*AK97+AL34*AL97+AM34*AM97+AN34*AN97+AO34*AO97+AP34*AP97+AQ34*AQ97+AR34*AR97+AS34*AS97+AT34*AT97+AU34*AU97</s:f>
        <s:v>0</s:v>
      </s:c>
    </s:row>
    <s:row r="35" ht="18.75">
      <s:c r="A35" s="31" t="s">
        <s:v>64</s:v>
      </s:c>
      <s:c r="B35" s="27"/>
      <s:c r="C35" s="27"/>
      <s:c r="D35" s="27"/>
      <s:c r="E35" s="27"/>
      <s:c r="F35" s="27"/>
      <s:c r="G35" s="27"/>
      <s:c r="H35" s="27"/>
      <s:c r="I35" s="27"/>
      <s:c r="J35" s="27"/>
      <s:c r="K35" s="27"/>
      <s:c r="L35" s="27"/>
      <s:c r="M35" s="22"/>
      <s:c r="N35" s="22"/>
      <s:c r="O35" s="22"/>
      <s:c r="P35" s="22"/>
      <s:c r="Q35" s="22"/>
      <s:c r="R35" s="22"/>
      <s:c r="S35" s="22"/>
      <s:c r="T35" s="22"/>
      <s:c r="U35" s="22"/>
      <s:c r="V35" s="22"/>
      <s:c r="W35" s="22"/>
      <s:c r="X35" s="22"/>
      <s:c r="Y35" s="22"/>
      <s:c r="Z35" s="22"/>
      <s:c r="AA35" s="22"/>
      <s:c r="AB35" s="22"/>
      <s:c r="AC35" s="22"/>
      <s:c r="AD35" s="22"/>
      <s:c r="AE35" s="22"/>
      <s:c r="AF35" s="22"/>
      <s:c r="AG35" s="23"/>
      <s:c r="AH35" s="24"/>
      <s:c r="AI35" s="24"/>
      <s:c r="AJ35" s="24"/>
      <s:c r="AK35" s="24"/>
      <s:c r="AL35" s="25"/>
      <s:c r="AM35" s="26"/>
      <s:c r="AN35" s="26"/>
      <s:c r="AO35" s="26"/>
      <s:c r="AP35" s="26"/>
      <s:c r="AQ35" s="26"/>
      <s:c r="AR35" s="26"/>
      <s:c r="AS35" s="26"/>
      <s:c r="AT35" s="26"/>
      <s:c r="AU35" s="26"/>
      <s:c r="AV35" s="52">
        <s:f>B35*B98+C35*C98+D35*D98+E35*E98+F35*F98+G35*G98+H35*H98+I35*I98+J35*J98+K35*K98+L35*L98+AT35*AT99+AU99*AU35+M35*M98+N35*N98+O35*O98+P35*P98+Q35*Q98+R35*R98+S35*S98+T35*T98+U35*U98+V35*V98+W35*W98+X35*X98+Y35*Y98+Z35*Z98+AA35*AA98+AB35*AB98+AC35*AC98+AD35*AD98+AE35*AE98+AF35*AF98+AG35*AG98+AH35*AH98+AI35*AI98+AJ35*AJ98+AK35*AK98+AL35*AL98+AM35*AM98+AN35*AN98+AO35*AO98+AP35*AP98+AQ35*AQ98+AR35*AR98+AS35*AS98+AT35*AT98+AU35*AU98</s:f>
        <s:v>0</s:v>
      </s:c>
    </s:row>
    <s:row r="36" ht="18.75">
      <s:c r="A36" s="31" t="s">
        <s:v>42</s:v>
      </s:c>
      <s:c r="B36" s="27"/>
      <s:c r="C36" s="27"/>
      <s:c r="D36" s="27"/>
      <s:c r="E36" s="27"/>
      <s:c r="F36" s="27"/>
      <s:c r="G36" s="27"/>
      <s:c r="H36" s="27"/>
      <s:c r="I36" s="27"/>
      <s:c r="J36" s="27"/>
      <s:c r="K36" s="27"/>
      <s:c r="L36" s="27"/>
      <s:c r="M36" s="22"/>
      <s:c r="N36" s="22"/>
      <s:c r="O36" s="22"/>
      <s:c r="P36" s="22"/>
      <s:c r="Q36" s="22"/>
      <s:c r="R36" s="22"/>
      <s:c r="S36" s="22"/>
      <s:c r="T36" s="22"/>
      <s:c r="U36" s="22"/>
      <s:c r="V36" s="22"/>
      <s:c r="W36" s="22"/>
      <s:c r="X36" s="22"/>
      <s:c r="Y36" s="22"/>
      <s:c r="Z36" s="22"/>
      <s:c r="AA36" s="22"/>
      <s:c r="AB36" s="22"/>
      <s:c r="AC36" s="22"/>
      <s:c r="AD36" s="22"/>
      <s:c r="AE36" s="22"/>
      <s:c r="AF36" s="22"/>
      <s:c r="AG36" s="23"/>
      <s:c r="AH36" s="24"/>
      <s:c r="AI36" s="24"/>
      <s:c r="AJ36" s="24"/>
      <s:c r="AK36" s="24"/>
      <s:c r="AL36" s="25"/>
      <s:c r="AM36" s="26"/>
      <s:c r="AN36" s="26"/>
      <s:c r="AO36" s="26"/>
      <s:c r="AP36" s="26"/>
      <s:c r="AQ36" s="26"/>
      <s:c r="AR36" s="26"/>
      <s:c r="AS36" s="26"/>
      <s:c r="AT36" s="26"/>
      <s:c r="AU36" s="26"/>
      <s:c r="AV36" s="52">
        <s:f>B36*B99+C36*C99+D36*D99+E36*E99+F36*F99+G36*G99+H36*H99+I36*I99+J36*J99+K36*K99+L36*L99+AT36*AT100+AU100*AU36+M36*M99+N36*N99+O36*O99+P36*P99+Q36*Q99+R36*R99+S36*S99+T36*T99+U36*U99+V36*V99+W36*W99+X36*X99+Y36*Y99+Z36*Z99+AA36*AA99+AB36*AB99+AC36*AC99+AD36*AD99+AE36*AE99+AF36*AF99+AG36*AG99+AH36*AH99+AI36*AI99+AJ36*AJ99+AK36*AK99+AL36*AL99+AM36*AM99+AN36*AN99+AO36*AO99+AP36*AP99+AQ36*AQ99+AR36*AR99+AS36*AS99+AT36*AT99+AU36*AU99</s:f>
        <s:v>0</s:v>
      </s:c>
    </s:row>
    <s:row r="37" ht="18.75">
      <s:c r="A37" s="31" t="s">
        <s:v>45</s:v>
      </s:c>
      <s:c r="B37" s="27"/>
      <s:c r="C37" s="27"/>
      <s:c r="D37" s="27"/>
      <s:c r="E37" s="27"/>
      <s:c r="F37" s="27"/>
      <s:c r="G37" s="27"/>
      <s:c r="H37" s="27"/>
      <s:c r="I37" s="27"/>
      <s:c r="J37" s="27"/>
      <s:c r="K37" s="27"/>
      <s:c r="L37" s="27"/>
      <s:c r="M37" s="22"/>
      <s:c r="N37" s="22"/>
      <s:c r="O37" s="22"/>
      <s:c r="P37" s="22"/>
      <s:c r="Q37" s="22"/>
      <s:c r="R37" s="22"/>
      <s:c r="S37" s="22"/>
      <s:c r="T37" s="22"/>
      <s:c r="U37" s="22"/>
      <s:c r="V37" s="22"/>
      <s:c r="W37" s="22"/>
      <s:c r="X37" s="22"/>
      <s:c r="Y37" s="22"/>
      <s:c r="Z37" s="22"/>
      <s:c r="AA37" s="22"/>
      <s:c r="AB37" s="22"/>
      <s:c r="AC37" s="22"/>
      <s:c r="AD37" s="22"/>
      <s:c r="AE37" s="22"/>
      <s:c r="AF37" s="22"/>
      <s:c r="AG37" s="23"/>
      <s:c r="AH37" s="24"/>
      <s:c r="AI37" s="24"/>
      <s:c r="AJ37" s="24"/>
      <s:c r="AK37" s="24"/>
      <s:c r="AL37" s="25"/>
      <s:c r="AM37" s="26"/>
      <s:c r="AN37" s="26"/>
      <s:c r="AO37" s="26"/>
      <s:c r="AP37" s="26"/>
      <s:c r="AQ37" s="26"/>
      <s:c r="AR37" s="26"/>
      <s:c r="AS37" s="26"/>
      <s:c r="AT37" s="26"/>
      <s:c r="AU37" s="26"/>
      <s:c r="AV37" s="52">
        <s:f>B37*B100+C37*C100+D37*D100+E37*E100+F37*F100+G37*G100+H37*H100+I37*I100+J37*J100+K37*K100+L37*L100+AT37*AT101+AU101*AU37+M37*M100+N37*N100+O37*O100+P37*P100+Q37*Q100+R37*R100+S37*S100+T37*T100+U37*U100+V37*V100+W37*W100+X37*X100+Y37*Y100+Z37*Z100+AA37*AA100+AB37*AB100+AC37*AC100+AD37*AD100+AE37*AE100+AF37*AF100+AG37*AG100+AH37*AH100+AI37*AI100+AJ37*AJ100+AK37*AK100+AL37*AL100+AM37*AM100+AN37*AN100+AO37*AO100+AP37*AP100+AQ37*AQ100+AR37*AR100+AS37*AS100+AT37*AT100+AU37*AU100</s:f>
        <s:v>0</s:v>
      </s:c>
    </s:row>
    <s:row r="38" ht="18.75">
      <s:c r="A38" s="31" t="s">
        <s:v>99</s:v>
      </s:c>
      <s:c r="B38" s="27"/>
      <s:c r="C38" s="27"/>
      <s:c r="D38" s="27"/>
      <s:c r="E38" s="27"/>
      <s:c r="F38" s="27"/>
      <s:c r="G38" s="27"/>
      <s:c r="H38" s="27"/>
      <s:c r="I38" s="27"/>
      <s:c r="J38" s="27"/>
      <s:c r="K38" s="27"/>
      <s:c r="L38" s="27"/>
      <s:c r="M38" s="22"/>
      <s:c r="N38" s="22"/>
      <s:c r="O38" s="22"/>
      <s:c r="P38" s="22"/>
      <s:c r="Q38" s="22"/>
      <s:c r="R38" s="22"/>
      <s:c r="S38" s="22"/>
      <s:c r="T38" s="22"/>
      <s:c r="U38" s="22"/>
      <s:c r="V38" s="22"/>
      <s:c r="W38" s="22"/>
      <s:c r="X38" s="22"/>
      <s:c r="Y38" s="22"/>
      <s:c r="Z38" s="22"/>
      <s:c r="AA38" s="22"/>
      <s:c r="AB38" s="22"/>
      <s:c r="AC38" s="22"/>
      <s:c r="AD38" s="22"/>
      <s:c r="AE38" s="22"/>
      <s:c r="AF38" s="22"/>
      <s:c r="AG38" s="23"/>
      <s:c r="AH38" s="24"/>
      <s:c r="AI38" s="24"/>
      <s:c r="AJ38" s="24"/>
      <s:c r="AK38" s="24"/>
      <s:c r="AL38" s="25"/>
      <s:c r="AM38" s="26"/>
      <s:c r="AN38" s="26"/>
      <s:c r="AO38" s="26"/>
      <s:c r="AP38" s="26"/>
      <s:c r="AQ38" s="26"/>
      <s:c r="AR38" s="26"/>
      <s:c r="AS38" s="26"/>
      <s:c r="AT38" s="26"/>
      <s:c r="AU38" s="26"/>
      <s:c r="AV38" s="52">
        <s:f>B38*B101+C38*C101+D38*D101+E38*E101+F38*F101+G38*G101+H38*H101+I38*I101+J38*J101+K38*K101+L38*L101+AT38*AT102+AU102*AU38+M38*M101+N38*N101+O38*O101+P38*P101+Q38*Q101+R38*R101+S38*S101+T38*T101+U38*U101+V38*V101+W38*W101+X38*X101+Y38*Y101+Z38*Z101+AA38*AA101+AB38*AB101+AC38*AC101+AD38*AD101+AE38*AE101+AF38*AF101+AG38*AG101+AH38*AH101+AI38*AI101+AJ38*AJ101+AK38*AK101+AL38*AL101+AM38*AM101+AN38*AN101+AO38*AO101+AP38*AP101+AQ38*AQ101+AR38*AR101+AS38*AS101+AT38*AT101+AU38*AU101</s:f>
        <s:v>0</s:v>
      </s:c>
    </s:row>
    <s:row r="39" ht="18.75">
      <s:c r="A39" s="31" t="s">
        <s:v>67</s:v>
      </s:c>
      <s:c r="B39" s="49"/>
      <s:c r="C39" s="49"/>
      <s:c r="D39" s="49"/>
      <s:c r="E39" s="49"/>
      <s:c r="F39" s="49"/>
      <s:c r="G39" s="49"/>
      <s:c r="H39" s="49"/>
      <s:c r="I39" s="49"/>
      <s:c r="J39" s="49"/>
      <s:c r="K39" s="49"/>
      <s:c r="L39" s="49"/>
      <s:c r="M39" s="22"/>
      <s:c r="N39" s="22"/>
      <s:c r="O39" s="22"/>
      <s:c r="P39" s="22"/>
      <s:c r="Q39" s="22"/>
      <s:c r="R39" s="22"/>
      <s:c r="S39" s="22"/>
      <s:c r="T39" s="22"/>
      <s:c r="U39" s="22"/>
      <s:c r="V39" s="22"/>
      <s:c r="W39" s="22"/>
      <s:c r="X39" s="22"/>
      <s:c r="Y39" s="22"/>
      <s:c r="Z39" s="22"/>
      <s:c r="AA39" s="22"/>
      <s:c r="AB39" s="22"/>
      <s:c r="AC39" s="22"/>
      <s:c r="AD39" s="22"/>
      <s:c r="AE39" s="22"/>
      <s:c r="AF39" s="22"/>
      <s:c r="AG39" s="23"/>
      <s:c r="AH39" s="24"/>
      <s:c r="AI39" s="24"/>
      <s:c r="AJ39" s="24"/>
      <s:c r="AK39" s="24"/>
      <s:c r="AL39" s="50"/>
      <s:c r="AM39" s="51"/>
      <s:c r="AN39" s="51"/>
      <s:c r="AO39" s="51"/>
      <s:c r="AP39" s="51"/>
      <s:c r="AQ39" s="51"/>
      <s:c r="AR39" s="51"/>
      <s:c r="AS39" s="51"/>
      <s:c r="AT39" s="51"/>
      <s:c r="AU39" s="51"/>
      <s:c r="AV39" s="52">
        <s:f>B39*B102+C39*C102+D39*D102+E39*E102+F39*F102+G39*G102+H39*H102+I39*I102+J39*J102+K39*K102+L39*L102+AT39*AT103+AU103*AU39+M39*M102+N39*N102+O39*O102+P39*P102+Q39*Q102+R39*R102+S39*S102+T39*T102+U39*U102+V39*V102+W39*W102+X39*X102+Y39*Y102+Z39*Z102+AA39*AA102+AB39*AB102+AC39*AC102+AD39*AD102+AE39*AE102+AF39*AF102+AG39*AG102+AH39*AH102+AI39*AI102+AJ39*AJ102+AK39*AK102+AL39*AL102+AM39*AM102+AN39*AN102+AO39*AO102+AP39*AP102+AQ39*AQ102+AR39*AR102+AS39*AS102+AT39*AT102+AU39*AU102</s:f>
        <s:v>0</s:v>
      </s:c>
    </s:row>
    <s:row r="40" ht="18.75">
      <s:c r="A40" s="31" t="s">
        <s:v>104</s:v>
      </s:c>
      <s:c r="B40" s="27"/>
      <s:c r="C40" s="27"/>
      <s:c r="D40" s="27"/>
      <s:c r="E40" s="27"/>
      <s:c r="F40" s="27"/>
      <s:c r="G40" s="27"/>
      <s:c r="H40" s="27"/>
      <s:c r="I40" s="27"/>
      <s:c r="J40" s="27"/>
      <s:c r="K40" s="27"/>
      <s:c r="L40" s="27"/>
      <s:c r="M40" s="22">
        <s:v>19</s:v>
      </s:c>
      <s:c r="N40" s="22">
        <s:v>23.6</s:v>
      </s:c>
      <s:c r="O40" s="22"/>
      <s:c r="P40" s="22"/>
      <s:c r="Q40" s="22">
        <s:v>16</s:v>
      </s:c>
      <s:c r="R40" s="22"/>
      <s:c r="S40" s="22"/>
      <s:c r="T40" s="22"/>
      <s:c r="U40" s="22"/>
      <s:c r="V40" s="22"/>
      <s:c r="W40" s="22"/>
      <s:c r="X40" s="22"/>
      <s:c r="Y40" s="22"/>
      <s:c r="Z40" s="22"/>
      <s:c r="AA40" s="22"/>
      <s:c r="AB40" s="22"/>
      <s:c r="AC40" s="22"/>
      <s:c r="AD40" s="22">
        <s:v>3</s:v>
      </s:c>
      <s:c r="AE40" s="22">
        <s:v>1.25</s:v>
      </s:c>
      <s:c r="AF40" s="22">
        <s:v>2.25</s:v>
      </s:c>
      <s:c r="AG40" s="23"/>
      <s:c r="AH40" s="24"/>
      <s:c r="AI40" s="24"/>
      <s:c r="AJ40" s="24"/>
      <s:c r="AK40" s="24"/>
      <s:c r="AL40" s="25"/>
      <s:c r="AM40" s="26"/>
      <s:c r="AN40" s="26"/>
      <s:c r="AO40" s="26"/>
      <s:c r="AP40" s="26"/>
      <s:c r="AQ40" s="26"/>
      <s:c r="AR40" s="26"/>
      <s:c r="AS40" s="26"/>
      <s:c r="AT40" s="26"/>
      <s:c r="AU40" s="26"/>
      <s:c r="AV40" s="52">
        <s:f>B40*B103+C40*C103+D40*D103+E40*E103+F40*F103+G40*G103+H40*H103+I40*I103+J40*J103+K40*K103+L40*L103+AT40*AT104+AU104*AU40+M40*M103+N40*N103+O40*O103+P40*P103+Q40*Q103+R40*R103+S40*S103+T40*T103+U40*U103+V40*V103+W40*W103+X40*X103+Y40*Y103+Z40*Z103+AA40*AA103+AB40*AB103+AC40*AC103+AD40*AD103+AE40*AE103+AF40*AF103+AG40*AG103+AH40*AH103+AI40*AI103+AJ40*AJ103+AK40*AK103+AL40*AL103+AM40*AM103+AN40*AN103+AO40*AO103+AP40*AP103+AQ40*AQ103+AR40*AR103+AS40*AS103+AT40*AT103+AU40*AU103</s:f>
        <s:v>0</s:v>
      </s:c>
    </s:row>
    <s:row r="41" ht="18.75">
      <s:c r="A41" s="31" t="s">
        <s:v>43</s:v>
      </s:c>
      <s:c r="B41" s="27"/>
      <s:c r="C41" s="27"/>
      <s:c r="D41" s="27"/>
      <s:c r="E41" s="27"/>
      <s:c r="F41" s="27"/>
      <s:c r="G41" s="27"/>
      <s:c r="H41" s="27"/>
      <s:c r="I41" s="27"/>
      <s:c r="J41" s="27"/>
      <s:c r="K41" s="27"/>
      <s:c r="L41" s="27"/>
      <s:c r="M41" s="22"/>
      <s:c r="N41" s="22"/>
      <s:c r="O41" s="22"/>
      <s:c r="P41" s="22"/>
      <s:c r="Q41" s="22"/>
      <s:c r="R41" s="22"/>
      <s:c r="S41" s="22"/>
      <s:c r="T41" s="22"/>
      <s:c r="U41" s="22"/>
      <s:c r="V41" s="22"/>
      <s:c r="W41" s="22"/>
      <s:c r="X41" s="22"/>
      <s:c r="Y41" s="22"/>
      <s:c r="Z41" s="22"/>
      <s:c r="AA41" s="22"/>
      <s:c r="AB41" s="22"/>
      <s:c r="AC41" s="22"/>
      <s:c r="AD41" s="22"/>
      <s:c r="AE41" s="22"/>
      <s:c r="AF41" s="22"/>
      <s:c r="AG41" s="23"/>
      <s:c r="AH41" s="24"/>
      <s:c r="AI41" s="24"/>
      <s:c r="AJ41" s="24"/>
      <s:c r="AK41" s="24"/>
      <s:c r="AL41" s="25"/>
      <s:c r="AM41" s="26"/>
      <s:c r="AN41" s="26"/>
      <s:c r="AO41" s="26"/>
      <s:c r="AP41" s="26"/>
      <s:c r="AQ41" s="26"/>
      <s:c r="AR41" s="26"/>
      <s:c r="AS41" s="26"/>
      <s:c r="AT41" s="26"/>
      <s:c r="AU41" s="26"/>
      <s:c r="AV41" s="52">
        <s:f>B41*B104+C41*C104+D41*D104+E41*E104+F41*F104+G41*G104+H41*H104+I41*I104+J41*J104+K41*K104+L41*L104+AT41*AT105+AU105*AU41+M41*M104+N41*N104+O41*O104+P41*P104+Q41*Q104+R41*R104+S41*S104+T41*T104+U41*U104+V41*V104+W41*W104+X41*X104+Y41*Y104+Z41*Z104+AA41*AA104+AB41*AB104+AC41*AC104+AD41*AD104+AE41*AE104+AF41*AF104+AG41*AG104+AH41*AH104+AI41*AI104+AJ41*AJ104+AK41*AK104+AL41*AL104+AM41*AM104+AN41*AN104+AO41*AO104+AP41*AP104+AQ41*AQ104+AR41*AR104+AS41*AS104+AT41*AT104+AU41*AU104</s:f>
        <s:v>0</s:v>
      </s:c>
    </s:row>
    <s:row r="42" ht="18.75">
      <s:c r="A42" s="31" t="s">
        <s:v>112</s:v>
      </s:c>
      <s:c r="B42" s="27"/>
      <s:c r="C42" s="27"/>
      <s:c r="D42" s="27"/>
      <s:c r="E42" s="27"/>
      <s:c r="F42" s="27"/>
      <s:c r="G42" s="27"/>
      <s:c r="H42" s="27"/>
      <s:c r="I42" s="27"/>
      <s:c r="J42" s="27"/>
      <s:c r="K42" s="27"/>
      <s:c r="L42" s="27"/>
      <s:c r="M42" s="22"/>
      <s:c r="N42" s="22"/>
      <s:c r="O42" s="22"/>
      <s:c r="P42" s="22"/>
      <s:c r="Q42" s="22"/>
      <s:c r="R42" s="22"/>
      <s:c r="S42" s="22"/>
      <s:c r="T42" s="22"/>
      <s:c r="U42" s="22"/>
      <s:c r="V42" s="22"/>
      <s:c r="W42" s="22"/>
      <s:c r="X42" s="22"/>
      <s:c r="Y42" s="22"/>
      <s:c r="Z42" s="22"/>
      <s:c r="AA42" s="22"/>
      <s:c r="AB42" s="22"/>
      <s:c r="AC42" s="22"/>
      <s:c r="AD42" s="22"/>
      <s:c r="AE42" s="22"/>
      <s:c r="AF42" s="22"/>
      <s:c r="AG42" s="23"/>
      <s:c r="AH42" s="24"/>
      <s:c r="AI42" s="24"/>
      <s:c r="AJ42" s="24"/>
      <s:c r="AK42" s="24"/>
      <s:c r="AL42" s="25"/>
      <s:c r="AM42" s="26"/>
      <s:c r="AN42" s="26"/>
      <s:c r="AO42" s="26"/>
      <s:c r="AP42" s="26"/>
      <s:c r="AQ42" s="26"/>
      <s:c r="AR42" s="26"/>
      <s:c r="AS42" s="26"/>
      <s:c r="AT42" s="26"/>
      <s:c r="AU42" s="26"/>
      <s:c r="AV42" s="52">
        <s:f>B42*B105+C42*C105+D42*D105+E42*E105+F42*F105+G42*G105+H42*H105+I42*I105+J42*J105+K42*K105+L42*L105+AT42*AT106+AU106*AU42+M42*M105+N42*N105+O42*O105+P42*P105+Q42*Q105+R42*R105+S42*S105+T42*T105+U42*U105+V42*V105+W42*W105+X42*X105+Y42*Y105+Z42*Z105+AA42*AA105+AB42*AB105+AC42*AC105+AD42*AD105+AE42*AE105+AF42*AF105+AG42*AG105+AH42*AH105+AI42*AI105+AJ42*AJ105+AK42*AK105+AL42*AL105+AM42*AM105+AN42*AN105+AO42*AO105+AP42*AP105+AQ42*AQ105+AR42*AR105+AS42*AS105+AT42*AT105+AU42*AU105</s:f>
        <s:v>0</s:v>
      </s:c>
    </s:row>
    <s:row r="43" ht="18.75">
      <s:c r="A43" s="31" t="s">
        <s:v>0</s:v>
      </s:c>
      <s:c r="B43" s="27"/>
      <s:c r="C43" s="27"/>
      <s:c r="D43" s="27"/>
      <s:c r="E43" s="27"/>
      <s:c r="F43" s="27"/>
      <s:c r="G43" s="27"/>
      <s:c r="H43" s="27"/>
      <s:c r="I43" s="27"/>
      <s:c r="J43" s="27"/>
      <s:c r="K43" s="27"/>
      <s:c r="L43" s="27"/>
      <s:c r="M43" s="22"/>
      <s:c r="N43" s="22"/>
      <s:c r="O43" s="22"/>
      <s:c r="P43" s="22"/>
      <s:c r="Q43" s="22"/>
      <s:c r="R43" s="22"/>
      <s:c r="S43" s="22"/>
      <s:c r="T43" s="22"/>
      <s:c r="U43" s="22"/>
      <s:c r="V43" s="22"/>
      <s:c r="W43" s="22"/>
      <s:c r="X43" s="22"/>
      <s:c r="Y43" s="22"/>
      <s:c r="Z43" s="22"/>
      <s:c r="AA43" s="22"/>
      <s:c r="AB43" s="22"/>
      <s:c r="AC43" s="22"/>
      <s:c r="AD43" s="22"/>
      <s:c r="AE43" s="22"/>
      <s:c r="AF43" s="22"/>
      <s:c r="AG43" s="23"/>
      <s:c r="AH43" s="24"/>
      <s:c r="AI43" s="24"/>
      <s:c r="AJ43" s="24"/>
      <s:c r="AK43" s="24"/>
      <s:c r="AL43" s="25"/>
      <s:c r="AM43" s="26"/>
      <s:c r="AN43" s="26"/>
      <s:c r="AO43" s="26"/>
      <s:c r="AP43" s="26"/>
      <s:c r="AQ43" s="26"/>
      <s:c r="AR43" s="26"/>
      <s:c r="AS43" s="26"/>
      <s:c r="AT43" s="26"/>
      <s:c r="AU43" s="26"/>
      <s:c r="AV43" s="52">
        <s:f>B43*B106+C43*C106+D43*D106+E43*E106+F43*F106+G43*G106+H43*H106+I43*I106+J43*J106+K43*K106+L43*L106+AT43*AT107+AU107*AU43+M43*M106+N43*N106+O43*O106+P43*P106+Q43*Q106+R43*R106+S43*S106+T43*T106+U43*U106+V43*V106+W43*W106+X43*X106+Y43*Y106+Z43*Z106+AA43*AA106+AB43*AB106+AC43*AC106+AD43*AD106+AE43*AE106+AF43*AF106+AG43*AG106+AH43*AH106+AI43*AI106+AJ43*AJ106+AK43*AK106+AL43*AL106+AM43*AM106+AN43*AN106+AO43*AO106+AP43*AP106+AQ43*AQ106+AR43*AR106+AS43*AS106+AT43*AT106+AU43*AU106</s:f>
        <s:v>0</s:v>
      </s:c>
    </s:row>
    <s:row r="44" ht="18.75">
      <s:c r="A44" s="31" t="s">
        <s:v>58</s:v>
      </s:c>
      <s:c r="B44" s="49"/>
      <s:c r="C44" s="49"/>
      <s:c r="D44" s="49"/>
      <s:c r="E44" s="49"/>
      <s:c r="F44" s="49"/>
      <s:c r="G44" s="49"/>
      <s:c r="H44" s="49"/>
      <s:c r="I44" s="49"/>
      <s:c r="J44" s="49"/>
      <s:c r="K44" s="49"/>
      <s:c r="L44" s="49"/>
      <s:c r="M44" s="22"/>
      <s:c r="N44" s="22"/>
      <s:c r="O44" s="22"/>
      <s:c r="P44" s="22"/>
      <s:c r="Q44" s="22"/>
      <s:c r="R44" s="22"/>
      <s:c r="S44" s="22"/>
      <s:c r="T44" s="22"/>
      <s:c r="U44" s="22"/>
      <s:c r="V44" s="22"/>
      <s:c r="W44" s="22"/>
      <s:c r="X44" s="22"/>
      <s:c r="Y44" s="22"/>
      <s:c r="Z44" s="22"/>
      <s:c r="AA44" s="22"/>
      <s:c r="AB44" s="22"/>
      <s:c r="AC44" s="22"/>
      <s:c r="AD44" s="22"/>
      <s:c r="AE44" s="22"/>
      <s:c r="AF44" s="22"/>
      <s:c r="AG44" s="23"/>
      <s:c r="AH44" s="24"/>
      <s:c r="AI44" s="24"/>
      <s:c r="AJ44" s="24"/>
      <s:c r="AK44" s="24"/>
      <s:c r="AL44" s="50"/>
      <s:c r="AM44" s="51"/>
      <s:c r="AN44" s="51"/>
      <s:c r="AO44" s="51"/>
      <s:c r="AP44" s="51"/>
      <s:c r="AQ44" s="51"/>
      <s:c r="AR44" s="51"/>
      <s:c r="AS44" s="51"/>
      <s:c r="AT44" s="51"/>
      <s:c r="AU44" s="51"/>
      <s:c r="AV44" s="52">
        <s:f>B44*B107+C44*C107+D44*D107+E44*E107+F44*F107+G44*G107+H44*H107+I44*I107+J44*J107+K44*K107+L44*L107+AT44*AT108+AU108*AU44+M44*M107+N44*N107+O44*O107+P44*P107+Q44*Q107+R44*R107+S44*S107+T44*T107+U44*U107+V44*V107+W44*W107+X44*X107+Y44*Y107+Z44*Z107+AA44*AA107+AB44*AB107+AC44*AC107+AD44*AD107+AE44*AE107+AF44*AF107+AG44*AG107+AH44*AH107+AI44*AI107+AJ44*AJ107+AK44*AK107+AL44*AL107+AM44*AM107+AN44*AN107+AO44*AO107+AP44*AP107+AQ44*AQ107+AR44*AR107+AS44*AS107+AT44*AT107+AU44*AU107</s:f>
        <s:v>0</s:v>
      </s:c>
    </s:row>
    <s:row r="45" ht="18.75">
      <s:c r="A45" s="31" t="s">
        <s:v>39</s:v>
      </s:c>
      <s:c r="B45" s="27"/>
      <s:c r="C45" s="27"/>
      <s:c r="D45" s="27"/>
      <s:c r="E45" s="27"/>
      <s:c r="F45" s="27"/>
      <s:c r="G45" s="27"/>
      <s:c r="H45" s="27"/>
      <s:c r="I45" s="27"/>
      <s:c r="J45" s="27"/>
      <s:c r="K45" s="27"/>
      <s:c r="L45" s="27"/>
      <s:c r="M45" s="22"/>
      <s:c r="N45" s="22"/>
      <s:c r="O45" s="22"/>
      <s:c r="P45" s="22"/>
      <s:c r="Q45" s="22"/>
      <s:c r="R45" s="22"/>
      <s:c r="S45" s="22"/>
      <s:c r="T45" s="22"/>
      <s:c r="U45" s="22"/>
      <s:c r="V45" s="22"/>
      <s:c r="W45" s="22"/>
      <s:c r="X45" s="22"/>
      <s:c r="Y45" s="22"/>
      <s:c r="Z45" s="22"/>
      <s:c r="AA45" s="22"/>
      <s:c r="AB45" s="22"/>
      <s:c r="AC45" s="22"/>
      <s:c r="AD45" s="22"/>
      <s:c r="AE45" s="22"/>
      <s:c r="AF45" s="22"/>
      <s:c r="AG45" s="23"/>
      <s:c r="AH45" s="24"/>
      <s:c r="AI45" s="24"/>
      <s:c r="AJ45" s="24"/>
      <s:c r="AK45" s="24"/>
      <s:c r="AL45" s="25"/>
      <s:c r="AM45" s="26"/>
      <s:c r="AN45" s="26"/>
      <s:c r="AO45" s="26"/>
      <s:c r="AP45" s="26"/>
      <s:c r="AQ45" s="26"/>
      <s:c r="AR45" s="26"/>
      <s:c r="AS45" s="26"/>
      <s:c r="AT45" s="26"/>
      <s:c r="AU45" s="26"/>
      <s:c r="AV45" s="52">
        <s:f>B45*B108+C45*C108+D45*D108+E45*E108+F45*F108+G45*G108+H45*H108+I45*I108+J45*J108+K45*K108+L45*L108+AT45*AT109+AU109*AU45+M45*M108+N45*N108+O45*O108+P45*P108+Q45*Q108+R45*R108+S45*S108+T45*T108+U45*U108+V45*V108+W45*W108+X45*X108+Y45*Y108+Z45*Z108+AA45*AA108+AB45*AB108+AC45*AC108+AD45*AD108+AE45*AE108+AF45*AF108+AG45*AG108+AH45*AH108+AI45*AI108+AJ45*AJ108+AK45*AK108+AL45*AL108+AM45*AM108+AN45*AN108+AO45*AO108+AP45*AP108+AQ45*AQ108+AR45*AR108+AS45*AS108+AT45*AT108+AU45*AU108</s:f>
        <s:v>0</s:v>
      </s:c>
    </s:row>
    <s:row r="46" ht="18.75">
      <s:c r="A46" s="31" t="s">
        <s:v>53</s:v>
      </s:c>
      <s:c r="B46" s="49"/>
      <s:c r="C46" s="49"/>
      <s:c r="D46" s="49"/>
      <s:c r="E46" s="49"/>
      <s:c r="F46" s="49"/>
      <s:c r="G46" s="49"/>
      <s:c r="H46" s="49"/>
      <s:c r="I46" s="49"/>
      <s:c r="J46" s="49"/>
      <s:c r="K46" s="49"/>
      <s:c r="L46" s="49"/>
      <s:c r="M46" s="22"/>
      <s:c r="N46" s="22"/>
      <s:c r="O46" s="22"/>
      <s:c r="P46" s="22"/>
      <s:c r="Q46" s="22"/>
      <s:c r="R46" s="22"/>
      <s:c r="S46" s="22"/>
      <s:c r="T46" s="22"/>
      <s:c r="U46" s="22"/>
      <s:c r="V46" s="22"/>
      <s:c r="W46" s="22"/>
      <s:c r="X46" s="22"/>
      <s:c r="Y46" s="22"/>
      <s:c r="Z46" s="22"/>
      <s:c r="AA46" s="22"/>
      <s:c r="AB46" s="22"/>
      <s:c r="AC46" s="22"/>
      <s:c r="AD46" s="22"/>
      <s:c r="AE46" s="22"/>
      <s:c r="AF46" s="22"/>
      <s:c r="AG46" s="23"/>
      <s:c r="AH46" s="24"/>
      <s:c r="AI46" s="24"/>
      <s:c r="AJ46" s="24"/>
      <s:c r="AK46" s="24"/>
      <s:c r="AL46" s="50"/>
      <s:c r="AM46" s="51"/>
      <s:c r="AN46" s="51"/>
      <s:c r="AO46" s="51"/>
      <s:c r="AP46" s="51"/>
      <s:c r="AQ46" s="51"/>
      <s:c r="AR46" s="51"/>
      <s:c r="AS46" s="51"/>
      <s:c r="AT46" s="51"/>
      <s:c r="AU46" s="51"/>
      <s:c r="AV46" s="52">
        <s:f>B46*B109+C46*C109+D46*D109+E46*E109+F46*F109+G46*G109+H46*H109+I46*I109+J46*J109+K46*K109+L46*L109+AT46*AT110+AU110*AU46+M46*M109+N46*N109+O46*O109+P46*P109+Q46*Q109+R46*R109+S46*S109+T46*T109+U46*U109+V46*V109+W46*W109+X46*X109+Y46*Y109+Z46*Z109+AA46*AA109+AB46*AB109+AC46*AC109+AD46*AD109+AE46*AE109+AF46*AF109+AG46*AG109+AH46*AH109+AI46*AI109+AJ46*AJ109+AK46*AK109+AL46*AL109+AM46*AM109+AN46*AN109+AO46*AO109+AP46*AP109+AQ46*AQ109+AR46*AR109+AS46*AS109+AT46*AT109+AU46*AU109</s:f>
        <s:v>0</s:v>
      </s:c>
    </s:row>
    <s:row r="47" ht="18.75">
      <s:c r="A47" s="31" t="s">
        <s:v>85</s:v>
      </s:c>
      <s:c r="B47" s="27">
        <s:v>55.125</s:v>
      </s:c>
      <s:c r="C47" s="27"/>
      <s:c r="D47" s="27"/>
      <s:c r="E47" s="27"/>
      <s:c r="F47" s="27"/>
      <s:c r="G47" s="27"/>
      <s:c r="H47" s="27"/>
      <s:c r="I47" s="27"/>
      <s:c r="J47" s="27"/>
      <s:c r="K47" s="27"/>
      <s:c r="L47" s="27"/>
      <s:c r="M47" s="22"/>
      <s:c r="N47" s="22"/>
      <s:c r="O47" s="22"/>
      <s:c r="P47" s="22"/>
      <s:c r="Q47" s="22"/>
      <s:c r="R47" s="22"/>
      <s:c r="S47" s="22">
        <s:v>29.4</s:v>
      </s:c>
      <s:c r="T47" s="22"/>
      <s:c r="U47" s="22"/>
      <s:c r="V47" s="22"/>
      <s:c r="W47" s="22"/>
      <s:c r="X47" s="22"/>
      <s:c r="Y47" s="22"/>
      <s:c r="Z47" s="22">
        <s:v>17.5</s:v>
      </s:c>
      <s:c r="AA47" s="22"/>
      <s:c r="AB47" s="28"/>
      <s:c r="AC47" s="22"/>
      <s:c r="AD47" s="22"/>
      <s:c r="AE47" s="22"/>
      <s:c r="AF47" s="22"/>
      <s:c r="AG47" s="23"/>
      <s:c r="AH47" s="24"/>
      <s:c r="AI47" s="24"/>
      <s:c r="AJ47" s="24">
        <s:v>16.72</s:v>
      </s:c>
      <s:c r="AK47" s="24"/>
      <s:c r="AL47" s="25"/>
      <s:c r="AM47" s="26"/>
      <s:c r="AN47" s="26"/>
      <s:c r="AO47" s="26"/>
      <s:c r="AP47" s="26"/>
      <s:c r="AQ47" s="26"/>
      <s:c r="AR47" s="26"/>
      <s:c r="AS47" s="26"/>
      <s:c r="AT47" s="26"/>
      <s:c r="AU47" s="26"/>
      <s:c r="AV47" s="52">
        <s:f>B47*B110+C47*C110+D47*D110+E47*E110+F47*F110+G47*G110+H47*H110+I47*I110+J47*J110+K47*K110+L47*L110+AT47*AT111+AU111*AU47+M47*M110+N47*N110+O47*O110+P47*P110+Q47*Q110+R47*R110+S47*S110+T47*T110+U47*U110+V47*V110+W47*W110+X47*X110+Y47*Y110+Z47*Z110+AA47*AA110+AB47*AB110+AC47*AC110+AD47*AD110+AE47*AE110+AF47*AF110+AG47*AG110+AH47*AH110+AI47*AI110+AJ47*AJ110+AK47*AK110+AL47*AL110+AM47*AM110+AN47*AN110+AO47*AO110+AP47*AP110+AQ47*AQ110+AR47*AR110+AS47*AS110+AT47*AT110+AU47*AU110</s:f>
        <s:v>16484625</s:v>
      </s:c>
      <s:c r="AW47" t="s">
        <s:v>113</s:v>
      </s:c>
    </s:row>
    <s:row r="48" ht="18.75">
      <s:c r="A48" s="31" t="s">
        <s:v>74</s:v>
      </s:c>
      <s:c r="B48" s="27"/>
      <s:c r="C48" s="27"/>
      <s:c r="D48" s="27"/>
      <s:c r="E48" s="27"/>
      <s:c r="F48" s="27"/>
      <s:c r="G48" s="27"/>
      <s:c r="H48" s="27"/>
      <s:c r="I48" s="27"/>
      <s:c r="J48" s="27"/>
      <s:c r="K48" s="27"/>
      <s:c r="L48" s="27"/>
      <s:c r="M48" s="22"/>
      <s:c r="N48" s="22"/>
      <s:c r="O48" s="22"/>
      <s:c r="P48" s="22"/>
      <s:c r="Q48" s="22"/>
      <s:c r="R48" s="22"/>
      <s:c r="S48" s="22"/>
      <s:c r="T48" s="22"/>
      <s:c r="U48" s="22"/>
      <s:c r="V48" s="22"/>
      <s:c r="W48" s="22"/>
      <s:c r="X48" s="22"/>
      <s:c r="Y48" s="22"/>
      <s:c r="Z48" s="22"/>
      <s:c r="AA48" s="22"/>
      <s:c r="AB48" s="22"/>
      <s:c r="AC48" s="22"/>
      <s:c r="AD48" s="22"/>
      <s:c r="AE48" s="22"/>
      <s:c r="AF48" s="22"/>
      <s:c r="AG48" s="23"/>
      <s:c r="AH48" s="24"/>
      <s:c r="AI48" s="24"/>
      <s:c r="AJ48" s="24"/>
      <s:c r="AK48" s="24"/>
      <s:c r="AL48" s="25"/>
      <s:c r="AM48" s="26"/>
      <s:c r="AN48" s="26"/>
      <s:c r="AO48" s="26"/>
      <s:c r="AP48" s="26"/>
      <s:c r="AQ48" s="26"/>
      <s:c r="AR48" s="26"/>
      <s:c r="AS48" s="26"/>
      <s:c r="AT48" s="26"/>
      <s:c r="AU48" s="26"/>
      <s:c r="AV48" s="52">
        <s:f>B48*B111+C48*C111+D48*D111+E48*E111+F48*F111+G48*G111+H48*H111+I48*I111+J48*J111+K48*K111+L48*L111+AT48*AT112+AU112*AU48+M48*M111+N48*N111+O48*O111+P48*P111+Q48*Q111+R48*R111+S48*S111+T48*T111+U48*U111+V48*V111+W48*W111+X48*X111+Y48*Y111+Z48*Z111+AA48*AA111+AB48*AB111+AC48*AC111+AD48*AD111+AE48*AE111+AF48*AF111+AG48*AG111+AH48*AH111+AI48*AI111+AJ48*AJ111+AK48*AK111+AL48*AL111+AM48*AM111+AN48*AN111+AO48*AO111+AP48*AP111+AQ48*AQ111+AR48*AR111+AS48*AS111+AT48*AT111+AU48*AU111</s:f>
        <s:v>0</s:v>
      </s:c>
    </s:row>
    <s:row r="49" ht="18.75">
      <s:c r="A49" s="31" t="s">
        <s:v>63</s:v>
      </s:c>
      <s:c r="B49" s="27"/>
      <s:c r="C49" s="27"/>
      <s:c r="D49" s="27"/>
      <s:c r="E49" s="27"/>
      <s:c r="F49" s="27"/>
      <s:c r="G49" s="27"/>
      <s:c r="H49" s="27"/>
      <s:c r="I49" s="27"/>
      <s:c r="J49" s="27"/>
      <s:c r="K49" s="27"/>
      <s:c r="L49" s="27"/>
      <s:c r="M49" s="22"/>
      <s:c r="N49" s="22"/>
      <s:c r="O49" s="22"/>
      <s:c r="P49" s="22"/>
      <s:c r="Q49" s="22"/>
      <s:c r="R49" s="22"/>
      <s:c r="S49" s="22"/>
      <s:c r="T49" s="22"/>
      <s:c r="U49" s="22"/>
      <s:c r="V49" s="22"/>
      <s:c r="W49" s="22"/>
      <s:c r="X49" s="22"/>
      <s:c r="Y49" s="22"/>
      <s:c r="Z49" s="22"/>
      <s:c r="AA49" s="22"/>
      <s:c r="AB49" s="22"/>
      <s:c r="AC49" s="22"/>
      <s:c r="AD49" s="22"/>
      <s:c r="AE49" s="22"/>
      <s:c r="AF49" s="22"/>
      <s:c r="AG49" s="23"/>
      <s:c r="AH49" s="24"/>
      <s:c r="AI49" s="24"/>
      <s:c r="AJ49" s="24"/>
      <s:c r="AK49" s="24"/>
      <s:c r="AL49" s="25"/>
      <s:c r="AM49" s="26"/>
      <s:c r="AN49" s="26"/>
      <s:c r="AO49" s="26"/>
      <s:c r="AP49" s="26"/>
      <s:c r="AQ49" s="26"/>
      <s:c r="AR49" s="26"/>
      <s:c r="AS49" s="26"/>
      <s:c r="AT49" s="26"/>
      <s:c r="AU49" s="26"/>
      <s:c r="AV49" s="52">
        <s:f>B49*B112+C49*C112+D49*D112+E49*E112+F49*F112+G49*G112+H49*H112+I49*I112+J49*J112+K49*K112+L49*L112+AT49*AT113+AU113*AU49+M49*M112+N49*N112+O49*O112+P49*P112+Q49*Q112+R49*R112+S49*S112+T49*T112+U49*U112+V49*V112+W49*W112+X49*X112+Y49*Y112+Z49*Z112+AA49*AA112+AB49*AB112+AC49*AC112+AD49*AD112+AE49*AE112+AF49*AF112+AG49*AG112+AH49*AH112+AI49*AI112+AJ49*AJ112+AK49*AK112+AL49*AL112+AM49*AM112+AN49*AN112+AO49*AO112+AP49*AP112+AQ49*AQ112+AR49*AR112+AS49*AS112+AT49*AT112+AU49*AU112</s:f>
        <s:v>0</s:v>
      </s:c>
    </s:row>
    <s:row r="50" ht="18.75">
      <s:c r="A50" s="31" t="s">
        <s:v>87</s:v>
      </s:c>
      <s:c r="B50" s="49"/>
      <s:c r="C50" s="27"/>
      <s:c r="D50" s="49"/>
      <s:c r="E50" s="49"/>
      <s:c r="F50" s="49"/>
      <s:c r="G50" s="49"/>
      <s:c r="H50" s="49"/>
      <s:c r="I50" s="49"/>
      <s:c r="J50" s="49"/>
      <s:c r="K50" s="49"/>
      <s:c r="L50" s="49"/>
      <s:c r="M50" s="22"/>
      <s:c r="N50" s="22"/>
      <s:c r="O50" s="22"/>
      <s:c r="P50" s="22"/>
      <s:c r="Q50" s="22"/>
      <s:c r="R50" s="22"/>
      <s:c r="S50" s="22"/>
      <s:c r="T50" s="22"/>
      <s:c r="U50" s="22"/>
      <s:c r="V50" s="22"/>
      <s:c r="W50" s="22"/>
      <s:c r="X50" s="22"/>
      <s:c r="Y50" s="22"/>
      <s:c r="Z50" s="22"/>
      <s:c r="AA50" s="22"/>
      <s:c r="AB50" s="22"/>
      <s:c r="AC50" s="22"/>
      <s:c r="AD50" s="22"/>
      <s:c r="AE50" s="22"/>
      <s:c r="AF50" s="22"/>
      <s:c r="AG50" s="23"/>
      <s:c r="AH50" s="24"/>
      <s:c r="AI50" s="24"/>
      <s:c r="AJ50" s="24"/>
      <s:c r="AK50" s="24"/>
      <s:c r="AL50" s="50"/>
      <s:c r="AM50" s="51"/>
      <s:c r="AN50" s="51"/>
      <s:c r="AO50" s="51"/>
      <s:c r="AP50" s="51"/>
      <s:c r="AQ50" s="51"/>
      <s:c r="AR50" s="51"/>
      <s:c r="AS50" s="51"/>
      <s:c r="AT50" s="51"/>
      <s:c r="AU50" s="51"/>
      <s:c r="AV50" s="52">
        <s:f>B50*B113+C50*C113+D50*D113+E50*E113+F50*F113+G50*G113+H50*H113+I50*I113+J50*J113+K50*K113+L50*L113+AT50*AT114+AU114*AU50+M50*M113+N50*N113+O50*O113+P50*P113+Q50*Q113+R50*R113+S50*S113+T50*T113+U50*U113+V50*V113+W50*W113+X50*X113+Y50*Y113+Z50*Z113+AA50*AA113+AB50*AB113+AC50*AC113+AD50*AD113+AE50*AE113+AF50*AF113+AG50*AG113+AH50*AH113+AI50*AI113+AJ50*AJ113+AK50*AK113+AL50*AL113+AM50*AM113+AN50*AN113+AO50*AO113+AP50*AP113+AQ50*AQ113+AR50*AR113+AS50*AS113+AT50*AT113+AU50*AU113</s:f>
        <s:v>0</s:v>
      </s:c>
    </s:row>
    <s:row r="51" ht="18.75">
      <s:c r="A51" s="31" t="s">
        <s:v>126</s:v>
      </s:c>
      <s:c r="B51" s="27"/>
      <s:c r="C51" s="27"/>
      <s:c r="D51" s="27">
        <s:v>38</s:v>
      </s:c>
      <s:c r="E51" s="27"/>
      <s:c r="F51" s="27"/>
      <s:c r="G51" s="27"/>
      <s:c r="H51" s="27"/>
      <s:c r="I51" s="27"/>
      <s:c r="J51" s="27"/>
      <s:c r="K51" s="27"/>
      <s:c r="L51" s="27"/>
      <s:c r="M51" s="22"/>
      <s:c r="N51" s="22"/>
      <s:c r="O51" s="22"/>
      <s:c r="P51" s="22"/>
      <s:c r="Q51" s="22"/>
      <s:c r="R51" s="22"/>
      <s:c r="S51" s="22"/>
      <s:c r="T51" s="22"/>
      <s:c r="U51" s="22"/>
      <s:c r="V51" s="22"/>
      <s:c r="W51" s="22"/>
      <s:c r="X51" s="22"/>
      <s:c r="Y51" s="22"/>
      <s:c r="Z51" s="22"/>
      <s:c r="AA51" s="22"/>
      <s:c r="AB51" s="22"/>
      <s:c r="AC51" s="22"/>
      <s:c r="AD51" s="22"/>
      <s:c r="AE51" s="22"/>
      <s:c r="AF51" s="22"/>
      <s:c r="AG51" s="23"/>
      <s:c r="AH51" s="24"/>
      <s:c r="AI51" s="24"/>
      <s:c r="AJ51" s="24"/>
      <s:c r="AK51" s="24"/>
      <s:c r="AL51" s="25"/>
      <s:c r="AM51" s="26"/>
      <s:c r="AN51" s="26"/>
      <s:c r="AO51" s="26"/>
      <s:c r="AP51" s="26"/>
      <s:c r="AQ51" s="26"/>
      <s:c r="AR51" s="26"/>
      <s:c r="AS51" s="26"/>
      <s:c r="AT51" s="26"/>
      <s:c r="AU51" s="26"/>
      <s:c r="AV51" s="52">
        <s:f>B51*B114+C51*C114+D51*D114+E51*E114+F51*F114+G51*G114+H51*H114+I51*I114+J51*J114+K51*K114+L51*L114+AT51*AT115+AU115*AU51+M51*M114+N51*N114+O51*O114+P51*P114+Q51*Q114+R51*R114+S51*S114+T51*T114+U51*U114+V51*V114+W51*W114+X51*X114+Y51*Y114+Z51*Z114+AA51*AA114+AB51*AB114+AC51*AC114+AD51*AD114+AE51*AE114+AF51*AF114+AG51*AG114+AH51*AH114+AI51*AI114+AJ51*AJ114+AK51*AK114+AL51*AL114+AM51*AM114+AN51*AN114+AO51*AO114+AP51*AP114+AQ51*AQ114+AR51*AR114+AS51*AS114+AT51*AT114+AU51*AU114</s:f>
        <s:v>1558000</s:v>
      </s:c>
    </s:row>
    <s:row r="52" ht="18.75">
      <s:c r="A52" s="31" t="s">
        <s:v>57</s:v>
      </s:c>
      <s:c r="B52" s="49"/>
      <s:c r="C52" s="49"/>
      <s:c r="D52" s="49"/>
      <s:c r="E52" s="49"/>
      <s:c r="F52" s="49"/>
      <s:c r="G52" s="49"/>
      <s:c r="H52" s="49"/>
      <s:c r="I52" s="49"/>
      <s:c r="J52" s="49"/>
      <s:c r="K52" s="49"/>
      <s:c r="L52" s="49"/>
      <s:c r="M52" s="22"/>
      <s:c r="N52" s="22"/>
      <s:c r="O52" s="22"/>
      <s:c r="P52" s="22"/>
      <s:c r="Q52" s="22"/>
      <s:c r="R52" s="22"/>
      <s:c r="S52" s="22"/>
      <s:c r="T52" s="22"/>
      <s:c r="U52" s="22"/>
      <s:c r="V52" s="22"/>
      <s:c r="W52" s="22"/>
      <s:c r="X52" s="22"/>
      <s:c r="Y52" s="22"/>
      <s:c r="Z52" s="22"/>
      <s:c r="AA52" s="22"/>
      <s:c r="AB52" s="22"/>
      <s:c r="AC52" s="22"/>
      <s:c r="AD52" s="22"/>
      <s:c r="AE52" s="22"/>
      <s:c r="AF52" s="22"/>
      <s:c r="AG52" s="23"/>
      <s:c r="AH52" s="24"/>
      <s:c r="AI52" s="24"/>
      <s:c r="AJ52" s="24"/>
      <s:c r="AK52" s="24"/>
      <s:c r="AL52" s="50"/>
      <s:c r="AM52" s="51"/>
      <s:c r="AN52" s="51"/>
      <s:c r="AO52" s="51"/>
      <s:c r="AP52" s="51"/>
      <s:c r="AQ52" s="51"/>
      <s:c r="AR52" s="51"/>
      <s:c r="AS52" s="51"/>
      <s:c r="AT52" s="51"/>
      <s:c r="AU52" s="51"/>
      <s:c r="AV52" s="52">
        <s:f>B52*B115+C52*C115+D52*D115+E52*E115+F52*F115+G52*G115+H52*H115+I52*I115+J52*J115+K52*K115+L52*L115+AT52*AT116+AU116*AU52+M52*M115+N52*N115+O52*O115+P52*P115+Q52*Q115+R52*R115+S52*S115+T52*T115+U52*U115+V52*V115+W52*W115+X52*X115+Y52*Y115+Z52*Z115+AA52*AA115+AB52*AB115+AC52*AC115+AD52*AD115+AE52*AE115+AF52*AF115+AG52*AG115+AH52*AH115+AI52*AI115+AJ52*AJ115+AK52*AK115+AL52*AL115+AM52*AM115+AN52*AN115+AO52*AO115+AP52*AP115+AQ52*AQ115+AR52*AR115+AS52*AS115+AT52*AT115+AU52*AU115</s:f>
        <s:v>0</s:v>
      </s:c>
    </s:row>
    <s:row r="53" ht="18.75">
      <s:c r="A53" s="31" t="s">
        <s:v>51</s:v>
      </s:c>
      <s:c r="B53" s="27"/>
      <s:c r="C53" s="27"/>
      <s:c r="D53" s="27"/>
      <s:c r="E53" s="27"/>
      <s:c r="F53" s="27"/>
      <s:c r="G53" s="27"/>
      <s:c r="H53" s="27"/>
      <s:c r="I53" s="27"/>
      <s:c r="J53" s="27"/>
      <s:c r="K53" s="27"/>
      <s:c r="L53" s="27"/>
      <s:c r="M53" s="22"/>
      <s:c r="N53" s="22"/>
      <s:c r="O53" s="22"/>
      <s:c r="P53" s="22"/>
      <s:c r="Q53" s="22"/>
      <s:c r="R53" s="22"/>
      <s:c r="S53" s="22"/>
      <s:c r="T53" s="22"/>
      <s:c r="U53" s="22"/>
      <s:c r="V53" s="22"/>
      <s:c r="W53" s="22"/>
      <s:c r="X53" s="22"/>
      <s:c r="Y53" s="22"/>
      <s:c r="Z53" s="22"/>
      <s:c r="AA53" s="22"/>
      <s:c r="AB53" s="22"/>
      <s:c r="AC53" s="22"/>
      <s:c r="AD53" s="22"/>
      <s:c r="AE53" s="22"/>
      <s:c r="AF53" s="22"/>
      <s:c r="AG53" s="23"/>
      <s:c r="AH53" s="24"/>
      <s:c r="AI53" s="24"/>
      <s:c r="AJ53" s="24"/>
      <s:c r="AK53" s="24"/>
      <s:c r="AL53" s="25"/>
      <s:c r="AM53" s="26"/>
      <s:c r="AN53" s="26"/>
      <s:c r="AO53" s="26"/>
      <s:c r="AP53" s="26"/>
      <s:c r="AQ53" s="26"/>
      <s:c r="AR53" s="26"/>
      <s:c r="AS53" s="26"/>
      <s:c r="AT53" s="26"/>
      <s:c r="AU53" s="26"/>
      <s:c r="AV53" s="52">
        <s:f>B53*B116+C53*C116+D53*D116+E53*E116+F53*F116+G53*G116+H53*H116+I53*I116+J53*J116+K53*K116+L53*L116+AT53*AT117+AU117*AU53+M53*M116+N53*N116+O53*O116+P53*P116+Q53*Q116+R53*R116+S53*S116+T53*T116+U53*U116+V53*V116+W53*W116+X53*X116+Y53*Y116+Z53*Z116+AA53*AA116+AB53*AB116+AC53*AC116+AD53*AD116+AE53*AE116+AF53*AF116+AG53*AG116+AH53*AH116+AI53*AI116+AJ53*AJ116+AK53*AK116+AL53*AL116+AM53*AM116+AN53*AN116+AO53*AO116+AP53*AP116+AQ53*AQ116+AR53*AR116+AS53*AS116+AT53*AT116+AU53*AU116</s:f>
        <s:v>0</s:v>
      </s:c>
    </s:row>
    <s:row r="54" ht="18.75">
      <s:c r="A54" s="31" t="s">
        <s:v>49</s:v>
      </s:c>
      <s:c r="B54" s="27"/>
      <s:c r="C54" s="27"/>
      <s:c r="D54" s="27"/>
      <s:c r="E54" s="27"/>
      <s:c r="F54" s="27"/>
      <s:c r="G54" s="27"/>
      <s:c r="H54" s="27"/>
      <s:c r="I54" s="27"/>
      <s:c r="J54" s="27"/>
      <s:c r="K54" s="27"/>
      <s:c r="L54" s="27"/>
      <s:c r="M54" s="22"/>
      <s:c r="N54" s="22"/>
      <s:c r="O54" s="22"/>
      <s:c r="P54" s="22"/>
      <s:c r="Q54" s="22"/>
      <s:c r="R54" s="22"/>
      <s:c r="S54" s="22"/>
      <s:c r="T54" s="22"/>
      <s:c r="U54" s="22"/>
      <s:c r="V54" s="22"/>
      <s:c r="W54" s="22"/>
      <s:c r="X54" s="22"/>
      <s:c r="Y54" s="22"/>
      <s:c r="Z54" s="22"/>
      <s:c r="AA54" s="22"/>
      <s:c r="AB54" s="22"/>
      <s:c r="AC54" s="22"/>
      <s:c r="AD54" s="22"/>
      <s:c r="AE54" s="22"/>
      <s:c r="AF54" s="22"/>
      <s:c r="AG54" s="23"/>
      <s:c r="AH54" s="24"/>
      <s:c r="AI54" s="24"/>
      <s:c r="AJ54" s="24"/>
      <s:c r="AK54" s="24"/>
      <s:c r="AL54" s="25"/>
      <s:c r="AM54" s="26"/>
      <s:c r="AN54" s="26"/>
      <s:c r="AO54" s="26"/>
      <s:c r="AP54" s="26"/>
      <s:c r="AQ54" s="26"/>
      <s:c r="AR54" s="26"/>
      <s:c r="AS54" s="26"/>
      <s:c r="AT54" s="26"/>
      <s:c r="AU54" s="26"/>
      <s:c r="AV54" s="52">
        <s:f>B54*B117+C54*C117+D54*D117+E54*E117+F54*F117+G54*G117+H54*H117+I54*I117+J54*J117+K54*K117+L54*L117+AT54*AT118+AU118*AU54+M54*M117+N54*N117+O54*O117+P54*P117+Q54*Q117+R54*R117+S54*S117+T54*T117+U54*U117+V54*V117+W54*W117+X54*X117+Y54*Y117+Z54*Z117+AA54*AA117+AB54*AB117+AC54*AC117+AD54*AD117+AE54*AE117+AF54*AF117+AG54*AG117+AH54*AH117+AI54*AI117+AJ54*AJ117+AK54*AK117+AL54*AL117+AM54*AM117+AN54*AN117+AO54*AO117+AP54*AP117+AQ54*AQ117+AR54*AR117+AS54*AS117+AT54*AT117+AU54*AU117</s:f>
        <s:v>0</s:v>
      </s:c>
    </s:row>
    <s:row r="55" ht="18.75">
      <s:c r="A55" s="31" t="s">
        <s:v>94</s:v>
      </s:c>
      <s:c r="B55" s="49"/>
      <s:c r="C55" s="49"/>
      <s:c r="D55" s="49"/>
      <s:c r="E55" s="49"/>
      <s:c r="F55" s="49"/>
      <s:c r="G55" s="49"/>
      <s:c r="H55" s="49"/>
      <s:c r="I55" s="49"/>
      <s:c r="J55" s="49"/>
      <s:c r="K55" s="49"/>
      <s:c r="L55" s="49"/>
      <s:c r="M55" s="22"/>
      <s:c r="N55" s="22"/>
      <s:c r="O55" s="22"/>
      <s:c r="P55" s="22"/>
      <s:c r="Q55" s="22"/>
      <s:c r="R55" s="22"/>
      <s:c r="S55" s="22"/>
      <s:c r="T55" s="22"/>
      <s:c r="U55" s="22"/>
      <s:c r="V55" s="22"/>
      <s:c r="W55" s="22"/>
      <s:c r="X55" s="22"/>
      <s:c r="Y55" s="22"/>
      <s:c r="Z55" s="22"/>
      <s:c r="AA55" s="22"/>
      <s:c r="AB55" s="22"/>
      <s:c r="AC55" s="22"/>
      <s:c r="AD55" s="22"/>
      <s:c r="AE55" s="22"/>
      <s:c r="AF55" s="22"/>
      <s:c r="AG55" s="23"/>
      <s:c r="AH55" s="24"/>
      <s:c r="AI55" s="24"/>
      <s:c r="AJ55" s="24"/>
      <s:c r="AK55" s="24"/>
      <s:c r="AL55" s="50"/>
      <s:c r="AM55" s="51"/>
      <s:c r="AN55" s="51"/>
      <s:c r="AO55" s="51"/>
      <s:c r="AP55" s="51"/>
      <s:c r="AQ55" s="51"/>
      <s:c r="AR55" s="51"/>
      <s:c r="AS55" s="51"/>
      <s:c r="AT55" s="51"/>
      <s:c r="AU55" s="51"/>
      <s:c r="AV55" s="52">
        <s:f>B55*B118+C55*C118+D55*D118+E55*E118+F55*F118+G55*G118+H55*H118+I55*I118+J55*J118+K55*K118+L55*L118+AT55*AT119+AU119*AU55+M55*M118+N55*N118+O55*O118+P55*P118+Q55*Q118+R55*R118+S55*S118+T55*T118+U55*U118+V55*V118+W55*W118+X55*X118+Y55*Y118+Z55*Z118+AA55*AA118+AB55*AB118+AC55*AC118+AD55*AD118+AE55*AE118+AF55*AF118+AG55*AG118+AH55*AH118+AI55*AI118+AJ55*AJ118+AK55*AK118+AL55*AL118+AM55*AM118+AN55*AN118+AO55*AO118+AP55*AP118+AQ55*AQ118+AR55*AR118+AS55*AS118+AT55*AT118+AU55*AU118</s:f>
        <s:v>0</s:v>
      </s:c>
    </s:row>
    <s:row r="56" ht="18.75">
      <s:c r="A56" s="31" t="s">
        <s:v>114</s:v>
      </s:c>
      <s:c r="B56" s="49"/>
      <s:c r="C56" s="49"/>
      <s:c r="D56" s="49"/>
      <s:c r="E56" s="49"/>
      <s:c r="F56" s="49"/>
      <s:c r="G56" s="49"/>
      <s:c r="H56" s="49"/>
      <s:c r="I56" s="49"/>
      <s:c r="J56" s="49"/>
      <s:c r="K56" s="49"/>
      <s:c r="L56" s="49"/>
      <s:c r="M56" s="22"/>
      <s:c r="N56" s="22"/>
      <s:c r="O56" s="22"/>
      <s:c r="P56" s="22"/>
      <s:c r="Q56" s="22"/>
      <s:c r="R56" s="22"/>
      <s:c r="S56" s="22"/>
      <s:c r="T56" s="22"/>
      <s:c r="U56" s="22"/>
      <s:c r="V56" s="22"/>
      <s:c r="W56" s="22"/>
      <s:c r="X56" s="22"/>
      <s:c r="Y56" s="22"/>
      <s:c r="Z56" s="22"/>
      <s:c r="AA56" s="22"/>
      <s:c r="AB56" s="22"/>
      <s:c r="AC56" s="22"/>
      <s:c r="AD56" s="22"/>
      <s:c r="AE56" s="22"/>
      <s:c r="AF56" s="22"/>
      <s:c r="AG56" s="23"/>
      <s:c r="AH56" s="24"/>
      <s:c r="AI56" s="24"/>
      <s:c r="AJ56" s="24"/>
      <s:c r="AK56" s="24"/>
      <s:c r="AL56" s="50"/>
      <s:c r="AM56" s="51"/>
      <s:c r="AN56" s="51"/>
      <s:c r="AO56" s="51"/>
      <s:c r="AP56" s="51"/>
      <s:c r="AQ56" s="51"/>
      <s:c r="AR56" s="51"/>
      <s:c r="AS56" s="51"/>
      <s:c r="AT56" s="51"/>
      <s:c r="AU56" s="51"/>
      <s:c r="AV56" s="52">
        <s:f>B56*B119+C56*C119+D56*D119+E56*E119+F56*F119+G56*G119+H56*H119+I56*I119+J56*J119+K56*K119+L56*L119+AT56*AT120+AU120*AU56+M56*M119+N56*N119+O56*O119+P56*P119+Q56*Q119+R56*R119+S56*S119+T56*T119+U56*U119+V56*V119+W56*W119+X56*X119+Y56*Y119+Z56*Z119+AA56*AA119+AB56*AB119+AC56*AC119+AD56*AD119+AE56*AE119+AF56*AF119+AG56*AG119+AH56*AH119+AI56*AI119+AJ56*AJ119+AK56*AK119+AL56*AL119+AM56*AM119+AN56*AN119+AO56*AO119+AP56*AP119+AQ56*AQ119+AR56*AR119+AS56*AS119+AT56*AT119+AU56*AU119</s:f>
        <s:v>0</s:v>
      </s:c>
    </s:row>
    <s:row r="57" ht="18.75">
      <s:c r="A57" s="31" t="s">
        <s:v>115</s:v>
      </s:c>
      <s:c r="B57" s="49"/>
      <s:c r="C57" s="49"/>
      <s:c r="D57" s="49"/>
      <s:c r="E57" s="49"/>
      <s:c r="F57" s="49"/>
      <s:c r="G57" s="49"/>
      <s:c r="H57" s="49"/>
      <s:c r="I57" s="49"/>
      <s:c r="J57" s="49"/>
      <s:c r="K57" s="49"/>
      <s:c r="L57" s="49"/>
      <s:c r="M57" s="22"/>
      <s:c r="N57" s="22"/>
      <s:c r="O57" s="22"/>
      <s:c r="P57" s="22"/>
      <s:c r="Q57" s="22"/>
      <s:c r="R57" s="22"/>
      <s:c r="S57" s="22"/>
      <s:c r="T57" s="22"/>
      <s:c r="U57" s="22"/>
      <s:c r="V57" s="22"/>
      <s:c r="W57" s="22"/>
      <s:c r="X57" s="22"/>
      <s:c r="Y57" s="22"/>
      <s:c r="Z57" s="22"/>
      <s:c r="AA57" s="22"/>
      <s:c r="AB57" s="22"/>
      <s:c r="AC57" s="22"/>
      <s:c r="AD57" s="22"/>
      <s:c r="AE57" s="22"/>
      <s:c r="AF57" s="22"/>
      <s:c r="AG57" s="23"/>
      <s:c r="AH57" s="24"/>
      <s:c r="AI57" s="24"/>
      <s:c r="AJ57" s="24"/>
      <s:c r="AK57" s="24"/>
      <s:c r="AL57" s="50"/>
      <s:c r="AM57" s="51"/>
      <s:c r="AN57" s="51"/>
      <s:c r="AO57" s="51"/>
      <s:c r="AP57" s="51"/>
      <s:c r="AQ57" s="51"/>
      <s:c r="AR57" s="51"/>
      <s:c r="AS57" s="51"/>
      <s:c r="AT57" s="51"/>
      <s:c r="AU57" s="51"/>
      <s:c r="AV57" s="52">
        <s:f>B57*B120+C57*C120+D57*D120+E57*E120+F57*F120+G57*G120+H57*H120+I57*I120+J57*J120+K57*K120+L57*L120+AT57*AT121+AU121*AU57+M57*M120+N57*N120+O57*O120+P57*P120+Q57*Q120+R57*R120+S57*S120+T57*T120+U57*U120+V57*V120+W57*W120+X57*X120+Y57*Y120+Z57*Z120+AA57*AA120+AB57*AB120+AC57*AC120+AD57*AD120+AE57*AE120+AF57*AF120+AG57*AG120+AH57*AH120+AI57*AI120+AJ57*AJ120+AK57*AK120+AL57*AL120+AM57*AM120+AN57*AN120+AO57*AO120+AP57*AP120+AQ57*AQ120+AR57*AR120+AS57*AS120+AT57*AT120+AU57*AU120</s:f>
        <s:v>0</s:v>
      </s:c>
    </s:row>
    <s:row r="58" ht="18.75">
      <s:c r="A58" s="31" t="s">
        <s:v>92</s:v>
      </s:c>
      <s:c r="B58" s="49"/>
      <s:c r="C58" s="49"/>
      <s:c r="D58" s="49"/>
      <s:c r="E58" s="49"/>
      <s:c r="F58" s="49"/>
      <s:c r="G58" s="49"/>
      <s:c r="H58" s="49"/>
      <s:c r="I58" s="49"/>
      <s:c r="J58" s="49"/>
      <s:c r="K58" s="49"/>
      <s:c r="L58" s="49"/>
      <s:c r="M58" s="22"/>
      <s:c r="N58" s="22"/>
      <s:c r="O58" s="22"/>
      <s:c r="P58" s="22"/>
      <s:c r="Q58" s="22"/>
      <s:c r="R58" s="22"/>
      <s:c r="S58" s="22"/>
      <s:c r="T58" s="22"/>
      <s:c r="U58" s="22"/>
      <s:c r="V58" s="22"/>
      <s:c r="W58" s="22"/>
      <s:c r="X58" s="22"/>
      <s:c r="Y58" s="22"/>
      <s:c r="Z58" s="22"/>
      <s:c r="AA58" s="22"/>
      <s:c r="AB58" s="22"/>
      <s:c r="AC58" s="22"/>
      <s:c r="AD58" s="22"/>
      <s:c r="AE58" s="22"/>
      <s:c r="AF58" s="22"/>
      <s:c r="AG58" s="23"/>
      <s:c r="AH58" s="24"/>
      <s:c r="AI58" s="24"/>
      <s:c r="AJ58" s="24"/>
      <s:c r="AK58" s="24"/>
      <s:c r="AL58" s="50"/>
      <s:c r="AM58" s="51"/>
      <s:c r="AN58" s="51"/>
      <s:c r="AO58" s="51"/>
      <s:c r="AP58" s="51"/>
      <s:c r="AQ58" s="51"/>
      <s:c r="AR58" s="51">
        <s:v>0.6</s:v>
      </s:c>
      <s:c r="AS58" s="51"/>
      <s:c r="AT58" s="51"/>
      <s:c r="AU58" s="51"/>
      <s:c r="AV58" s="52">
        <s:f>B58*B121+C58*C121+D58*D121+E58*E121+F58*F121+G58*G121+H58*H121+I58*I121+J58*J121+K58*K121+L58*L121+AT58*AT122+AU122*AU58+M58*M121+N58*N121+O58*O121+P58*P121+Q58*Q121+R58*R121+S58*S121+T58*T121+U58*U121+V58*V121+W58*W121+X58*X121+Y58*Y121+Z58*Z121+AA58*AA121+AB58*AB121+AC58*AC121+AD58*AD121+AE58*AE121+AF58*AF121+AG58*AG121+AH58*AH121+AI58*AI121+AJ58*AJ121+AK58*AK121+AL58*AL121+AM58*AM121+AN58*AN121+AO58*AO121+AP58*AP121+AQ58*AQ121+AR58*AR121+AS58*AS121+AT58*AT121+AU58*AU121</s:f>
        <s:v>198000</s:v>
      </s:c>
    </s:row>
    <s:row r="59" ht="18.75">
      <s:c r="A59" s="53" t="s">
        <s:v>93</s:v>
      </s:c>
      <s:c r="B59" s="54"/>
      <s:c r="C59" s="54"/>
      <s:c r="D59" s="54"/>
      <s:c r="E59" s="54"/>
      <s:c r="F59" s="54"/>
      <s:c r="G59" s="54"/>
      <s:c r="H59" s="54"/>
      <s:c r="I59" s="54"/>
      <s:c r="J59" s="54"/>
      <s:c r="K59" s="54"/>
      <s:c r="L59" s="54"/>
      <s:c r="M59" s="55"/>
      <s:c r="N59" s="55"/>
      <s:c r="O59" s="55"/>
      <s:c r="P59" s="55"/>
      <s:c r="Q59" s="55"/>
      <s:c r="R59" s="55"/>
      <s:c r="S59" s="55"/>
      <s:c r="T59" s="55"/>
      <s:c r="U59" s="55"/>
      <s:c r="V59" s="55"/>
      <s:c r="W59" s="55"/>
      <s:c r="X59" s="55"/>
      <s:c r="Y59" s="55"/>
      <s:c r="Z59" s="55"/>
      <s:c r="AA59" s="55"/>
      <s:c r="AB59" s="55"/>
      <s:c r="AC59" s="55"/>
      <s:c r="AD59" s="55"/>
      <s:c r="AE59" s="55"/>
      <s:c r="AF59" s="55"/>
      <s:c r="AG59" s="23"/>
      <s:c r="AH59" s="24"/>
      <s:c r="AI59" s="24"/>
      <s:c r="AJ59" s="24"/>
      <s:c r="AK59" s="24"/>
      <s:c r="AL59" s="50"/>
      <s:c r="AM59" s="51"/>
      <s:c r="AN59" s="51"/>
      <s:c r="AO59" s="51"/>
      <s:c r="AP59" s="51"/>
      <s:c r="AQ59" s="51"/>
      <s:c r="AR59" s="51"/>
      <s:c r="AS59" s="51"/>
      <s:c r="AT59" s="51"/>
      <s:c r="AU59" s="51"/>
      <s:c r="AV59" s="52">
        <s:f>B59*B122+C59*C122+D59*D122+E59*E122+F59*F122+G59*G122+H59*H122+I59*I122+J59*J122+K59*K122+L59*L122+AT59*AT123+AU123*AU59+M59*M122+N59*N122+O59*O122+P59*P122+Q59*Q122+R59*R122+S59*S122+T59*T122+U59*U122+V59*V122+W59*W122+X59*X122+Y59*Y122+Z59*Z122+AA59*AA122+AB59*AB122+AC59*AC122+AD59*AD122+AE59*AE122+AF59*AF122+AG59*AG122+AH59*AH122+AI59*AI122+AJ59*AJ122+AK59*AK122+AL59*AL122+AM59*AM122+AN59*AN122+AO59*AO122+AP59*AP122+AQ59*AQ122+AR59*AR122+AS59*AS122+AT59*AT122+AU59*AU122</s:f>
        <s:v>0</s:v>
      </s:c>
    </s:row>
    <s:row r="60" ht="18.75">
      <s:c r="A60" s="53" t="s">
        <s:v>125</s:v>
      </s:c>
      <s:c r="B60" s="54"/>
      <s:c r="C60" s="54"/>
      <s:c r="D60" s="54"/>
      <s:c r="E60" s="54"/>
      <s:c r="F60" s="54"/>
      <s:c r="G60" s="54"/>
      <s:c r="H60" s="54"/>
      <s:c r="I60" s="54"/>
      <s:c r="J60" s="54"/>
      <s:c r="K60" s="54"/>
      <s:c r="L60" s="54"/>
      <s:c r="M60" s="55"/>
      <s:c r="N60" s="55"/>
      <s:c r="O60" s="55"/>
      <s:c r="P60" s="55"/>
      <s:c r="Q60" s="55"/>
      <s:c r="R60" s="55"/>
      <s:c r="S60" s="55"/>
      <s:c r="T60" s="55"/>
      <s:c r="U60" s="55"/>
      <s:c r="V60" s="55"/>
      <s:c r="W60" s="55">
        <s:v>0.504</s:v>
      </s:c>
      <s:c r="X60" s="55"/>
      <s:c r="Y60" s="55"/>
      <s:c r="Z60" s="55"/>
      <s:c r="AA60" s="55"/>
      <s:c r="AB60" s="55"/>
      <s:c r="AC60" s="55"/>
      <s:c r="AD60" s="55"/>
      <s:c r="AE60" s="55"/>
      <s:c r="AF60" s="55"/>
      <s:c r="AG60" s="23"/>
      <s:c r="AH60" s="24"/>
      <s:c r="AI60" s="24"/>
      <s:c r="AJ60" s="24"/>
      <s:c r="AK60" s="24"/>
      <s:c r="AL60" s="50"/>
      <s:c r="AM60" s="51"/>
      <s:c r="AN60" s="51"/>
      <s:c r="AO60" s="51"/>
      <s:c r="AP60" s="51"/>
      <s:c r="AQ60" s="51"/>
      <s:c r="AR60" s="51"/>
      <s:c r="AS60" s="51"/>
      <s:c r="AT60" s="51"/>
      <s:c r="AU60" s="51"/>
      <s:c r="AV60" s="52">
        <s:f>B60*B123+C60*C123+D60*D123+E60*E123+F60*F123+G60*G123+H60*H123+I60*I123+J60*J123+K60*K123+L60*L123+AT60*AT124+AU124*AU60+M60*M123+N60*N123+O60*O123+P60*P123+Q60*Q123+R60*R123+S60*S123+T60*T123+U60*U123+V60*V123+W60*W123+X60*X123+Y60*Y123+Z60*Z123+AA60*AA123+AB60*AB123+AC60*AC123+AD60*AD123+AE60*AE123+AF60*AF123+AG60*AG123+AH60*AH123+AI60*AI123+AJ60*AJ123+AK60*AK123+AL60*AL123+AM60*AM123+AN60*AN123+AO60*AO123+AP60*AP123+AQ60*AQ123+AR60*AR123+AS60*AS123+AT60*AT123+AU60*AU123</s:f>
        <s:v>123480</s:v>
      </s:c>
    </s:row>
    <s:row r="61" ht="19.5">
      <s:c r="A61" s="56" t="s">
        <s:v>102</s:v>
      </s:c>
      <s:c r="B61" s="57"/>
      <s:c r="C61" s="57"/>
      <s:c r="D61" s="57"/>
      <s:c r="E61" s="57"/>
      <s:c r="F61" s="57"/>
      <s:c r="G61" s="57"/>
      <s:c r="H61" s="57"/>
      <s:c r="I61" s="57"/>
      <s:c r="J61" s="57"/>
      <s:c r="K61" s="57"/>
      <s:c r="L61" s="57"/>
      <s:c r="M61" s="58"/>
      <s:c r="N61" s="58"/>
      <s:c r="O61" s="58"/>
      <s:c r="P61" s="58"/>
      <s:c r="Q61" s="58"/>
      <s:c r="R61" s="58"/>
      <s:c r="S61" s="58"/>
      <s:c r="T61" s="58"/>
      <s:c r="U61" s="58"/>
      <s:c r="V61" s="58"/>
      <s:c r="W61" s="58"/>
      <s:c r="X61" s="58"/>
      <s:c r="Y61" s="58"/>
      <s:c r="Z61" s="58"/>
      <s:c r="AA61" s="58"/>
      <s:c r="AB61" s="58"/>
      <s:c r="AC61" s="58"/>
      <s:c r="AD61" s="58"/>
      <s:c r="AE61" s="58"/>
      <s:c r="AF61" s="58"/>
      <s:c r="AG61" s="59"/>
      <s:c r="AH61" s="60"/>
      <s:c r="AI61" s="60"/>
      <s:c r="AJ61" s="60"/>
      <s:c r="AK61" s="60"/>
      <s:c r="AL61" s="61"/>
      <s:c r="AM61" s="62"/>
      <s:c r="AN61" s="62"/>
      <s:c r="AO61" s="62"/>
      <s:c r="AP61" s="62"/>
      <s:c r="AQ61" s="62"/>
      <s:c r="AR61" s="62"/>
      <s:c r="AS61" s="62"/>
      <s:c r="AT61" s="62"/>
      <s:c r="AU61" s="62"/>
      <s:c r="AV61" s="52">
        <s:f>B61*B124+C61*C124+D61*D124+E61*E124+F61*F124+G61*G124+H61*H124+I61*I124+J61*J124+K61*K124+L61*L124+AT61*AT125+AU125*AU61+M61*M124+N61*N124+O61*O124+P61*P124+Q61*Q124+R61*R124+S61*S124+T61*T124+U61*U124+V61*V124+W61*W124+X61*X124+Y61*Y124+Z61*Z124+AA61*AA124+AB61*AB124+AC61*AC124+AD61*AD124+AE61*AE124+AF61*AF124+AG61*AG124+AH61*AH124+AI61*AI124+AJ61*AJ124+AK61*AK124+AL61*AL124+AM61*AM124+AN61*AN124+AO61*AO124+AP61*AP124+AQ61*AQ124+AR61*AR124+AS61*AS124+AT61*AT124+AU61*AU124</s:f>
        <s:v>0</s:v>
      </s:c>
      <s:c r="AW61" t="s">
        <s:v>113</s:v>
      </s:c>
    </s:row>
    <s:row x14ac:dyDescent="0.35" r="62" spans="1:49" ht="27.75" customHeight="1" thickBot="1">
      <s:c r="A62" s="63"/>
      <s:c r="B62" s="78">
        <s:f>B5*B68+B6*B69+B7*B70+B8*B71+B9*B72+B10*B73+B11*B74+B12*B75+B13*B76+B14*B77+B15*B78+B16*B79+B17*B80+B18*B81+B19*B82+B20*B83+B21*B84+B22*B85+B23*B86+B24*B87+B25*B88+B26*B89+B27*B90+B28*B91+B29*B92+B31*B94+B32*B95+B33*B96+B34*B97+B35*B98+B36*B99+B37*B100+B38*B102+B39*B103+B40*B104+B41*B105+B43*B106+B44*B107+B45*B108+B46*B109+B47*B110+B48*B111+B49*B112+B50*B113+B51*B114+B52*B115+B53*B116+B54*B117+B55*B118+B56*B119+B57*B120+B58*B121+B59*B122+B60*B123+B61*B124</s:f>
        <s:v>2260125</s:v>
      </s:c>
      <s:c r="C62" s="19">
        <s:f>C42*C105+C5*C68+C6*C69+C7*C70+C8*C71+C9*C72+C10*C73+C11*C74+C12*C75+C13*C76+C14*C77+C15*C78+C16*C79+C17*C80+C18*C81+C19*C82+C20*C83+C21*C84+C22*C85+C23*C86+C24*C87+C25*C88+C26*C89+C27*C90+C28*C91+C29*C92+C31*C94+C32*C95+C33*C96+C34*C97+C35*C98+C36*C99+C37*C100+C38*C102+C39*C103+C40*C104+C41*C105+C43*C106+C44*C107+C45*C108+C46*C109+C47*C110+C48*C111+C49*C112+C50*C113+C51*C114+C52*C115+C53*C116+C54*C117+C55*C118+C56*C119+C57*C120+C58*C121+C59*C122+C60*C123+C61*C124</s:f>
        <s:v>886000</s:v>
      </s:c>
      <s:c r="D62" s="19">
        <s:f>D5*D68+D6*D69+D7*D70+D8*D71+D9*D72+D10*D73+D11*D74+D12*D75+D13*D76+D14*D77+D15*D78+D16*D79+D17*D80+D18*D81+D19*D82+D20*D83+D21*D84+D22*D85+D23*D86+D24*D87+D25*D88+D26*D89+D27*D90+D28*D91+D29*D92+D31*D94+D32*D95+D33*D96+D34*D97+D35*D98+D36*D99+D37*D100+D38*D102+D39*D103+D40*D104+D41*D105+D43*D106+D44*D107+D45*D108+D46*D109+D47*D110+D48*D111+D49*D112+D50*D113+D51*D114+D52*D115+D53*D116+D54*D117+D55*D118+D56*D119+D57*D120+D58*D121+D59*D122+D60*D123+D61*D124</s:f>
        <s:v>9602000</s:v>
      </s:c>
      <s:c r="E62" s="78">
        <s:f>E5*E68+E6*E69+E7*E70+E8*E71+E9*E72+E10*E73+E11*E74+E12*E75+E13*E76+E14*E77+E15*E78+E16*E79+E17*E80+E18*E81+E19*E82+E20*E83+E21*E84+E22*E85+E23*E86+E24*E87+E25*E88+E26*E89+E27*E90+E28*E91+E29*E92+E31*E94+E32*E95+E33*E96+E34*E97+E35*E98+E36*E99+E37*E100+E38*E102+E39*E103+E40*E104+E41*E105+E43*E106+E44*E107+E45*E108+E46*E109+E47*E110+E48*E111+E49*E112+E50*E113+E51*E114+E52*E115+E53*E116+E54*E117+E55*E118+E56*E119+E57*E120+E58*E121+E59*E122+E60*E123+E61*E124</s:f>
        <s:v>0</s:v>
      </s:c>
      <s:c r="F62" s="19">
        <s:f>F5*F68+F6*F69+F7*F70+F8*F71+F9*F72+F10*F73+F11*F74+F12*F75+F13*F76+F14*F77+F15*F78+F16*F79+F17*F80+F18*F81+F19*F82+F20*F83+F21*F84+F22*F85+F23*F86+F24*F87+F25*F88+F26*F89+F27*F90+F28*F91+F29*F92+F31*F94+F32*F95+F33*F96+F34*F97+F35*F98+F36*F99+F37*F100+F38*F102+F39*F103+F40*F104+F41*F105+F43*F106+F44*F107+F45*F108+F46*F109+F47*F110+F48*F111+F49*F112+F50*F113+F51*F114+F52*F115+F53*F116+F54*F117+F55*F118+F56*F119+F57*F120+F58*F121+F59*F122+F60*F123+F61*F124</s:f>
        <s:v>0</s:v>
      </s:c>
      <s:c r="G62" s="19">
        <s:f>G5*G68+G6*G69+G7*G70+G8*G71+G9*G72+G10*G73+G11*G74+G12*G75+G13*G76+G14*G77+G15*G78+G16*G79+G17*G80+G18*G81+G19*G82+G20*G83+G21*G84+G22*G85+G23*G86+G24*G87+G25*G88+G26*G89+G27*G90+G28*G91+G29*G92+G31*G94+G32*G95+G33*G96+G34*G97+G35*G98+G36*G99+G37*G100+G38*G102+G39*G103+G40*G104+G41*G105+G43*G106+G44*G107+G45*G108+G46*G109+G47*G110+G48*G111+G49*G112+G50*G113+G51*G114+G52*G115+G53*G116+G54*G117+G55*G118+G56*G119+G57*G120+G58*G121+G59*G122+G60*G123+G61*G124</s:f>
        <s:v>0</s:v>
      </s:c>
      <s:c r="H62" s="19">
        <s:f>H5*H68+H6*H69+H7*H70+H8*H71+H9*H72+H10*H73+H11*H74+H12*H75+H13*H76+H14*H77+H15*H78+H16*H79+H17*H80+H18*H81+H19*H82+H20*H83+H21*H84+H22*H85+H23*H86+H24*H87+H25*H88+H26*H89+H27*H90+H28*H91+H29*H92+H31*H94+H32*H95+H33*H96+H34*H97+H35*H98+H36*H99+H37*H100+H38*H102+H39*H103+H40*H104+H41*H105+H43*H106+H44*H107+H45*H108+H46*H109+H47*H110+H48*H111+H49*H112+H50*H113+H51*H114+H52*H115+H53*H116+H54*H117+H55*H118+H56*H119+H57*H120+H58*H121+H59*H122+H60*H123+H61*H124</s:f>
        <s:v>0</s:v>
      </s:c>
      <s:c r="I62" s="19">
        <s:f>I5*I68+I6*I69+I7*I70+I8*I71+I9*I72+I10*I73+I11*I74+I12*I75+I13*I76+I14*I77+I15*I78+I16*I79+I17*I80+I18*I81+I19*I82+I20*I83+I21*I84+I22*I85+I23*I86+I24*I87+I25*I88+I26*I89+I27*I90+I28*I91+I29*I92+I31*I94+I32*I95+I33*I96+I34*I97+I35*I98+I36*I99+I37*I100+I38*I102+I39*I103+I40*I104+I41*I105+I43*I106+I44*I107+I45*I108+I46*I109+I47*I110+I48*I111+I49*I112+I50*I113+I51*I114+I52*I115+I53*I116+I54*I117+I55*I118+I56*I119+I57*I120+I58*I121+I59*I122+I60*I123+I61*I124</s:f>
        <s:v>0</s:v>
      </s:c>
      <s:c r="J62" s="19">
        <s:f>J5*J68+J6*J69+J7*J70+J8*J71+J9*J72+J10*J73+J11*J74+J12*J75+J13*J76+J14*J77+J15*J78+J16*J79+J17*J80+J18*J81+J19*J82+J20*J83+J21*J84+J22*J85+J23*J86+J24*J87+J25*J88+J26*J89+J27*J90+J28*J91+J29*J92+J31*J94+J32*J95+J33*J96+J34*J97+J35*J98+J36*J99+J37*J100+J38*J102+J39*J103+J40*J104+J41*J105+J43*J106+J44*J107+J45*J108+J46*J109+J47*J110+J48*J111+J49*J112+J50*J113+J51*J114+J52*J115+J53*J116+J54*J117+J55*J118+J56*J119+J57*J120+J58*J121+J59*J122+J60*J123+J61*J124</s:f>
        <s:v>0</s:v>
      </s:c>
      <s:c r="K62" s="19">
        <s:f>K5*K68+K6*K69+K7*K70+K8*K71+K9*K72+K10*K73+K11*K74+K12*K75+K13*K76+K14*K77+K15*K78+K16*K79+K17*K80+K18*K81+K19*K82+K20*K83+K21*K84+K22*K85+K23*K86+K24*K87+K25*K88+K26*K89+K27*K90+K28*K91+K29*K92+K31*K94+K32*K95+K33*K96+K34*K97+K35*K98+K36*K99+K37*K100+K38*K102+K39*K103+K40*K104+K41*K105+K43*K106+K44*K107+K45*K108+K46*K109+K47*K110+K48*K111+K49*K112+K50*K113+K51*K114+K52*K115+K53*K116+K54*K117+K55*K118+K56*K119+K57*K120+K58*K121+K59*K122+K60*K123+K61*K124</s:f>
        <s:v>0</s:v>
      </s:c>
      <s:c r="L62" s="19">
        <s:f>L5*L68+L6*L69+L7*L70+L8*L71+L9*L72+L10*L73+L11*L74+L12*L75+L13*L76+L14*L77+L15*L78+L16*L79+L17*L80+L18*L81+L19*L82+L20*L83+L21*L84+L22*L85+L23*L86+L24*L87+L25*L88+L26*L89+L27*L90+L28*L91+L29*L92+L31*L94+L32*L95+L33*L96+L34*L97+L35*L98+L36*L99+L37*L100+L38*L102+L39*L103+L40*L104+L41*L105+L43*L106+L44*L107+L45*L108+L46*L109+L47*L110+L48*L111+L49*L112+L50*L113+L51*L114+L52*L115+L53*L116+L54*L117+L55*L118+L56*L119+L57*L120+L58*L121+L59*L122+L60*L123+L61*L124</s:f>
        <s:v>0</s:v>
      </s:c>
      <s:c r="M62" s="19">
        <s:f>M5*M68+M6*M69+M7*M70+M8*M71+M9*M72+M10*M73+M11*M74+M12*M75+M13*M76+M14*M77+M15*M78+M16*M79+M17*M80+M18*M81+M19*M82+M20*M83+M21*M84+M22*M85+M23*M86+M24*M87+M25*M88+M26*M89+M27*M90+M28*M91+M29*M92+M31*M94+M32*M95+M33*M96+M34*M97+M35*M98+M36*M99+M37*M100+M38*M102+M39*M103+M40*M104+M41*M105+M43*M106+M44*M107+M45*M108+M46*M109+M47*M110+M48*M111+M49*M112+M50*M113+M51*M114+M52*M115+M53*M116+M54*M117+M55*M118+M56*M119+M57*M120+M58*M121+M59*M122+M60*M123+M61*M124</s:f>
        <s:v>1662500</s:v>
      </s:c>
      <s:c r="N62" s="19">
        <s:f>N5*N68+N6*N69+N7*N70+N8*N71+N9*N72+N10*N73+N11*N74+N12*N75+N13*N76+N14*N77+N15*N78+N16*N79+N17*N80+N18*N81+N19*N82+N20*N83+N21*N84+N22*N85+N23*N86+N24*N87+N25*N88+N26*N89+N27*N90+N28*N91+N29*N92+N31*N94+N32*N95+N33*N96+N34*N97+N35*N98+N36*N99+N37*N100+N38*N102+N39*N103+N40*N104+N41*N105+N43*N106+N44*N107+N45*N108+N46*N109+N47*N110+N48*N111+N49*N112+N50*N113+N51*N114+N52*N115+N53*N116+N54*N117+N55*N118+N56*N119+N57*N120+N58*N121+N59*N122+N60*N123+N61*N124</s:f>
        <s:v>1852600</s:v>
      </s:c>
      <s:c r="O62" s="19">
        <s:f>O5*O68+O6*O69+O7*O70+O8*O71+O9*O72+O10*O73+O11*O74+O12*O75+O13*O76+O14*O77+O15*O78+O16*O79+O17*O80+O18*O81+O19*O82+O20*O83+O21*O84+O22*O85+O23*O86+O24*O87+O25*O88+O26*O89+O27*O90+O28*O91+O29*O92+O31*O94+O32*O95+O33*O96+O34*O97+O35*O98+O36*O99+O37*O100+O38*O102+O39*O103+O40*O104+O41*O105+O43*O106+O44*O107+O45*O108+O46*O109+O47*O110+O48*O111+O49*O112+O50*O113+O51*O114+O52*O115+O53*O116+O54*O117+O55*O118+O56*O119+O57*O120+O58*O121+O59*O122+O60*O123+O61*O124</s:f>
        <s:v>0</s:v>
      </s:c>
      <s:c r="P62" s="19">
        <s:f>P5*P68+P6*P69+P7*P70+P8*P71+P9*P72+P10*P73+P11*P74+P12*P75+P13*P76+P14*P77+P15*P78+P16*P79+P17*P80+P18*P81+P19*P82+P20*P83+P21*P84+P22*P85+P23*P86+P24*P87+P25*P88+P26*P89+P27*P90+P28*P91+P29*P92+P31*P94+P32*P95+P33*P96+P34*P97+P35*P98+P36*P99+P37*P100+P38*P102+P39*P103+P40*P104+P41*P105+P43*P106+P44*P107+P45*P108+P46*P109+P47*P110+P48*P111+P49*P112+P50*P113+P51*P114+P52*P115+P53*P116+P54*P117+P55*P118+P56*P119+P57*P120+P58*P121+P59*P122+P60*P123+P61*P124</s:f>
        <s:v>0</s:v>
      </s:c>
      <s:c r="Q62" s="19">
        <s:f>Q5*Q68+Q6*Q69+Q7*Q70+Q8*Q71+Q9*Q72+Q10*Q73+Q11*Q74+Q12*Q75+Q13*Q76+Q14*Q77+Q15*Q78+Q16*Q79+Q17*Q80+Q18*Q81+Q19*Q82+Q20*Q83+Q21*Q84+Q22*Q85+Q23*Q86+Q24*Q87+Q25*Q88+Q26*Q89+Q27*Q90+Q28*Q91+Q29*Q92+Q31*Q94+Q32*Q95+Q33*Q96+Q34*Q97+Q35*Q98+Q36*Q99+Q37*Q100+Q38*Q102+Q39*Q103+Q40*Q104+Q41*Q105+Q43*Q106+Q44*Q107+Q45*Q108+Q46*Q109+Q47*Q110+Q48*Q111+Q49*Q112+Q50*Q113+Q51*Q114+Q52*Q115+Q53*Q116+Q54*Q117+Q55*Q118+Q56*Q119+Q57*Q120+Q58*Q121+Q59*Q122+Q60*Q123+Q61*Q124</s:f>
        <s:v>2480000</s:v>
      </s:c>
      <s:c r="R62" s="78">
        <s:f>R5*R68+R6*R69+R7*R70+R30*R93+R8*R71+R9*R72+R10*R73+R11*R74+R12*R75+R13*R76+R14*R77+R15*R78+R16*R79+R17*R80+R18*R81+R19*R82+R20*R83+R21*R84+R22*R85+R23*R86+R24*R87+R25*R88+R26*R89+R27*R90+R28*R91+R29*R92+R31*R94+R32*R95+R33*R96+R34*R97+R35*R98+R36*R99+R37*R100+R38*R102+R39*R103+R40*R104+R41*R105+R43*R106+R44*R107+R45*R108+R46*R109+R47*R110+R48*R111+R49*R112+R50*R113+R51*R114+R52*R115+R53*R116+R54*R117+R55*R118+R56*R119+R57*R120+R58*R121+R59*R122+R60*R123+R61*R124</s:f>
        <s:v>0</s:v>
      </s:c>
      <s:c r="S62" s="19">
        <s:f>S5*S68+S6*S69+S7*S70+S8*S71+S9*S72+S10*S73+S11*S74+S12*S75+S13*S76+S14*S77+S15*S78+S16*S79+S17*S80+S18*S81+S19*S82+S20*S83+S21*S84+S22*S85+S23*S86+S24*S87+S25*S88+S26*S89+S27*S90+S28*S91+S29*S92+S31*S94+S32*S95+S33*S96+S34*S97+S35*S98+S36*S99+S37*S100+S38*S102+S39*S103+S40*S104+S41*S105+S43*S106+S44*S107+S45*S108+S46*S109+S47*S110+S48*S111+S49*S112+S50*S113+S51*S114+S52*S115+S53*S116+S54*S117+S55*S118+S56*S119+S57*S120+S58*S121+S59*S122+S60*S123+S61*S124</s:f>
        <s:v>9897000</s:v>
      </s:c>
      <s:c r="T62" s="19">
        <s:f>T5*T68+T6*T69+T7*T70+T8*T71+T9*T72+T10*T73+T11*T74+T12*T75+T13*T76+T14*T77+T15*T78+T16*T79+T17*T80+T18*T81+T19*T82+T20*T83+T21*T84+T22*T85+T23*T86+T24*T87+T25*T88+T26*T89+T27*T90+T28*T91+T29*T92+T31*T94+T32*T95+T33*T96+T34*T97+T35*T98+T36*T99+T37*T100+T38*T102+T39*T103+T40*T104+T41*T105+T43*T106+T44*T107+T45*T108+T46*T109+T47*T110+T48*T111+T49*T112+T50*T113+T51*T114+T52*T115+T53*T116+T54*T117+T55*T118+T56*T119+T57*T120+T58*T121+T59*T122+T60*T123+T61*T124</s:f>
        <s:v>1756800</s:v>
      </s:c>
      <s:c r="U62" s="19">
        <s:f>U5*U68+U6*U69+U7*U70+U8*U71+U9*U72+U10*U73+U11*U74+U12*U75+U13*U76+U14*U77+U15*U78+U16*U79+U17*U80+U18*U81+U19*U82+U20*U83+U21*U84+U22*U85+U23*U86+U24*U87+U25*U88+U26*U89+U27*U90+U28*U91+U29*U92+U31*U94+U32*U95+U33*U96+U34*U97+U35*U98+U36*U99+U37*U100+U38*U102+U39*U103+U40*U104+U41*U105+U43*U106+U44*U107+U45*U108+U46*U109+U47*U110+U48*U111+U49*U112+U50*U113+U51*U114+U52*U115+U53*U116+U54*U117+U55*U118+U56*U119+U57*U120+U58*U121+U59*U122+U60*U123+U61*U124</s:f>
        <s:v>0</s:v>
      </s:c>
      <s:c r="V62" s="19">
        <s:f>V5*V68+V6*V69+V7*V70+V8*V71+V9*V72+V10*V73+V11*V74+V12*V75+V13*V76+V14*V77+V15*V78+V16*V79+V17*V80+V18*V81+V19*V82+V20*V83+V21*V84+V22*V85+V23*V86+V24*V87+V25*V88+V26*V89+V27*V90+V28*V91+V29*V92+V31*V94+V32*V95+V33*V96+V34*V97+V35*V98+V36*V99+V37*V100+V38*V102+V39*V103+V40*V104+V41*V105+V43*V106+V44*V107+V45*V108+V46*V109+V47*V110+V48*V111+V49*V112+V50*V113+V51*V114+V52*V115+V53*V116+V54*V117+V55*V118+V56*V119+V57*V120+V58*V121+V59*V122+V60*V123+V61*V124</s:f>
        <s:v>0</s:v>
      </s:c>
      <s:c r="W62" s="19">
        <s:f>W5*W68+W6*W69+W7*W70+W8*W71+W9*W72+W10*W73+W11*W74+W12*W75+W13*W76+W14*W77+W15*W78+W16*W79+W17*W80+W18*W81+W19*W82+W20*W83+W21*W84+W22*W85+W23*W86+W24*W87+W25*W88+W26*W89+W27*W90+W28*W91+W29*W92+W31*W94+W32*W95+W33*W96+W34*W97+W35*W98+W36*W99+W37*W100+W38*W102+W39*W103+W40*W104+W41*W105+W43*W106+W44*W107+W45*W108+W46*W109+W47*W110+W48*W111+W49*W112+W50*W113+W51*W114+W52*W115+W53*W116+W54*W117+W55*W118+W56*W119+W57*W120+W58*W121+W59*W122+W60*W123+W61*W124</s:f>
        <s:v>281880</s:v>
      </s:c>
      <s:c r="X62" s="19">
        <s:f>X5*X68+X6*X69+X7*X70+X8*X71+X9*X72+X10*X73+X11*X74+X12*X75+X13*X76+X14*X77+X15*X78+X16*X79+X17*X80+X18*X81+X19*X82+X20*X83+X21*X84+X22*X85+X23*X86+X24*X87+X25*X88+X26*X89+X27*X90+X28*X91+X29*X92+X31*X94+X32*X95+X33*X96+X34*X97+X35*X98+X36*X99+X37*X100+X38*X102+X39*X103+X40*X104+X41*X105+X43*X106+X44*X107+X45*X108+X46*X109+X47*X110+X48*X111+X49*X112+X50*X113+X51*X114+X52*X115+X53*X116+X54*X117+X55*X118+X56*X119+X57*X120+X58*X121+X59*X122+X60*X123+X61*X124</s:f>
        <s:v>0</s:v>
      </s:c>
      <s:c r="Y62" s="19">
        <s:f>Y5*Y68+Y6*Y69+Y7*Y70+Y8*Y71+Y9*Y72+Y10*Y73+Y11*Y74+Y12*Y75+Y13*Y76+Y14*Y77+Y15*Y78+Y16*Y79+Y17*Y80+Y18*Y81+Y19*Y82+Y20*Y83+Y21*Y84+Y22*Y85+Y23*Y86+Y24*Y87+Y25*Y88+Y26*Y89+Y27*Y90+Y28*Y91+Y29*Y92+Y31*Y94+Y32*Y95+Y33*Y96+Y34*Y97+Y35*Y98+Y36*Y99+Y37*Y100+Y38*Y102+Y39*Y103+Y40*Y104+Y41*Y105+Y43*Y106+Y44*Y107+Y45*Y108+Y46*Y109+Y47*Y110+Y48*Y111+Y49*Y112+Y50*Y113+Y51*Y114+Y52*Y115+Y53*Y116+Y54*Y117+Y55*Y118+Y56*Y119+Y57*Y120+Y58*Y121+Y59*Y122+Y60*Y123+Y61*Y124</s:f>
        <s:v>0</s:v>
      </s:c>
      <s:c r="Z62" s="78">
        <s:f>Z5*Z68+Z6*Z69+Z7*Z70+Z8*Z71+Z9*Z72+Z10*Z73+Z11*Z74+Z12*Z75+Z13*Z76+Z14*Z77+Z15*Z78+Z16*Z79+Z17*Z80+Z18*Z81+Z19*Z82+Z20*Z83+Z21*Z84+Z22*Z85+Z23*Z86+Z24*Z87+Z25*Z88+Z26*Z89+Z27*Z90+Z28*Z91+Z29*Z92+Z31*Z94+Z32*Z95+Z33*Z96+Z34*Z97+Z35*Z98+Z36*Z99+Z37*Z100+Z38*Z102+Z39*Z103+Z40*Z104+Z41*Z105+Z43*Z106+Z44*Z107+Z45*Z108+Z46*Z109+Z47*Z110+Z48*Z111+Z49*Z112+Z50*Z113+Z51*Z114+Z52*Z115+Z53*Z116+Z54*Z117+Z55*Z118+Z56*Z119+Z57*Z120+Z58*Z121+Z59*Z122+Z60*Z123+Z61*Z124</s:f>
        <s:v>4637500</s:v>
      </s:c>
      <s:c r="AA62" s="19">
        <s:f>AA5*AA68+AA6*AA69+AA7*AA70+AA8*AA71+AA9*AA72+AA10*AA73+AA11*AA74+AA12*AA75+AA13*AA76+AA14*AA77+AA15*AA78+AA16*AA79+AA17*AA80+AA18*AA81+AA19*AA82+AA20*AA83+AA21*AA84+AA22*AA85+AA23*AA86+AA24*AA87+AA25*AA88+AA26*AA89+AA27*AA90+AA28*AA91+AA29*AA92+AA31*AA94+AA32*AA95+AA33*AA96+AA34*AA97+AA35*AA98+AA36*AA99+AA37*AA100+AA38*AA102+AA39*AA103+AA40*AA104+AA41*AA105+AA43*AA106+AA44*AA107+AA45*AA108+AA46*AA109+AA47*AA110+AA48*AA111+AA49*AA112+AA50*AA113+AA51*AA114+AA52*AA115+AA53*AA116+AA54*AA117+AA55*AA118+AA56*AA119+AA57*AA120+AA58*AA121+AA59*AA122+AA60*AA123+AA61*AA124</s:f>
        <s:v>251200</s:v>
      </s:c>
      <s:c r="AB62" s="19">
        <s:f>AB5*AB68+AB6*AB69+AB7*AB70+AB8*AB71+AB9*AB72+AB10*AB73+AB11*AB74+AB12*AB75+AB13*AB76+AB14*AB77+AB15*AB78+AB16*AB79+AB17*AB80+AB18*AB81+AB19*AB82+AB20*AB83+AB21*AB84+AB22*AB85+AB23*AB86+AB24*AB87+AB25*AB88+AB26*AB89+AB27*AB90+AB28*AB91+AB29*AB92+AB31*AB94+AB32*AB95+AB33*AB96+AB34*AB97+AB35*AB98+AB36*AB99+AB37*AB100+AB38*AB102+AB39*AB103+AB40*AB104+AB41*AB105+AB43*AB106+AB44*AB107+AB45*AB108+AB46*AB109+AB47*AB110+AB48*AB111+AB49*AB112+AB50*AB113+AB51*AB114+AB52*AB115+AB53*AB116+AB54*AB117+AB55*AB118+AB56*AB119+AB57*AB120+AB58*AB121+AB59*AB122+AB60*AB123+AB61*AB124</s:f>
        <s:v>0</s:v>
      </s:c>
      <s:c r="AC62" s="19">
        <s:f>AC5*AC68+AC6*AC69+AC7*AC70+AC8*AC71+AC9*AC72+AC10*AC73+AC11*AC74+AC12*AC75+AC13*AC76+AC14*AC77+AC15*AC78+AC16*AC79+AC17*AC80+AC18*AC81+AC19*AC82+AC20*AC83+AC21*AC84+AC22*AC85+AC23*AC86+AC24*AC87+AC25*AC88+AC26*AC89+AC27*AC90+AC28*AC91+AC29*AC92+AC31*AC94+AC32*AC95+AC33*AC96+AC34*AC97+AC35*AC98+AC36*AC99+AC37*AC100+AC38*AC102+AC39*AC103+AC40*AC104+AC41*AC105+AC43*AC106+AC44*AC107+AC45*AC108+AC46*AC109+AC47*AC110+AC48*AC111+AC49*AC112+AC50*AC113+AC51*AC114+AC52*AC115+AC53*AC116+AC54*AC117+AC55*AC118+AC56*AC119+AC57*AC120+AC58*AC121+AC59*AC122+AC60*AC123+AC61*AC124</s:f>
        <s:v>0</s:v>
      </s:c>
      <s:c r="AD62" s="19">
        <s:f>AD5*AD68+AD6*AD69+AD7*AD70+AD8*AD71+AD9*AD72+AD10*AD73+AD11*AD74+AD12*AD75+AD13*AD76+AD14*AD77+AD15*AD78+AD16*AD79+AD17*AD80+AD18*AD81+AD19*AD82+AD20*AD83+AD21*AD84+AD22*AD85+AD23*AD86+AD24*AD87+AD25*AD88+AD26*AD89+AD27*AD90+AD28*AD91+AD29*AD92+AD31*AD94+AD32*AD95+AD33*AD96+AD34*AD97+AD35*AD98+AD36*AD99+AD37*AD100+AD38*AD102+AD39*AD103+AD40*AD104+AD41*AD105+AD43*AD106+AD44*AD107+AD45*AD108+AD46*AD109+AD47*AD110+AD48*AD111+AD49*AD112+AD50*AD113+AD51*AD114+AD52*AD115+AD53*AD116+AD54*AD117+AD55*AD118+AD56*AD119+AD57*AD120+AD58*AD121+AD59*AD122+AD60*AD123+AD61*AD124</s:f>
        <s:v>618000</s:v>
      </s:c>
      <s:c r="AE62" s="78">
        <s:f>AE5*AE68+AE6*AE69+AE7*AE70+AE8*AE71+AE9*AE72+AE10*AE73+AE11*AE74+AE12*AE75+AE13*AE76+AE14*AE77+AE15*AE78+AE16*AE79+AE17*AE80+AE18*AE81+AE19*AE82+AE20*AE83+AE21*AE84+AE22*AE85+AE23*AE86+AE24*AE87+AE25*AE88+AE26*AE89+AE27*AE90+AE28*AE91+AE29*AE92+AE31*AE94+AE32*AE95+AE33*AE96+AE34*AE97+AE35*AE98+AE36*AE99+AE37*AE100+AE38*AE102+AE39*AE103+AE40*AE104+AE41*AE105+AE43*AE106+AE44*AE107+AE45*AE108+AE46*AE109+AE47*AE110+AE48*AE111+AE49*AE112+AE50*AE113+AE51*AE114+AE52*AE115+AE53*AE116+AE54*AE117+AE55*AE118+AE56*AE119+AE57*AE120+AE58*AE121+AE59*AE122+AE60*AE123+AE61*AE124</s:f>
        <s:v>257500</s:v>
      </s:c>
      <s:c r="AF62" s="19">
        <s:f>AF5*AF68+AF6*AF69+AF7*AF70+AF8*AF71+AF9*AF72+AF10*AF73+AF11*AF74+AF12*AF75+AF13*AF76+AF14*AF77+AF15*AF78+AF16*AF79+AF17*AF80+AF18*AF81+AF19*AF82+AF20*AF83+AF21*AF84+AF22*AF85+AF23*AF86+AF24*AF87+AF25*AF88+AF26*AF89+AF27*AF90+AF28*AF91+AF29*AF92+AF31*AF94+AF32*AF95+AF33*AF96+AF34*AF97+AF35*AF98+AF36*AF99+AF37*AF100+AF38*AF102+AF39*AF103+AF40*AF104+AF41*AF105+AF43*AF106+AF44*AF107+AF45*AF108+AF46*AF109+AF47*AF110+AF48*AF111+AF49*AF112+AF50*AF113+AF51*AF114+AF52*AF115+AF53*AF116+AF54*AF117+AF55*AF118+AF56*AF119+AF57*AF120+AF58*AF121+AF59*AF122+AF60*AF123+AF61*AF124</s:f>
        <s:v>463500</s:v>
      </s:c>
      <s:c r="AG62" s="19">
        <s:f>AG5*AG68+AG6*AG69+AG7*AG70+AG8*AG71+AG9*AG72+AG10*AG73+AG11*AG74+AG12*AG75+AG13*AG76+AG14*AG77+AG15*AG78+AG16*AG79+AG17*AG80+AG18*AG81+AG19*AG82+AG20*AG83+AG21*AG84+AG22*AG85+AG23*AG86+AG24*AG87+AG25*AG88+AG26*AG89+AG27*AG90+AG28*AG91+AG29*AG92+AG31*AG94+AG32*AG95+AG33*AG96+AG34*AG97+AG35*AG98+AG36*AG99+AG37*AG100+AG38*AG102+AG39*AG103+AG40*AG104+AG41*AG105+AG43*AG106+AG44*AG107+AG45*AG108+AG46*AG109+AG47*AG110+AG48*AG111+AG49*AG112+AG50*AG113+AG51*AG114+AG52*AG115+AG53*AG116+AG54*AG117+AG55*AG118+AG56*AG119+AG57*AG120+AG58*AG121+AG59*AG122+AG60*AG123+AG61*AG124</s:f>
        <s:v>0</s:v>
      </s:c>
      <s:c r="AH62" s="78">
        <s:f>AH5*AH68+AH6*AH69+AH7*AH70+AH8*AH71+AH9*AH72+AH10*AH73+AH11*AH74+AH12*AH75+AH13*AH76+AH14*AH77+AH15*AH78+AH16*AH79+AH17*AH80+AH18*AH81+AH19*AH82+AH20*AH83+AH21*AH84+AH22*AH85+AH23*AH86+AH24*AH87+AH25*AH88+AH26*AH89+AH27*AH90+AH28*AH91+AH29*AH92+AH31*AH94+AH32*AH95+AH33*AH96+AH34*AH97+AH35*AH98+AH36*AH99+AH37*AH100+AH38*AH102+AH39*AH103+AH40*AH104+AH41*AH105+AH43*AH106+AH44*AH107+AH45*AH108+AH46*AH109+AH47*AH110+AH48*AH111+AH49*AH112+AH50*AH113+AH51*AH114+AH52*AH115+AH53*AH116+AH54*AH117+AH55*AH118+AH56*AH119+AH57*AH120+AH58*AH121+AH59*AH122+AH60*AH123+AH61*AH124</s:f>
        <s:v>6494400.0000000009</s:v>
      </s:c>
      <s:c r="AI62" s="78">
        <s:f>AI5*AI68+AI6*AI69+AI7*AI70+AI8*AI71+AI9*AI72+AI10*AI73+AI11*AI74+AI12*AI75+AI13*AI76+AI14*AI77+AI15*AI78+AI16*AI79+AI17*AI80+AI18*AI81+AI19*AI82+AI20*AI83+AI21*AI84+AI22*AI85+AI23*AI86+AI24*AI87+AI25*AI88+AI26*AI89+AI27*AI90+AI28*AI91+AI29*AI92+AI31*AI94+AI32*AI95+AI33*AI96+AI34*AI97+AI35*AI98+AI36*AI99+AI37*AI100+AI38*AI102+AI39*AI103+AI40*AI104+AI41*AI105+AI43*AI106+AI44*AI107+AI45*AI108+AI46*AI109+AI47*AI110+AI48*AI111+AI49*AI112+AI50*AI113+AI51*AI114+AI52*AI115+AI53*AI116+AI54*AI117+AI55*AI118+AI56*AI119+AI57*AI120+AI58*AI121+AI59*AI122+AI60*AI123+AI61*AI124</s:f>
        <s:v>0</s:v>
      </s:c>
      <s:c r="AJ62" s="19">
        <s:f>AJ5*AJ68+AJ6*AJ69+AJ7*AJ70+AJ8*AJ71+AJ9*AJ72+AJ10*AJ73+AJ11*AJ74+AJ12*AJ75+AJ13*AJ76+AJ14*AJ77+AJ15*AJ78+AJ16*AJ79+AJ17*AJ80+AJ18*AJ81+AJ19*AJ82+AJ20*AJ83+AJ21*AJ84+AJ22*AJ85+AJ23*AJ86+AJ24*AJ87+AJ25*AJ88+AJ26*AJ89+AJ27*AJ90+AJ28*AJ91+AJ29*AJ92+AJ31*AJ94+AJ32*AJ95+AJ33*AJ96+AJ34*AJ97+AJ35*AJ98+AJ36*AJ99+AJ37*AJ100+AJ38*AJ102+AJ39*AJ103+AJ40*AJ104+AJ41*AJ105+AJ43*AJ106+AJ44*AJ107+AJ45*AJ108+AJ46*AJ109+AJ47*AJ110+AJ48*AJ111+AJ49*AJ112+AJ50*AJ113+AJ51*AJ114+AJ52*AJ115+AJ53*AJ116+AJ54*AJ117+AJ55*AJ118+AJ56*AJ119+AJ57*AJ120+AJ58*AJ121+AJ59*AJ122+AJ60*AJ123+AJ61*AJ124</s:f>
        <s:v>2089999.9999999998</s:v>
      </s:c>
      <s:c r="AK62" s="78">
        <s:f>AK5*AK68+AK6*AK69+AK7*AK70+AK8*AK71+AK9*AK72+AK10*AK73+AK11*AK74+AK12*AK75+AK13*AK76+AK14*AK77+AK15*AK78+AK16*AK79+AK17*AK80+AK18*AK81+AK19*AK82+AK20*AK83+AK21*AK84+AK22*AK85+AK23*AK86+AK24*AK87+AK25*AK88+AK26*AK89+AK27*AK90+AK28*AK91+AK29*AK92+AK31*AK94+AK32*AK95+AK33*AK96+AK34*AK97+AK35*AK98+AK36*AK99+AK37*AK100+AK38*AK102+AK39*AK103+AK40*AK104+AK41*AK105+AK43*AK106+AK44*AK107+AK45*AK108+AK46*AK109+AK47*AK110+AK48*AK111+AK49*AK112+AK50*AK113+AK51*AK114+AK52*AK115+AK53*AK116+AK54*AK117+AK55*AK118+AK56*AK119+AK57*AK120+AK58*AK121+AK59*AK122+AK60*AK123+AK61*AK124</s:f>
        <s:v>388000</s:v>
      </s:c>
      <s:c r="AL62" s="19">
        <s:f>AL5*AL68+AL6*AL69+AL7*AL70+AL8*AL71+AL9*AL72+AL10*AL73+AL11*AL74+AL12*AL75+AL13*AL76+AL14*AL77+AL15*AL78+AL16*AL79+AL17*AL80+AL18*AL81+AL19*AL82+AL20*AL83+AL21*AL84+AL22*AL85+AL23*AL86+AL24*AL87+AL25*AL88+AL26*AL89+AL27*AL90+AL28*AL91+AL29*AL92+AL31*AL94+AL32*AL95+AL33*AL96+AL34*AL97+AL35*AL98+AL36*AL99+AL37*AL100+AL38*AL102+AL39*AL103+AL40*AL104+AL41*AL105+AL43*AL106+AL44*AL107+AL45*AL108+AL46*AL109+AL47*AL110+AL48*AL111+AL49*AL112+AL50*AL113+AL51*AL114+AL52*AL115+AL53*AL116+AL54*AL117+AL55*AL118+AL56*AL119+AL57*AL120+AL58*AL121+AL59*AL122+AL60*AL123+AL61*AL124</s:f>
        <s:v>0</s:v>
      </s:c>
      <s:c r="AM62" s="19">
        <s:f>AM5*AM68+AM6*AM69+AM7*AM70+AM8*AM71+AM9*AM72+AM10*AM73+AM11*AM74+AM12*AM75+AM13*AM76+AM14*AM77+AM15*AM78+AM16*AM79+AM17*AM80+AM18*AM81+AM19*AM82+AM20*AM83+AM21*AM84+AM22*AM85+AM23*AM86+AM24*AM87+AM25*AM88+AM26*AM89+AM27*AM90+AM28*AM91+AM29*AM92+AM31*AM94+AM32*AM95+AM33*AM96+AM34*AM97+AM35*AM98+AM36*AM99+AM37*AM100+AM38*AM102+AM39*AM103+AM40*AM104+AM41*AM105+AM43*AM106+AM44*AM107+AM45*AM108+AM46*AM109+AM47*AM110+AM48*AM111+AM49*AM112+AM50*AM113+AM51*AM114+AM52*AM115+AM53*AM116+AM54*AM117+AM55*AM118+AM56*AM119+AM57*AM120+AM58*AM121+AM59*AM122+AM60*AM123+AM61*AM124</s:f>
        <s:v>0</s:v>
      </s:c>
      <s:c r="AN62" s="19">
        <s:f>AN5*AN68+AN6*AN69+AN7*AN70+AN8*AN71+AN9*AN72+AN10*AN73+AN11*AN74+AN12*AN75+AN13*AN76+AN14*AN77+AN15*AN78+AN16*AN79+AN17*AN80+AN18*AN81+AN19*AN82+AN20*AN83+AN21*AN84+AN22*AN85+AN23*AN86+AN24*AN87+AN25*AN88+AN26*AN89+AN27*AN90+AN28*AN91+AN29*AN92+AN31*AN94+AN32*AN95+AN33*AN96+AN34*AN97+AN35*AN98+AN36*AN99+AN37*AN100+AN38*AN102+AN39*AN103+AN40*AN104+AN41*AN105+AN43*AN106+AN44*AN107+AN45*AN108+AN46*AN109+AN47*AN110+AN48*AN111+AN49*AN112+AN50*AN113+AN51*AN114+AN52*AN115+AN53*AN116+AN54*AN117+AN55*AN118+AN56*AN119+AN57*AN120+AN58*AN121+AN59*AN122+AN60*AN123+AN61*AN124</s:f>
        <s:v>0</s:v>
      </s:c>
      <s:c r="AO62" s="19">
        <s:f>AO5*AO68+AO6*AO69+AO7*AO70+AO8*AO71+AO9*AO72+AO10*AO73+AO11*AO74+AO12*AO75+AO13*AO76+AO14*AO77+AO15*AO78+AO16*AO79+AO17*AO80+AO18*AO81+AO19*AO82+AO20*AO83+AO21*AO84+AO22*AO85+AO23*AO86+AO24*AO87+AO25*AO88+AO26*AO89+AO27*AO90+AO28*AO91+AO29*AO92+AO31*AO94+AO32*AO95+AO33*AO96+AO34*AO97+AO35*AO98+AO36*AO99+AO37*AO100+AO38*AO102+AO39*AO103+AO40*AO104+AO41*AO105+AO43*AO106+AO44*AO107+AO45*AO108+AO46*AO109+AO47*AO110+AO48*AO111+AO49*AO112+AO50*AO113+AO51*AO114+AO52*AO115+AO53*AO116+AO54*AO117+AO55*AO118+AO56*AO119+AO57*AO120+AO58*AO121+AO59*AO122+AO60*AO123+AO61*AO124</s:f>
        <s:v>0</s:v>
      </s:c>
      <s:c r="AP62" s="19">
        <s:f>AP5*AP68+AP6*AP69+AP7*AP70+AP8*AP71+AP9*AP72+AP93*AP30+AP10*AP73+AP11*AP74+AP12*AP75+AP13*AP76+AP14*AP77+AP15*AP78+AP16*AP79+AP17*AP80+AP18*AP81+AP19*AP82+AP20*AP83+AP21*AP84+AP22*AP85+AP23*AP86+AP24*AP87+AP25*AP88+AP26*AP89+AP27*AP90+AP28*AP91+AP29*AP92+AP31*AP94+AP32*AP95+AP33*AP96+AP34*AP97+AP35*AP98+AP36*AP99+AP37*AP100+AP38*AP102+AP39*AP103+AP40*AP104+AP41*AP105+AP43*AP106+AP44*AP107+AP45*AP108+AP46*AP109+AP47*AP110+AP48*AP111+AP49*AP112+AP50*AP113+AP51*AP114+AP52*AP115+AP53*AP116+AP54*AP117+AP55*AP118+AP56*AP119+AP57*AP120+AP58*AP121+AP59*AP122+AP60*AP123+AP61*AP124</s:f>
        <s:v>0</s:v>
      </s:c>
      <s:c r="AQ62" s="19">
        <s:f>AQ5*AQ68+AQ6*AQ69+AQ7*AQ70+AQ8*AQ71+AQ9*AQ72+AQ10*AQ73+AQ11*AQ74+AQ12*AQ75+AQ13*AQ76+AQ14*AQ77+AQ15*AQ78+AQ16*AQ79+AQ17*AQ80+AQ18*AQ81+AQ19*AQ82+AQ20*AQ83+AQ21*AQ84+AQ22*AQ85+AQ23*AQ86+AQ24*AQ87+AQ25*AQ88+AQ26*AQ89+AQ27*AQ90+AQ28*AQ91+AQ29*AQ92+AQ31*AQ94+AQ32*AQ95+AQ33*AQ96+AQ34*AQ97+AQ35*AQ98+AQ36*AQ99+AQ37*AQ100+AQ38*AQ102+AQ39*AQ103+AQ40*AQ104+AQ41*AQ105+AQ43*AQ106+AQ44*AQ107+AQ45*AQ108+AQ46*AQ109+AQ47*AQ110+AQ48*AQ111+AQ49*AQ112+AQ50*AQ113+AQ51*AQ114+AQ52*AQ115+AQ53*AQ116+AQ54*AQ117+AQ55*AQ118+AQ56*AQ119+AQ57*AQ120+AQ58*AQ121+AQ59*AQ122+AQ60*AQ123+AQ61*AQ124</s:f>
        <s:v>0</s:v>
      </s:c>
      <s:c r="AR62" s="19">
        <s:f>AR5*AR68+AR6*AR69+AR7*AR70+AR8*AR71+AR9*AR72+AR10*AR73+AR11*AR74+AR12*AR75+AR13*AR76+AR14*AR77+AR15*AR78+AR16*AR79+AR17*AR80+AR18*AR81+AR19*AR82+AR20*AR83+AR21*AR84+AR22*AR85+AR23*AR86+AR24*AR87+AR25*AR88+AR26*AR89+AR27*AR90+AR28*AR91+AR29*AR92+AR31*AR94+AR32*AR95+AR33*AR96+AR34*AR97+AR35*AR98+AR36*AR99+AR37*AR100+AR38*AR102+AR39*AR103+AR40*AR104+AR41*AR105+AR43*AR106+AR44*AR107+AR45*AR108+AR46*AR109+AR47*AR110+AR48*AR111+AR49*AR112+AR50*AR113+AR51*AR114+AR52*AR115+AR53*AR116+AR54*AR117+AR55*AR118+AR56*AR119+AR57*AR120+AR58*AR121+AR59*AR122+AR60*AR123+AR61*AR124</s:f>
        <s:v>198000</s:v>
      </s:c>
      <s:c r="AS62" s="19">
        <s:f>AS5*AS68+AS6*AS69+AS7*AS70+AS8*AS71+AS9*AS72+AS10*AS73+AS11*AS74+AS12*AS75+AS13*AS76+AS14*AS77+AS15*AS78+AS16*AS79+AS17*AS80+AS18*AS81+AS19*AS82+AS20*AS83+AS21*AS84+AS22*AS85+AS23*AS86+AS24*AS87+AS25*AS88+AS26*AS89+AS27*AS90+AS28*AS91+AS29*AS92+AS31*AS94+AS32*AS95+AS33*AS96+AS34*AS97+AS35*AS98+AS36*AS99+AS37*AS100+AS38*AS102+AS39*AS103+AS40*AS104+AS41*AS105+AS43*AS106+AS44*AS107+AS45*AS108+AS46*AS109+AS47*AS110+AS48*AS111+AS49*AS112+AS50*AS113+AS51*AS114+AS52*AS115+AS53*AS116+AS54*AS117+AS55*AS118+AS56*AS119+AS57*AS120+AS58*AS121+AS59*AS122+AS60*AS123+AS61*AS124</s:f>
        <s:v>0</s:v>
      </s:c>
      <s:c r="AT62" s="19">
        <s:f>AT5*AT68+AT6*AT69+AT7*AT70+AT8*AT71+AT9*AT72+AT10*AT73+AT11*AT74+AT12*AT75+AT13*AT76+AT14*AT77+AT15*AT78+AT16*AT79+AT17*AT80+AT18*AT81+AT19*AT82+AT20*AT83+AT21*AT84+AT22*AT85+AT23*AT86+AT24*AT87+AT25*AT88+AT26*AT89+AT27*AT90+AT28*AT91+AT29*AT92+AT31*AT94+AT32*AT95+AT33*AT96+AT34*AT97+AT35*AT98+AT36*AT99+AT37*AT100+AT38*AT102+AT39*AT103+AT40*AT104+AT41*AT105+AT43*AT106+AT44*AT107+AT45*AT108+AT46*AT109+AT47*AT110+AT48*AT111+AT49*AT112+AT50*AT113+AT51*AT114+AT52*AT115+AT53*AT116+AT54*AT117+AT55*AT118+AT56*AT119+AT57*AT120+AT58*AT121+AT59*AT122+AT60*AT123+AT61*AT124</s:f>
        <s:v>508000</s:v>
      </s:c>
      <s:c r="AU62" s="19">
        <s:f>AU5*AU68+AU6*AU69+AU7*AU70+AU8*AU71+AU9*AU72+AU10*AU73+AU11*AU74+AU12*AU75+AU13*AU76+AU14*AU77+AU15*AU78+AU16*AU79+AU17*AU80+AU18*AU81+AU19*AU82+AU20*AU83+AU21*AU84+AU22*AU85+AU23*AU86+AU24*AU87+AU25*AU88+AU26*AU89+AU27*AU90+AU28*AU91+AU29*AU92+AU31*AU94+AU32*AU95+AU33*AU96+AU34*AU97+AU35*AU98+AU36*AU99+AU37*AU100+AU38*AU102+AU39*AU103+AU40*AU104+AU41*AU105+AU43*AU106+AU44*AU107+AU45*AU108+AU46*AU109+AU47*AU110+AU48*AU111+AU49*AU112+AU50*AU113+AU51*AU114+AU52*AU115+AU53*AU116+AU54*AU117+AU55*AU118+AU56*AU119+AU57*AU120+AU58*AU121+AU59*AU122+AU60*AU123+AU61*AU124</s:f>
        <s:v>0</s:v>
      </s:c>
      <s:c r="AV62" s="64">
        <s:f>SUM(A62:AU62)</s:f>
        <s:v>46585005</s:v>
      </s:c>
    </s:row>
    <s:row r="63" ht="19.5">
      <s:c r="A63" s="65"/>
      <s:c r="B63" s="66">
        <s:f>SUM(B5:B61)</s:f>
        <s:v>55.125</s:v>
      </s:c>
      <s:c r="C63" s="66">
        <s:f>SUM(C5:C61)</s:f>
        <s:v>20</s:v>
      </s:c>
      <s:c r="D63" s="66">
        <s:f>SUM(D5:D61)</s:f>
        <s:v>220</s:v>
      </s:c>
      <s:c r="E63" s="66">
        <s:f>SUM(E5:E61)</s:f>
        <s:v>0</s:v>
      </s:c>
      <s:c r="F63" s="66">
        <s:f>SUM(F5:F61)</s:f>
        <s:v>0</s:v>
      </s:c>
      <s:c r="G63" s="66">
        <s:f>SUM(G5:G61)</s:f>
        <s:v>0</s:v>
      </s:c>
      <s:c r="H63" s="66">
        <s:f>SUM(H5:H61)</s:f>
        <s:v>0</s:v>
      </s:c>
      <s:c r="I63" s="66">
        <s:f>SUM(I5:I61)</s:f>
        <s:v>0</s:v>
      </s:c>
      <s:c r="J63" s="66">
        <s:f>SUM(J5:J61)</s:f>
        <s:v>0</s:v>
      </s:c>
      <s:c r="K63" s="66">
        <s:f>SUM(K5:K61)</s:f>
        <s:v>0</s:v>
      </s:c>
      <s:c r="L63" s="66">
        <s:f>SUM(L5:L61)</s:f>
        <s:v>0</s:v>
      </s:c>
      <s:c r="M63" s="66">
        <s:f>SUM(M5:M61)</s:f>
        <s:v>19</s:v>
      </s:c>
      <s:c r="N63" s="66">
        <s:f>SUM(N5:N61)</s:f>
        <s:v>23.6</s:v>
      </s:c>
      <s:c r="O63" s="66">
        <s:f>SUM(O5:O61)</s:f>
        <s:v>0</s:v>
      </s:c>
      <s:c r="P63" s="66">
        <s:f>SUM(P5:P61)</s:f>
        <s:v>0</s:v>
      </s:c>
      <s:c r="Q63" s="66">
        <s:f>SUM(Q5:Q61)</s:f>
        <s:v>16</s:v>
      </s:c>
      <s:c r="R63" s="66">
        <s:f>SUM(R5:R61)</s:f>
        <s:v>0</s:v>
      </s:c>
      <s:c r="S63" s="66">
        <s:f>SUM(S5:S61)</s:f>
        <s:v>39</s:v>
      </s:c>
      <s:c r="T63" s="66">
        <s:f>SUM(T5:T61)</s:f>
        <s:v>14.4</s:v>
      </s:c>
      <s:c r="U63" s="66">
        <s:f>SUM(U5:U61)</s:f>
        <s:v>0</s:v>
      </s:c>
      <s:c r="V63" s="66">
        <s:f>SUM(V5:V61)</s:f>
        <s:v>0</s:v>
      </s:c>
      <s:c r="W63" s="66">
        <s:f>SUM(W5:W61)</s:f>
        <s:v>1.224</s:v>
      </s:c>
      <s:c r="X63" s="66">
        <s:f>SUM(X5:X61)</s:f>
        <s:v>0</s:v>
      </s:c>
      <s:c r="Y63" s="66">
        <s:f>SUM(Y5:Y61)</s:f>
        <s:v>0</s:v>
      </s:c>
      <s:c r="Z63" s="66">
        <s:f>SUM(Z5:Z61)</s:f>
        <s:v>17.5</s:v>
      </s:c>
      <s:c r="AA63" s="66">
        <s:f>SUM(AA5:AA61)</s:f>
        <s:v>1.6</s:v>
      </s:c>
      <s:c r="AB63" s="66">
        <s:f>SUM(AB5:AB61)</s:f>
        <s:v>0</s:v>
      </s:c>
      <s:c r="AC63" s="66">
        <s:f>SUM(AC5:AC61)</s:f>
        <s:v>0</s:v>
      </s:c>
      <s:c r="AD63" s="66">
        <s:f>SUM(AD5:AD61)</s:f>
        <s:v>3</s:v>
      </s:c>
      <s:c r="AE63" s="66">
        <s:f>SUM(AE5:AE61)</s:f>
        <s:v>1.25</s:v>
      </s:c>
      <s:c r="AF63" s="66">
        <s:f>SUM(AF5:AF61)</s:f>
        <s:v>2.25</s:v>
      </s:c>
      <s:c r="AG63" s="66">
        <s:f>SUM(AG5:AG61)</s:f>
        <s:v>0</s:v>
      </s:c>
      <s:c r="AH63" s="66">
        <s:f>SUM(AH5:AH61)</s:f>
        <s:v>17.600000000000001</s:v>
      </s:c>
      <s:c r="AI63" s="66">
        <s:f>SUM(AI5:AI61)</s:f>
        <s:v>0</s:v>
      </s:c>
      <s:c r="AJ63" s="66">
        <s:f>SUM(AJ5:AJ61)</s:f>
        <s:v>16.72</s:v>
      </s:c>
      <s:c r="AK63" s="66">
        <s:f>SUM(AK5:AK61)</s:f>
        <s:v>4</s:v>
      </s:c>
      <s:c r="AL63" s="66">
        <s:f>SUM(AL5:AL61)</s:f>
        <s:v>0</s:v>
      </s:c>
      <s:c r="AM63" s="66">
        <s:f>SUM(AM5:AM61)</s:f>
        <s:v>0</s:v>
      </s:c>
      <s:c r="AN63" s="66">
        <s:f>SUM(AN5:AN61)</s:f>
        <s:v>0</s:v>
      </s:c>
      <s:c r="AO63" s="66">
        <s:f>SUM(AO5:AO61)</s:f>
        <s:v>0</s:v>
      </s:c>
      <s:c r="AP63" s="66">
        <s:f>SUM(AP5:AP61)</s:f>
        <s:v>0</s:v>
      </s:c>
      <s:c r="AQ63" s="66">
        <s:f>SUM(AQ5:AQ61)</s:f>
        <s:v>0</s:v>
      </s:c>
      <s:c r="AR63" s="66">
        <s:f>SUM(AR5:AR61)</s:f>
        <s:v>0.6</s:v>
      </s:c>
      <s:c r="AS63" s="66">
        <s:f>SUM(AS5:AS61)</s:f>
        <s:v>0</s:v>
      </s:c>
      <s:c r="AT63" s="66">
        <s:f>SUM(AT5:AT61)</s:f>
        <s:v>4</s:v>
      </s:c>
      <s:c r="AU63" s="66">
        <s:f>SUM(AU5:AU61)</s:f>
        <s:v>0</s:v>
      </s:c>
      <s:c r="AV63" s="76">
        <s:f>SUM(B63:AU63)</s:f>
        <s:v>476.86900000000003</s:v>
      </s:c>
    </s:row>
    <s:row r="64" ht="19.5">
      <s:c r="A64" s="67"/>
      <s:c r="B64" s="68"/>
      <s:c r="C64" s="69"/>
      <s:c r="D64" s="69"/>
      <s:c r="E64" s="69"/>
      <s:c r="F64" s="69"/>
      <s:c r="G64" s="77">
        <s:f>SUM(B63:L63)</s:f>
        <s:v>295.125</s:v>
      </s:c>
      <s:c r="H64" s="69"/>
      <s:c r="I64" s="69"/>
      <s:c r="J64" s="69"/>
      <s:c r="K64" s="69"/>
      <s:c r="L64" s="70"/>
      <s:c r="M64" s="68"/>
      <s:c r="N64" s="69"/>
      <s:c r="O64" s="69"/>
      <s:c r="P64" s="69"/>
      <s:c r="Q64" s="69"/>
      <s:c r="R64" s="69"/>
      <s:c r="S64" s="69"/>
      <s:c r="T64" s="69"/>
      <s:c r="U64" s="69"/>
      <s:c r="V64" s="69"/>
      <s:c r="W64" s="69"/>
      <s:c r="X64" s="69"/>
      <s:c r="Y64" s="69"/>
      <s:c r="Z64" s="69"/>
      <s:c r="AA64" s="69"/>
      <s:c r="AB64" s="69"/>
      <s:c r="AC64" s="69"/>
      <s:c r="AD64" s="69"/>
      <s:c r="AE64" s="69"/>
      <s:c r="AF64" s="69"/>
      <s:c r="AG64" s="69"/>
      <s:c r="AH64" s="69"/>
      <s:c r="AI64" s="69"/>
      <s:c r="AJ64" s="69"/>
      <s:c r="AK64" s="69"/>
      <s:c r="AL64" s="69"/>
      <s:c r="AM64" s="69"/>
      <s:c r="AN64" s="69"/>
      <s:c r="AO64" s="69"/>
      <s:c r="AP64" s="69"/>
      <s:c r="AQ64" s="69"/>
      <s:c r="AR64" s="69"/>
      <s:c r="AS64" s="69"/>
      <s:c r="AT64" s="69"/>
      <s:c r="AU64" s="71">
        <s:f>SUM(M63:AU63)</s:f>
        <s:v>181.74399999999997</s:v>
      </s:c>
      <s:c r="AV64" s="72"/>
    </s:row>
    <s:row r="65">
      <s:c r="A65" s="1"/>
      <s:c r="B65" s="1"/>
      <s:c r="C65" s="1"/>
      <s:c r="D65" s="1"/>
      <s:c r="E65" s="1"/>
      <s:c r="F65" s="1"/>
      <s:c r="G65" s="1"/>
      <s:c r="H65" s="1"/>
      <s:c r="I65" s="1"/>
      <s:c r="J65" s="1"/>
      <s:c r="K65" s="1"/>
      <s:c r="L65" s="1"/>
      <s:c r="M65" s="1"/>
      <s:c r="N65" s="1"/>
      <s:c r="O65" s="1"/>
      <s:c r="P65" s="1"/>
      <s:c r="Q65" s="1"/>
      <s:c r="R65" s="1"/>
      <s:c r="S65" s="1"/>
      <s:c r="T65" s="1"/>
      <s:c r="U65" s="1"/>
      <s:c r="V65" s="1"/>
      <s:c r="W65" s="1"/>
      <s:c r="X65" s="1"/>
      <s:c r="Y65" s="1"/>
      <s:c r="Z65" s="1"/>
      <s:c r="AA65" s="1"/>
      <s:c r="AB65" s="1"/>
      <s:c r="AC65" s="1"/>
      <s:c r="AD65" s="1"/>
      <s:c r="AE65" s="1"/>
      <s:c r="AF65" s="1"/>
      <s:c r="AG65" s="1"/>
      <s:c r="AH65" s="1"/>
      <s:c r="AI65" s="1"/>
      <s:c r="AJ65" s="1"/>
      <s:c r="AK65" s="1"/>
      <s:c r="AL65" s="1"/>
      <s:c r="AM65" s="1"/>
      <s:c r="AN65" s="1"/>
      <s:c r="AO65" s="1"/>
      <s:c r="AP65" s="1"/>
      <s:c r="AQ65" s="1"/>
      <s:c r="AR65" s="1"/>
      <s:c r="AS65" s="1"/>
      <s:c r="AT65" s="1"/>
      <s:c r="AU65" s="1"/>
      <s:c r="AV65" s="1"/>
    </s:row>
    <s:row r="66" ht="18.75">
      <s:c r="A66" s="4" t="s">
        <s:v>5</s:v>
      </s:c>
      <s:c r="B66" s="4"/>
      <s:c r="C66" s="4"/>
      <s:c r="D66" s="4"/>
      <s:c r="E66" s="4"/>
      <s:c r="F66" s="4"/>
      <s:c r="G66" s="4"/>
      <s:c r="H66" s="4"/>
      <s:c r="I66" s="4"/>
      <s:c r="J66" s="4"/>
      <s:c r="K66" s="4"/>
      <s:c r="L66" s="4"/>
      <s:c r="M66" s="5"/>
      <s:c r="N66" s="5"/>
      <s:c r="O66" s="5"/>
      <s:c r="P66" s="5"/>
      <s:c r="Q66" s="5"/>
      <s:c r="R66" s="5"/>
      <s:c r="S66" s="5"/>
      <s:c r="T66" s="5"/>
      <s:c r="U66" s="5"/>
      <s:c r="V66" s="5"/>
      <s:c r="W66" s="5"/>
      <s:c r="X66" s="5"/>
      <s:c r="Y66" s="5"/>
      <s:c r="Z66" s="5"/>
      <s:c r="AA66" s="5"/>
      <s:c r="AB66" s="5"/>
      <s:c r="AC66" s="5"/>
      <s:c r="AD66" s="5"/>
      <s:c r="AE66" s="5"/>
      <s:c r="AF66" s="5"/>
      <s:c r="AG66" s="5"/>
      <s:c r="AH66" s="5"/>
      <s:c r="AI66" s="5"/>
      <s:c r="AJ66" s="5"/>
      <s:c r="AK66" s="5"/>
      <s:c r="AL66" s="5"/>
      <s:c r="AM66" s="5"/>
      <s:c r="AN66" s="5"/>
      <s:c r="AO66" s="5"/>
      <s:c r="AP66" s="5"/>
      <s:c r="AQ66" s="5"/>
      <s:c r="AR66" s="5"/>
      <s:c r="AS66" s="5"/>
      <s:c r="AT66" s="5"/>
      <s:c r="AU66" s="5"/>
      <s:c r="AV66" s="1"/>
    </s:row>
    <s:row x14ac:dyDescent="0.25" r="67" spans="1:48" ht="52.5" customHeight="1">
      <s:c r="A67" s="12" t="s">
        <s:v>8</s:v>
      </s:c>
      <s:c r="B67" s="40" t="s">
        <s:v>18</s:v>
      </s:c>
      <s:c r="C67" s="40" t="s">
        <s:v>38</s:v>
      </s:c>
      <s:c r="D67" s="40" t="s">
        <s:v>83</s:v>
      </s:c>
      <s:c r="E67" s="40" t="s">
        <s:v>19</s:v>
      </s:c>
      <s:c r="F67" s="40" t="s">
        <s:v>60</s:v>
      </s:c>
      <s:c r="G67" s="40" t="s">
        <s:v>6</s:v>
      </s:c>
      <s:c r="H67" s="40" t="s">
        <s:v>20</s:v>
      </s:c>
      <s:c r="I67" s="40" t="s">
        <s:v>21</s:v>
      </s:c>
      <s:c r="J67" s="40" t="s">
        <s:v>22</s:v>
      </s:c>
      <s:c r="K67" s="40" t="s">
        <s:v>23</s:v>
      </s:c>
      <s:c r="L67" s="40" t="s">
        <s:v>24</s:v>
      </s:c>
      <s:c r="M67" s="40" t="s">
        <s:v>37</s:v>
      </s:c>
      <s:c r="N67" s="40" t="s">
        <s:v>13</s:v>
      </s:c>
      <s:c r="O67" s="40" t="s">
        <s:v>17</s:v>
      </s:c>
      <s:c r="P67" s="40" t="s">
        <s:v>25</s:v>
      </s:c>
      <s:c r="Q67" s="40" t="s">
        <s:v>41</s:v>
      </s:c>
      <s:c r="R67" s="40" t="s">
        <s:v>26</s:v>
      </s:c>
      <s:c r="S67" s="40" t="s">
        <s:v>121</s:v>
      </s:c>
      <s:c r="T67" s="40" t="s">
        <s:v>84</s:v>
      </s:c>
      <s:c r="U67" s="40" t="s">
        <s:v>27</s:v>
      </s:c>
      <s:c r="V67" s="40" t="s">
        <s:v>28</s:v>
      </s:c>
      <s:c r="W67" s="40" t="s">
        <s:v>29</s:v>
      </s:c>
      <s:c r="X67" s="40" t="s">
        <s:v>30</s:v>
      </s:c>
      <s:c r="Y67" s="40" t="s">
        <s:v>31</s:v>
      </s:c>
      <s:c r="Z67" s="73" t="s">
        <s:v>47</s:v>
      </s:c>
      <s:c r="AA67" s="40" t="s">
        <s:v>50</s:v>
      </s:c>
      <s:c r="AB67" s="41" t="s">
        <s:v>32</s:v>
      </s:c>
      <s:c r="AC67" s="40" t="s">
        <s:v>107</s:v>
      </s:c>
      <s:c r="AD67" s="40" t="s">
        <s:v>122</s:v>
      </s:c>
      <s:c r="AE67" s="42" t="s">
        <s:v>124</s:v>
      </s:c>
      <s:c r="AF67" s="40" t="s">
        <s:v>123</s:v>
      </s:c>
      <s:c r="AG67" s="43" t="s">
        <s:v>105</s:v>
      </s:c>
      <s:c r="AH67" s="40" t="s">
        <s:v>33</s:v>
      </s:c>
      <s:c r="AI67" s="44" t="s">
        <s:v>34</s:v>
      </s:c>
      <s:c r="AJ67" s="45" t="s">
        <s:v>106</s:v>
      </s:c>
      <s:c r="AK67" s="44" t="s">
        <s:v>35</s:v>
      </s:c>
      <s:c r="AL67" s="44" t="s">
        <s:v>100</s:v>
      </s:c>
      <s:c r="AM67" s="46" t="s">
        <s:v>66</s:v>
      </s:c>
      <s:c r="AN67" s="46" t="s">
        <s:v>120</s:v>
      </s:c>
      <s:c r="AO67" s="46" t="s">
        <s:v>116</s:v>
      </s:c>
      <s:c r="AP67" s="46" t="s">
        <s:v>117</s:v>
      </s:c>
      <s:c r="AQ67" s="46" t="s">
        <s:v>55</s:v>
      </s:c>
      <s:c r="AR67" s="46" t="s">
        <s:v>95</s:v>
      </s:c>
      <s:c r="AS67" s="46" t="str">
        <s:f>AS4</s:f>
        <s:v>Веллбонд</s:v>
      </s:c>
      <s:c r="AT67" s="46" t="s">
        <s:v>78</s:v>
      </s:c>
      <s:c r="AU67" s="46" t="s">
        <s:v>101</s:v>
      </s:c>
    </s:row>
    <s:row r="68" ht="18.75">
      <s:c r="A68" s="29" t="s">
        <s:v>103</s:v>
      </s:c>
      <s:c r="B68" s="14"/>
      <s:c r="C68" s="14"/>
      <s:c r="D68" s="14"/>
      <s:c r="E68" s="14"/>
      <s:c r="F68" s="14"/>
      <s:c r="G68" s="14"/>
      <s:c r="H68" s="14"/>
      <s:c r="I68" s="14"/>
      <s:c r="J68" s="14"/>
      <s:c r="K68" s="14"/>
      <s:c r="L68" s="14"/>
      <s:c r="M68" s="14"/>
      <s:c r="N68" s="14"/>
      <s:c r="O68" s="14"/>
      <s:c r="P68" s="14"/>
      <s:c r="Q68" s="14"/>
      <s:c r="R68" s="14"/>
      <s:c r="S68" s="14"/>
      <s:c r="T68" s="14">
        <s:v>127500</s:v>
      </s:c>
      <s:c r="U68" s="14"/>
      <s:c r="V68" s="14"/>
      <s:c r="W68" s="14"/>
      <s:c r="X68" s="14"/>
      <s:c r="Y68" s="14"/>
      <s:c r="Z68" s="74"/>
      <s:c r="AA68" s="14">
        <s:v>146500</s:v>
      </s:c>
      <s:c r="AB68" s="14"/>
      <s:c r="AC68" s="14"/>
      <s:c r="AD68" s="14"/>
      <s:c r="AE68" s="14"/>
      <s:c r="AF68" s="14"/>
      <s:c r="AG68" s="15"/>
      <s:c r="AH68" s="16"/>
      <s:c r="AI68" s="16"/>
      <s:c r="AJ68" s="16"/>
      <s:c r="AK68" s="16"/>
      <s:c r="AL68" s="17"/>
      <s:c r="AM68" s="18"/>
      <s:c r="AN68" s="18">
        <s:v>160000</s:v>
      </s:c>
      <s:c r="AO68" s="18"/>
      <s:c r="AP68" s="18"/>
      <s:c r="AQ68" s="18"/>
      <s:c r="AR68" s="18"/>
      <s:c r="AS68" s="18"/>
      <s:c r="AT68" s="18"/>
      <s:c r="AU68" s="18"/>
    </s:row>
    <s:row r="69" ht="18.75">
      <s:c r="A69" s="29" t="s">
        <s:v>62</s:v>
      </s:c>
      <s:c r="B69" s="14"/>
      <s:c r="C69" s="14"/>
      <s:c r="D69" s="14"/>
      <s:c r="E69" s="14"/>
      <s:c r="F69" s="14"/>
      <s:c r="G69" s="14"/>
      <s:c r="H69" s="14"/>
      <s:c r="I69" s="14"/>
      <s:c r="J69" s="14"/>
      <s:c r="K69" s="14"/>
      <s:c r="L69" s="14"/>
      <s:c r="M69" s="14"/>
      <s:c r="N69" s="14"/>
      <s:c r="O69" s="14"/>
      <s:c r="P69" s="14"/>
      <s:c r="Q69" s="14"/>
      <s:c r="R69" s="14"/>
      <s:c r="S69" s="14"/>
      <s:c r="T69" s="14"/>
      <s:c r="U69" s="14"/>
      <s:c r="V69" s="14"/>
      <s:c r="W69" s="14"/>
      <s:c r="X69" s="14"/>
      <s:c r="Y69" s="14"/>
      <s:c r="Z69" s="74"/>
      <s:c r="AA69" s="14"/>
      <s:c r="AB69" s="14"/>
      <s:c r="AC69" s="14"/>
      <s:c r="AD69" s="14"/>
      <s:c r="AE69" s="14"/>
      <s:c r="AF69" s="14"/>
      <s:c r="AG69" s="15"/>
      <s:c r="AH69" s="16"/>
      <s:c r="AI69" s="16"/>
      <s:c r="AJ69" s="16"/>
      <s:c r="AK69" s="16"/>
      <s:c r="AL69" s="17"/>
      <s:c r="AM69" s="18"/>
      <s:c r="AN69" s="18"/>
      <s:c r="AO69" s="18"/>
      <s:c r="AP69" s="18"/>
      <s:c r="AQ69" s="18"/>
      <s:c r="AR69" s="18"/>
      <s:c r="AS69" s="18"/>
      <s:c r="AT69" s="18"/>
      <s:c r="AU69" s="18"/>
      <s:c r="AV69" s="79">
        <s:f>AU69+AT69</s:f>
        <s:v>0</s:v>
      </s:c>
    </s:row>
    <s:row r="70" ht="18.75">
      <s:c r="A70" s="29" t="s">
        <s:v>56</s:v>
      </s:c>
      <s:c r="B70" s="14"/>
      <s:c r="C70" s="14">
        <s:v>45500</s:v>
      </s:c>
      <s:c r="D70" s="14"/>
      <s:c r="E70" s="14"/>
      <s:c r="F70" s="14"/>
      <s:c r="G70" s="14"/>
      <s:c r="H70" s="14"/>
      <s:c r="I70" s="14"/>
      <s:c r="J70" s="14"/>
      <s:c r="K70" s="14"/>
      <s:c r="L70" s="14"/>
      <s:c r="M70" s="14"/>
      <s:c r="N70" s="14"/>
      <s:c r="O70" s="14">
        <s:v>82000</s:v>
      </s:c>
      <s:c r="P70" s="14"/>
      <s:c r="Q70" s="14"/>
      <s:c r="R70" s="14"/>
      <s:c r="S70" s="14"/>
      <s:c r="T70" s="14"/>
      <s:c r="U70" s="14"/>
      <s:c r="V70" s="14"/>
      <s:c r="W70" s="14"/>
      <s:c r="X70" s="14"/>
      <s:c r="Y70" s="14"/>
      <s:c r="Z70" s="74"/>
      <s:c r="AA70" s="14"/>
      <s:c r="AB70" s="14"/>
      <s:c r="AC70" s="14"/>
      <s:c r="AD70" s="14"/>
      <s:c r="AE70" s="14"/>
      <s:c r="AF70" s="14"/>
      <s:c r="AG70" s="15"/>
      <s:c r="AH70" s="16"/>
      <s:c r="AI70" s="16"/>
      <s:c r="AJ70" s="16"/>
      <s:c r="AK70" s="16"/>
      <s:c r="AL70" s="17"/>
      <s:c r="AM70" s="18"/>
      <s:c r="AN70" s="18"/>
      <s:c r="AO70" s="18"/>
      <s:c r="AP70" s="18"/>
      <s:c r="AQ70" s="18"/>
      <s:c r="AR70" s="18"/>
      <s:c r="AS70" s="18"/>
      <s:c r="AT70" s="18"/>
      <s:c r="AU70" s="18"/>
    </s:row>
    <s:row r="71" ht="18.75">
      <s:c r="A71" s="13" t="s">
        <s:v>81</s:v>
      </s:c>
      <s:c r="B71" s="14"/>
      <s:c r="C71" s="14"/>
      <s:c r="D71" s="14"/>
      <s:c r="E71" s="14"/>
      <s:c r="F71" s="14"/>
      <s:c r="G71" s="14"/>
      <s:c r="H71" s="14"/>
      <s:c r="I71" s="14"/>
      <s:c r="J71" s="14"/>
      <s:c r="K71" s="14"/>
      <s:c r="L71" s="14"/>
      <s:c r="M71" s="14"/>
      <s:c r="N71" s="14"/>
      <s:c r="O71" s="14"/>
      <s:c r="P71" s="14"/>
      <s:c r="Q71" s="14"/>
      <s:c r="R71" s="14"/>
      <s:c r="S71" s="14"/>
      <s:c r="T71" s="14"/>
      <s:c r="U71" s="14"/>
      <s:c r="V71" s="14"/>
      <s:c r="W71" s="14"/>
      <s:c r="X71" s="14"/>
      <s:c r="Y71" s="14"/>
      <s:c r="Z71" s="74"/>
      <s:c r="AA71" s="14"/>
      <s:c r="AB71" s="14"/>
      <s:c r="AC71" s="14"/>
      <s:c r="AD71" s="14"/>
      <s:c r="AE71" s="14"/>
      <s:c r="AF71" s="14"/>
      <s:c r="AG71" s="15"/>
      <s:c r="AH71" s="16"/>
      <s:c r="AI71" s="16"/>
      <s:c r="AJ71" s="16"/>
      <s:c r="AK71" s="16"/>
      <s:c r="AL71" s="17"/>
      <s:c r="AM71" s="18"/>
      <s:c r="AN71" s="18"/>
      <s:c r="AO71" s="18"/>
      <s:c r="AP71" s="18"/>
      <s:c r="AQ71" s="18"/>
      <s:c r="AR71" s="18"/>
      <s:c r="AS71" s="18"/>
      <s:c r="AT71" s="18"/>
      <s:c r="AU71" s="18"/>
    </s:row>
    <s:row r="72" ht="18.75">
      <s:c r="A72" s="29" t="s">
        <s:v>1</s:v>
      </s:c>
      <s:c r="B72" s="14"/>
      <s:c r="C72" s="14"/>
      <s:c r="D72" s="14"/>
      <s:c r="E72" s="14"/>
      <s:c r="F72" s="14"/>
      <s:c r="G72" s="14"/>
      <s:c r="H72" s="14"/>
      <s:c r="I72" s="14"/>
      <s:c r="J72" s="14"/>
      <s:c r="K72" s="14"/>
      <s:c r="L72" s="14"/>
      <s:c r="M72" s="14"/>
      <s:c r="N72" s="14"/>
      <s:c r="O72" s="14"/>
      <s:c r="P72" s="14"/>
      <s:c r="Q72" s="14"/>
      <s:c r="R72" s="14">
        <s:v>93000</s:v>
      </s:c>
      <s:c r="S72" s="14"/>
      <s:c r="T72" s="14"/>
      <s:c r="U72" s="14"/>
      <s:c r="V72" s="14"/>
      <s:c r="W72" s="14"/>
      <s:c r="X72" s="14"/>
      <s:c r="Y72" s="14"/>
      <s:c r="Z72" s="74"/>
      <s:c r="AA72" s="14"/>
      <s:c r="AB72" s="14"/>
      <s:c r="AC72" s="14"/>
      <s:c r="AD72" s="14"/>
      <s:c r="AE72" s="14"/>
      <s:c r="AF72" s="14"/>
      <s:c r="AG72" s="15"/>
      <s:c r="AH72" s="16">
        <s:v>369000</s:v>
      </s:c>
      <s:c r="AI72" s="16"/>
      <s:c r="AJ72" s="16"/>
      <s:c r="AK72" s="16"/>
      <s:c r="AL72" s="17"/>
      <s:c r="AM72" s="18"/>
      <s:c r="AN72" s="18"/>
      <s:c r="AO72" s="18"/>
      <s:c r="AP72" s="18"/>
      <s:c r="AQ72" s="18"/>
      <s:c r="AR72" s="18"/>
      <s:c r="AS72" s="18"/>
      <s:c r="AT72" s="18"/>
      <s:c r="AU72" s="18"/>
    </s:row>
    <s:row r="73" ht="18.75">
      <s:c r="A73" s="29" t="s">
        <s:v>91</s:v>
      </s:c>
      <s:c r="B73" s="14"/>
      <s:c r="C73" s="14"/>
      <s:c r="D73" s="14"/>
      <s:c r="E73" s="14"/>
      <s:c r="F73" s="14"/>
      <s:c r="G73" s="14"/>
      <s:c r="H73" s="14"/>
      <s:c r="I73" s="14"/>
      <s:c r="J73" s="14"/>
      <s:c r="K73" s="14"/>
      <s:c r="L73" s="14"/>
      <s:c r="M73" s="14"/>
      <s:c r="N73" s="14"/>
      <s:c r="O73" s="14"/>
      <s:c r="P73" s="14"/>
      <s:c r="Q73" s="14"/>
      <s:c r="R73" s="14"/>
      <s:c r="S73" s="14"/>
      <s:c r="T73" s="14"/>
      <s:c r="U73" s="14"/>
      <s:c r="V73" s="14"/>
      <s:c r="W73" s="14"/>
      <s:c r="X73" s="14"/>
      <s:c r="Y73" s="14"/>
      <s:c r="Z73" s="74"/>
      <s:c r="AA73" s="14"/>
      <s:c r="AB73" s="14"/>
      <s:c r="AC73" s="14"/>
      <s:c r="AD73" s="14"/>
      <s:c r="AE73" s="14"/>
      <s:c r="AF73" s="14"/>
      <s:c r="AG73" s="15"/>
      <s:c r="AH73" s="16"/>
      <s:c r="AI73" s="16"/>
      <s:c r="AJ73" s="16"/>
      <s:c r="AK73" s="16"/>
      <s:c r="AL73" s="17"/>
      <s:c r="AM73" s="18"/>
      <s:c r="AN73" s="18"/>
      <s:c r="AO73" s="18"/>
      <s:c r="AP73" s="18"/>
      <s:c r="AQ73" s="18"/>
      <s:c r="AR73" s="18"/>
      <s:c r="AS73" s="18"/>
      <s:c r="AT73" s="18"/>
      <s:c r="AU73" s="18"/>
    </s:row>
    <s:row r="74" ht="18.75">
      <s:c r="A74" s="30" t="s">
        <s:v>74</s:v>
      </s:c>
      <s:c r="B74" s="14"/>
      <s:c r="C74" s="14"/>
      <s:c r="D74" s="14"/>
      <s:c r="E74" s="14"/>
      <s:c r="F74" s="14"/>
      <s:c r="G74" s="14"/>
      <s:c r="H74" s="14"/>
      <s:c r="I74" s="14"/>
      <s:c r="J74" s="14"/>
      <s:c r="K74" s="14"/>
      <s:c r="L74" s="14"/>
      <s:c r="M74" s="14"/>
      <s:c r="N74" s="14"/>
      <s:c r="O74" s="14"/>
      <s:c r="P74" s="14"/>
      <s:c r="Q74" s="14"/>
      <s:c r="R74" s="14"/>
      <s:c r="S74" s="14"/>
      <s:c r="T74" s="14"/>
      <s:c r="U74" s="14"/>
      <s:c r="V74" s="14"/>
      <s:c r="W74" s="14"/>
      <s:c r="X74" s="14"/>
      <s:c r="Y74" s="14"/>
      <s:c r="Z74" s="74"/>
      <s:c r="AA74" s="14"/>
      <s:c r="AB74" s="14"/>
      <s:c r="AC74" s="14"/>
      <s:c r="AD74" s="14"/>
      <s:c r="AE74" s="14"/>
      <s:c r="AF74" s="14"/>
      <s:c r="AG74" s="15"/>
      <s:c r="AH74" s="16"/>
      <s:c r="AI74" s="16"/>
      <s:c r="AJ74" s="16"/>
      <s:c r="AK74" s="16"/>
      <s:c r="AL74" s="17"/>
      <s:c r="AM74" s="18"/>
      <s:c r="AN74" s="18"/>
      <s:c r="AO74" s="18"/>
      <s:c r="AP74" s="18"/>
      <s:c r="AQ74" s="18"/>
      <s:c r="AR74" s="18"/>
      <s:c r="AS74" s="18"/>
      <s:c r="AT74" s="18"/>
      <s:c r="AU74" s="18"/>
    </s:row>
    <s:row r="75" ht="18.75">
      <s:c r="A75" s="29" t="s">
        <s:v>4</s:v>
      </s:c>
      <s:c r="B75" s="14"/>
      <s:c r="C75" s="14"/>
      <s:c r="D75" s="14"/>
      <s:c r="E75" s="14"/>
      <s:c r="F75" s="14"/>
      <s:c r="G75" s="14"/>
      <s:c r="H75" s="14"/>
      <s:c r="I75" s="14"/>
      <s:c r="J75" s="14"/>
      <s:c r="K75" s="14"/>
      <s:c r="L75" s="14"/>
      <s:c r="M75" s="14"/>
      <s:c r="N75" s="14"/>
      <s:c r="O75" s="14"/>
      <s:c r="P75" s="14"/>
      <s:c r="Q75" s="14"/>
      <s:c r="R75" s="14"/>
      <s:c r="S75" s="14"/>
      <s:c r="T75" s="14"/>
      <s:c r="U75" s="14"/>
      <s:c r="V75" s="14"/>
      <s:c r="W75" s="14"/>
      <s:c r="X75" s="14"/>
      <s:c r="Y75" s="14"/>
      <s:c r="Z75" s="74"/>
      <s:c r="AA75" s="14"/>
      <s:c r="AB75" s="14"/>
      <s:c r="AC75" s="14"/>
      <s:c r="AD75" s="14"/>
      <s:c r="AE75" s="14"/>
      <s:c r="AF75" s="14"/>
      <s:c r="AG75" s="15"/>
      <s:c r="AH75" s="16"/>
      <s:c r="AI75" s="16"/>
      <s:c r="AJ75" s="16"/>
      <s:c r="AK75" s="16"/>
      <s:c r="AL75" s="17"/>
      <s:c r="AM75" s="18"/>
      <s:c r="AN75" s="18"/>
      <s:c r="AO75" s="18"/>
      <s:c r="AP75" s="18"/>
      <s:c r="AQ75" s="18"/>
      <s:c r="AR75" s="18"/>
      <s:c r="AS75" s="18"/>
      <s:c r="AT75" s="18"/>
      <s:c r="AU75" s="18"/>
    </s:row>
    <s:row r="76" ht="18.75">
      <s:c r="A76" s="29" t="s">
        <s:v>3</s:v>
      </s:c>
      <s:c r="B76" s="14"/>
      <s:c r="C76" s="14"/>
      <s:c r="D76" s="14">
        <s:v>41500</s:v>
      </s:c>
      <s:c r="E76" s="14"/>
      <s:c r="F76" s="14"/>
      <s:c r="G76" s="14"/>
      <s:c r="H76" s="14"/>
      <s:c r="I76" s="14"/>
      <s:c r="J76" s="14"/>
      <s:c r="K76" s="14"/>
      <s:c r="L76" s="14"/>
      <s:c r="M76" s="14"/>
      <s:c r="N76" s="14"/>
      <s:c r="O76" s="14"/>
      <s:c r="P76" s="14"/>
      <s:c r="Q76" s="14"/>
      <s:c r="R76" s="14"/>
      <s:c r="S76" s="14"/>
      <s:c r="T76" s="14"/>
      <s:c r="U76" s="14"/>
      <s:c r="V76" s="14"/>
      <s:c r="W76" s="14"/>
      <s:c r="X76" s="14"/>
      <s:c r="Y76" s="14"/>
      <s:c r="Z76" s="74"/>
      <s:c r="AA76" s="14"/>
      <s:c r="AB76" s="14"/>
      <s:c r="AC76" s="14"/>
      <s:c r="AD76" s="14"/>
      <s:c r="AE76" s="14"/>
      <s:c r="AF76" s="14"/>
      <s:c r="AG76" s="15"/>
      <s:c r="AH76" s="16"/>
      <s:c r="AI76" s="16"/>
      <s:c r="AJ76" s="16"/>
      <s:c r="AK76" s="16"/>
      <s:c r="AL76" s="17"/>
      <s:c r="AM76" s="18"/>
      <s:c r="AN76" s="18"/>
      <s:c r="AO76" s="18"/>
      <s:c r="AP76" s="18"/>
      <s:c r="AQ76" s="18"/>
      <s:c r="AR76" s="18"/>
      <s:c r="AS76" s="18"/>
      <s:c r="AT76" s="18"/>
      <s:c r="AU76" s="18"/>
    </s:row>
    <s:row r="77" ht="18.75">
      <s:c r="A77" s="29" t="s">
        <s:v>44</s:v>
      </s:c>
      <s:c r="B77" s="14"/>
      <s:c r="C77" s="14"/>
      <s:c r="D77" s="14"/>
      <s:c r="E77" s="14"/>
      <s:c r="F77" s="14"/>
      <s:c r="G77" s="14"/>
      <s:c r="H77" s="14"/>
      <s:c r="I77" s="14"/>
      <s:c r="J77" s="14"/>
      <s:c r="K77" s="14"/>
      <s:c r="L77" s="14"/>
      <s:c r="M77" s="14"/>
      <s:c r="N77" s="14"/>
      <s:c r="O77" s="14"/>
      <s:c r="P77" s="14"/>
      <s:c r="Q77" s="14"/>
      <s:c r="R77" s="14"/>
      <s:c r="S77" s="14"/>
      <s:c r="T77" s="14"/>
      <s:c r="U77" s="14"/>
      <s:c r="V77" s="14"/>
      <s:c r="W77" s="14"/>
      <s:c r="X77" s="14"/>
      <s:c r="Y77" s="14"/>
      <s:c r="Z77" s="74"/>
      <s:c r="AA77" s="14"/>
      <s:c r="AB77" s="14"/>
      <s:c r="AC77" s="14"/>
      <s:c r="AD77" s="14"/>
      <s:c r="AE77" s="14"/>
      <s:c r="AF77" s="14"/>
      <s:c r="AG77" s="15"/>
      <s:c r="AH77" s="16"/>
      <s:c r="AI77" s="16"/>
      <s:c r="AJ77" s="16"/>
      <s:c r="AK77" s="16"/>
      <s:c r="AL77" s="17"/>
      <s:c r="AM77" s="18"/>
      <s:c r="AN77" s="18"/>
      <s:c r="AO77" s="18"/>
      <s:c r="AP77" s="18"/>
      <s:c r="AQ77" s="18"/>
      <s:c r="AR77" s="18"/>
      <s:c r="AS77" s="18"/>
      <s:c r="AT77" s="18"/>
      <s:c r="AU77" s="18"/>
    </s:row>
    <s:row r="78" ht="18.75">
      <s:c r="A78" s="29" t="s">
        <s:v>46</s:v>
      </s:c>
      <s:c r="B78" s="14"/>
      <s:c r="C78" s="14"/>
      <s:c r="D78" s="14"/>
      <s:c r="E78" s="14"/>
      <s:c r="F78" s="14"/>
      <s:c r="G78" s="14"/>
      <s:c r="H78" s="14"/>
      <s:c r="I78" s="14"/>
      <s:c r="J78" s="14"/>
      <s:c r="K78" s="14"/>
      <s:c r="L78" s="14"/>
      <s:c r="M78" s="14"/>
      <s:c r="N78" s="14"/>
      <s:c r="O78" s="14"/>
      <s:c r="P78" s="14"/>
      <s:c r="Q78" s="14"/>
      <s:c r="R78" s="14"/>
      <s:c r="S78" s="14"/>
      <s:c r="T78" s="14"/>
      <s:c r="U78" s="14"/>
      <s:c r="V78" s="14"/>
      <s:c r="W78" s="14"/>
      <s:c r="X78" s="14"/>
      <s:c r="Y78" s="14"/>
      <s:c r="Z78" s="74"/>
      <s:c r="AA78" s="14"/>
      <s:c r="AB78" s="14"/>
      <s:c r="AC78" s="14"/>
      <s:c r="AD78" s="14"/>
      <s:c r="AE78" s="14"/>
      <s:c r="AF78" s="14"/>
      <s:c r="AG78" s="15"/>
      <s:c r="AH78" s="16"/>
      <s:c r="AI78" s="16"/>
      <s:c r="AJ78" s="16"/>
      <s:c r="AK78" s="16"/>
      <s:c r="AL78" s="17"/>
      <s:c r="AM78" s="18"/>
      <s:c r="AN78" s="18"/>
      <s:c r="AO78" s="18"/>
      <s:c r="AP78" s="18"/>
      <s:c r="AQ78" s="18"/>
      <s:c r="AR78" s="18"/>
      <s:c r="AS78" s="18"/>
      <s:c r="AT78" s="18"/>
      <s:c r="AU78" s="18"/>
    </s:row>
    <s:row r="79" ht="18.75">
      <s:c r="A79" s="13" t="s">
        <s:v>79</s:v>
      </s:c>
      <s:c r="B79" s="14"/>
      <s:c r="C79" s="14"/>
      <s:c r="D79" s="14"/>
      <s:c r="E79" s="14"/>
      <s:c r="F79" s="14"/>
      <s:c r="G79" s="14"/>
      <s:c r="H79" s="14"/>
      <s:c r="I79" s="14"/>
      <s:c r="J79" s="14"/>
      <s:c r="K79" s="14"/>
      <s:c r="L79" s="14"/>
      <s:c r="M79" s="14"/>
      <s:c r="N79" s="14"/>
      <s:c r="O79" s="14"/>
      <s:c r="P79" s="14"/>
      <s:c r="Q79" s="14"/>
      <s:c r="R79" s="14"/>
      <s:c r="S79" s="14"/>
      <s:c r="T79" s="14"/>
      <s:c r="U79" s="14"/>
      <s:c r="V79" s="14"/>
      <s:c r="W79" s="14"/>
      <s:c r="X79" s="14"/>
      <s:c r="Y79" s="14"/>
      <s:c r="Z79" s="74"/>
      <s:c r="AA79" s="14"/>
      <s:c r="AB79" s="14"/>
      <s:c r="AC79" s="14"/>
      <s:c r="AD79" s="14"/>
      <s:c r="AE79" s="14"/>
      <s:c r="AF79" s="14"/>
      <s:c r="AG79" s="15"/>
      <s:c r="AH79" s="16"/>
      <s:c r="AI79" s="16"/>
      <s:c r="AJ79" s="16"/>
      <s:c r="AK79" s="16"/>
      <s:c r="AL79" s="17"/>
      <s:c r="AM79" s="18"/>
      <s:c r="AN79" s="18"/>
      <s:c r="AO79" s="18"/>
      <s:c r="AP79" s="18"/>
      <s:c r="AQ79" s="18"/>
      <s:c r="AR79" s="18"/>
      <s:c r="AS79" s="18"/>
      <s:c r="AT79" s="18"/>
      <s:c r="AU79" s="18"/>
    </s:row>
    <s:row r="80" ht="18.75">
      <s:c r="A80" s="29" t="s">
        <s:v>72</s:v>
      </s:c>
      <s:c r="B80" s="14"/>
      <s:c r="C80" s="14">
        <s:v>44300</s:v>
      </s:c>
      <s:c r="D80" s="14">
        <s:v>44300</s:v>
      </s:c>
      <s:c r="E80" s="14"/>
      <s:c r="F80" s="14"/>
      <s:c r="G80" s="14"/>
      <s:c r="H80" s="14"/>
      <s:c r="I80" s="14"/>
      <s:c r="J80" s="14"/>
      <s:c r="K80" s="14"/>
      <s:c r="L80" s="14"/>
      <s:c r="M80" s="14"/>
      <s:c r="N80" s="14"/>
      <s:c r="O80" s="14"/>
      <s:c r="P80" s="14"/>
      <s:c r="Q80" s="14"/>
      <s:c r="R80" s="14"/>
      <s:c r="S80" s="14"/>
      <s:c r="T80" s="14">
        <s:v>122000</s:v>
      </s:c>
      <s:c r="U80" s="14"/>
      <s:c r="V80" s="14"/>
      <s:c r="W80" s="14">
        <s:v>220000</s:v>
      </s:c>
      <s:c r="X80" s="14"/>
      <s:c r="Y80" s="14"/>
      <s:c r="Z80" s="74"/>
      <s:c r="AA80" s="14">
        <s:v>157000</s:v>
      </s:c>
      <s:c r="AB80" s="14"/>
      <s:c r="AC80" s="14"/>
      <s:c r="AD80" s="14"/>
      <s:c r="AE80" s="14"/>
      <s:c r="AF80" s="14"/>
      <s:c r="AG80" s="15"/>
      <s:c r="AH80" s="16"/>
      <s:c r="AI80" s="16"/>
      <s:c r="AJ80" s="16"/>
      <s:c r="AK80" s="16"/>
      <s:c r="AL80" s="17"/>
      <s:c r="AM80" s="18"/>
      <s:c r="AN80" s="18"/>
      <s:c r="AO80" s="18"/>
      <s:c r="AP80" s="18"/>
      <s:c r="AQ80" s="18"/>
      <s:c r="AR80" s="18"/>
      <s:c r="AS80" s="18"/>
      <s:c r="AT80" s="18"/>
      <s:c r="AU80" s="18"/>
    </s:row>
    <s:row r="81" ht="18.75">
      <s:c r="A81" s="29" t="s">
        <s:v>98</s:v>
      </s:c>
      <s:c r="B81" s="14"/>
      <s:c r="C81" s="14">
        <s:v>39000</s:v>
      </s:c>
      <s:c r="D81" s="14"/>
      <s:c r="E81" s="14"/>
      <s:c r="F81" s="14"/>
      <s:c r="G81" s="14"/>
      <s:c r="H81" s="14"/>
      <s:c r="I81" s="14"/>
      <s:c r="J81" s="14"/>
      <s:c r="K81" s="14"/>
      <s:c r="L81" s="14"/>
      <s:c r="M81" s="14"/>
      <s:c r="N81" s="14"/>
      <s:c r="O81" s="14"/>
      <s:c r="P81" s="14"/>
      <s:c r="Q81" s="14"/>
      <s:c r="R81" s="14"/>
      <s:c r="S81" s="14"/>
      <s:c r="T81" s="14"/>
      <s:c r="U81" s="14"/>
      <s:c r="V81" s="14"/>
      <s:c r="W81" s="14"/>
      <s:c r="X81" s="14"/>
      <s:c r="Y81" s="14"/>
      <s:c r="Z81" s="74"/>
      <s:c r="AA81" s="14"/>
      <s:c r="AB81" s="14"/>
      <s:c r="AC81" s="14"/>
      <s:c r="AD81" s="14"/>
      <s:c r="AE81" s="14"/>
      <s:c r="AF81" s="14"/>
      <s:c r="AG81" s="15"/>
      <s:c r="AH81" s="16"/>
      <s:c r="AI81" s="16"/>
      <s:c r="AJ81" s="16"/>
      <s:c r="AK81" s="16"/>
      <s:c r="AL81" s="17"/>
      <s:c r="AM81" s="18"/>
      <s:c r="AN81" s="18"/>
      <s:c r="AO81" s="18"/>
      <s:c r="AP81" s="18"/>
      <s:c r="AQ81" s="18"/>
      <s:c r="AR81" s="18"/>
      <s:c r="AS81" s="18"/>
      <s:c r="AT81" s="18"/>
      <s:c r="AU81" s="18"/>
    </s:row>
    <s:row r="82" ht="18.75">
      <s:c r="A82" s="29" t="s">
        <s:v>119</s:v>
      </s:c>
      <s:c r="B82" s="14"/>
      <s:c r="C82" s="14"/>
      <s:c r="D82" s="14"/>
      <s:c r="E82" s="14"/>
      <s:c r="F82" s="14"/>
      <s:c r="G82" s="14"/>
      <s:c r="H82" s="14"/>
      <s:c r="I82" s="14"/>
      <s:c r="J82" s="14"/>
      <s:c r="K82" s="14"/>
      <s:c r="L82" s="14"/>
      <s:c r="M82" s="14"/>
      <s:c r="N82" s="14"/>
      <s:c r="O82" s="14"/>
      <s:c r="P82" s="14"/>
      <s:c r="Q82" s="14"/>
      <s:c r="R82" s="14"/>
      <s:c r="S82" s="14"/>
      <s:c r="T82" s="14"/>
      <s:c r="U82" s="14"/>
      <s:c r="V82" s="14"/>
      <s:c r="W82" s="14"/>
      <s:c r="X82" s="14"/>
      <s:c r="Y82" s="14"/>
      <s:c r="Z82" s="74"/>
      <s:c r="AA82" s="14"/>
      <s:c r="AB82" s="14"/>
      <s:c r="AC82" s="14"/>
      <s:c r="AD82" s="14"/>
      <s:c r="AE82" s="14"/>
      <s:c r="AF82" s="14"/>
      <s:c r="AG82" s="15"/>
      <s:c r="AH82" s="16"/>
      <s:c r="AI82" s="16"/>
      <s:c r="AJ82" s="16"/>
      <s:c r="AK82" s="16"/>
      <s:c r="AL82" s="17"/>
      <s:c r="AM82" s="18"/>
      <s:c r="AN82" s="18"/>
      <s:c r="AO82" s="18"/>
      <s:c r="AP82" s="18">
        <s:v>280000</s:v>
      </s:c>
      <s:c r="AQ82" s="18"/>
      <s:c r="AR82" s="18"/>
      <s:c r="AS82" s="18"/>
      <s:c r="AT82" s="18"/>
      <s:c r="AU82" s="18"/>
    </s:row>
    <s:row r="83" ht="18.75">
      <s:c r="A83" s="29" t="s">
        <s:v>73</s:v>
      </s:c>
      <s:c r="B83" s="14"/>
      <s:c r="C83" s="14"/>
      <s:c r="D83" s="14"/>
      <s:c r="E83" s="14"/>
      <s:c r="F83" s="14"/>
      <s:c r="G83" s="14"/>
      <s:c r="H83" s="14"/>
      <s:c r="I83" s="14"/>
      <s:c r="J83" s="14"/>
      <s:c r="K83" s="14"/>
      <s:c r="L83" s="14"/>
      <s:c r="M83" s="14"/>
      <s:c r="N83" s="14"/>
      <s:c r="O83" s="14"/>
      <s:c r="P83" s="14"/>
      <s:c r="Q83" s="14"/>
      <s:c r="R83" s="14"/>
      <s:c r="S83" s="14"/>
      <s:c r="T83" s="14"/>
      <s:c r="U83" s="14"/>
      <s:c r="V83" s="14"/>
      <s:c r="W83" s="14"/>
      <s:c r="X83" s="14"/>
      <s:c r="Y83" s="14"/>
      <s:c r="Z83" s="74"/>
      <s:c r="AA83" s="14"/>
      <s:c r="AB83" s="14"/>
      <s:c r="AC83" s="14"/>
      <s:c r="AD83" s="14"/>
      <s:c r="AE83" s="14"/>
      <s:c r="AF83" s="14"/>
      <s:c r="AG83" s="15"/>
      <s:c r="AH83" s="16"/>
      <s:c r="AI83" s="16"/>
      <s:c r="AJ83" s="16"/>
      <s:c r="AK83" s="16"/>
      <s:c r="AL83" s="17"/>
      <s:c r="AM83" s="18"/>
      <s:c r="AN83" s="18"/>
      <s:c r="AO83" s="18"/>
      <s:c r="AP83" s="18"/>
      <s:c r="AQ83" s="18"/>
      <s:c r="AR83" s="18"/>
      <s:c r="AS83" s="18"/>
      <s:c r="AT83" s="18"/>
      <s:c r="AU83" s="18"/>
    </s:row>
    <s:row r="84" ht="18.75">
      <s:c r="A84" s="29" t="s">
        <s:v>65</s:v>
      </s:c>
      <s:c r="B84" s="14"/>
      <s:c r="C84" s="14"/>
      <s:c r="D84" s="14"/>
      <s:c r="E84" s="14"/>
      <s:c r="F84" s="14"/>
      <s:c r="G84" s="14"/>
      <s:c r="H84" s="14"/>
      <s:c r="I84" s="14"/>
      <s:c r="J84" s="14"/>
      <s:c r="K84" s="14"/>
      <s:c r="L84" s="14"/>
      <s:c r="M84" s="14"/>
      <s:c r="N84" s="14"/>
      <s:c r="O84" s="14"/>
      <s:c r="P84" s="14"/>
      <s:c r="Q84" s="14"/>
      <s:c r="R84" s="14"/>
      <s:c r="S84" s="14"/>
      <s:c r="T84" s="14"/>
      <s:c r="U84" s="14"/>
      <s:c r="V84" s="14"/>
      <s:c r="W84" s="14"/>
      <s:c r="X84" s="14"/>
      <s:c r="Y84" s="14"/>
      <s:c r="Z84" s="74"/>
      <s:c r="AA84" s="14"/>
      <s:c r="AB84" s="14"/>
      <s:c r="AC84" s="14"/>
      <s:c r="AD84" s="14"/>
      <s:c r="AE84" s="14"/>
      <s:c r="AF84" s="14"/>
      <s:c r="AG84" s="15"/>
      <s:c r="AH84" s="16"/>
      <s:c r="AI84" s="16"/>
      <s:c r="AJ84" s="16"/>
      <s:c r="AK84" s="16"/>
      <s:c r="AL84" s="17"/>
      <s:c r="AM84" s="18"/>
      <s:c r="AN84" s="18"/>
      <s:c r="AO84" s="18"/>
      <s:c r="AP84" s="18"/>
      <s:c r="AQ84" s="18"/>
      <s:c r="AR84" s="18"/>
      <s:c r="AS84" s="18"/>
      <s:c r="AT84" s="18"/>
      <s:c r="AU84" s="18"/>
    </s:row>
    <s:row r="85" ht="18.75">
      <s:c r="A85" s="29" t="s">
        <s:v>52</s:v>
      </s:c>
      <s:c r="B85" s="14"/>
      <s:c r="C85" s="14"/>
      <s:c r="D85" s="14"/>
      <s:c r="E85" s="14"/>
      <s:c r="F85" s="14"/>
      <s:c r="G85" s="14"/>
      <s:c r="H85" s="14"/>
      <s:c r="I85" s="14"/>
      <s:c r="J85" s="14"/>
      <s:c r="K85" s="14"/>
      <s:c r="L85" s="14"/>
      <s:c r="M85" s="14"/>
      <s:c r="N85" s="14"/>
      <s:c r="O85" s="14"/>
      <s:c r="P85" s="14"/>
      <s:c r="Q85" s="14"/>
      <s:c r="R85" s="14"/>
      <s:c r="S85" s="14"/>
      <s:c r="T85" s="14"/>
      <s:c r="U85" s="14"/>
      <s:c r="V85" s="14"/>
      <s:c r="W85" s="14"/>
      <s:c r="X85" s="14"/>
      <s:c r="Y85" s="14"/>
      <s:c r="Z85" s="74"/>
      <s:c r="AA85" s="14"/>
      <s:c r="AB85" s="14"/>
      <s:c r="AC85" s="14"/>
      <s:c r="AD85" s="14"/>
      <s:c r="AE85" s="14"/>
      <s:c r="AF85" s="14"/>
      <s:c r="AG85" s="15"/>
      <s:c r="AH85" s="16"/>
      <s:c r="AI85" s="16"/>
      <s:c r="AJ85" s="16"/>
      <s:c r="AK85" s="16"/>
      <s:c r="AL85" s="17"/>
      <s:c r="AM85" s="18"/>
      <s:c r="AN85" s="18"/>
      <s:c r="AO85" s="18"/>
      <s:c r="AP85" s="18"/>
      <s:c r="AQ85" s="18"/>
      <s:c r="AR85" s="18"/>
      <s:c r="AS85" s="18"/>
      <s:c r="AT85" s="18"/>
      <s:c r="AU85" s="18"/>
    </s:row>
    <s:row r="86" ht="18.75">
      <s:c r="A86" s="30" t="s">
        <s:v>61</s:v>
      </s:c>
      <s:c r="B86" s="14"/>
      <s:c r="C86" s="14">
        <s:v>43500</s:v>
      </s:c>
      <s:c r="D86" s="14">
        <s:v>44500</s:v>
      </s:c>
      <s:c r="E86" s="14"/>
      <s:c r="F86" s="14"/>
      <s:c r="G86" s="14"/>
      <s:c r="H86" s="14"/>
      <s:c r="I86" s="14"/>
      <s:c r="J86" s="14"/>
      <s:c r="K86" s="14"/>
      <s:c r="L86" s="14"/>
      <s:c r="M86" s="14">
        <s:v>87000</s:v>
      </s:c>
      <s:c r="N86" s="14"/>
      <s:c r="O86" s="14"/>
      <s:c r="P86" s="14"/>
      <s:c r="Q86" s="14">
        <s:v>105000</s:v>
      </s:c>
      <s:c r="R86" s="14">
        <s:v>87000</s:v>
      </s:c>
      <s:c r="S86" s="14"/>
      <s:c r="T86" s="14">
        <s:v>135000</s:v>
      </s:c>
      <s:c r="U86" s="14"/>
      <s:c r="V86" s="14"/>
      <s:c r="W86" s="14"/>
      <s:c r="X86" s="80">
        <s:v>310000</s:v>
      </s:c>
      <s:c r="Y86" s="14">
        <s:v>70000</s:v>
      </s:c>
      <s:c r="Z86" s="74">
        <s:v>250000</s:v>
      </s:c>
      <s:c r="AA86" s="14"/>
      <s:c r="AB86" s="14">
        <s:v>250000</s:v>
      </s:c>
      <s:c r="AC86" s="14"/>
      <s:c r="AD86" s="14"/>
      <s:c r="AE86" s="14"/>
      <s:c r="AF86" s="14"/>
      <s:c r="AG86" s="15"/>
      <s:c r="AH86" s="16"/>
      <s:c r="AI86" s="16"/>
      <s:c r="AJ86" s="16"/>
      <s:c r="AK86" s="16">
        <s:v>97000</s:v>
      </s:c>
      <s:c r="AL86" s="17">
        <s:v>270000</s:v>
      </s:c>
      <s:c r="AM86" s="18"/>
      <s:c r="AN86" s="18"/>
      <s:c r="AO86" s="18"/>
      <s:c r="AP86" s="18"/>
      <s:c r="AQ86" s="18"/>
      <s:c r="AR86" s="18"/>
      <s:c r="AS86" s="18"/>
      <s:c r="AT86" s="18">
        <s:v>127000</s:v>
      </s:c>
      <s:c r="AU86" s="18"/>
    </s:row>
    <s:row r="87" ht="18.75">
      <s:c r="A87" s="29" t="s">
        <s:v>16</s:v>
      </s:c>
      <s:c r="B87" s="14"/>
      <s:c r="C87" s="14"/>
      <s:c r="D87" s="14"/>
      <s:c r="E87" s="14"/>
      <s:c r="F87" s="14"/>
      <s:c r="G87" s="14"/>
      <s:c r="H87" s="14"/>
      <s:c r="I87" s="14"/>
      <s:c r="J87" s="14"/>
      <s:c r="K87" s="14"/>
      <s:c r="L87" s="14"/>
      <s:c r="M87" s="14"/>
      <s:c r="N87" s="14"/>
      <s:c r="O87" s="14"/>
      <s:c r="P87" s="14"/>
      <s:c r="Q87" s="14"/>
      <s:c r="R87" s="14"/>
      <s:c r="S87" s="14"/>
      <s:c r="T87" s="14"/>
      <s:c r="U87" s="14"/>
      <s:c r="V87" s="14"/>
      <s:c r="W87" s="14"/>
      <s:c r="X87" s="14"/>
      <s:c r="Y87" s="14"/>
      <s:c r="Z87" s="74"/>
      <s:c r="AA87" s="14"/>
      <s:c r="AB87" s="14"/>
      <s:c r="AC87" s="14"/>
      <s:c r="AD87" s="14"/>
      <s:c r="AE87" s="14"/>
      <s:c r="AF87" s="14"/>
      <s:c r="AG87" s="15"/>
      <s:c r="AH87" s="16"/>
      <s:c r="AI87" s="16"/>
      <s:c r="AJ87" s="16"/>
      <s:c r="AK87" s="16"/>
      <s:c r="AL87" s="17"/>
      <s:c r="AM87" s="18"/>
      <s:c r="AN87" s="18"/>
      <s:c r="AO87" s="18"/>
      <s:c r="AP87" s="18"/>
      <s:c r="AQ87" s="18"/>
      <s:c r="AR87" s="18"/>
      <s:c r="AS87" s="18"/>
      <s:c r="AT87" s="18"/>
      <s:c r="AU87" s="18"/>
    </s:row>
    <s:row r="88" ht="18.75">
      <s:c r="A88" s="30" t="s">
        <s:v>70</s:v>
      </s:c>
      <s:c r="B88" s="14"/>
      <s:c r="C88" s="14"/>
      <s:c r="D88" s="14"/>
      <s:c r="E88" s="14"/>
      <s:c r="F88" s="14"/>
      <s:c r="G88" s="14"/>
      <s:c r="H88" s="14"/>
      <s:c r="I88" s="14"/>
      <s:c r="J88" s="14"/>
      <s:c r="K88" s="14"/>
      <s:c r="L88" s="14"/>
      <s:c r="M88" s="14"/>
      <s:c r="N88" s="14"/>
      <s:c r="O88" s="14"/>
      <s:c r="P88" s="14"/>
      <s:c r="Q88" s="14"/>
      <s:c r="R88" s="14"/>
      <s:c r="S88" s="14"/>
      <s:c r="T88" s="14"/>
      <s:c r="U88" s="14"/>
      <s:c r="V88" s="14"/>
      <s:c r="W88" s="14"/>
      <s:c r="X88" s="14"/>
      <s:c r="Y88" s="14"/>
      <s:c r="Z88" s="74"/>
      <s:c r="AA88" s="14"/>
      <s:c r="AB88" s="14"/>
      <s:c r="AC88" s="14"/>
      <s:c r="AD88" s="14"/>
      <s:c r="AE88" s="14"/>
      <s:c r="AF88" s="14"/>
      <s:c r="AG88" s="15"/>
      <s:c r="AH88" s="16"/>
      <s:c r="AI88" s="16"/>
      <s:c r="AJ88" s="16"/>
      <s:c r="AK88" s="16"/>
      <s:c r="AL88" s="17"/>
      <s:c r="AM88" s="18"/>
      <s:c r="AN88" s="18"/>
      <s:c r="AO88" s="18"/>
      <s:c r="AP88" s="18"/>
      <s:c r="AQ88" s="18"/>
      <s:c r="AR88" s="18"/>
      <s:c r="AS88" s="18"/>
      <s:c r="AT88" s="18"/>
      <s:c r="AU88" s="18"/>
    </s:row>
    <s:row r="89" ht="18.75">
      <s:c r="A89" s="13" t="s">
        <s:v>77</s:v>
      </s:c>
      <s:c r="B89" s="14"/>
      <s:c r="C89" s="14"/>
      <s:c r="D89" s="14"/>
      <s:c r="E89" s="14"/>
      <s:c r="F89" s="14"/>
      <s:c r="G89" s="14"/>
      <s:c r="H89" s="14"/>
      <s:c r="I89" s="14"/>
      <s:c r="J89" s="14"/>
      <s:c r="K89" s="14"/>
      <s:c r="L89" s="14"/>
      <s:c r="M89" s="14"/>
      <s:c r="N89" s="14"/>
      <s:c r="O89" s="14"/>
      <s:c r="P89" s="14"/>
      <s:c r="Q89" s="14"/>
      <s:c r="R89" s="14"/>
      <s:c r="S89" s="14"/>
      <s:c r="T89" s="14"/>
      <s:c r="U89" s="14"/>
      <s:c r="V89" s="14"/>
      <s:c r="W89" s="14"/>
      <s:c r="X89" s="14"/>
      <s:c r="Y89" s="14"/>
      <s:c r="Z89" s="74"/>
      <s:c r="AA89" s="14"/>
      <s:c r="AB89" s="14"/>
      <s:c r="AC89" s="14"/>
      <s:c r="AD89" s="14"/>
      <s:c r="AE89" s="14"/>
      <s:c r="AF89" s="14"/>
      <s:c r="AG89" s="15"/>
      <s:c r="AH89" s="16"/>
      <s:c r="AI89" s="16"/>
      <s:c r="AJ89" s="16"/>
      <s:c r="AK89" s="16"/>
      <s:c r="AL89" s="17"/>
      <s:c r="AM89" s="18"/>
      <s:c r="AN89" s="18"/>
      <s:c r="AO89" s="18"/>
      <s:c r="AP89" s="18"/>
      <s:c r="AQ89" s="18"/>
      <s:c r="AR89" s="18"/>
      <s:c r="AS89" s="18"/>
      <s:c r="AT89" s="18"/>
      <s:c r="AU89" s="18"/>
    </s:row>
    <s:row r="90" ht="18.75">
      <s:c r="A90" s="13" t="s">
        <s:v>76</s:v>
      </s:c>
      <s:c r="B90" s="14"/>
      <s:c r="C90" s="14"/>
      <s:c r="D90" s="14"/>
      <s:c r="E90" s="14"/>
      <s:c r="F90" s="14"/>
      <s:c r="G90" s="14"/>
      <s:c r="H90" s="14"/>
      <s:c r="I90" s="14"/>
      <s:c r="J90" s="14"/>
      <s:c r="K90" s="14"/>
      <s:c r="L90" s="14"/>
      <s:c r="M90" s="14"/>
      <s:c r="N90" s="14"/>
      <s:c r="O90" s="14"/>
      <s:c r="P90" s="14"/>
      <s:c r="Q90" s="14"/>
      <s:c r="R90" s="14"/>
      <s:c r="S90" s="14"/>
      <s:c r="T90" s="14"/>
      <s:c r="U90" s="14"/>
      <s:c r="V90" s="14"/>
      <s:c r="W90" s="14"/>
      <s:c r="X90" s="14"/>
      <s:c r="Y90" s="14"/>
      <s:c r="Z90" s="74"/>
      <s:c r="AA90" s="14"/>
      <s:c r="AB90" s="14"/>
      <s:c r="AC90" s="14"/>
      <s:c r="AD90" s="14"/>
      <s:c r="AE90" s="14"/>
      <s:c r="AF90" s="14"/>
      <s:c r="AG90" s="15"/>
      <s:c r="AH90" s="16"/>
      <s:c r="AI90" s="16"/>
      <s:c r="AJ90" s="16"/>
      <s:c r="AK90" s="16"/>
      <s:c r="AL90" s="17"/>
      <s:c r="AM90" s="18"/>
      <s:c r="AN90" s="18"/>
      <s:c r="AO90" s="18"/>
      <s:c r="AP90" s="18"/>
      <s:c r="AQ90" s="18"/>
      <s:c r="AR90" s="18"/>
      <s:c r="AS90" s="18"/>
      <s:c r="AT90" s="18"/>
      <s:c r="AU90" s="18"/>
    </s:row>
    <s:row r="91" ht="18.75">
      <s:c r="A91" s="29" t="s">
        <s:v>7</s:v>
      </s:c>
      <s:c r="B91" s="14"/>
      <s:c r="C91" s="14"/>
      <s:c r="D91" s="14">
        <s:v>44500</s:v>
      </s:c>
      <s:c r="E91" s="14"/>
      <s:c r="F91" s="14"/>
      <s:c r="G91" s="14"/>
      <s:c r="H91" s="14"/>
      <s:c r="I91" s="14"/>
      <s:c r="J91" s="14"/>
      <s:c r="K91" s="14"/>
      <s:c r="L91" s="14"/>
      <s:c r="M91" s="14">
        <s:v>87000</s:v>
      </s:c>
      <s:c r="N91" s="14"/>
      <s:c r="O91" s="14"/>
      <s:c r="P91" s="14"/>
      <s:c r="Q91" s="14">
        <s:v>105000</s:v>
      </s:c>
      <s:c r="R91" s="14"/>
      <s:c r="S91" s="14"/>
      <s:c r="T91" s="14"/>
      <s:c r="U91" s="14"/>
      <s:c r="V91" s="14"/>
      <s:c r="W91" s="14"/>
      <s:c r="X91" s="14"/>
      <s:c r="Y91" s="14"/>
      <s:c r="Z91" s="74"/>
      <s:c r="AA91" s="14"/>
      <s:c r="AB91" s="14">
        <s:v>250000</s:v>
      </s:c>
      <s:c r="AC91" s="14"/>
      <s:c r="AD91" s="14"/>
      <s:c r="AE91" s="14"/>
      <s:c r="AF91" s="14"/>
      <s:c r="AG91" s="15"/>
      <s:c r="AH91" s="16"/>
      <s:c r="AI91" s="16"/>
      <s:c r="AJ91" s="16"/>
      <s:c r="AK91" s="16"/>
      <s:c r="AL91" s="17"/>
      <s:c r="AM91" s="18"/>
      <s:c r="AN91" s="18"/>
      <s:c r="AO91" s="18"/>
      <s:c r="AP91" s="18"/>
      <s:c r="AQ91" s="18"/>
      <s:c r="AR91" s="18"/>
      <s:c r="AS91" s="18"/>
      <s:c r="AT91" s="18"/>
      <s:c r="AU91" s="18"/>
    </s:row>
    <s:row r="92" ht="18.75">
      <s:c r="A92" s="13" t="s">
        <s:v>80</s:v>
      </s:c>
      <s:c r="B92" s="14"/>
      <s:c r="C92" s="14"/>
      <s:c r="D92" s="14"/>
      <s:c r="E92" s="14"/>
      <s:c r="F92" s="14"/>
      <s:c r="G92" s="14"/>
      <s:c r="H92" s="14"/>
      <s:c r="I92" s="14"/>
      <s:c r="J92" s="14"/>
      <s:c r="K92" s="14"/>
      <s:c r="L92" s="14"/>
      <s:c r="M92" s="14"/>
      <s:c r="N92" s="14"/>
      <s:c r="O92" s="14"/>
      <s:c r="P92" s="14"/>
      <s:c r="Q92" s="14"/>
      <s:c r="R92" s="14"/>
      <s:c r="S92" s="14"/>
      <s:c r="T92" s="14"/>
      <s:c r="U92" s="14"/>
      <s:c r="V92" s="14"/>
      <s:c r="W92" s="14"/>
      <s:c r="X92" s="14"/>
      <s:c r="Y92" s="14"/>
      <s:c r="Z92" s="74"/>
      <s:c r="AA92" s="14"/>
      <s:c r="AB92" s="14"/>
      <s:c r="AC92" s="14"/>
      <s:c r="AD92" s="14"/>
      <s:c r="AE92" s="14"/>
      <s:c r="AF92" s="14"/>
      <s:c r="AG92" s="15"/>
      <s:c r="AH92" s="16"/>
      <s:c r="AI92" s="16"/>
      <s:c r="AJ92" s="16"/>
      <s:c r="AK92" s="16"/>
      <s:c r="AL92" s="17"/>
      <s:c r="AM92" s="18"/>
      <s:c r="AN92" s="18"/>
      <s:c r="AO92" s="18"/>
      <s:c r="AP92" s="18"/>
      <s:c r="AQ92" s="18"/>
      <s:c r="AR92" s="18"/>
      <s:c r="AS92" s="18"/>
      <s:c r="AT92" s="18"/>
      <s:c r="AU92" s="18"/>
    </s:row>
    <s:row r="93" ht="18.75">
      <s:c r="A93" s="13" t="s">
        <s:v>111</s:v>
      </s:c>
      <s:c r="B93" s="14"/>
      <s:c r="C93" s="14"/>
      <s:c r="D93" s="14"/>
      <s:c r="E93" s="14"/>
      <s:c r="F93" s="14"/>
      <s:c r="G93" s="14"/>
      <s:c r="H93" s="14"/>
      <s:c r="I93" s="14"/>
      <s:c r="J93" s="14"/>
      <s:c r="K93" s="14"/>
      <s:c r="L93" s="14"/>
      <s:c r="M93" s="14"/>
      <s:c r="N93" s="14"/>
      <s:c r="O93" s="14"/>
      <s:c r="P93" s="14"/>
      <s:c r="Q93" s="14"/>
      <s:c r="R93" s="14">
        <s:v>89000</s:v>
      </s:c>
      <s:c r="S93" s="14"/>
      <s:c r="T93" s="14"/>
      <s:c r="U93" s="14"/>
      <s:c r="V93" s="14"/>
      <s:c r="W93" s="14"/>
      <s:c r="X93" s="14"/>
      <s:c r="Y93" s="14"/>
      <s:c r="Z93" s="74"/>
      <s:c r="AA93" s="14"/>
      <s:c r="AB93" s="14"/>
      <s:c r="AC93" s="14"/>
      <s:c r="AD93" s="14"/>
      <s:c r="AE93" s="14"/>
      <s:c r="AF93" s="14"/>
      <s:c r="AG93" s="15"/>
      <s:c r="AH93" s="16"/>
      <s:c r="AI93" s="16"/>
      <s:c r="AJ93" s="16"/>
      <s:c r="AK93" s="16"/>
      <s:c r="AL93" s="17"/>
      <s:c r="AM93" s="18"/>
      <s:c r="AN93" s="18"/>
      <s:c r="AO93" s="18"/>
      <s:c r="AP93" s="18">
        <s:v>110000</s:v>
      </s:c>
      <s:c r="AQ93" s="18"/>
      <s:c r="AR93" s="18"/>
      <s:c r="AS93" s="18"/>
      <s:c r="AT93" s="18"/>
      <s:c r="AU93" s="18"/>
    </s:row>
    <s:row r="94" ht="18.75">
      <s:c r="A94" s="30" t="s">
        <s:v>54</s:v>
      </s:c>
      <s:c r="B94" s="14"/>
      <s:c r="C94" s="14"/>
      <s:c r="D94" s="14"/>
      <s:c r="E94" s="14"/>
      <s:c r="F94" s="14"/>
      <s:c r="G94" s="14"/>
      <s:c r="H94" s="14"/>
      <s:c r="I94" s="14"/>
      <s:c r="J94" s="14"/>
      <s:c r="K94" s="14"/>
      <s:c r="L94" s="14"/>
      <s:c r="M94" s="14"/>
      <s:c r="N94" s="14"/>
      <s:c r="O94" s="14"/>
      <s:c r="P94" s="14"/>
      <s:c r="Q94" s="14"/>
      <s:c r="R94" s="14"/>
      <s:c r="S94" s="14"/>
      <s:c r="T94" s="14"/>
      <s:c r="U94" s="14"/>
      <s:c r="V94" s="14"/>
      <s:c r="W94" s="14"/>
      <s:c r="X94" s="14"/>
      <s:c r="Y94" s="14"/>
      <s:c r="Z94" s="74"/>
      <s:c r="AA94" s="14"/>
      <s:c r="AB94" s="14"/>
      <s:c r="AC94" s="14"/>
      <s:c r="AD94" s="14"/>
      <s:c r="AE94" s="14"/>
      <s:c r="AF94" s="14"/>
      <s:c r="AG94" s="15"/>
      <s:c r="AH94" s="16"/>
      <s:c r="AI94" s="16"/>
      <s:c r="AJ94" s="16"/>
      <s:c r="AK94" s="16"/>
      <s:c r="AL94" s="17">
        <s:v>316000</s:v>
      </s:c>
      <s:c r="AM94" s="18"/>
      <s:c r="AN94" s="18"/>
      <s:c r="AO94" s="18"/>
      <s:c r="AP94" s="18"/>
      <s:c r="AQ94" s="18"/>
      <s:c r="AR94" s="18"/>
      <s:c r="AS94" s="18"/>
      <s:c r="AT94" s="18"/>
      <s:c r="AU94" s="18"/>
    </s:row>
    <s:row r="95" ht="18.75">
      <s:c r="A95" s="29" t="s">
        <s:v>68</s:v>
      </s:c>
      <s:c r="B95" s="14"/>
      <s:c r="C95" s="14"/>
      <s:c r="D95" s="14"/>
      <s:c r="E95" s="14"/>
      <s:c r="F95" s="14"/>
      <s:c r="G95" s="14"/>
      <s:c r="H95" s="14"/>
      <s:c r="I95" s="14"/>
      <s:c r="J95" s="14"/>
      <s:c r="K95" s="14"/>
      <s:c r="L95" s="14"/>
      <s:c r="M95" s="14"/>
      <s:c r="N95" s="14"/>
      <s:c r="O95" s="14"/>
      <s:c r="P95" s="14"/>
      <s:c r="Q95" s="14"/>
      <s:c r="R95" s="14"/>
      <s:c r="S95" s="14"/>
      <s:c r="T95" s="14"/>
      <s:c r="U95" s="14"/>
      <s:c r="V95" s="14"/>
      <s:c r="W95" s="14"/>
      <s:c r="X95" s="14"/>
      <s:c r="Y95" s="14"/>
      <s:c r="Z95" s="74"/>
      <s:c r="AA95" s="14"/>
      <s:c r="AB95" s="14"/>
      <s:c r="AC95" s="14"/>
      <s:c r="AD95" s="14"/>
      <s:c r="AE95" s="14"/>
      <s:c r="AF95" s="14"/>
      <s:c r="AG95" s="15"/>
      <s:c r="AH95" s="16"/>
      <s:c r="AI95" s="16"/>
      <s:c r="AJ95" s="16"/>
      <s:c r="AK95" s="16"/>
      <s:c r="AL95" s="17"/>
      <s:c r="AM95" s="18"/>
      <s:c r="AN95" s="18"/>
      <s:c r="AO95" s="18"/>
      <s:c r="AP95" s="18"/>
      <s:c r="AQ95" s="18"/>
      <s:c r="AR95" s="18"/>
      <s:c r="AS95" s="18"/>
      <s:c r="AT95" s="18"/>
      <s:c r="AU95" s="18"/>
    </s:row>
    <s:row r="96" ht="18.75">
      <s:c r="A96" s="29" t="s">
        <s:v>2</s:v>
      </s:c>
      <s:c r="B96" s="14"/>
      <s:c r="C96" s="14"/>
      <s:c r="D96" s="14">
        <s:v>39000</s:v>
      </s:c>
      <s:c r="E96" s="14"/>
      <s:c r="F96" s="14"/>
      <s:c r="G96" s="14"/>
      <s:c r="H96" s="14"/>
      <s:c r="I96" s="14"/>
      <s:c r="J96" s="14"/>
      <s:c r="K96" s="14"/>
      <s:c r="L96" s="14"/>
      <s:c r="M96" s="14"/>
      <s:c r="N96" s="14"/>
      <s:c r="O96" s="14"/>
      <s:c r="P96" s="14"/>
      <s:c r="Q96" s="14"/>
      <s:c r="R96" s="14"/>
      <s:c r="S96" s="14">
        <s:v>250000</s:v>
      </s:c>
      <s:c r="T96" s="14"/>
      <s:c r="U96" s="14"/>
      <s:c r="V96" s="14"/>
      <s:c r="W96" s="14"/>
      <s:c r="X96" s="14"/>
      <s:c r="Y96" s="14"/>
      <s:c r="Z96" s="74"/>
      <s:c r="AA96" s="14"/>
      <s:c r="AB96" s="14"/>
      <s:c r="AC96" s="14"/>
      <s:c r="AD96" s="14"/>
      <s:c r="AE96" s="14"/>
      <s:c r="AF96" s="14"/>
      <s:c r="AG96" s="15"/>
      <s:c r="AH96" s="16"/>
      <s:c r="AI96" s="16"/>
      <s:c r="AJ96" s="16"/>
      <s:c r="AK96" s="16"/>
      <s:c r="AL96" s="17"/>
      <s:c r="AM96" s="18"/>
      <s:c r="AN96" s="18"/>
      <s:c r="AO96" s="18"/>
      <s:c r="AP96" s="18"/>
      <s:c r="AQ96" s="18"/>
      <s:c r="AR96" s="18"/>
      <s:c r="AS96" s="18"/>
      <s:c r="AT96" s="18"/>
      <s:c r="AU96" s="18"/>
    </s:row>
    <s:row r="97" ht="18.75">
      <s:c r="A97" s="29" t="s">
        <s:v>71</s:v>
      </s:c>
      <s:c r="B97" s="14"/>
      <s:c r="C97" s="14"/>
      <s:c r="D97" s="14"/>
      <s:c r="E97" s="14"/>
      <s:c r="F97" s="14"/>
      <s:c r="G97" s="14"/>
      <s:c r="H97" s="14"/>
      <s:c r="I97" s="14"/>
      <s:c r="J97" s="14"/>
      <s:c r="K97" s="14"/>
      <s:c r="L97" s="14"/>
      <s:c r="M97" s="14"/>
      <s:c r="N97" s="14"/>
      <s:c r="O97" s="14"/>
      <s:c r="P97" s="14"/>
      <s:c r="Q97" s="14"/>
      <s:c r="R97" s="14"/>
      <s:c r="S97" s="14"/>
      <s:c r="T97" s="14"/>
      <s:c r="U97" s="14"/>
      <s:c r="V97" s="14"/>
      <s:c r="W97" s="14"/>
      <s:c r="X97" s="14"/>
      <s:c r="Y97" s="14"/>
      <s:c r="Z97" s="74"/>
      <s:c r="AA97" s="14"/>
      <s:c r="AB97" s="14"/>
      <s:c r="AC97" s="14"/>
      <s:c r="AD97" s="14"/>
      <s:c r="AE97" s="14"/>
      <s:c r="AF97" s="14"/>
      <s:c r="AG97" s="15"/>
      <s:c r="AH97" s="16"/>
      <s:c r="AI97" s="16"/>
      <s:c r="AJ97" s="16"/>
      <s:c r="AK97" s="16"/>
      <s:c r="AL97" s="17"/>
      <s:c r="AM97" s="18"/>
      <s:c r="AN97" s="18"/>
      <s:c r="AO97" s="18"/>
      <s:c r="AP97" s="18"/>
      <s:c r="AQ97" s="18"/>
      <s:c r="AR97" s="18"/>
      <s:c r="AS97" s="18"/>
      <s:c r="AT97" s="18"/>
      <s:c r="AU97" s="18"/>
    </s:row>
    <s:row r="98" ht="18.75">
      <s:c r="A98" s="29" t="s">
        <s:v>64</s:v>
      </s:c>
      <s:c r="B98" s="14"/>
      <s:c r="C98" s="14"/>
      <s:c r="D98" s="14"/>
      <s:c r="E98" s="14"/>
      <s:c r="F98" s="14"/>
      <s:c r="G98" s="14"/>
      <s:c r="H98" s="14"/>
      <s:c r="I98" s="14"/>
      <s:c r="J98" s="14"/>
      <s:c r="K98" s="14"/>
      <s:c r="L98" s="14"/>
      <s:c r="M98" s="14"/>
      <s:c r="N98" s="14"/>
      <s:c r="O98" s="14"/>
      <s:c r="P98" s="14"/>
      <s:c r="Q98" s="14"/>
      <s:c r="R98" s="14"/>
      <s:c r="S98" s="14"/>
      <s:c r="T98" s="14"/>
      <s:c r="U98" s="14"/>
      <s:c r="V98" s="14"/>
      <s:c r="W98" s="14"/>
      <s:c r="X98" s="14"/>
      <s:c r="Y98" s="14"/>
      <s:c r="Z98" s="74"/>
      <s:c r="AA98" s="14"/>
      <s:c r="AB98" s="14"/>
      <s:c r="AC98" s="14"/>
      <s:c r="AD98" s="14"/>
      <s:c r="AE98" s="14"/>
      <s:c r="AF98" s="14"/>
      <s:c r="AG98" s="15"/>
      <s:c r="AH98" s="16"/>
      <s:c r="AI98" s="16"/>
      <s:c r="AJ98" s="16"/>
      <s:c r="AK98" s="16"/>
      <s:c r="AL98" s="17"/>
      <s:c r="AM98" s="18"/>
      <s:c r="AN98" s="18"/>
      <s:c r="AO98" s="18"/>
      <s:c r="AP98" s="18"/>
      <s:c r="AQ98" s="18"/>
      <s:c r="AR98" s="18"/>
      <s:c r="AS98" s="18"/>
      <s:c r="AT98" s="18"/>
      <s:c r="AU98" s="18"/>
    </s:row>
    <s:row r="99" ht="18.75">
      <s:c r="A99" s="29" t="s">
        <s:v>42</s:v>
      </s:c>
      <s:c r="B99" s="14"/>
      <s:c r="C99" s="14"/>
      <s:c r="D99" s="14"/>
      <s:c r="E99" s="14"/>
      <s:c r="F99" s="14"/>
      <s:c r="G99" s="14"/>
      <s:c r="H99" s="14"/>
      <s:c r="I99" s="14"/>
      <s:c r="J99" s="14"/>
      <s:c r="K99" s="14"/>
      <s:c r="L99" s="14"/>
      <s:c r="M99" s="14"/>
      <s:c r="N99" s="14"/>
      <s:c r="O99" s="14"/>
      <s:c r="P99" s="14"/>
      <s:c r="Q99" s="14"/>
      <s:c r="R99" s="14"/>
      <s:c r="S99" s="14"/>
      <s:c r="T99" s="14"/>
      <s:c r="U99" s="14"/>
      <s:c r="V99" s="14"/>
      <s:c r="W99" s="14"/>
      <s:c r="X99" s="14"/>
      <s:c r="Y99" s="14"/>
      <s:c r="Z99" s="74"/>
      <s:c r="AA99" s="14"/>
      <s:c r="AB99" s="14"/>
      <s:c r="AC99" s="14"/>
      <s:c r="AD99" s="14"/>
      <s:c r="AE99" s="14"/>
      <s:c r="AF99" s="14"/>
      <s:c r="AG99" s="15"/>
      <s:c r="AH99" s="16"/>
      <s:c r="AI99" s="16"/>
      <s:c r="AJ99" s="16"/>
      <s:c r="AK99" s="16"/>
      <s:c r="AL99" s="17"/>
      <s:c r="AM99" s="18"/>
      <s:c r="AN99" s="18"/>
      <s:c r="AO99" s="18"/>
      <s:c r="AP99" s="18"/>
      <s:c r="AQ99" s="18"/>
      <s:c r="AR99" s="18"/>
      <s:c r="AS99" s="18"/>
      <s:c r="AT99" s="18"/>
      <s:c r="AU99" s="18"/>
    </s:row>
    <s:row r="100" ht="18.75">
      <s:c r="A100" s="29" t="s">
        <s:v>45</s:v>
      </s:c>
      <s:c r="B100" s="14"/>
      <s:c r="C100" s="14"/>
      <s:c r="D100" s="14"/>
      <s:c r="E100" s="14"/>
      <s:c r="F100" s="14"/>
      <s:c r="G100" s="14"/>
      <s:c r="H100" s="14"/>
      <s:c r="I100" s="14"/>
      <s:c r="J100" s="14"/>
      <s:c r="K100" s="14"/>
      <s:c r="L100" s="14"/>
      <s:c r="M100" s="14"/>
      <s:c r="N100" s="14"/>
      <s:c r="O100" s="14"/>
      <s:c r="P100" s="14"/>
      <s:c r="Q100" s="14"/>
      <s:c r="R100" s="14"/>
      <s:c r="S100" s="14"/>
      <s:c r="T100" s="14"/>
      <s:c r="U100" s="14"/>
      <s:c r="V100" s="14"/>
      <s:c r="W100" s="14"/>
      <s:c r="X100" s="14"/>
      <s:c r="Y100" s="14"/>
      <s:c r="Z100" s="74"/>
      <s:c r="AA100" s="14"/>
      <s:c r="AB100" s="14"/>
      <s:c r="AC100" s="14"/>
      <s:c r="AD100" s="14"/>
      <s:c r="AE100" s="14"/>
      <s:c r="AF100" s="14"/>
      <s:c r="AG100" s="15"/>
      <s:c r="AH100" s="16"/>
      <s:c r="AI100" s="16"/>
      <s:c r="AJ100" s="16"/>
      <s:c r="AK100" s="16"/>
      <s:c r="AL100" s="17"/>
      <s:c r="AM100" s="18"/>
      <s:c r="AN100" s="18"/>
      <s:c r="AO100" s="18"/>
      <s:c r="AP100" s="18"/>
      <s:c r="AQ100" s="18"/>
      <s:c r="AR100" s="18"/>
      <s:c r="AS100" s="18"/>
      <s:c r="AT100" s="18"/>
      <s:c r="AU100" s="18"/>
    </s:row>
    <s:row r="101" ht="18.75">
      <s:c r="A101" s="29" t="s">
        <s:v>43</s:v>
      </s:c>
      <s:c r="B101" s="29"/>
      <s:c r="C101" s="14"/>
      <s:c r="D101" s="14"/>
      <s:c r="E101" s="14"/>
      <s:c r="F101" s="14"/>
      <s:c r="G101" s="14"/>
      <s:c r="H101" s="14"/>
      <s:c r="I101" s="14"/>
      <s:c r="J101" s="14"/>
      <s:c r="K101" s="14"/>
      <s:c r="L101" s="14"/>
      <s:c r="M101" s="14"/>
      <s:c r="N101" s="14"/>
      <s:c r="O101" s="14"/>
      <s:c r="P101" s="14"/>
      <s:c r="Q101" s="14"/>
      <s:c r="R101" s="14"/>
      <s:c r="S101" s="14"/>
      <s:c r="T101" s="14"/>
      <s:c r="U101" s="14"/>
      <s:c r="V101" s="14"/>
      <s:c r="W101" s="14"/>
      <s:c r="X101" s="14"/>
      <s:c r="Y101" s="14"/>
      <s:c r="Z101" s="74"/>
      <s:c r="AA101" s="14"/>
      <s:c r="AB101" s="14"/>
      <s:c r="AC101" s="14"/>
      <s:c r="AD101" s="14"/>
      <s:c r="AE101" s="14"/>
      <s:c r="AF101" s="14"/>
      <s:c r="AG101" s="15"/>
      <s:c r="AH101" s="16"/>
      <s:c r="AI101" s="16"/>
      <s:c r="AJ101" s="16"/>
      <s:c r="AK101" s="16"/>
      <s:c r="AL101" s="17"/>
      <s:c r="AM101" s="18"/>
      <s:c r="AN101" s="18"/>
      <s:c r="AO101" s="18"/>
      <s:c r="AP101" s="18"/>
      <s:c r="AQ101" s="18"/>
      <s:c r="AR101" s="18"/>
      <s:c r="AS101" s="18"/>
      <s:c r="AT101" s="18"/>
      <s:c r="AU101" s="18"/>
    </s:row>
    <s:row r="102" ht="18.75">
      <s:c r="A102" s="29" t="s">
        <s:v>99</s:v>
      </s:c>
      <s:c r="B102" s="14"/>
      <s:c r="C102" s="14"/>
      <s:c r="D102" s="14"/>
      <s:c r="E102" s="14"/>
      <s:c r="F102" s="14"/>
      <s:c r="G102" s="14"/>
      <s:c r="H102" s="14"/>
      <s:c r="I102" s="14"/>
      <s:c r="J102" s="14"/>
      <s:c r="K102" s="14"/>
      <s:c r="L102" s="14"/>
      <s:c r="M102" s="14"/>
      <s:c r="N102" s="14"/>
      <s:c r="O102" s="14">
        <s:v>85500</s:v>
      </s:c>
      <s:c r="P102" s="14"/>
      <s:c r="Q102" s="14"/>
      <s:c r="R102" s="14">
        <s:v>94500</s:v>
      </s:c>
      <s:c r="S102" s="14"/>
      <s:c r="T102" s="14"/>
      <s:c r="U102" s="14"/>
      <s:c r="V102" s="14"/>
      <s:c r="W102" s="14"/>
      <s:c r="X102" s="14"/>
      <s:c r="Y102" s="14"/>
      <s:c r="Z102" s="74"/>
      <s:c r="AA102" s="14"/>
      <s:c r="AB102" s="14"/>
      <s:c r="AC102" s="14"/>
      <s:c r="AD102" s="14"/>
      <s:c r="AE102" s="14"/>
      <s:c r="AF102" s="14"/>
      <s:c r="AG102" s="15"/>
      <s:c r="AH102" s="16"/>
      <s:c r="AI102" s="16"/>
      <s:c r="AJ102" s="16"/>
      <s:c r="AK102" s="16"/>
      <s:c r="AL102" s="17"/>
      <s:c r="AM102" s="18"/>
      <s:c r="AN102" s="18"/>
      <s:c r="AO102" s="18"/>
      <s:c r="AP102" s="18"/>
      <s:c r="AQ102" s="18"/>
      <s:c r="AR102" s="18"/>
      <s:c r="AS102" s="18"/>
      <s:c r="AT102" s="18"/>
      <s:c r="AU102" s="18"/>
    </s:row>
    <s:row r="103" ht="18.75">
      <s:c r="A103" s="29" t="s">
        <s:v>67</s:v>
      </s:c>
      <s:c r="B103" s="14"/>
      <s:c r="C103" s="14"/>
      <s:c r="D103" s="14"/>
      <s:c r="E103" s="14"/>
      <s:c r="F103" s="14"/>
      <s:c r="G103" s="14"/>
      <s:c r="H103" s="14"/>
      <s:c r="I103" s="14"/>
      <s:c r="J103" s="14"/>
      <s:c r="K103" s="14"/>
      <s:c r="L103" s="14"/>
      <s:c r="M103" s="14"/>
      <s:c r="N103" s="14"/>
      <s:c r="O103" s="14"/>
      <s:c r="P103" s="14"/>
      <s:c r="Q103" s="14"/>
      <s:c r="R103" s="14"/>
      <s:c r="S103" s="14"/>
      <s:c r="T103" s="14"/>
      <s:c r="U103" s="14"/>
      <s:c r="V103" s="14"/>
      <s:c r="W103" s="14"/>
      <s:c r="X103" s="14"/>
      <s:c r="Y103" s="14"/>
      <s:c r="Z103" s="74"/>
      <s:c r="AA103" s="14"/>
      <s:c r="AB103" s="14"/>
      <s:c r="AC103" s="14"/>
      <s:c r="AD103" s="14"/>
      <s:c r="AE103" s="14"/>
      <s:c r="AF103" s="14"/>
      <s:c r="AG103" s="15"/>
      <s:c r="AH103" s="16"/>
      <s:c r="AI103" s="16"/>
      <s:c r="AJ103" s="16"/>
      <s:c r="AK103" s="16"/>
      <s:c r="AL103" s="17"/>
      <s:c r="AM103" s="18"/>
      <s:c r="AN103" s="18"/>
      <s:c r="AO103" s="18"/>
      <s:c r="AP103" s="18"/>
      <s:c r="AQ103" s="18"/>
      <s:c r="AR103" s="18"/>
      <s:c r="AS103" s="18"/>
      <s:c r="AT103" s="18"/>
      <s:c r="AU103" s="18"/>
    </s:row>
    <s:row r="104" ht="18.75">
      <s:c r="A104" s="29" t="s">
        <s:v>104</s:v>
      </s:c>
      <s:c r="B104" s="14"/>
      <s:c r="C104" s="14"/>
      <s:c r="D104" s="14"/>
      <s:c r="E104" s="14"/>
      <s:c r="F104" s="14"/>
      <s:c r="G104" s="14"/>
      <s:c r="H104" s="14"/>
      <s:c r="I104" s="14"/>
      <s:c r="J104" s="14"/>
      <s:c r="K104" s="14"/>
      <s:c r="L104" s="14"/>
      <s:c r="M104" s="14">
        <s:v>87500</s:v>
      </s:c>
      <s:c r="N104" s="14">
        <s:v>78500</s:v>
      </s:c>
      <s:c r="O104" s="14"/>
      <s:c r="P104" s="14"/>
      <s:c r="Q104" s="14">
        <s:v>155000</s:v>
      </s:c>
      <s:c r="R104" s="14"/>
      <s:c r="S104" s="14"/>
      <s:c r="T104" s="14"/>
      <s:c r="U104" s="14"/>
      <s:c r="V104" s="14"/>
      <s:c r="W104" s="14"/>
      <s:c r="X104" s="14"/>
      <s:c r="Y104" s="14"/>
      <s:c r="Z104" s="14"/>
      <s:c r="AA104" s="14"/>
      <s:c r="AB104" s="14"/>
      <s:c r="AC104" s="14"/>
      <s:c r="AD104" s="14">
        <s:v>206000</s:v>
      </s:c>
      <s:c r="AE104" s="14">
        <s:v>206000</s:v>
      </s:c>
      <s:c r="AF104" s="14">
        <s:v>206000</s:v>
      </s:c>
      <s:c r="AG104" s="15"/>
      <s:c r="AH104" s="16"/>
      <s:c r="AI104" s="16"/>
      <s:c r="AJ104" s="16"/>
      <s:c r="AK104" s="16"/>
      <s:c r="AL104" s="17"/>
      <s:c r="AM104" s="18"/>
      <s:c r="AN104" s="18"/>
      <s:c r="AO104" s="18"/>
      <s:c r="AP104" s="18"/>
      <s:c r="AQ104" s="18"/>
      <s:c r="AR104" s="18"/>
      <s:c r="AS104" s="18"/>
      <s:c r="AT104" s="18"/>
      <s:c r="AU104" s="18"/>
    </s:row>
    <s:row r="105" ht="18.75">
      <s:c r="A105" s="29" t="s">
        <s:v>112</s:v>
      </s:c>
      <s:c r="B105" s="14"/>
      <s:c r="C105" s="14">
        <s:v>43500</s:v>
      </s:c>
      <s:c r="D105" s="14"/>
      <s:c r="E105" s="14"/>
      <s:c r="F105" s="14"/>
      <s:c r="G105" s="14"/>
      <s:c r="H105" s="14"/>
      <s:c r="I105" s="14"/>
      <s:c r="J105" s="14"/>
      <s:c r="K105" s="14"/>
      <s:c r="L105" s="14"/>
      <s:c r="M105" s="14"/>
      <s:c r="N105" s="14"/>
      <s:c r="O105" s="14"/>
      <s:c r="P105" s="14"/>
      <s:c r="Q105" s="14"/>
      <s:c r="R105" s="14"/>
      <s:c r="S105" s="14"/>
      <s:c r="T105" s="14"/>
      <s:c r="U105" s="14"/>
      <s:c r="V105" s="14"/>
      <s:c r="W105" s="14"/>
      <s:c r="X105" s="14"/>
      <s:c r="Y105" s="14"/>
      <s:c r="Z105" s="14"/>
      <s:c r="AA105" s="14"/>
      <s:c r="AB105" s="14"/>
      <s:c r="AC105" s="14"/>
      <s:c r="AD105" s="14"/>
      <s:c r="AE105" s="14"/>
      <s:c r="AF105" s="14"/>
      <s:c r="AG105" s="15"/>
      <s:c r="AH105" s="16"/>
      <s:c r="AI105" s="16"/>
      <s:c r="AJ105" s="16"/>
      <s:c r="AK105" s="16"/>
      <s:c r="AL105" s="17"/>
      <s:c r="AM105" s="18"/>
      <s:c r="AN105" s="18"/>
      <s:c r="AO105" s="18"/>
      <s:c r="AP105" s="18"/>
      <s:c r="AQ105" s="18"/>
      <s:c r="AR105" s="18"/>
      <s:c r="AS105" s="18"/>
      <s:c r="AT105" s="18"/>
      <s:c r="AU105" s="18"/>
    </s:row>
    <s:row r="106" ht="18.75">
      <s:c r="A106" s="29" t="s">
        <s:v>0</s:v>
      </s:c>
      <s:c r="B106" s="14"/>
      <s:c r="C106" s="14"/>
      <s:c r="D106" s="14"/>
      <s:c r="E106" s="14"/>
      <s:c r="F106" s="14"/>
      <s:c r="G106" s="14"/>
      <s:c r="H106" s="14"/>
      <s:c r="I106" s="14"/>
      <s:c r="J106" s="14"/>
      <s:c r="K106" s="14"/>
      <s:c r="L106" s="14"/>
      <s:c r="M106" s="14"/>
      <s:c r="N106" s="14"/>
      <s:c r="O106" s="14"/>
      <s:c r="P106" s="14"/>
      <s:c r="Q106" s="14"/>
      <s:c r="R106" s="14"/>
      <s:c r="S106" s="14"/>
      <s:c r="T106" s="14"/>
      <s:c r="U106" s="14"/>
      <s:c r="V106" s="14"/>
      <s:c r="W106" s="14"/>
      <s:c r="X106" s="14"/>
      <s:c r="Y106" s="14"/>
      <s:c r="Z106" s="14"/>
      <s:c r="AA106" s="14"/>
      <s:c r="AB106" s="14"/>
      <s:c r="AC106" s="14"/>
      <s:c r="AD106" s="14"/>
      <s:c r="AE106" s="14"/>
      <s:c r="AF106" s="14"/>
      <s:c r="AG106" s="15"/>
      <s:c r="AH106" s="16"/>
      <s:c r="AI106" s="16"/>
      <s:c r="AJ106" s="16"/>
      <s:c r="AK106" s="16"/>
      <s:c r="AL106" s="17"/>
      <s:c r="AM106" s="18"/>
      <s:c r="AN106" s="18"/>
      <s:c r="AO106" s="18"/>
      <s:c r="AP106" s="18"/>
      <s:c r="AQ106" s="18"/>
      <s:c r="AR106" s="18"/>
      <s:c r="AS106" s="18"/>
      <s:c r="AT106" s="18"/>
      <s:c r="AU106" s="18"/>
    </s:row>
    <s:row r="107" ht="18.75">
      <s:c r="A107" s="30" t="s">
        <s:v>58</s:v>
      </s:c>
      <s:c r="B107" s="14"/>
      <s:c r="C107" s="14"/>
      <s:c r="D107" s="14"/>
      <s:c r="E107" s="14"/>
      <s:c r="F107" s="14"/>
      <s:c r="G107" s="14"/>
      <s:c r="H107" s="14"/>
      <s:c r="I107" s="14"/>
      <s:c r="J107" s="14"/>
      <s:c r="K107" s="14"/>
      <s:c r="L107" s="14"/>
      <s:c r="M107" s="14"/>
      <s:c r="N107" s="14"/>
      <s:c r="O107" s="14"/>
      <s:c r="P107" s="14"/>
      <s:c r="Q107" s="14"/>
      <s:c r="R107" s="14"/>
      <s:c r="S107" s="14"/>
      <s:c r="T107" s="14"/>
      <s:c r="U107" s="14"/>
      <s:c r="V107" s="14"/>
      <s:c r="W107" s="14"/>
      <s:c r="X107" s="14"/>
      <s:c r="Y107" s="14"/>
      <s:c r="Z107" s="14"/>
      <s:c r="AA107" s="14"/>
      <s:c r="AB107" s="14"/>
      <s:c r="AC107" s="14"/>
      <s:c r="AD107" s="14"/>
      <s:c r="AE107" s="14"/>
      <s:c r="AF107" s="14"/>
      <s:c r="AG107" s="15"/>
      <s:c r="AH107" s="16"/>
      <s:c r="AI107" s="16"/>
      <s:c r="AJ107" s="16"/>
      <s:c r="AK107" s="16"/>
      <s:c r="AL107" s="17"/>
      <s:c r="AM107" s="18"/>
      <s:c r="AN107" s="18"/>
      <s:c r="AO107" s="18"/>
      <s:c r="AP107" s="18"/>
      <s:c r="AQ107" s="18"/>
      <s:c r="AR107" s="18"/>
      <s:c r="AS107" s="18"/>
      <s:c r="AT107" s="18"/>
      <s:c r="AU107" s="18"/>
    </s:row>
    <s:row r="108" ht="18.75">
      <s:c r="A108" s="29" t="s">
        <s:v>40</s:v>
      </s:c>
      <s:c r="B108" s="14"/>
      <s:c r="C108" s="14"/>
      <s:c r="D108" s="14"/>
      <s:c r="E108" s="14"/>
      <s:c r="F108" s="14"/>
      <s:c r="G108" s="14"/>
      <s:c r="H108" s="14"/>
      <s:c r="I108" s="14"/>
      <s:c r="J108" s="14"/>
      <s:c r="K108" s="14"/>
      <s:c r="L108" s="14"/>
      <s:c r="M108" s="14"/>
      <s:c r="N108" s="14"/>
      <s:c r="O108" s="14"/>
      <s:c r="P108" s="14"/>
      <s:c r="Q108" s="14"/>
      <s:c r="R108" s="14"/>
      <s:c r="S108" s="14"/>
      <s:c r="T108" s="14"/>
      <s:c r="U108" s="14"/>
      <s:c r="V108" s="14"/>
      <s:c r="W108" s="14"/>
      <s:c r="X108" s="14"/>
      <s:c r="Y108" s="14"/>
      <s:c r="Z108" s="14"/>
      <s:c r="AA108" s="14"/>
      <s:c r="AB108" s="14"/>
      <s:c r="AC108" s="14"/>
      <s:c r="AD108" s="14"/>
      <s:c r="AE108" s="14"/>
      <s:c r="AF108" s="14"/>
      <s:c r="AG108" s="15"/>
      <s:c r="AH108" s="16"/>
      <s:c r="AI108" s="16"/>
      <s:c r="AJ108" s="16"/>
      <s:c r="AK108" s="16"/>
      <s:c r="AL108" s="17"/>
      <s:c r="AM108" s="18"/>
      <s:c r="AN108" s="18"/>
      <s:c r="AO108" s="18"/>
      <s:c r="AP108" s="18"/>
      <s:c r="AQ108" s="18">
        <s:v>317000</s:v>
      </s:c>
      <s:c r="AR108" s="18"/>
      <s:c r="AS108" s="18"/>
      <s:c r="AT108" s="18"/>
      <s:c r="AU108" s="18"/>
    </s:row>
    <s:row r="109" ht="18.75">
      <s:c r="A109" s="29" t="s">
        <s:v>53</s:v>
      </s:c>
      <s:c r="B109" s="14"/>
      <s:c r="C109" s="14"/>
      <s:c r="D109" s="14"/>
      <s:c r="E109" s="14"/>
      <s:c r="F109" s="14"/>
      <s:c r="G109" s="14"/>
      <s:c r="H109" s="14"/>
      <s:c r="I109" s="14"/>
      <s:c r="J109" s="14"/>
      <s:c r="K109" s="14"/>
      <s:c r="L109" s="14"/>
      <s:c r="M109" s="14"/>
      <s:c r="N109" s="14"/>
      <s:c r="O109" s="14"/>
      <s:c r="P109" s="14"/>
      <s:c r="Q109" s="14"/>
      <s:c r="R109" s="14"/>
      <s:c r="S109" s="14"/>
      <s:c r="T109" s="14"/>
      <s:c r="U109" s="14"/>
      <s:c r="V109" s="14"/>
      <s:c r="W109" s="14"/>
      <s:c r="X109" s="14"/>
      <s:c r="Y109" s="14"/>
      <s:c r="Z109" s="14"/>
      <s:c r="AA109" s="14"/>
      <s:c r="AB109" s="14"/>
      <s:c r="AC109" s="14"/>
      <s:c r="AD109" s="14"/>
      <s:c r="AE109" s="14"/>
      <s:c r="AF109" s="14"/>
      <s:c r="AG109" s="15"/>
      <s:c r="AH109" s="16"/>
      <s:c r="AI109" s="16"/>
      <s:c r="AJ109" s="16"/>
      <s:c r="AK109" s="16"/>
      <s:c r="AL109" s="17"/>
      <s:c r="AM109" s="18"/>
      <s:c r="AN109" s="18"/>
      <s:c r="AO109" s="18"/>
      <s:c r="AP109" s="18"/>
      <s:c r="AQ109" s="18"/>
      <s:c r="AR109" s="18"/>
      <s:c r="AS109" s="18"/>
      <s:c r="AT109" s="18"/>
      <s:c r="AU109" s="18"/>
    </s:row>
    <s:row r="110" ht="18.75">
      <s:c r="A110" s="29" t="s">
        <s:v>85</s:v>
      </s:c>
      <s:c r="B110" s="14">
        <s:v>41000</s:v>
      </s:c>
      <s:c r="C110" s="14"/>
      <s:c r="D110" s="14"/>
      <s:c r="E110" s="14"/>
      <s:c r="F110" s="14"/>
      <s:c r="G110" s="14"/>
      <s:c r="H110" s="14"/>
      <s:c r="I110" s="14"/>
      <s:c r="J110" s="14"/>
      <s:c r="K110" s="14"/>
      <s:c r="L110" s="14"/>
      <s:c r="M110" s="14"/>
      <s:c r="N110" s="14"/>
      <s:c r="O110" s="14"/>
      <s:c r="P110" s="14"/>
      <s:c r="Q110" s="14">
        <s:v>125000</s:v>
      </s:c>
      <s:c r="R110" s="14"/>
      <s:c r="S110" s="14">
        <s:v>255000</s:v>
      </s:c>
      <s:c r="T110" s="14"/>
      <s:c r="U110" s="14"/>
      <s:c r="V110" s="14"/>
      <s:c r="W110" s="14"/>
      <s:c r="X110" s="14"/>
      <s:c r="Y110" s="14"/>
      <s:c r="Z110" s="14">
        <s:v>265000</s:v>
      </s:c>
      <s:c r="AA110" s="14"/>
      <s:c r="AB110" s="14"/>
      <s:c r="AC110" s="14"/>
      <s:c r="AD110" s="14"/>
      <s:c r="AE110" s="14"/>
      <s:c r="AF110" s="14"/>
      <s:c r="AG110" s="15"/>
      <s:c r="AH110" s="16"/>
      <s:c r="AI110" s="16"/>
      <s:c r="AJ110" s="16">
        <s:v>125000</s:v>
      </s:c>
      <s:c r="AK110" s="16"/>
      <s:c r="AL110" s="17"/>
      <s:c r="AM110" s="18"/>
      <s:c r="AN110" s="18"/>
      <s:c r="AO110" s="18"/>
      <s:c r="AP110" s="18"/>
      <s:c r="AQ110" s="18"/>
      <s:c r="AR110" s="18"/>
      <s:c r="AS110" s="18"/>
      <s:c r="AT110" s="18"/>
      <s:c r="AU110" s="18">
        <s:v>790348</s:v>
      </s:c>
    </s:row>
    <s:row r="111" ht="18.75">
      <s:c r="A111" s="29" t="s">
        <s:v>74</s:v>
      </s:c>
      <s:c r="B111" s="14"/>
      <s:c r="C111" s="14"/>
      <s:c r="D111" s="14"/>
      <s:c r="E111" s="14"/>
      <s:c r="F111" s="14"/>
      <s:c r="G111" s="14"/>
      <s:c r="H111" s="14"/>
      <s:c r="I111" s="14"/>
      <s:c r="J111" s="14"/>
      <s:c r="K111" s="14"/>
      <s:c r="L111" s="14"/>
      <s:c r="M111" s="14"/>
      <s:c r="N111" s="14"/>
      <s:c r="O111" s="14">
        <s:v>85000</s:v>
      </s:c>
      <s:c r="P111" s="14"/>
      <s:c r="Q111" s="14"/>
      <s:c r="R111" s="14">
        <s:v>97000</s:v>
      </s:c>
      <s:c r="S111" s="14">
        <s:v>235000</s:v>
      </s:c>
      <s:c r="T111" s="14"/>
      <s:c r="U111" s="14"/>
      <s:c r="V111" s="14"/>
      <s:c r="W111" s="14"/>
      <s:c r="X111" s="14"/>
      <s:c r="Y111" s="14"/>
      <s:c r="Z111" s="14"/>
      <s:c r="AA111" s="14"/>
      <s:c r="AB111" s="14"/>
      <s:c r="AC111" s="14"/>
      <s:c r="AD111" s="14"/>
      <s:c r="AE111" s="14"/>
      <s:c r="AF111" s="14"/>
      <s:c r="AG111" s="15"/>
      <s:c r="AH111" s="16"/>
      <s:c r="AI111" s="16"/>
      <s:c r="AJ111" s="16"/>
      <s:c r="AK111" s="16"/>
      <s:c r="AL111" s="17"/>
      <s:c r="AM111" s="18"/>
      <s:c r="AN111" s="18"/>
      <s:c r="AO111" s="18"/>
      <s:c r="AP111" s="18"/>
      <s:c r="AQ111" s="18"/>
      <s:c r="AR111" s="18"/>
      <s:c r="AS111" s="18"/>
      <s:c r="AT111" s="18"/>
      <s:c r="AU111" s="18"/>
    </s:row>
    <s:row r="112" ht="18.75">
      <s:c r="A112" s="29" t="s">
        <s:v>63</s:v>
      </s:c>
      <s:c r="B112" s="14"/>
      <s:c r="C112" s="14"/>
      <s:c r="D112" s="14"/>
      <s:c r="E112" s="14"/>
      <s:c r="F112" s="14"/>
      <s:c r="G112" s="14"/>
      <s:c r="H112" s="14"/>
      <s:c r="I112" s="14"/>
      <s:c r="J112" s="14"/>
      <s:c r="K112" s="14"/>
      <s:c r="L112" s="14"/>
      <s:c r="M112" s="14"/>
      <s:c r="N112" s="14"/>
      <s:c r="O112" s="14"/>
      <s:c r="P112" s="14"/>
      <s:c r="Q112" s="14"/>
      <s:c r="R112" s="14"/>
      <s:c r="S112" s="14"/>
      <s:c r="T112" s="14"/>
      <s:c r="U112" s="14"/>
      <s:c r="V112" s="14"/>
      <s:c r="W112" s="14"/>
      <s:c r="X112" s="14"/>
      <s:c r="Y112" s="14"/>
      <s:c r="Z112" s="14"/>
      <s:c r="AA112" s="14"/>
      <s:c r="AB112" s="14"/>
      <s:c r="AC112" s="14"/>
      <s:c r="AD112" s="14"/>
      <s:c r="AE112" s="14"/>
      <s:c r="AF112" s="14"/>
      <s:c r="AG112" s="15"/>
      <s:c r="AH112" s="16"/>
      <s:c r="AI112" s="16"/>
      <s:c r="AJ112" s="16"/>
      <s:c r="AK112" s="16"/>
      <s:c r="AL112" s="17"/>
      <s:c r="AM112" s="18"/>
      <s:c r="AN112" s="18"/>
      <s:c r="AO112" s="18"/>
      <s:c r="AP112" s="18"/>
      <s:c r="AQ112" s="18"/>
      <s:c r="AR112" s="18"/>
      <s:c r="AS112" s="18"/>
      <s:c r="AT112" s="18"/>
      <s:c r="AU112" s="18"/>
    </s:row>
    <s:row r="113" ht="18.75">
      <s:c r="A113" s="30" t="s">
        <s:v>87</s:v>
      </s:c>
      <s:c r="B113" s="14"/>
      <s:c r="C113" s="14"/>
      <s:c r="D113" s="14"/>
      <s:c r="E113" s="14"/>
      <s:c r="F113" s="14"/>
      <s:c r="G113" s="14"/>
      <s:c r="H113" s="14"/>
      <s:c r="I113" s="14"/>
      <s:c r="J113" s="14"/>
      <s:c r="K113" s="14"/>
      <s:c r="L113" s="14"/>
      <s:c r="M113" s="14"/>
      <s:c r="N113" s="14"/>
      <s:c r="O113" s="14"/>
      <s:c r="P113" s="14"/>
      <s:c r="Q113" s="14"/>
      <s:c r="R113" s="14"/>
      <s:c r="S113" s="14"/>
      <s:c r="T113" s="14"/>
      <s:c r="U113" s="14"/>
      <s:c r="V113" s="14"/>
      <s:c r="W113" s="14"/>
      <s:c r="X113" s="14"/>
      <s:c r="Y113" s="14"/>
      <s:c r="Z113" s="14"/>
      <s:c r="AA113" s="14"/>
      <s:c r="AB113" s="14"/>
      <s:c r="AC113" s="14"/>
      <s:c r="AD113" s="14"/>
      <s:c r="AE113" s="14"/>
      <s:c r="AF113" s="14"/>
      <s:c r="AG113" s="15"/>
      <s:c r="AH113" s="16"/>
      <s:c r="AI113" s="16"/>
      <s:c r="AJ113" s="16"/>
      <s:c r="AK113" s="16"/>
      <s:c r="AL113" s="17"/>
      <s:c r="AM113" s="18"/>
      <s:c r="AN113" s="18"/>
      <s:c r="AO113" s="18"/>
      <s:c r="AP113" s="18"/>
      <s:c r="AQ113" s="18"/>
      <s:c r="AR113" s="18"/>
      <s:c r="AS113" s="18"/>
      <s:c r="AT113" s="18"/>
      <s:c r="AU113" s="18"/>
    </s:row>
    <s:row r="114" ht="18.75">
      <s:c r="A114" s="29" t="s">
        <s:v>126</s:v>
      </s:c>
      <s:c r="B114" s="14"/>
      <s:c r="C114" s="14"/>
      <s:c r="D114" s="14">
        <s:v>41000</s:v>
      </s:c>
      <s:c r="E114" s="14"/>
      <s:c r="F114" s="14"/>
      <s:c r="G114" s="14"/>
      <s:c r="H114" s="14"/>
      <s:c r="I114" s="14"/>
      <s:c r="J114" s="14"/>
      <s:c r="K114" s="14"/>
      <s:c r="L114" s="14"/>
      <s:c r="M114" s="14"/>
      <s:c r="N114" s="14"/>
      <s:c r="O114" s="14"/>
      <s:c r="P114" s="14"/>
      <s:c r="Q114" s="14"/>
      <s:c r="R114" s="14"/>
      <s:c r="S114" s="14"/>
      <s:c r="T114" s="14"/>
      <s:c r="U114" s="14"/>
      <s:c r="V114" s="14"/>
      <s:c r="W114" s="14"/>
      <s:c r="X114" s="14"/>
      <s:c r="Y114" s="14"/>
      <s:c r="Z114" s="14"/>
      <s:c r="AA114" s="14"/>
      <s:c r="AB114" s="14"/>
      <s:c r="AC114" s="14"/>
      <s:c r="AD114" s="14"/>
      <s:c r="AE114" s="14"/>
      <s:c r="AF114" s="14"/>
      <s:c r="AG114" s="15"/>
      <s:c r="AH114" s="16"/>
      <s:c r="AI114" s="16"/>
      <s:c r="AJ114" s="16"/>
      <s:c r="AK114" s="16"/>
      <s:c r="AL114" s="17"/>
      <s:c r="AM114" s="18"/>
      <s:c r="AN114" s="18"/>
      <s:c r="AO114" s="18"/>
      <s:c r="AP114" s="18"/>
      <s:c r="AQ114" s="18"/>
      <s:c r="AR114" s="18"/>
      <s:c r="AS114" s="18"/>
      <s:c r="AT114" s="18"/>
      <s:c r="AU114" s="18"/>
    </s:row>
    <s:row r="115" ht="18.75">
      <s:c r="A115" s="29" t="s">
        <s:v>57</s:v>
      </s:c>
      <s:c r="B115" s="14"/>
      <s:c r="C115" s="14"/>
      <s:c r="D115" s="14"/>
      <s:c r="E115" s="14"/>
      <s:c r="F115" s="14"/>
      <s:c r="G115" s="14"/>
      <s:c r="H115" s="14"/>
      <s:c r="I115" s="14"/>
      <s:c r="J115" s="14"/>
      <s:c r="K115" s="14"/>
      <s:c r="L115" s="14"/>
      <s:c r="M115" s="14"/>
      <s:c r="N115" s="14"/>
      <s:c r="O115" s="14"/>
      <s:c r="P115" s="14"/>
      <s:c r="Q115" s="14"/>
      <s:c r="R115" s="14"/>
      <s:c r="S115" s="14"/>
      <s:c r="T115" s="14"/>
      <s:c r="U115" s="14"/>
      <s:c r="V115" s="14"/>
      <s:c r="W115" s="14"/>
      <s:c r="X115" s="14"/>
      <s:c r="Y115" s="14"/>
      <s:c r="Z115" s="14"/>
      <s:c r="AA115" s="14"/>
      <s:c r="AB115" s="14"/>
      <s:c r="AC115" s="14"/>
      <s:c r="AD115" s="14"/>
      <s:c r="AE115" s="14"/>
      <s:c r="AF115" s="14"/>
      <s:c r="AG115" s="15"/>
      <s:c r="AH115" s="16"/>
      <s:c r="AI115" s="16"/>
      <s:c r="AJ115" s="16"/>
      <s:c r="AK115" s="16"/>
      <s:c r="AL115" s="17"/>
      <s:c r="AM115" s="18"/>
      <s:c r="AN115" s="18"/>
      <s:c r="AO115" s="18"/>
      <s:c r="AP115" s="18"/>
      <s:c r="AQ115" s="18"/>
      <s:c r="AR115" s="18"/>
      <s:c r="AS115" s="18"/>
      <s:c r="AT115" s="18"/>
      <s:c r="AU115" s="18"/>
    </s:row>
    <s:row r="116" ht="18.75">
      <s:c r="A116" s="29" t="s">
        <s:v>51</s:v>
      </s:c>
      <s:c r="B116" s="14"/>
      <s:c r="C116" s="14">
        <s:v>45800</s:v>
      </s:c>
      <s:c r="D116" s="14"/>
      <s:c r="E116" s="14"/>
      <s:c r="F116" s="14"/>
      <s:c r="G116" s="14"/>
      <s:c r="H116" s="14"/>
      <s:c r="I116" s="14"/>
      <s:c r="J116" s="14"/>
      <s:c r="K116" s="14"/>
      <s:c r="L116" s="14"/>
      <s:c r="M116" s="14"/>
      <s:c r="N116" s="14"/>
      <s:c r="O116" s="14"/>
      <s:c r="P116" s="14"/>
      <s:c r="Q116" s="14"/>
      <s:c r="R116" s="14">
        <s:v>89900</s:v>
      </s:c>
      <s:c r="S116" s="14"/>
      <s:c r="T116" s="14"/>
      <s:c r="U116" s="14"/>
      <s:c r="V116" s="14"/>
      <s:c r="W116" s="14"/>
      <s:c r="X116" s="14"/>
      <s:c r="Y116" s="14"/>
      <s:c r="Z116" s="14"/>
      <s:c r="AA116" s="14"/>
      <s:c r="AB116" s="14"/>
      <s:c r="AC116" s="14"/>
      <s:c r="AD116" s="14"/>
      <s:c r="AE116" s="14"/>
      <s:c r="AF116" s="14"/>
      <s:c r="AG116" s="15"/>
      <s:c r="AH116" s="16"/>
      <s:c r="AI116" s="16"/>
      <s:c r="AJ116" s="16"/>
      <s:c r="AK116" s="16"/>
      <s:c r="AL116" s="17"/>
      <s:c r="AM116" s="18"/>
      <s:c r="AN116" s="18"/>
      <s:c r="AO116" s="18"/>
      <s:c r="AP116" s="18"/>
      <s:c r="AQ116" s="18"/>
      <s:c r="AR116" s="18"/>
      <s:c r="AS116" s="18"/>
      <s:c r="AT116" s="18"/>
      <s:c r="AU116" s="18"/>
    </s:row>
    <s:row r="117" ht="18.75">
      <s:c r="A117" s="29" t="s">
        <s:v>49</s:v>
      </s:c>
      <s:c r="B117" s="14"/>
      <s:c r="C117" s="14"/>
      <s:c r="D117" s="14"/>
      <s:c r="E117" s="14"/>
      <s:c r="F117" s="14"/>
      <s:c r="G117" s="14"/>
      <s:c r="H117" s="14"/>
      <s:c r="I117" s="14"/>
      <s:c r="J117" s="14"/>
      <s:c r="K117" s="14"/>
      <s:c r="L117" s="14"/>
      <s:c r="M117" s="14"/>
      <s:c r="N117" s="14"/>
      <s:c r="O117" s="14"/>
      <s:c r="P117" s="14"/>
      <s:c r="Q117" s="14"/>
      <s:c r="R117" s="14"/>
      <s:c r="S117" s="14"/>
      <s:c r="T117" s="14"/>
      <s:c r="U117" s="14"/>
      <s:c r="V117" s="14"/>
      <s:c r="W117" s="14"/>
      <s:c r="X117" s="14"/>
      <s:c r="Y117" s="14"/>
      <s:c r="Z117" s="14"/>
      <s:c r="AA117" s="14"/>
      <s:c r="AB117" s="14"/>
      <s:c r="AC117" s="14"/>
      <s:c r="AD117" s="14"/>
      <s:c r="AE117" s="14"/>
      <s:c r="AF117" s="14"/>
      <s:c r="AG117" s="15"/>
      <s:c r="AH117" s="16"/>
      <s:c r="AI117" s="16"/>
      <s:c r="AJ117" s="16"/>
      <s:c r="AK117" s="16"/>
      <s:c r="AL117" s="17"/>
      <s:c r="AM117" s="18"/>
      <s:c r="AN117" s="18"/>
      <s:c r="AO117" s="18"/>
      <s:c r="AP117" s="18"/>
      <s:c r="AQ117" s="18"/>
      <s:c r="AR117" s="18"/>
      <s:c r="AS117" s="18"/>
      <s:c r="AT117" s="18"/>
      <s:c r="AU117" s="18"/>
    </s:row>
    <s:row r="118" ht="18.75">
      <s:c r="A118" s="29" t="str">
        <s:f>$A$55</s:f>
        <s:v>SANEG</s:v>
      </s:c>
      <s:c r="B118" s="14"/>
      <s:c r="C118" s="14"/>
      <s:c r="D118" s="14"/>
      <s:c r="E118" s="14"/>
      <s:c r="F118" s="14"/>
      <s:c r="G118" s="14"/>
      <s:c r="H118" s="14"/>
      <s:c r="I118" s="14"/>
      <s:c r="J118" s="14"/>
      <s:c r="K118" s="14"/>
      <s:c r="L118" s="14"/>
      <s:c r="M118" s="14"/>
      <s:c r="N118" s="14"/>
      <s:c r="O118" s="14"/>
      <s:c r="P118" s="14"/>
      <s:c r="Q118" s="14"/>
      <s:c r="R118" s="14"/>
      <s:c r="S118" s="14"/>
      <s:c r="T118" s="14"/>
      <s:c r="U118" s="14"/>
      <s:c r="V118" s="14"/>
      <s:c r="W118" s="14"/>
      <s:c r="X118" s="14"/>
      <s:c r="Y118" s="14"/>
      <s:c r="Z118" s="14"/>
      <s:c r="AA118" s="14"/>
      <s:c r="AB118" s="14"/>
      <s:c r="AC118" s="14"/>
      <s:c r="AD118" s="14"/>
      <s:c r="AE118" s="14"/>
      <s:c r="AF118" s="14"/>
      <s:c r="AG118" s="15"/>
      <s:c r="AH118" s="16"/>
      <s:c r="AI118" s="16"/>
      <s:c r="AJ118" s="16"/>
      <s:c r="AK118" s="16"/>
      <s:c r="AL118" s="17"/>
      <s:c r="AM118" s="18"/>
      <s:c r="AN118" s="18"/>
      <s:c r="AO118" s="18"/>
      <s:c r="AP118" s="18"/>
      <s:c r="AQ118" s="18"/>
      <s:c r="AR118" s="18"/>
      <s:c r="AS118" s="18"/>
      <s:c r="AT118" s="18"/>
      <s:c r="AU118" s="18"/>
    </s:row>
    <s:row r="119" ht="18.75">
      <s:c r="A119" s="29" t="s">
        <s:v>114</s:v>
      </s:c>
      <s:c r="B119" s="14"/>
      <s:c r="C119" s="14"/>
      <s:c r="D119" s="14"/>
      <s:c r="E119" s="14"/>
      <s:c r="F119" s="14"/>
      <s:c r="G119" s="14"/>
      <s:c r="H119" s="14"/>
      <s:c r="I119" s="14"/>
      <s:c r="J119" s="14"/>
      <s:c r="K119" s="14"/>
      <s:c r="L119" s="14"/>
      <s:c r="M119" s="14"/>
      <s:c r="N119" s="14"/>
      <s:c r="O119" s="14"/>
      <s:c r="P119" s="14"/>
      <s:c r="Q119" s="14"/>
      <s:c r="R119" s="14">
        <s:v>111000</s:v>
      </s:c>
      <s:c r="S119" s="14"/>
      <s:c r="T119" s="14"/>
      <s:c r="U119" s="14"/>
      <s:c r="V119" s="14"/>
      <s:c r="W119" s="14"/>
      <s:c r="X119" s="14"/>
      <s:c r="Y119" s="14"/>
      <s:c r="Z119" s="14"/>
      <s:c r="AA119" s="14"/>
      <s:c r="AB119" s="14"/>
      <s:c r="AC119" s="14"/>
      <s:c r="AD119" s="14"/>
      <s:c r="AE119" s="14"/>
      <s:c r="AF119" s="14"/>
      <s:c r="AG119" s="15"/>
      <s:c r="AH119" s="16"/>
      <s:c r="AI119" s="16"/>
      <s:c r="AJ119" s="16"/>
      <s:c r="AK119" s="16"/>
      <s:c r="AL119" s="17"/>
      <s:c r="AM119" s="18"/>
      <s:c r="AN119" s="18"/>
      <s:c r="AO119" s="18"/>
      <s:c r="AP119" s="18"/>
      <s:c r="AQ119" s="18"/>
      <s:c r="AR119" s="18"/>
      <s:c r="AS119" s="18"/>
      <s:c r="AT119" s="18"/>
      <s:c r="AU119" s="18"/>
    </s:row>
    <s:row r="120" ht="18.75">
      <s:c r="A120" s="29" t="s">
        <s:v>115</s:v>
      </s:c>
      <s:c r="B120" s="14"/>
      <s:c r="C120" s="14"/>
      <s:c r="D120" s="14"/>
      <s:c r="E120" s="14"/>
      <s:c r="F120" s="14"/>
      <s:c r="G120" s="14"/>
      <s:c r="H120" s="14"/>
      <s:c r="I120" s="14"/>
      <s:c r="J120" s="14"/>
      <s:c r="K120" s="14"/>
      <s:c r="L120" s="14"/>
      <s:c r="M120" s="14"/>
      <s:c r="N120" s="14"/>
      <s:c r="O120" s="14"/>
      <s:c r="P120" s="14"/>
      <s:c r="Q120" s="14"/>
      <s:c r="R120" s="14"/>
      <s:c r="S120" s="14"/>
      <s:c r="T120" s="14"/>
      <s:c r="U120" s="14"/>
      <s:c r="V120" s="14"/>
      <s:c r="W120" s="14"/>
      <s:c r="X120" s="14"/>
      <s:c r="Y120" s="14"/>
      <s:c r="Z120" s="14"/>
      <s:c r="AA120" s="14"/>
      <s:c r="AB120" s="14"/>
      <s:c r="AC120" s="14"/>
      <s:c r="AD120" s="14"/>
      <s:c r="AE120" s="14"/>
      <s:c r="AF120" s="14"/>
      <s:c r="AG120" s="15"/>
      <s:c r="AH120" s="16"/>
      <s:c r="AI120" s="16"/>
      <s:c r="AJ120" s="16"/>
      <s:c r="AK120" s="16"/>
      <s:c r="AL120" s="17"/>
      <s:c r="AM120" s="18"/>
      <s:c r="AN120" s="18"/>
      <s:c r="AO120" s="18">
        <s:v>190000</s:v>
      </s:c>
      <s:c r="AP120" s="18"/>
      <s:c r="AQ120" s="18"/>
      <s:c r="AR120" s="18"/>
      <s:c r="AS120" s="18"/>
      <s:c r="AT120" s="18"/>
      <s:c r="AU120" s="18"/>
    </s:row>
    <s:row r="121" ht="18.75">
      <s:c r="A121" s="13" t="s">
        <s:v>92</s:v>
      </s:c>
      <s:c r="B121" s="14"/>
      <s:c r="C121" s="14"/>
      <s:c r="D121" s="14"/>
      <s:c r="E121" s="14"/>
      <s:c r="F121" s="14"/>
      <s:c r="G121" s="14"/>
      <s:c r="H121" s="14"/>
      <s:c r="I121" s="14"/>
      <s:c r="J121" s="14"/>
      <s:c r="K121" s="14"/>
      <s:c r="L121" s="14"/>
      <s:c r="M121" s="14"/>
      <s:c r="N121" s="14"/>
      <s:c r="O121" s="14"/>
      <s:c r="P121" s="14"/>
      <s:c r="Q121" s="14"/>
      <s:c r="R121" s="14"/>
      <s:c r="S121" s="14"/>
      <s:c r="T121" s="14"/>
      <s:c r="U121" s="14"/>
      <s:c r="V121" s="14"/>
      <s:c r="W121" s="14"/>
      <s:c r="X121" s="14"/>
      <s:c r="Y121" s="14"/>
      <s:c r="Z121" s="14"/>
      <s:c r="AA121" s="14"/>
      <s:c r="AB121" s="14"/>
      <s:c r="AC121" s="14"/>
      <s:c r="AD121" s="14"/>
      <s:c r="AE121" s="14"/>
      <s:c r="AF121" s="14"/>
      <s:c r="AG121" s="15"/>
      <s:c r="AH121" s="16"/>
      <s:c r="AI121" s="16"/>
      <s:c r="AJ121" s="16"/>
      <s:c r="AK121" s="16"/>
      <s:c r="AL121" s="17"/>
      <s:c r="AM121" s="18"/>
      <s:c r="AN121" s="18"/>
      <s:c r="AO121" s="18"/>
      <s:c r="AP121" s="18"/>
      <s:c r="AQ121" s="18"/>
      <s:c r="AR121" s="18">
        <s:v>330000</s:v>
      </s:c>
      <s:c r="AS121" s="18"/>
      <s:c r="AT121" s="18"/>
      <s:c r="AU121" s="18"/>
    </s:row>
    <s:row r="122" ht="18.75">
      <s:c r="A122" s="13" t="s">
        <s:v>93</s:v>
      </s:c>
      <s:c r="B122" s="14"/>
      <s:c r="C122" s="14"/>
      <s:c r="D122" s="14"/>
      <s:c r="E122" s="14"/>
      <s:c r="F122" s="14"/>
      <s:c r="G122" s="14"/>
      <s:c r="H122" s="14"/>
      <s:c r="I122" s="14"/>
      <s:c r="J122" s="14"/>
      <s:c r="K122" s="14"/>
      <s:c r="L122" s="14"/>
      <s:c r="M122" s="14"/>
      <s:c r="N122" s="14"/>
      <s:c r="O122" s="14"/>
      <s:c r="P122" s="14"/>
      <s:c r="Q122" s="14"/>
      <s:c r="R122" s="14"/>
      <s:c r="S122" s="14"/>
      <s:c r="T122" s="14"/>
      <s:c r="U122" s="14"/>
      <s:c r="V122" s="14"/>
      <s:c r="W122" s="14"/>
      <s:c r="X122" s="14"/>
      <s:c r="Y122" s="14"/>
      <s:c r="Z122" s="14"/>
      <s:c r="AA122" s="14"/>
      <s:c r="AB122" s="14"/>
      <s:c r="AC122" s="14"/>
      <s:c r="AD122" s="14"/>
      <s:c r="AE122" s="14"/>
      <s:c r="AF122" s="14"/>
      <s:c r="AG122" s="15"/>
      <s:c r="AH122" s="16"/>
      <s:c r="AI122" s="16"/>
      <s:c r="AJ122" s="16"/>
      <s:c r="AK122" s="16"/>
      <s:c r="AL122" s="17"/>
      <s:c r="AM122" s="18"/>
      <s:c r="AN122" s="18"/>
      <s:c r="AO122" s="18"/>
      <s:c r="AP122" s="18">
        <s:v>39000</s:v>
      </s:c>
      <s:c r="AQ122" s="18"/>
      <s:c r="AR122" s="18"/>
      <s:c r="AS122" s="18"/>
      <s:c r="AT122" s="18"/>
      <s:c r="AU122" s="18"/>
    </s:row>
    <s:row r="123" ht="18.75">
      <s:c r="A123" s="13" t="s">
        <s:v>125</s:v>
      </s:c>
      <s:c r="B123" s="14"/>
      <s:c r="C123" s="14"/>
      <s:c r="D123" s="14"/>
      <s:c r="E123" s="14"/>
      <s:c r="F123" s="14"/>
      <s:c r="G123" s="14"/>
      <s:c r="H123" s="14"/>
      <s:c r="I123" s="14"/>
      <s:c r="J123" s="14"/>
      <s:c r="K123" s="14"/>
      <s:c r="L123" s="14"/>
      <s:c r="M123" s="14"/>
      <s:c r="N123" s="14"/>
      <s:c r="O123" s="14"/>
      <s:c r="P123" s="14"/>
      <s:c r="Q123" s="14"/>
      <s:c r="R123" s="14"/>
      <s:c r="S123" s="14"/>
      <s:c r="T123" s="14"/>
      <s:c r="U123" s="14"/>
      <s:c r="V123" s="14"/>
      <s:c r="W123" s="14">
        <s:v>245000</s:v>
      </s:c>
      <s:c r="X123" s="14"/>
      <s:c r="Y123" s="14"/>
      <s:c r="Z123" s="14"/>
      <s:c r="AA123" s="14"/>
      <s:c r="AB123" s="14"/>
      <s:c r="AC123" s="14"/>
      <s:c r="AD123" s="14"/>
      <s:c r="AE123" s="14"/>
      <s:c r="AF123" s="14"/>
      <s:c r="AG123" s="15"/>
      <s:c r="AH123" s="16"/>
      <s:c r="AI123" s="16"/>
      <s:c r="AJ123" s="16"/>
      <s:c r="AK123" s="16"/>
      <s:c r="AL123" s="17"/>
      <s:c r="AM123" s="18"/>
      <s:c r="AN123" s="18"/>
      <s:c r="AO123" s="18"/>
      <s:c r="AP123" s="18"/>
      <s:c r="AQ123" s="18"/>
      <s:c r="AR123" s="18"/>
      <s:c r="AS123" s="18"/>
      <s:c r="AT123" s="18"/>
      <s:c r="AU123" s="18"/>
    </s:row>
    <s:row r="124" ht="18.75">
      <s:c r="A124" s="13" t="s">
        <s:v>102</s:v>
      </s:c>
      <s:c r="B124" s="14"/>
      <s:c r="C124" s="14"/>
      <s:c r="D124" s="14"/>
      <s:c r="E124" s="14"/>
      <s:c r="F124" s="14"/>
      <s:c r="G124" s="14"/>
      <s:c r="H124" s="14"/>
      <s:c r="I124" s="14"/>
      <s:c r="J124" s="14"/>
      <s:c r="K124" s="14"/>
      <s:c r="L124" s="14"/>
      <s:c r="M124" s="14"/>
      <s:c r="N124" s="14"/>
      <s:c r="O124" s="14"/>
      <s:c r="P124" s="14"/>
      <s:c r="Q124" s="14"/>
      <s:c r="R124" s="14">
        <s:v>111000</s:v>
      </s:c>
      <s:c r="S124" s="14"/>
      <s:c r="T124" s="14"/>
      <s:c r="U124" s="14"/>
      <s:c r="V124" s="14"/>
      <s:c r="W124" s="14"/>
      <s:c r="X124" s="14"/>
      <s:c r="Y124" s="14"/>
      <s:c r="Z124" s="14"/>
      <s:c r="AA124" s="14"/>
      <s:c r="AB124" s="14"/>
      <s:c r="AC124" s="14"/>
      <s:c r="AD124" s="14"/>
      <s:c r="AE124" s="14"/>
      <s:c r="AF124" s="14"/>
      <s:c r="AG124" s="15"/>
      <s:c r="AH124" s="16"/>
      <s:c r="AI124" s="16"/>
      <s:c r="AJ124" s="16"/>
      <s:c r="AK124" s="16"/>
      <s:c r="AL124" s="17"/>
      <s:c r="AM124" s="18"/>
      <s:c r="AN124" s="18"/>
      <s:c r="AO124" s="18"/>
      <s:c r="AP124" s="18"/>
      <s:c r="AQ124" s="18"/>
      <s:c r="AR124" s="18"/>
      <s:c r="AS124" s="18"/>
      <s:c r="AT124" s="18"/>
      <s:c r="AU124" s="18"/>
    </s:row>
  </s:sheetData>
  <s:pageMargins left="0.7" right="0.7" top="0.75" bottom="0.75" header="0.3" footer="0.3"/>
  <s:pageSetup paperSize="9" orientation="portrait" r:id="rId1"/>
  <s:headerFooter>
    <s:oddHeader>&amp;CAT</s:oddHeader>
  </s:headerFooter>
</s:worksheet>
</file>

<file path=xl/worksheets/sheet2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19A08B92-5DAB-4059-97D5-E3E32CDAC08F}">
  <s:dimension ref="A1:AW124"/>
  <s:sheetViews>
    <s:sheetView tabSelected="0" topLeftCell="A25" zoomScale="55" zoomScaleNormal="55" workbookViewId="0">
      <s:pane xSplit="1" topLeftCell="AF1" activePane="topRight" state="frozen"/>
      <s:selection pane="topRight" activeCell="AV62" sqref="AV62"/>
    </s:sheetView>
  </s:sheetViews>
  <s:sheetFormatPr x14ac:dyDescent="0.25" defaultColWidth="10" defaultRowHeight="15"/>
  <s:cols>
    <s:col min="1" max="1" width="40" customWidth="1"/>
    <s:col min="2" max="2" width="20.855" bestFit="1" customWidth="1"/>
    <s:col min="3" max="3" width="18.285" bestFit="1" customWidth="1"/>
    <s:col min="4" max="4" width="18.285" customWidth="1"/>
    <s:col min="5" max="5" width="20.855" bestFit="1" customWidth="1"/>
    <s:col min="6" max="6" width="20.855" customWidth="1"/>
    <s:col min="7" max="7" width="16.711" bestFit="1" customWidth="1"/>
    <s:col min="8" max="8" width="14.426" bestFit="1" customWidth="1"/>
    <s:col min="9" max="9" width="14.711" customWidth="1"/>
    <s:col min="10" max="10" width="17.285" customWidth="1"/>
    <s:col min="11" max="11" width="18.711" bestFit="1" customWidth="1"/>
    <s:col min="12" max="12" width="17" customWidth="1"/>
    <s:col min="13" max="13" width="18.285" bestFit="1" customWidth="1"/>
    <s:col min="14" max="14" width="20.285" bestFit="1" customWidth="1"/>
    <s:col min="15" max="15" width="20.57" bestFit="1" customWidth="1"/>
    <s:col min="16" max="16" width="28.285" customWidth="1"/>
    <s:col min="17" max="17" width="25.141" customWidth="1"/>
    <s:col min="18" max="18" width="18.426" customWidth="1"/>
    <s:col min="19" max="19" width="19.426" customWidth="1"/>
    <s:col min="20" max="20" width="36.426" customWidth="1"/>
    <s:col min="21" max="21" width="32.285" bestFit="1" customWidth="1"/>
    <s:col min="22" max="22" width="38.711" bestFit="1" customWidth="1"/>
    <s:col min="23" max="23" width="18.711" customWidth="1"/>
    <s:col min="24" max="24" width="51.141" customWidth="1"/>
    <s:col min="25" max="25" width="34.285" customWidth="1"/>
    <s:col min="26" max="26" width="17.57" customWidth="1"/>
    <s:col min="27" max="27" width="22.285" customWidth="1"/>
    <s:col min="28" max="28" width="30.426" customWidth="1"/>
    <s:col min="29" max="29" width="27.57" bestFit="1" customWidth="1"/>
    <s:col min="30" max="30" width="23.141" customWidth="1"/>
    <s:col min="31" max="31" width="38.426" bestFit="1" customWidth="1"/>
    <s:col min="32" max="32" width="20" bestFit="1" customWidth="1"/>
    <s:col min="33" max="33" width="23.141" bestFit="1" customWidth="1"/>
    <s:col min="34" max="34" width="44.855" bestFit="1" customWidth="1"/>
    <s:col min="35" max="35" width="40.426" bestFit="1" customWidth="1"/>
    <s:col min="36" max="36" width="25.285" bestFit="1" customWidth="1"/>
    <s:col min="37" max="37" width="17.57" customWidth="1"/>
    <s:col min="38" max="38" width="30.711" bestFit="1" customWidth="1"/>
    <s:col min="39" max="39" width="24.426" bestFit="1" customWidth="1"/>
    <s:col min="40" max="40" width="18" bestFit="1" customWidth="1"/>
    <s:col min="41" max="47" width="18" customWidth="1"/>
    <s:col min="48" max="48" width="28.57" customWidth="1"/>
    <s:col min="49" max="49" width="31" customWidth="1"/>
  </s:cols>
  <s:sheetData>
    <s:row r="1" ht="18.75">
      <s:c r="A1" s="20" t="s">
        <s:v>9</s:v>
      </s:c>
      <s:c r="B1" s="21">
        <s:v>46054</s:v>
      </s:c>
      <s:c r="C1" s="3"/>
      <s:c r="D1" s="3"/>
      <s:c r="E1" s="3"/>
      <s:c r="F1" s="3"/>
      <s:c r="G1" s="3"/>
      <s:c r="H1" s="3"/>
      <s:c r="I1" s="3"/>
      <s:c r="J1" s="3"/>
      <s:c r="K1" s="3"/>
      <s:c r="L1" s="3"/>
    </s:row>
    <s:row r="2">
      <s:c r="A2" s="2"/>
      <s:c r="B2" s="2"/>
      <s:c r="C2" s="2"/>
      <s:c r="D2" s="2"/>
      <s:c r="E2" s="2"/>
      <s:c r="F2" s="2"/>
      <s:c r="G2" s="2"/>
      <s:c r="H2" s="2"/>
      <s:c r="I2" s="2"/>
      <s:c r="J2" s="2"/>
      <s:c r="K2" s="2"/>
      <s:c r="L2" s="2"/>
    </s:row>
    <s:row r="3" ht="19.5">
      <s:c r="A3" s="3" t="s">
        <s:v>12</s:v>
      </s:c>
      <s:c r="B3" s="3"/>
      <s:c r="C3" s="3"/>
      <s:c r="D3" s="3"/>
      <s:c r="E3" s="3"/>
      <s:c r="F3" s="3"/>
      <s:c r="G3" s="3"/>
      <s:c r="H3" s="3"/>
      <s:c r="I3" s="3"/>
      <s:c r="J3" s="3"/>
      <s:c r="K3" s="3"/>
      <s:c r="L3" s="3"/>
      <s:c r="M3" s="47"/>
      <s:c r="N3" s="47"/>
      <s:c r="O3" s="47">
        <s:f>O7*69000+O41*69000</s:f>
        <s:v>0</s:v>
      </s:c>
      <s:c r="P3" s="47"/>
      <s:c r="Q3" s="47"/>
      <s:c r="R3" s="47"/>
      <s:c r="S3" s="47"/>
      <s:c r="T3" s="47"/>
      <s:c r="U3" s="47"/>
      <s:c r="V3" s="47"/>
      <s:c r="W3" s="47"/>
      <s:c r="X3" s="47"/>
      <s:c r="Y3" s="47"/>
      <s:c r="Z3" s="47"/>
      <s:c r="AA3" s="47"/>
      <s:c r="AB3" s="47"/>
      <s:c r="AC3" s="47"/>
      <s:c r="AD3" s="47"/>
      <s:c r="AE3" s="47"/>
      <s:c r="AF3" s="47"/>
      <s:c r="AG3" s="47"/>
      <s:c r="AH3" s="47"/>
      <s:c r="AI3" s="47"/>
      <s:c r="AJ3" s="47"/>
      <s:c r="AK3" s="47"/>
      <s:c r="AL3" s="47"/>
      <s:c r="AM3" s="47"/>
      <s:c r="AN3" s="47"/>
      <s:c r="AO3" s="47"/>
      <s:c r="AP3" s="47"/>
      <s:c r="AQ3" s="47"/>
      <s:c r="AR3" s="47"/>
      <s:c r="AS3" s="47"/>
      <s:c r="AT3" s="47"/>
      <s:c r="AU3" s="47"/>
      <s:c r="AV3" s="48">
        <s:f>SUM(AV5:AV61)</s:f>
        <s:v>31930860</s:v>
      </s:c>
    </s:row>
    <s:row r="4" ht="75">
      <s:c r="A4" s="11" t="s">
        <s:v>8</s:v>
      </s:c>
      <s:c r="B4" s="32" t="s">
        <s:v>18</s:v>
      </s:c>
      <s:c r="C4" s="32" t="s">
        <s:v>38</s:v>
      </s:c>
      <s:c r="D4" s="32" t="s">
        <s:v>83</s:v>
      </s:c>
      <s:c r="E4" s="32" t="s">
        <s:v>19</s:v>
      </s:c>
      <s:c r="F4" s="32" t="s">
        <s:v>59</s:v>
      </s:c>
      <s:c r="G4" s="32" t="s">
        <s:v>6</s:v>
      </s:c>
      <s:c r="H4" s="32" t="s">
        <s:v>20</s:v>
      </s:c>
      <s:c r="I4" s="32" t="s">
        <s:v>21</s:v>
      </s:c>
      <s:c r="J4" s="32" t="s">
        <s:v>22</s:v>
      </s:c>
      <s:c r="K4" s="32" t="s">
        <s:v>23</s:v>
      </s:c>
      <s:c r="L4" s="32" t="s">
        <s:v>24</s:v>
      </s:c>
      <s:c r="M4" s="32" t="s">
        <s:v>37</s:v>
      </s:c>
      <s:c r="N4" s="32" t="s">
        <s:v>13</s:v>
      </s:c>
      <s:c r="O4" s="32" t="s">
        <s:v>17</s:v>
      </s:c>
      <s:c r="P4" s="32" t="s">
        <s:v>82</s:v>
      </s:c>
      <s:c r="Q4" s="32" t="s">
        <s:v>41</s:v>
      </s:c>
      <s:c r="R4" s="32" t="s">
        <s:v>26</s:v>
      </s:c>
      <s:c r="S4" s="32" t="s">
        <s:v>86</s:v>
      </s:c>
      <s:c r="T4" s="32" t="s">
        <s:v>84</s:v>
      </s:c>
      <s:c r="U4" s="32" t="s">
        <s:v>27</s:v>
      </s:c>
      <s:c r="V4" s="32" t="s">
        <s:v>28</s:v>
      </s:c>
      <s:c r="W4" s="32" t="s">
        <s:v>88</s:v>
      </s:c>
      <s:c r="X4" s="32" t="s">
        <s:v>30</s:v>
      </s:c>
      <s:c r="Y4" s="32" t="s">
        <s:v>31</s:v>
      </s:c>
      <s:c r="Z4" s="32" t="s">
        <s:v>89</s:v>
      </s:c>
      <s:c r="AA4" s="32" t="s">
        <s:v>50</s:v>
      </s:c>
      <s:c r="AB4" s="33" t="s">
        <s:v>32</s:v>
      </s:c>
      <s:c r="AC4" s="32" t="s">
        <s:v>107</s:v>
      </s:c>
      <s:c r="AD4" s="32" t="s">
        <s:v>108</s:v>
      </s:c>
      <s:c r="AE4" s="34" t="s">
        <s:v>109</s:v>
      </s:c>
      <s:c r="AF4" s="32" t="s">
        <s:v>110</s:v>
      </s:c>
      <s:c r="AG4" s="35" t="s">
        <s:v>105</s:v>
      </s:c>
      <s:c r="AH4" s="32" t="s">
        <s:v>33</s:v>
      </s:c>
      <s:c r="AI4" s="36" t="s">
        <s:v>34</s:v>
      </s:c>
      <s:c r="AJ4" s="37" t="s">
        <s:v>106</s:v>
      </s:c>
      <s:c r="AK4" s="36" t="s">
        <s:v>35</s:v>
      </s:c>
      <s:c r="AL4" s="36" t="s">
        <s:v>100</s:v>
      </s:c>
      <s:c r="AM4" s="38" t="s">
        <s:v>66</s:v>
      </s:c>
      <s:c r="AN4" s="38" t="s">
        <s:v>120</s:v>
      </s:c>
      <s:c r="AO4" s="38" t="s">
        <s:v>116</s:v>
      </s:c>
      <s:c r="AP4" s="38" t="s">
        <s:v>117</s:v>
      </s:c>
      <s:c r="AQ4" s="38" t="s">
        <s:v>55</s:v>
      </s:c>
      <s:c r="AR4" s="38" t="s">
        <s:v>95</s:v>
      </s:c>
      <s:c r="AS4" s="38" t="s">
        <s:v>96</s:v>
      </s:c>
      <s:c r="AT4" s="38" t="s">
        <s:v>78</s:v>
      </s:c>
      <s:c r="AU4" s="38" t="s">
        <s:v>101</s:v>
      </s:c>
      <s:c r="AV4" s="39" t="s">
        <s:v>10</s:v>
      </s:c>
    </s:row>
    <s:row r="5" ht="18.75">
      <s:c r="A5" s="31" t="s">
        <s:v>103</s:v>
      </s:c>
      <s:c r="B5" s="49"/>
      <s:c r="C5" s="49"/>
      <s:c r="D5" s="49"/>
      <s:c r="E5" s="49"/>
      <s:c r="F5" s="49"/>
      <s:c r="G5" s="49"/>
      <s:c r="H5" s="49"/>
      <s:c r="I5" s="49"/>
      <s:c r="J5" s="49"/>
      <s:c r="K5" s="49"/>
      <s:c r="L5" s="49"/>
      <s:c r="M5" s="22"/>
      <s:c r="N5" s="22"/>
      <s:c r="O5" s="22"/>
      <s:c r="P5" s="22"/>
      <s:c r="Q5" s="22"/>
      <s:c r="R5" s="22"/>
      <s:c r="S5" s="22"/>
      <s:c r="T5" s="22">
        <s:v>11.52</s:v>
      </s:c>
      <s:c r="U5" s="22"/>
      <s:c r="V5" s="22"/>
      <s:c r="W5" s="22"/>
      <s:c r="X5" s="22"/>
      <s:c r="Y5" s="22"/>
      <s:c r="Z5" s="22"/>
      <s:c r="AA5" s="22"/>
      <s:c r="AB5" s="22"/>
      <s:c r="AC5" s="22"/>
      <s:c r="AD5" s="22"/>
      <s:c r="AE5" s="22"/>
      <s:c r="AF5" s="22"/>
      <s:c r="AG5" s="23"/>
      <s:c r="AH5" s="24"/>
      <s:c r="AI5" s="24"/>
      <s:c r="AJ5" s="24"/>
      <s:c r="AK5" s="24"/>
      <s:c r="AL5" s="50"/>
      <s:c r="AM5" s="51"/>
      <s:c r="AN5" s="51">
        <s:v>2.88</s:v>
      </s:c>
      <s:c r="AO5" s="51"/>
      <s:c r="AP5" s="51"/>
      <s:c r="AQ5" s="51"/>
      <s:c r="AR5" s="51"/>
      <s:c r="AS5" s="51"/>
      <s:c r="AT5" s="51"/>
      <s:c r="AU5" s="51"/>
      <s:c r="AV5" s="52">
        <s:f>B5*B68+C5*C68+D5*D68+E5*E68+F5*F68+G5*G68+H5*H68+I5*I68+J5*J68+K5*K68+L5*L68+AT5*AT69+AU69*AU5+M5*M68+N5*N68+O5*O68+P5*P68+Q5*Q68+R5*R68+S5*S68+T5*T68+U5*U68+V5*V68+W5*W68+X5*X68+Y5*Y68+Z5*Z68+AA5*AA68+AB5*AB68+AC5*AC68+AD5*AD68+AE5*AE68+AF5*AF68+AG5*AG68+AH5*AH68+AI5*AI68+AJ5*AJ68+AK5*AK68+AL5*AL68+AM5*AM68+AN5*AN68+AO5*AO68+AP5*AP68+AQ5*AQ68+AR5*AR68+AS5*AS68+AT5*AT68+AU5*AU68</s:f>
        <s:v>1929600</s:v>
      </s:c>
    </s:row>
    <s:row r="6" ht="18.75">
      <s:c r="A6" s="31" t="s">
        <s:v>62</s:v>
      </s:c>
      <s:c r="B6" s="49"/>
      <s:c r="C6" s="49"/>
      <s:c r="D6" s="49"/>
      <s:c r="E6" s="49"/>
      <s:c r="F6" s="49"/>
      <s:c r="G6" s="49"/>
      <s:c r="H6" s="49"/>
      <s:c r="I6" s="49"/>
      <s:c r="J6" s="49"/>
      <s:c r="K6" s="49"/>
      <s:c r="L6" s="49"/>
      <s:c r="M6" s="22"/>
      <s:c r="N6" s="22"/>
      <s:c r="O6" s="22"/>
      <s:c r="P6" s="22"/>
      <s:c r="Q6" s="22"/>
      <s:c r="R6" s="22"/>
      <s:c r="S6" s="22"/>
      <s:c r="T6" s="22"/>
      <s:c r="U6" s="22"/>
      <s:c r="V6" s="22"/>
      <s:c r="W6" s="22"/>
      <s:c r="X6" s="22"/>
      <s:c r="Y6" s="22"/>
      <s:c r="Z6" s="22"/>
      <s:c r="AA6" s="22"/>
      <s:c r="AB6" s="22"/>
      <s:c r="AC6" s="22"/>
      <s:c r="AD6" s="22"/>
      <s:c r="AE6" s="22"/>
      <s:c r="AF6" s="22"/>
      <s:c r="AG6" s="23"/>
      <s:c r="AH6" s="24"/>
      <s:c r="AI6" s="24"/>
      <s:c r="AJ6" s="24"/>
      <s:c r="AK6" s="24"/>
      <s:c r="AL6" s="50"/>
      <s:c r="AM6" s="51"/>
      <s:c r="AN6" s="51"/>
      <s:c r="AO6" s="51"/>
      <s:c r="AP6" s="51"/>
      <s:c r="AQ6" s="51"/>
      <s:c r="AR6" s="51"/>
      <s:c r="AS6" s="51"/>
      <s:c r="AT6" s="51"/>
      <s:c r="AU6" s="51"/>
      <s:c r="AV6" s="52">
        <s:f>B6*B69+C6*C69+D6*D69+E6*E69+F6*F69+G6*G69+H6*H69+I6*I69+J6*J69+K6*K69+L6*L69+AT6*AT70+AU70*AU6+M6*M69+N6*N69+O6*O69+P6*P69+Q6*Q69+R6*R69+S6*S69+T6*T69+U6*U69+V6*V69+W6*W69+X6*X69+Y6*Y69+Z6*Z69+AA6*AA69+AB6*AB69+AC6*AC69+AD6*AD69+AE6*AE69+AF6*AF69+AG6*AG69+AH6*AH69+AI6*AI69+AJ6*AJ69+AK6*AK69+AL6*AL69+AM6*AM69+AN6*AN69+AO6*AO69+AP6*AP69+AQ6*AQ69+AR6*AR69+AS6*AS69+AT6*AT69+AU6*AU69</s:f>
        <s:v>0</s:v>
      </s:c>
    </s:row>
    <s:row r="7" ht="18.75">
      <s:c r="A7" s="31" t="s">
        <s:v>56</s:v>
      </s:c>
      <s:c r="B7" s="49"/>
      <s:c r="C7" s="49"/>
      <s:c r="D7" s="49"/>
      <s:c r="E7" s="49"/>
      <s:c r="F7" s="49"/>
      <s:c r="G7" s="49"/>
      <s:c r="H7" s="49"/>
      <s:c r="I7" s="49"/>
      <s:c r="J7" s="49"/>
      <s:c r="K7" s="49"/>
      <s:c r="L7" s="49"/>
      <s:c r="M7" s="22"/>
      <s:c r="N7" s="22"/>
      <s:c r="O7" s="22"/>
      <s:c r="P7" s="22"/>
      <s:c r="Q7" s="22"/>
      <s:c r="R7" s="22"/>
      <s:c r="S7" s="22"/>
      <s:c r="T7" s="22"/>
      <s:c r="U7" s="22"/>
      <s:c r="V7" s="22"/>
      <s:c r="W7" s="22"/>
      <s:c r="X7" s="22"/>
      <s:c r="Y7" s="22"/>
      <s:c r="Z7" s="22"/>
      <s:c r="AA7" s="22"/>
      <s:c r="AB7" s="22"/>
      <s:c r="AC7" s="22"/>
      <s:c r="AD7" s="22"/>
      <s:c r="AE7" s="22"/>
      <s:c r="AF7" s="22"/>
      <s:c r="AG7" s="23"/>
      <s:c r="AH7" s="24"/>
      <s:c r="AI7" s="24"/>
      <s:c r="AJ7" s="24"/>
      <s:c r="AK7" s="24"/>
      <s:c r="AL7" s="50"/>
      <s:c r="AM7" s="51"/>
      <s:c r="AN7" s="51"/>
      <s:c r="AO7" s="51"/>
      <s:c r="AP7" s="51"/>
      <s:c r="AQ7" s="51"/>
      <s:c r="AR7" s="51"/>
      <s:c r="AS7" s="51"/>
      <s:c r="AT7" s="51"/>
      <s:c r="AU7" s="51"/>
      <s:c r="AV7" s="52">
        <s:f>B7*B70+C7*C70+D7*D70+E7*E70+F7*F70+G7*G70+H7*H70+I7*I70+J7*J70+K7*K70+L7*L70+AT7*AT71+AU71*AU7+M7*M70+N7*N70+O7*O70+P7*P70+Q7*Q70+R7*R70+S7*S70+T7*T70+U7*U70+V7*V70+W7*W70+X7*X70+Y7*Y70+Z7*Z70+AA7*AA70+AB7*AB70+AC7*AC70+AD7*AD70+AE7*AE70+AF7*AF70+AG7*AG70+AH7*AH70+AI7*AI70+AJ7*AJ70+AK7*AK70+AL7*AL70+AM7*AM70+AN7*AN70+AO7*AO70+AP7*AP70+AQ7*AQ70+AR7*AR70+AS7*AS70+AT7*AT70+AU7*AU70</s:f>
        <s:v>0</s:v>
      </s:c>
      <s:c r="AW7" t="s">
        <s:v>113</s:v>
      </s:c>
    </s:row>
    <s:row r="8" ht="18.75">
      <s:c r="A8" s="31" t="s">
        <s:v>81</s:v>
      </s:c>
      <s:c r="B8" s="49"/>
      <s:c r="C8" s="49"/>
      <s:c r="D8" s="49"/>
      <s:c r="E8" s="49"/>
      <s:c r="F8" s="49"/>
      <s:c r="G8" s="49"/>
      <s:c r="H8" s="49"/>
      <s:c r="I8" s="49"/>
      <s:c r="J8" s="49"/>
      <s:c r="K8" s="49"/>
      <s:c r="L8" s="49"/>
      <s:c r="M8" s="22"/>
      <s:c r="N8" s="22"/>
      <s:c r="O8" s="22"/>
      <s:c r="P8" s="22"/>
      <s:c r="Q8" s="22"/>
      <s:c r="R8" s="22"/>
      <s:c r="S8" s="22"/>
      <s:c r="T8" s="22"/>
      <s:c r="U8" s="22"/>
      <s:c r="V8" s="22"/>
      <s:c r="W8" s="22"/>
      <s:c r="X8" s="22"/>
      <s:c r="Y8" s="22"/>
      <s:c r="Z8" s="22"/>
      <s:c r="AA8" s="22"/>
      <s:c r="AB8" s="22"/>
      <s:c r="AC8" s="22"/>
      <s:c r="AD8" s="22"/>
      <s:c r="AE8" s="22"/>
      <s:c r="AF8" s="22"/>
      <s:c r="AG8" s="23"/>
      <s:c r="AH8" s="24"/>
      <s:c r="AI8" s="24"/>
      <s:c r="AJ8" s="24"/>
      <s:c r="AK8" s="24"/>
      <s:c r="AL8" s="50"/>
      <s:c r="AM8" s="51"/>
      <s:c r="AN8" s="51"/>
      <s:c r="AO8" s="51"/>
      <s:c r="AP8" s="51"/>
      <s:c r="AQ8" s="51"/>
      <s:c r="AR8" s="51"/>
      <s:c r="AS8" s="51"/>
      <s:c r="AT8" s="51"/>
      <s:c r="AU8" s="51"/>
      <s:c r="AV8" s="52">
        <s:f>B8*B71+C8*C71+D8*D71+E8*E71+F8*F71+G8*G71+H8*H71+I8*I71+J8*J71+K8*K71+L8*L71+AT8*AT72+AU72*AU8+M8*M71+N8*N71+O8*O71+P8*P71+Q8*Q71+R8*R71+S8*S71+T8*T71+U8*U71+V8*V71+W8*W71+X8*X71+Y8*Y71+Z8*Z71+AA8*AA71+AB8*AB71+AC8*AC71+AD8*AD71+AE8*AE71+AF8*AF71+AG8*AG71+AH8*AH71+AI8*AI71+AJ8*AJ71+AK8*AK71+AL8*AL71+AM8*AM71+AN8*AN71+AO8*AO71+AP8*AP71+AQ8*AQ71+AR8*AR71+AS8*AS71+AT8*AT71+AU8*AU71</s:f>
        <s:v>0</s:v>
      </s:c>
    </s:row>
    <s:row r="9" ht="18.75">
      <s:c r="A9" s="31" t="s">
        <s:v>1</s:v>
      </s:c>
      <s:c r="B9" s="27"/>
      <s:c r="C9" s="27"/>
      <s:c r="D9" s="27"/>
      <s:c r="E9" s="27"/>
      <s:c r="F9" s="27"/>
      <s:c r="G9" s="27"/>
      <s:c r="H9" s="27"/>
      <s:c r="I9" s="27"/>
      <s:c r="J9" s="27"/>
      <s:c r="K9" s="27"/>
      <s:c r="L9" s="27"/>
      <s:c r="M9" s="22"/>
      <s:c r="N9" s="22"/>
      <s:c r="O9" s="22"/>
      <s:c r="P9" s="22"/>
      <s:c r="Q9" s="22"/>
      <s:c r="R9" s="22"/>
      <s:c r="S9" s="22"/>
      <s:c r="T9" s="22"/>
      <s:c r="U9" s="22"/>
      <s:c r="V9" s="22"/>
      <s:c r="W9" s="22"/>
      <s:c r="X9" s="22"/>
      <s:c r="Y9" s="22"/>
      <s:c r="Z9" s="22"/>
      <s:c r="AA9" s="22"/>
      <s:c r="AB9" s="22"/>
      <s:c r="AC9" s="22"/>
      <s:c r="AD9" s="22"/>
      <s:c r="AE9" s="22"/>
      <s:c r="AF9" s="22"/>
      <s:c r="AG9" s="23"/>
      <s:c r="AH9" s="24"/>
      <s:c r="AI9" s="24"/>
      <s:c r="AJ9" s="24"/>
      <s:c r="AK9" s="24"/>
      <s:c r="AL9" s="25"/>
      <s:c r="AM9" s="26"/>
      <s:c r="AN9" s="26"/>
      <s:c r="AO9" s="26"/>
      <s:c r="AP9" s="26"/>
      <s:c r="AQ9" s="26"/>
      <s:c r="AR9" s="26"/>
      <s:c r="AS9" s="26"/>
      <s:c r="AT9" s="26"/>
      <s:c r="AU9" s="26"/>
      <s:c r="AV9" s="52">
        <s:f>B9*B72+C9*C72+D9*D72+E9*E72+F9*F72+G9*G72+H9*H72+I9*I72+J9*J72+K9*K72+L9*L72+AT9*AT73+AU73*AU9+M9*M72+N9*N72+O9*O72+P9*P72+Q9*Q72+R9*R72+S9*S72+T9*T72+U9*U72+V9*V72+W9*W72+X9*X72+Y9*Y72+Z9*Z72+AA9*AA72+AB9*AB72+AC9*AC72+AD9*AD72+AE9*AE72+AF9*AF72+AG9*AG72+AH9*AH72+AI9*AI72+AJ9*AJ72+AK9*AK72+AL9*AL72+AM9*AM72+AN9*AN72+AO9*AO72+AP9*AP72+AQ9*AQ72+AR9*AR72+AS9*AS72+AT9*AT72+AU9*AU72</s:f>
        <s:v>0</s:v>
      </s:c>
      <s:c r="AW9" t="s">
        <s:v>113</s:v>
      </s:c>
    </s:row>
    <s:row r="10" ht="18.75">
      <s:c r="A10" s="31" t="s">
        <s:v>90</s:v>
      </s:c>
      <s:c r="B10" s="49"/>
      <s:c r="C10" s="49"/>
      <s:c r="D10" s="49"/>
      <s:c r="E10" s="49"/>
      <s:c r="F10" s="49"/>
      <s:c r="G10" s="49"/>
      <s:c r="H10" s="49"/>
      <s:c r="I10" s="49"/>
      <s:c r="J10" s="49"/>
      <s:c r="K10" s="49"/>
      <s:c r="L10" s="49"/>
      <s:c r="M10" s="22"/>
      <s:c r="N10" s="22"/>
      <s:c r="O10" s="22"/>
      <s:c r="P10" s="22"/>
      <s:c r="Q10" s="22"/>
      <s:c r="R10" s="22"/>
      <s:c r="S10" s="22"/>
      <s:c r="T10" s="22"/>
      <s:c r="U10" s="22"/>
      <s:c r="V10" s="22"/>
      <s:c r="W10" s="22"/>
      <s:c r="X10" s="22"/>
      <s:c r="Y10" s="22"/>
      <s:c r="Z10" s="22"/>
      <s:c r="AA10" s="22"/>
      <s:c r="AB10" s="22"/>
      <s:c r="AC10" s="22"/>
      <s:c r="AD10" s="22"/>
      <s:c r="AE10" s="22"/>
      <s:c r="AF10" s="22"/>
      <s:c r="AG10" s="23"/>
      <s:c r="AH10" s="24"/>
      <s:c r="AI10" s="24"/>
      <s:c r="AJ10" s="24"/>
      <s:c r="AK10" s="24"/>
      <s:c r="AL10" s="50"/>
      <s:c r="AM10" s="51"/>
      <s:c r="AN10" s="51"/>
      <s:c r="AO10" s="51"/>
      <s:c r="AP10" s="51"/>
      <s:c r="AQ10" s="51"/>
      <s:c r="AR10" s="51"/>
      <s:c r="AS10" s="51"/>
      <s:c r="AT10" s="51"/>
      <s:c r="AU10" s="51"/>
      <s:c r="AV10" s="52">
        <s:f>B10*B73+C10*C73+D10*D73+E10*E73+F10*F73+G10*G73+H10*H73+I10*I73+J10*J73+K10*K73+L10*L73+AT10*AT74+AU74*AU10+M10*M73+N10*N73+O10*O73+P10*P73+Q10*Q73+R10*R73+S10*S73+T10*T73+U10*U73+V10*V73+W10*W73+X10*X73+Y10*Y73+Z10*Z73+AA10*AA73+AB10*AB73+AC10*AC73+AD10*AD73+AE10*AE73+AF10*AF73+AG10*AG73+AH10*AH73+AI10*AI73+AJ10*AJ73+AK10*AK73+AL10*AL73+AM10*AM73+AN10*AN73+AO10*AO73+AP10*AP73+AQ10*AQ73+AR10*AR73+AS10*AS73+AT10*AT73+AU10*AU73</s:f>
        <s:v>0</s:v>
      </s:c>
    </s:row>
    <s:row r="11" ht="18.75">
      <s:c r="A11" s="31" t="s">
        <s:v>74</s:v>
      </s:c>
      <s:c r="B11" s="49"/>
      <s:c r="C11" s="49"/>
      <s:c r="D11" s="49"/>
      <s:c r="E11" s="49"/>
      <s:c r="F11" s="49"/>
      <s:c r="G11" s="49"/>
      <s:c r="H11" s="49"/>
      <s:c r="I11" s="49"/>
      <s:c r="J11" s="49"/>
      <s:c r="K11" s="49"/>
      <s:c r="L11" s="49"/>
      <s:c r="M11" s="22"/>
      <s:c r="N11" s="22"/>
      <s:c r="O11" s="22"/>
      <s:c r="P11" s="22"/>
      <s:c r="Q11" s="22"/>
      <s:c r="R11" s="22"/>
      <s:c r="S11" s="22"/>
      <s:c r="T11" s="22"/>
      <s:c r="U11" s="22"/>
      <s:c r="V11" s="22"/>
      <s:c r="W11" s="22"/>
      <s:c r="X11" s="22"/>
      <s:c r="Y11" s="22"/>
      <s:c r="Z11" s="22"/>
      <s:c r="AA11" s="22"/>
      <s:c r="AB11" s="22"/>
      <s:c r="AC11" s="22"/>
      <s:c r="AD11" s="22"/>
      <s:c r="AE11" s="22"/>
      <s:c r="AF11" s="22"/>
      <s:c r="AG11" s="23"/>
      <s:c r="AH11" s="24"/>
      <s:c r="AI11" s="24"/>
      <s:c r="AJ11" s="24"/>
      <s:c r="AK11" s="24"/>
      <s:c r="AL11" s="50"/>
      <s:c r="AM11" s="51"/>
      <s:c r="AN11" s="51"/>
      <s:c r="AO11" s="51"/>
      <s:c r="AP11" s="51"/>
      <s:c r="AQ11" s="51"/>
      <s:c r="AR11" s="51"/>
      <s:c r="AS11" s="51"/>
      <s:c r="AT11" s="51"/>
      <s:c r="AU11" s="51"/>
      <s:c r="AV11" s="52">
        <s:f>B11*B74+C11*C74+D11*D74+E11*E74+F11*F74+G11*G74+H11*H74+I11*I74+J11*J74+K11*K74+L11*L74+AT11*AT75+AU75*AU11+M11*M74+N11*N74+O11*O74+P11*P74+Q11*Q74+R11*R74+S11*S74+T11*T74+U11*U74+V11*V74+W11*W74+X11*X74+Y11*Y74+Z11*Z74+AA11*AA74+AB11*AB74+AC11*AC74+AD11*AD74+AE11*AE74+AF11*AF74+AG11*AG74+AH11*AH74+AI11*AI74+AJ11*AJ74+AK11*AK74+AL11*AL74+AM11*AM74+AN11*AN74+AO11*AO74+AP11*AP74+AQ11*AQ74+AR11*AR74+AS11*AS74+AT11*AT74+AU11*AU74</s:f>
        <s:v>0</s:v>
      </s:c>
    </s:row>
    <s:row r="12" ht="18.75">
      <s:c r="A12" s="31" t="s">
        <s:v>4</s:v>
      </s:c>
      <s:c r="B12" s="27"/>
      <s:c r="C12" s="27"/>
      <s:c r="D12" s="27"/>
      <s:c r="E12" s="27"/>
      <s:c r="F12" s="27"/>
      <s:c r="G12" s="27"/>
      <s:c r="H12" s="27"/>
      <s:c r="I12" s="27"/>
      <s:c r="J12" s="27"/>
      <s:c r="K12" s="27"/>
      <s:c r="L12" s="27"/>
      <s:c r="M12" s="22"/>
      <s:c r="N12" s="22"/>
      <s:c r="O12" s="22"/>
      <s:c r="P12" s="22"/>
      <s:c r="Q12" s="22"/>
      <s:c r="R12" s="22"/>
      <s:c r="S12" s="22"/>
      <s:c r="T12" s="22"/>
      <s:c r="U12" s="22"/>
      <s:c r="V12" s="22"/>
      <s:c r="W12" s="22"/>
      <s:c r="X12" s="22"/>
      <s:c r="Y12" s="22"/>
      <s:c r="Z12" s="22"/>
      <s:c r="AA12" s="22"/>
      <s:c r="AB12" s="22"/>
      <s:c r="AC12" s="22"/>
      <s:c r="AD12" s="22"/>
      <s:c r="AE12" s="22"/>
      <s:c r="AF12" s="22"/>
      <s:c r="AG12" s="23"/>
      <s:c r="AH12" s="24"/>
      <s:c r="AI12" s="24"/>
      <s:c r="AJ12" s="24"/>
      <s:c r="AK12" s="24"/>
      <s:c r="AL12" s="25"/>
      <s:c r="AM12" s="26"/>
      <s:c r="AN12" s="26"/>
      <s:c r="AO12" s="26"/>
      <s:c r="AP12" s="26"/>
      <s:c r="AQ12" s="26"/>
      <s:c r="AR12" s="26"/>
      <s:c r="AS12" s="26"/>
      <s:c r="AT12" s="26"/>
      <s:c r="AU12" s="26"/>
      <s:c r="AV12" s="52">
        <s:f>B12*B75+C12*C75+D12*D75+E12*E75+F12*F75+G12*G75+H12*H75+I12*I75+J12*J75+K12*K75+L12*L75+AT12*AT76+AU76*AU12+M12*M75+N12*N75+O12*O75+P12*P75+Q12*Q75+R12*R75+S12*S75+T12*T75+U12*U75+V12*V75+W12*W75+X12*X75+Y12*Y75+Z12*Z75+AA12*AA75+AB12*AB75+AC12*AC75+AD12*AD75+AE12*AE75+AF12*AF75+AG12*AG75+AH12*AH75+AI12*AI75+AJ12*AJ75+AK12*AK75+AL12*AL75+AM12*AM75+AN12*AN75+AO12*AO75+AP12*AP75+AQ12*AQ75+AR12*AR75+AS12*AS75+AT12*AT75+AU12*AU75</s:f>
        <s:v>0</s:v>
      </s:c>
    </s:row>
    <s:row r="13" ht="18.75">
      <s:c r="A13" s="31" t="s">
        <s:v>3</s:v>
      </s:c>
      <s:c r="B13" s="27"/>
      <s:c r="C13" s="27"/>
      <s:c r="D13" s="27">
        <s:v>20</s:v>
      </s:c>
      <s:c r="E13" s="27"/>
      <s:c r="F13" s="27"/>
      <s:c r="G13" s="27"/>
      <s:c r="H13" s="27"/>
      <s:c r="I13" s="27"/>
      <s:c r="J13" s="27"/>
      <s:c r="K13" s="27"/>
      <s:c r="L13" s="27"/>
      <s:c r="M13" s="22"/>
      <s:c r="N13" s="22"/>
      <s:c r="O13" s="22"/>
      <s:c r="P13" s="22"/>
      <s:c r="Q13" s="22"/>
      <s:c r="R13" s="22"/>
      <s:c r="S13" s="22"/>
      <s:c r="T13" s="22"/>
      <s:c r="U13" s="22"/>
      <s:c r="V13" s="22"/>
      <s:c r="W13" s="22"/>
      <s:c r="X13" s="22"/>
      <s:c r="Y13" s="22"/>
      <s:c r="Z13" s="22"/>
      <s:c r="AA13" s="22"/>
      <s:c r="AB13" s="22"/>
      <s:c r="AC13" s="22"/>
      <s:c r="AD13" s="22"/>
      <s:c r="AE13" s="22"/>
      <s:c r="AF13" s="22"/>
      <s:c r="AG13" s="23"/>
      <s:c r="AH13" s="24"/>
      <s:c r="AI13" s="24"/>
      <s:c r="AJ13" s="24"/>
      <s:c r="AK13" s="24"/>
      <s:c r="AL13" s="25"/>
      <s:c r="AM13" s="26"/>
      <s:c r="AN13" s="26"/>
      <s:c r="AO13" s="26"/>
      <s:c r="AP13" s="26"/>
      <s:c r="AQ13" s="26"/>
      <s:c r="AR13" s="26"/>
      <s:c r="AS13" s="26"/>
      <s:c r="AT13" s="26"/>
      <s:c r="AU13" s="26"/>
      <s:c r="AV13" s="52">
        <s:f>B13*B76+C13*C76+D13*D76+E13*E76+F13*F76+G13*G76+H13*H76+I13*I76+J13*J76+K13*K76+L13*L76+AT13*AT77+AU77*AU13+M13*M76+N13*N76+O13*O76+P13*P76+Q13*Q76+R13*R76+S13*S76+T13*T76+U13*U76+V13*V76+W13*W76+X13*X76+Y13*Y76+Z13*Z76+AA13*AA76+AB13*AB76+AC13*AC76+AD13*AD76+AE13*AE76+AF13*AF76+AG13*AG76+AH13*AH76+AI13*AI76+AJ13*AJ76+AK13*AK76+AL13*AL76+AM13*AM76+AN13*AN76+AO13*AO76+AP13*AP76+AQ13*AQ76+AR13*AR76+AS13*AS76+AT13*AT76+AU13*AU76</s:f>
        <s:v>830000</s:v>
      </s:c>
    </s:row>
    <s:row r="14" ht="18.75">
      <s:c r="A14" s="31" t="s">
        <s:v>44</s:v>
      </s:c>
      <s:c r="B14" s="49"/>
      <s:c r="C14" s="49"/>
      <s:c r="D14" s="49"/>
      <s:c r="E14" s="49"/>
      <s:c r="F14" s="49"/>
      <s:c r="G14" s="49"/>
      <s:c r="H14" s="49"/>
      <s:c r="I14" s="49"/>
      <s:c r="J14" s="49"/>
      <s:c r="K14" s="49"/>
      <s:c r="L14" s="49"/>
      <s:c r="M14" s="22"/>
      <s:c r="N14" s="22"/>
      <s:c r="O14" s="22"/>
      <s:c r="P14" s="22"/>
      <s:c r="Q14" s="22"/>
      <s:c r="R14" s="22"/>
      <s:c r="S14" s="22"/>
      <s:c r="T14" s="22"/>
      <s:c r="U14" s="22"/>
      <s:c r="V14" s="22"/>
      <s:c r="W14" s="22"/>
      <s:c r="X14" s="22"/>
      <s:c r="Y14" s="22"/>
      <s:c r="Z14" s="22"/>
      <s:c r="AA14" s="22"/>
      <s:c r="AB14" s="22"/>
      <s:c r="AC14" s="22"/>
      <s:c r="AD14" s="22"/>
      <s:c r="AE14" s="22"/>
      <s:c r="AF14" s="22"/>
      <s:c r="AG14" s="23"/>
      <s:c r="AH14" s="24"/>
      <s:c r="AI14" s="24"/>
      <s:c r="AJ14" s="24"/>
      <s:c r="AK14" s="24"/>
      <s:c r="AL14" s="50"/>
      <s:c r="AM14" s="51"/>
      <s:c r="AN14" s="51"/>
      <s:c r="AO14" s="51"/>
      <s:c r="AP14" s="51"/>
      <s:c r="AQ14" s="51"/>
      <s:c r="AR14" s="51"/>
      <s:c r="AS14" s="51"/>
      <s:c r="AT14" s="51"/>
      <s:c r="AU14" s="51"/>
      <s:c r="AV14" s="52">
        <s:f>B14*B77+C14*C77+D14*D77+E14*E77+F14*F77+G14*G77+H14*H77+I14*I77+J14*J77+K14*K77+L14*L77+AT14*AT78+AU78*AU14+M14*M77+N14*N77+O14*O77+P14*P77+Q14*Q77+R14*R77+S14*S77+T14*T77+U14*U77+V14*V77+W14*W77+X14*X77+Y14*Y77+Z14*Z77+AA14*AA77+AB14*AB77+AC14*AC77+AD14*AD77+AE14*AE77+AF14*AF77+AG14*AG77+AH14*AH77+AI14*AI77+AJ14*AJ77+AK14*AK77+AL14*AL77+AM14*AM77+AN14*AN77+AO14*AO77+AP14*AP77+AQ14*AQ77+AR14*AR77+AS14*AS77+AT14*AT77+AU14*AU77</s:f>
        <s:v>0</s:v>
      </s:c>
    </s:row>
    <s:row r="15" ht="18.75">
      <s:c r="A15" s="31" t="s">
        <s:v>46</s:v>
      </s:c>
      <s:c r="B15" s="49"/>
      <s:c r="C15" s="49"/>
      <s:c r="D15" s="49"/>
      <s:c r="E15" s="49"/>
      <s:c r="F15" s="49"/>
      <s:c r="G15" s="49"/>
      <s:c r="H15" s="49"/>
      <s:c r="I15" s="49"/>
      <s:c r="J15" s="49"/>
      <s:c r="K15" s="49"/>
      <s:c r="L15" s="49"/>
      <s:c r="M15" s="22"/>
      <s:c r="N15" s="22"/>
      <s:c r="O15" s="22"/>
      <s:c r="P15" s="22"/>
      <s:c r="Q15" s="22"/>
      <s:c r="R15" s="22"/>
      <s:c r="S15" s="22"/>
      <s:c r="T15" s="22"/>
      <s:c r="U15" s="22"/>
      <s:c r="V15" s="22"/>
      <s:c r="W15" s="22"/>
      <s:c r="X15" s="22"/>
      <s:c r="Y15" s="22"/>
      <s:c r="Z15" s="22"/>
      <s:c r="AA15" s="22"/>
      <s:c r="AB15" s="22"/>
      <s:c r="AC15" s="22"/>
      <s:c r="AD15" s="22"/>
      <s:c r="AE15" s="22"/>
      <s:c r="AF15" s="22"/>
      <s:c r="AG15" s="23"/>
      <s:c r="AH15" s="24"/>
      <s:c r="AI15" s="24"/>
      <s:c r="AJ15" s="24"/>
      <s:c r="AK15" s="24"/>
      <s:c r="AL15" s="50"/>
      <s:c r="AM15" s="51"/>
      <s:c r="AN15" s="51"/>
      <s:c r="AO15" s="51"/>
      <s:c r="AP15" s="51"/>
      <s:c r="AQ15" s="51"/>
      <s:c r="AR15" s="51"/>
      <s:c r="AS15" s="51"/>
      <s:c r="AT15" s="51"/>
      <s:c r="AU15" s="51"/>
      <s:c r="AV15" s="52">
        <s:f>B15*B78+C15*C78+D15*D78+E15*E78+F15*F78+G15*G78+H15*H78+I15*I78+J15*J78+K15*K78+L15*L78+AT15*AT79+AU79*AU15+M15*M78+N15*N78+O15*O78+P15*P78+Q15*Q78+R15*R78+S15*S78+T15*T78+U15*U78+V15*V78+W15*W78+X15*X78+Y15*Y78+Z15*Z78+AA15*AA78+AB15*AB78+AC15*AC78+AD15*AD78+AE15*AE78+AF15*AF78+AG15*AG78+AH15*AH78+AI15*AI78+AJ15*AJ78+AK15*AK78+AL15*AL78+AM15*AM78+AN15*AN78+AO15*AO78+AP15*AP78+AQ15*AQ78+AR15*AR78+AS15*AS78+AT15*AT78+AU15*AU78</s:f>
        <s:v>0</s:v>
      </s:c>
    </s:row>
    <s:row r="16" ht="18.75">
      <s:c r="A16" s="31" t="s">
        <s:v>79</s:v>
      </s:c>
      <s:c r="B16" s="49"/>
      <s:c r="C16" s="49"/>
      <s:c r="D16" s="49"/>
      <s:c r="E16" s="49"/>
      <s:c r="F16" s="49"/>
      <s:c r="G16" s="49"/>
      <s:c r="H16" s="49"/>
      <s:c r="I16" s="49"/>
      <s:c r="J16" s="49"/>
      <s:c r="K16" s="49"/>
      <s:c r="L16" s="49"/>
      <s:c r="M16" s="22"/>
      <s:c r="N16" s="22"/>
      <s:c r="O16" s="22"/>
      <s:c r="P16" s="22"/>
      <s:c r="Q16" s="22"/>
      <s:c r="R16" s="22"/>
      <s:c r="S16" s="22"/>
      <s:c r="T16" s="22"/>
      <s:c r="U16" s="22"/>
      <s:c r="V16" s="22"/>
      <s:c r="W16" s="22"/>
      <s:c r="X16" s="22"/>
      <s:c r="Y16" s="22"/>
      <s:c r="Z16" s="22"/>
      <s:c r="AA16" s="22"/>
      <s:c r="AB16" s="22"/>
      <s:c r="AC16" s="22"/>
      <s:c r="AD16" s="22"/>
      <s:c r="AE16" s="22"/>
      <s:c r="AF16" s="22"/>
      <s:c r="AG16" s="23"/>
      <s:c r="AH16" s="24"/>
      <s:c r="AI16" s="24"/>
      <s:c r="AJ16" s="24"/>
      <s:c r="AK16" s="24"/>
      <s:c r="AL16" s="50"/>
      <s:c r="AM16" s="51"/>
      <s:c r="AN16" s="51"/>
      <s:c r="AO16" s="51"/>
      <s:c r="AP16" s="51"/>
      <s:c r="AQ16" s="51"/>
      <s:c r="AR16" s="51"/>
      <s:c r="AS16" s="51"/>
      <s:c r="AT16" s="51"/>
      <s:c r="AU16" s="51"/>
      <s:c r="AV16" s="52">
        <s:f>B16*B79+C16*C79+D16*D79+E16*E79+F16*F79+G16*G79+H16*H79+I16*I79+J16*J79+K16*K79+L16*L79+AT16*AT80+AU80*AU16+M16*M79+N16*N79+O16*O79+P16*P79+Q16*Q79+R16*R79+S16*S79+T16*T79+U16*U79+V16*V79+W16*W79+X16*X79+Y16*Y79+Z16*Z79+AA16*AA79+AB16*AB79+AC16*AC79+AD16*AD79+AE16*AE79+AF16*AF79+AG16*AG79+AH16*AH79+AI16*AI79+AJ16*AJ79+AK16*AK79+AL16*AL79+AM16*AM79+AN16*AN79+AO16*AO79+AP16*AP79+AQ16*AQ79+AR16*AR79+AS16*AS79+AT16*AT79+AU16*AU79</s:f>
        <s:v>0</s:v>
      </s:c>
    </s:row>
    <s:row r="17" ht="18.75">
      <s:c r="A17" s="31" t="s">
        <s:v>72</s:v>
      </s:c>
      <s:c r="B17" s="27"/>
      <s:c r="C17" s="27"/>
      <s:c r="D17" s="27"/>
      <s:c r="E17" s="27"/>
      <s:c r="F17" s="27"/>
      <s:c r="G17" s="27"/>
      <s:c r="H17" s="27"/>
      <s:c r="I17" s="27"/>
      <s:c r="J17" s="27"/>
      <s:c r="K17" s="27"/>
      <s:c r="L17" s="27"/>
      <s:c r="M17" s="22"/>
      <s:c r="N17" s="22"/>
      <s:c r="O17" s="22"/>
      <s:c r="P17" s="22"/>
      <s:c r="Q17" s="22"/>
      <s:c r="R17" s="22"/>
      <s:c r="S17" s="22"/>
      <s:c r="T17" s="22">
        <s:v>24.8</s:v>
      </s:c>
      <s:c r="U17" s="22"/>
      <s:c r="V17" s="22"/>
      <s:c r="W17" s="22">
        <s:v>5.04</s:v>
      </s:c>
      <s:c r="X17" s="22"/>
      <s:c r="Y17" s="22"/>
      <s:c r="Z17" s="22"/>
      <s:c r="AA17" s="22">
        <s:v>4.8</s:v>
      </s:c>
      <s:c r="AB17" s="22"/>
      <s:c r="AC17" s="22"/>
      <s:c r="AD17" s="22"/>
      <s:c r="AE17" s="22"/>
      <s:c r="AF17" s="22"/>
      <s:c r="AG17" s="23"/>
      <s:c r="AH17" s="24"/>
      <s:c r="AI17" s="24"/>
      <s:c r="AJ17" s="24"/>
      <s:c r="AK17" s="24"/>
      <s:c r="AL17" s="25"/>
      <s:c r="AM17" s="26"/>
      <s:c r="AN17" s="26"/>
      <s:c r="AO17" s="26"/>
      <s:c r="AP17" s="26"/>
      <s:c r="AQ17" s="26"/>
      <s:c r="AR17" s="26"/>
      <s:c r="AS17" s="26"/>
      <s:c r="AT17" s="26"/>
      <s:c r="AU17" s="26"/>
      <s:c r="AV17" s="52">
        <s:f>B17*B80+C17*C80+D17*D80+E17*E80+F17*F80+G17*G80+H17*H80+I17*I80+J17*J80+K17*K80+L17*L80+AT17*AT81+AU81*AU17+M17*M80+N17*N80+O17*O80+P17*P80+Q17*Q80+R17*R80+S17*S80+T17*T80+U17*U80+V17*V80+W17*W80+X17*X80+Y17*Y80+Z17*Z80+AA17*AA80+AB17*AB80+AC17*AC80+AD17*AD80+AE17*AE80+AF17*AF80+AG17*AG80+AH17*AH80+AI17*AI80+AJ17*AJ80+AK17*AK80+AL17*AL80+AM17*AM80+AN17*AN80+AO17*AO80+AP17*AP80+AQ17*AQ80+AR17*AR80+AS17*AS80+AT17*AT80+AU17*AU80</s:f>
        <s:v>4888000</s:v>
      </s:c>
      <s:c r="AW17" t="s">
        <s:v>113</s:v>
      </s:c>
    </s:row>
    <s:row r="18" ht="18.75">
      <s:c r="A18" s="31" t="s">
        <s:v>98</s:v>
      </s:c>
      <s:c r="B18" s="49"/>
      <s:c r="C18" s="49"/>
      <s:c r="D18" s="49"/>
      <s:c r="E18" s="49"/>
      <s:c r="F18" s="49"/>
      <s:c r="G18" s="49"/>
      <s:c r="H18" s="49"/>
      <s:c r="I18" s="49"/>
      <s:c r="J18" s="49"/>
      <s:c r="K18" s="49"/>
      <s:c r="L18" s="49"/>
      <s:c r="M18" s="22"/>
      <s:c r="N18" s="22"/>
      <s:c r="O18" s="22"/>
      <s:c r="P18" s="22"/>
      <s:c r="Q18" s="22"/>
      <s:c r="R18" s="22"/>
      <s:c r="S18" s="22"/>
      <s:c r="T18" s="22"/>
      <s:c r="U18" s="22"/>
      <s:c r="V18" s="22"/>
      <s:c r="W18" s="22"/>
      <s:c r="X18" s="22"/>
      <s:c r="Y18" s="22"/>
      <s:c r="Z18" s="22"/>
      <s:c r="AA18" s="22"/>
      <s:c r="AB18" s="22"/>
      <s:c r="AC18" s="22"/>
      <s:c r="AD18" s="22"/>
      <s:c r="AE18" s="22"/>
      <s:c r="AF18" s="22"/>
      <s:c r="AG18" s="23"/>
      <s:c r="AH18" s="24"/>
      <s:c r="AI18" s="24"/>
      <s:c r="AJ18" s="24"/>
      <s:c r="AK18" s="24"/>
      <s:c r="AL18" s="50"/>
      <s:c r="AM18" s="51"/>
      <s:c r="AN18" s="51"/>
      <s:c r="AO18" s="51"/>
      <s:c r="AP18" s="51"/>
      <s:c r="AQ18" s="51"/>
      <s:c r="AR18" s="51"/>
      <s:c r="AS18" s="51"/>
      <s:c r="AT18" s="51"/>
      <s:c r="AU18" s="51"/>
      <s:c r="AV18" s="52">
        <s:f>B18*B81+C18*C81+D18*D81+E18*E81+F18*F81+G18*G81+H18*H81+I18*I81+J18*J81+K18*K81+L18*L81+AT18*AT82+AU82*AU18+M18*M81+N18*N81+O18*O81+P18*P81+Q18*Q81+R18*R81+S18*S81+T18*T81+U18*U81+V18*V81+W18*W81+X18*X81+Y18*Y81+Z18*Z81+AA18*AA81+AB18*AB81+AC18*AC81+AD18*AD81+AE18*AE81+AF18*AF81+AG18*AG81+AH18*AH81+AI18*AI81+AJ18*AJ81+AK18*AK81+AL18*AL81+AM18*AM81+AN18*AN81+AO18*AO81+AP18*AP81+AQ18*AQ81+AR18*AR81+AS18*AS81+AT18*AT81+AU18*AU81</s:f>
        <s:v>0</s:v>
      </s:c>
    </s:row>
    <s:row r="19" ht="18.75">
      <s:c r="A19" s="31" t="s">
        <s:v>118</s:v>
      </s:c>
      <s:c r="B19" s="49"/>
      <s:c r="C19" s="49"/>
      <s:c r="D19" s="49"/>
      <s:c r="E19" s="49"/>
      <s:c r="F19" s="49"/>
      <s:c r="G19" s="49"/>
      <s:c r="H19" s="49"/>
      <s:c r="I19" s="49"/>
      <s:c r="J19" s="49"/>
      <s:c r="K19" s="49"/>
      <s:c r="L19" s="49"/>
      <s:c r="M19" s="22"/>
      <s:c r="N19" s="22"/>
      <s:c r="O19" s="22"/>
      <s:c r="P19" s="22"/>
      <s:c r="Q19" s="22"/>
      <s:c r="R19" s="22"/>
      <s:c r="S19" s="22"/>
      <s:c r="T19" s="22"/>
      <s:c r="U19" s="22"/>
      <s:c r="V19" s="22"/>
      <s:c r="W19" s="22"/>
      <s:c r="X19" s="22"/>
      <s:c r="Y19" s="22"/>
      <s:c r="Z19" s="22"/>
      <s:c r="AA19" s="22"/>
      <s:c r="AB19" s="22"/>
      <s:c r="AC19" s="22"/>
      <s:c r="AD19" s="22"/>
      <s:c r="AE19" s="22"/>
      <s:c r="AF19" s="22"/>
      <s:c r="AG19" s="23"/>
      <s:c r="AH19" s="24"/>
      <s:c r="AI19" s="24"/>
      <s:c r="AJ19" s="24"/>
      <s:c r="AK19" s="24"/>
      <s:c r="AL19" s="50"/>
      <s:c r="AM19" s="51"/>
      <s:c r="AN19" s="51"/>
      <s:c r="AO19" s="51"/>
      <s:c r="AP19" s="51"/>
      <s:c r="AQ19" s="51"/>
      <s:c r="AR19" s="51"/>
      <s:c r="AS19" s="51"/>
      <s:c r="AT19" s="51"/>
      <s:c r="AU19" s="51"/>
      <s:c r="AV19" s="52">
        <s:f>B19*B82+C19*C82+D19*D82+E19*E82+F19*F82+G19*G82+H19*H82+I19*I82+J19*J82+K19*K82+L19*L82+AT19*AT83+AU83*AU19+M19*M82+N19*N82+O19*O82+P19*P82+Q19*Q82+R19*R82+S19*S82+T19*T82+U19*U82+V19*V82+W19*W82+X19*X82+Y19*Y82+Z19*Z82+AA19*AA82+AB19*AB82+AC19*AC82+AD19*AD82+AE19*AE82+AF19*AF82+AG19*AG82+AH19*AH82+AI19*AI82+AJ19*AJ82+AK19*AK82+AL19*AL82+AM19*AM82+AN19*AN82+AO19*AO82+AP19*AP82+AQ19*AQ82+AR19*AR82+AS19*AS82+AT19*AT82+AU19*AU82</s:f>
        <s:v>0</s:v>
      </s:c>
    </s:row>
    <s:row r="20" ht="18.75">
      <s:c r="A20" s="31" t="s">
        <s:v>73</s:v>
      </s:c>
      <s:c r="B20" s="49"/>
      <s:c r="C20" s="49"/>
      <s:c r="D20" s="49"/>
      <s:c r="E20" s="49"/>
      <s:c r="F20" s="49"/>
      <s:c r="G20" s="49"/>
      <s:c r="H20" s="49"/>
      <s:c r="I20" s="49"/>
      <s:c r="J20" s="49"/>
      <s:c r="K20" s="49"/>
      <s:c r="L20" s="49"/>
      <s:c r="M20" s="22"/>
      <s:c r="N20" s="22"/>
      <s:c r="O20" s="22"/>
      <s:c r="P20" s="22"/>
      <s:c r="Q20" s="22"/>
      <s:c r="R20" s="22"/>
      <s:c r="S20" s="22"/>
      <s:c r="T20" s="22"/>
      <s:c r="U20" s="22"/>
      <s:c r="V20" s="22"/>
      <s:c r="W20" s="22"/>
      <s:c r="X20" s="22"/>
      <s:c r="Y20" s="22"/>
      <s:c r="Z20" s="22"/>
      <s:c r="AA20" s="22"/>
      <s:c r="AB20" s="22"/>
      <s:c r="AC20" s="22"/>
      <s:c r="AD20" s="22"/>
      <s:c r="AE20" s="22"/>
      <s:c r="AF20" s="22"/>
      <s:c r="AG20" s="23"/>
      <s:c r="AH20" s="24"/>
      <s:c r="AI20" s="24"/>
      <s:c r="AJ20" s="24"/>
      <s:c r="AK20" s="24"/>
      <s:c r="AL20" s="50"/>
      <s:c r="AM20" s="51"/>
      <s:c r="AN20" s="51"/>
      <s:c r="AO20" s="51"/>
      <s:c r="AP20" s="51"/>
      <s:c r="AQ20" s="51"/>
      <s:c r="AR20" s="51"/>
      <s:c r="AS20" s="51"/>
      <s:c r="AT20" s="51"/>
      <s:c r="AU20" s="51"/>
      <s:c r="AV20" s="52">
        <s:f>B20*B83+C20*C83+D20*D83+E20*E83+F20*F83+G20*G83+H20*H83+I20*I83+J20*J83+K20*K83+L20*L83+AT20*AT84+AU84*AU20+M20*M83+N20*N83+O20*O83+P20*P83+Q20*Q83+R20*R83+S20*S83+T20*T83+U20*U83+V20*V83+W20*W83+X20*X83+Y20*Y83+Z20*Z83+AA20*AA83+AB20*AB83+AC20*AC83+AD20*AD83+AE20*AE83+AF20*AF83+AG20*AG83+AH20*AH83+AI20*AI83+AJ20*AJ83+AK20*AK83+AL20*AL83+AM20*AM83+AN20*AN83+AO20*AO83+AP20*AP83+AQ20*AQ83+AR20*AR83+AS20*AS83+AT20*AT83+AU20*AU83</s:f>
        <s:v>0</s:v>
      </s:c>
    </s:row>
    <s:row r="21" ht="18.75">
      <s:c r="A21" s="31" t="s">
        <s:v>65</s:v>
      </s:c>
      <s:c r="B21" s="49"/>
      <s:c r="C21" s="49"/>
      <s:c r="D21" s="49"/>
      <s:c r="E21" s="49"/>
      <s:c r="F21" s="49"/>
      <s:c r="G21" s="49"/>
      <s:c r="H21" s="49"/>
      <s:c r="I21" s="49"/>
      <s:c r="J21" s="49"/>
      <s:c r="K21" s="49"/>
      <s:c r="L21" s="49"/>
      <s:c r="M21" s="22"/>
      <s:c r="N21" s="22"/>
      <s:c r="O21" s="22"/>
      <s:c r="P21" s="22"/>
      <s:c r="Q21" s="22"/>
      <s:c r="R21" s="22"/>
      <s:c r="S21" s="22"/>
      <s:c r="T21" s="22"/>
      <s:c r="U21" s="22"/>
      <s:c r="V21" s="22"/>
      <s:c r="W21" s="22"/>
      <s:c r="X21" s="22"/>
      <s:c r="Y21" s="22"/>
      <s:c r="Z21" s="22"/>
      <s:c r="AA21" s="22"/>
      <s:c r="AB21" s="22"/>
      <s:c r="AC21" s="22"/>
      <s:c r="AD21" s="22"/>
      <s:c r="AE21" s="22"/>
      <s:c r="AF21" s="22"/>
      <s:c r="AG21" s="23"/>
      <s:c r="AH21" s="24"/>
      <s:c r="AI21" s="24"/>
      <s:c r="AJ21" s="24"/>
      <s:c r="AK21" s="24"/>
      <s:c r="AL21" s="50"/>
      <s:c r="AM21" s="51"/>
      <s:c r="AN21" s="51"/>
      <s:c r="AO21" s="51"/>
      <s:c r="AP21" s="51"/>
      <s:c r="AQ21" s="51"/>
      <s:c r="AR21" s="51"/>
      <s:c r="AS21" s="51"/>
      <s:c r="AT21" s="51"/>
      <s:c r="AU21" s="51"/>
      <s:c r="AV21" s="52">
        <s:f>B21*B84+C21*C84+D21*D84+E21*E84+F21*F84+G21*G84+H21*H84+I21*I84+J21*J84+K21*K84+L21*L84+AT21*AT85+AU85*AU21+M21*M84+N21*N84+O21*O84+P21*P84+Q21*Q84+R21*R84+S21*S84+T21*T84+U21*U84+V21*V84+W21*W84+X21*X84+Y21*Y84+Z21*Z84+AA21*AA84+AB21*AB84+AC21*AC84+AD21*AD84+AE21*AE84+AF21*AF84+AG21*AG84+AH21*AH84+AI21*AI84+AJ21*AJ84+AK21*AK84+AL21*AL84+AM21*AM84+AN21*AN84+AO21*AO84+AP21*AP84+AQ21*AQ84+AR21*AR84+AS21*AS84+AT21*AT84+AU21*AU84</s:f>
        <s:v>0</s:v>
      </s:c>
    </s:row>
    <s:row r="22" ht="18.75">
      <s:c r="A22" s="31" t="s">
        <s:v>52</s:v>
      </s:c>
      <s:c r="B22" s="27"/>
      <s:c r="C22" s="27"/>
      <s:c r="D22" s="27"/>
      <s:c r="E22" s="27"/>
      <s:c r="F22" s="27"/>
      <s:c r="G22" s="27"/>
      <s:c r="H22" s="27"/>
      <s:c r="I22" s="27"/>
      <s:c r="J22" s="27"/>
      <s:c r="K22" s="27"/>
      <s:c r="L22" s="27"/>
      <s:c r="M22" s="22"/>
      <s:c r="N22" s="22"/>
      <s:c r="O22" s="22"/>
      <s:c r="P22" s="22"/>
      <s:c r="Q22" s="22"/>
      <s:c r="R22" s="22"/>
      <s:c r="S22" s="22"/>
      <s:c r="T22" s="22"/>
      <s:c r="U22" s="22"/>
      <s:c r="V22" s="22"/>
      <s:c r="W22" s="22"/>
      <s:c r="X22" s="22"/>
      <s:c r="Y22" s="22"/>
      <s:c r="Z22" s="22"/>
      <s:c r="AA22" s="22"/>
      <s:c r="AB22" s="22"/>
      <s:c r="AC22" s="22"/>
      <s:c r="AD22" s="22"/>
      <s:c r="AE22" s="22"/>
      <s:c r="AF22" s="22"/>
      <s:c r="AG22" s="23"/>
      <s:c r="AH22" s="24"/>
      <s:c r="AI22" s="24"/>
      <s:c r="AJ22" s="24"/>
      <s:c r="AK22" s="24"/>
      <s:c r="AL22" s="25"/>
      <s:c r="AM22" s="26"/>
      <s:c r="AN22" s="26"/>
      <s:c r="AO22" s="26"/>
      <s:c r="AP22" s="26"/>
      <s:c r="AQ22" s="26"/>
      <s:c r="AR22" s="26"/>
      <s:c r="AS22" s="26"/>
      <s:c r="AT22" s="26"/>
      <s:c r="AU22" s="26"/>
      <s:c r="AV22" s="52">
        <s:f>B22*B85+C22*C85+D22*D85+E22*E85+F22*F85+G22*G85+H22*H85+I22*I85+J22*J85+K22*K85+L22*L85+AT22*AT86+AU86*AU22+M22*M85+N22*N85+O22*O85+P22*P85+Q22*Q85+R22*R85+S22*S85+T22*T85+U22*U85+V22*V85+W22*W85+X22*X85+Y22*Y85+Z22*Z85+AA22*AA85+AB22*AB85+AC22*AC85+AD22*AD85+AE22*AE85+AF22*AF85+AG22*AG85+AH22*AH85+AI22*AI85+AJ22*AJ85+AK22*AK85+AL22*AL85+AM22*AM85+AN22*AN85+AO22*AO85+AP22*AP85+AQ22*AQ85+AR22*AR85+AS22*AS85+AT22*AT85+AU22*AU85</s:f>
        <s:v>0</s:v>
      </s:c>
    </s:row>
    <s:row r="23" ht="18.75">
      <s:c r="A23" s="31" t="s">
        <s:v>61</s:v>
      </s:c>
      <s:c r="B23" s="49"/>
      <s:c r="C23" s="49"/>
      <s:c r="D23" s="27">
        <s:v>60</s:v>
      </s:c>
      <s:c r="E23" s="49"/>
      <s:c r="F23" s="49"/>
      <s:c r="G23" s="49"/>
      <s:c r="H23" s="49"/>
      <s:c r="I23" s="49"/>
      <s:c r="J23" s="49"/>
      <s:c r="K23" s="49"/>
      <s:c r="L23" s="49"/>
      <s:c r="M23" s="22"/>
      <s:c r="N23" s="22"/>
      <s:c r="O23" s="22"/>
      <s:c r="P23" s="22"/>
      <s:c r="Q23" s="22"/>
      <s:c r="R23" s="22">
        <s:v>19.2</s:v>
      </s:c>
      <s:c r="S23" s="22"/>
      <s:c r="T23" s="22"/>
      <s:c r="U23" s="22"/>
      <s:c r="V23" s="22"/>
      <s:c r="W23" s="22"/>
      <s:c r="X23" s="22"/>
      <s:c r="Y23" s="22"/>
      <s:c r="Z23" s="22"/>
      <s:c r="AA23" s="22"/>
      <s:c r="AB23" s="22"/>
      <s:c r="AC23" s="22"/>
      <s:c r="AD23" s="22"/>
      <s:c r="AE23" s="22"/>
      <s:c r="AF23" s="22"/>
      <s:c r="AG23" s="23"/>
      <s:c r="AH23" s="24"/>
      <s:c r="AI23" s="24"/>
      <s:c r="AJ23" s="24"/>
      <s:c r="AK23" s="24"/>
      <s:c r="AL23" s="50"/>
      <s:c r="AM23" s="51"/>
      <s:c r="AN23" s="51"/>
      <s:c r="AO23" s="51"/>
      <s:c r="AP23" s="51"/>
      <s:c r="AQ23" s="51"/>
      <s:c r="AR23" s="51"/>
      <s:c r="AS23" s="51"/>
      <s:c r="AT23" s="51"/>
      <s:c r="AU23" s="51"/>
      <s:c r="AV23" s="52">
        <s:f>B23*B86+C23*C86+D23*D86+E23*E86+F23*F86+G23*G86+H23*H86+I23*I86+J23*J86+K23*K86+L23*L86+AT23*AT87+AU87*AU23+M23*M86+N23*N86+O23*O86+P23*P86+Q23*Q86+R23*R86+S23*S86+T23*T86+U23*U86+V23*V86+W23*W86+X23*X86+Y23*Y86+Z23*Z86+AA23*AA86+AB23*AB86+AC23*AC86+AD23*AD86+AE23*AE86+AF23*AF86+AG23*AG86+AH23*AH86+AI23*AI86+AJ23*AJ86+AK23*AK86+AL23*AL86+AM23*AM86+AN23*AN86+AO23*AO86+AP23*AP86+AQ23*AQ86+AR23*AR86+AS23*AS86+AT23*AT86+AU23*AU86</s:f>
        <s:v>4340400</s:v>
      </s:c>
    </s:row>
    <s:row r="24" ht="18.75">
      <s:c r="A24" s="31" t="s">
        <s:v>16</s:v>
      </s:c>
      <s:c r="B24" s="27"/>
      <s:c r="C24" s="27"/>
      <s:c r="D24" s="27"/>
      <s:c r="E24" s="27"/>
      <s:c r="F24" s="27"/>
      <s:c r="G24" s="27"/>
      <s:c r="H24" s="27"/>
      <s:c r="I24" s="27"/>
      <s:c r="J24" s="27"/>
      <s:c r="K24" s="27"/>
      <s:c r="L24" s="27"/>
      <s:c r="M24" s="22"/>
      <s:c r="N24" s="22"/>
      <s:c r="O24" s="22"/>
      <s:c r="P24" s="22"/>
      <s:c r="Q24" s="22"/>
      <s:c r="R24" s="22"/>
      <s:c r="S24" s="22"/>
      <s:c r="T24" s="22"/>
      <s:c r="U24" s="22"/>
      <s:c r="V24" s="22"/>
      <s:c r="W24" s="22"/>
      <s:c r="X24" s="22"/>
      <s:c r="Y24" s="22"/>
      <s:c r="Z24" s="22"/>
      <s:c r="AA24" s="22"/>
      <s:c r="AB24" s="22"/>
      <s:c r="AC24" s="22"/>
      <s:c r="AD24" s="22"/>
      <s:c r="AE24" s="22"/>
      <s:c r="AF24" s="22"/>
      <s:c r="AG24" s="23"/>
      <s:c r="AH24" s="24"/>
      <s:c r="AI24" s="24"/>
      <s:c r="AJ24" s="24"/>
      <s:c r="AK24" s="24"/>
      <s:c r="AL24" s="25"/>
      <s:c r="AM24" s="26"/>
      <s:c r="AN24" s="26"/>
      <s:c r="AO24" s="26"/>
      <s:c r="AP24" s="26"/>
      <s:c r="AQ24" s="26"/>
      <s:c r="AR24" s="26"/>
      <s:c r="AS24" s="26"/>
      <s:c r="AT24" s="26"/>
      <s:c r="AU24" s="26"/>
      <s:c r="AV24" s="52">
        <s:f>B24*B87+C24*C87+D24*D87+E24*E87+F24*F87+G24*G87+H24*H87+I24*I87+J24*J87+K24*K87+L24*L87+AT24*AT88+AU88*AU24+M24*M87+N24*N87+O24*O87+P24*P87+Q24*Q87+R24*R87+S24*S87+T24*T87+U24*U87+V24*V87+W24*W87+X24*X87+Y24*Y87+Z24*Z87+AA24*AA87+AB24*AB87+AC24*AC87+AD24*AD87+AE24*AE87+AF24*AF87+AG24*AG87+AH24*AH87+AI24*AI87+AJ24*AJ87+AK24*AK87+AL24*AL87+AM24*AM87+AN24*AN87+AO24*AO87+AP24*AP87+AQ24*AQ87+AR24*AR87+AS24*AS87+AT24*AT87+AU24*AU87</s:f>
        <s:v>0</s:v>
      </s:c>
    </s:row>
    <s:row r="25" ht="18.75">
      <s:c r="A25" s="31" t="s">
        <s:v>69</s:v>
      </s:c>
      <s:c r="B25" s="49"/>
      <s:c r="C25" s="49"/>
      <s:c r="D25" s="49"/>
      <s:c r="E25" s="49"/>
      <s:c r="F25" s="49"/>
      <s:c r="G25" s="49"/>
      <s:c r="H25" s="49"/>
      <s:c r="I25" s="49"/>
      <s:c r="J25" s="49"/>
      <s:c r="K25" s="49"/>
      <s:c r="L25" s="49"/>
      <s:c r="M25" s="22"/>
      <s:c r="N25" s="22"/>
      <s:c r="O25" s="22"/>
      <s:c r="P25" s="22"/>
      <s:c r="Q25" s="22"/>
      <s:c r="R25" s="22"/>
      <s:c r="S25" s="22"/>
      <s:c r="T25" s="22"/>
      <s:c r="U25" s="22"/>
      <s:c r="V25" s="22"/>
      <s:c r="W25" s="22"/>
      <s:c r="X25" s="22"/>
      <s:c r="Y25" s="22"/>
      <s:c r="Z25" s="22"/>
      <s:c r="AA25" s="22"/>
      <s:c r="AB25" s="22"/>
      <s:c r="AC25" s="22"/>
      <s:c r="AD25" s="22"/>
      <s:c r="AE25" s="22"/>
      <s:c r="AF25" s="22"/>
      <s:c r="AG25" s="23"/>
      <s:c r="AH25" s="24"/>
      <s:c r="AI25" s="24"/>
      <s:c r="AJ25" s="24"/>
      <s:c r="AK25" s="24"/>
      <s:c r="AL25" s="50"/>
      <s:c r="AM25" s="51"/>
      <s:c r="AN25" s="51"/>
      <s:c r="AO25" s="51"/>
      <s:c r="AP25" s="51"/>
      <s:c r="AQ25" s="51"/>
      <s:c r="AR25" s="51"/>
      <s:c r="AS25" s="51"/>
      <s:c r="AT25" s="51"/>
      <s:c r="AU25" s="51"/>
      <s:c r="AV25" s="52">
        <s:f>B25*B88+C25*C88+D25*D88+E25*E88+F25*F88+G25*G88+H25*H88+I25*I88+J25*J88+K25*K88+L25*L88+AT25*AT89+AU89*AU25+M25*M88+N25*N88+O25*O88+P25*P88+Q25*Q88+R25*R88+S25*S88+T25*T88+U25*U88+V25*V88+W25*W88+X25*X88+Y25*Y88+Z25*Z88+AA25*AA88+AB25*AB88+AC25*AC88+AD25*AD88+AE25*AE88+AF25*AF88+AG25*AG88+AH25*AH88+AI25*AI88+AJ25*AJ88+AK25*AK88+AL25*AL88+AM25*AM88+AN25*AN88+AO25*AO88+AP25*AP88+AQ25*AQ88+AR25*AR88+AS25*AS88+AT25*AT88+AU25*AU88</s:f>
        <s:v>0</s:v>
      </s:c>
    </s:row>
    <s:row r="26" ht="18.75">
      <s:c r="A26" s="31" t="s">
        <s:v>77</s:v>
      </s:c>
      <s:c r="B26" s="49"/>
      <s:c r="C26" s="49"/>
      <s:c r="D26" s="49"/>
      <s:c r="E26" s="49"/>
      <s:c r="F26" s="49"/>
      <s:c r="G26" s="49"/>
      <s:c r="H26" s="49"/>
      <s:c r="I26" s="49"/>
      <s:c r="J26" s="49"/>
      <s:c r="K26" s="49"/>
      <s:c r="L26" s="49"/>
      <s:c r="M26" s="22"/>
      <s:c r="N26" s="22"/>
      <s:c r="O26" s="22"/>
      <s:c r="P26" s="22"/>
      <s:c r="Q26" s="22"/>
      <s:c r="R26" s="22"/>
      <s:c r="S26" s="22"/>
      <s:c r="T26" s="22"/>
      <s:c r="U26" s="22"/>
      <s:c r="V26" s="22"/>
      <s:c r="W26" s="22"/>
      <s:c r="X26" s="22"/>
      <s:c r="Y26" s="22"/>
      <s:c r="Z26" s="22"/>
      <s:c r="AA26" s="22"/>
      <s:c r="AB26" s="22"/>
      <s:c r="AC26" s="22"/>
      <s:c r="AD26" s="22"/>
      <s:c r="AE26" s="22"/>
      <s:c r="AF26" s="22"/>
      <s:c r="AG26" s="23"/>
      <s:c r="AH26" s="24"/>
      <s:c r="AI26" s="24"/>
      <s:c r="AJ26" s="24"/>
      <s:c r="AK26" s="24"/>
      <s:c r="AL26" s="50"/>
      <s:c r="AM26" s="51"/>
      <s:c r="AN26" s="51"/>
      <s:c r="AO26" s="51"/>
      <s:c r="AP26" s="51"/>
      <s:c r="AQ26" s="51"/>
      <s:c r="AR26" s="51"/>
      <s:c r="AS26" s="51"/>
      <s:c r="AT26" s="51"/>
      <s:c r="AU26" s="51"/>
      <s:c r="AV26" s="52">
        <s:f>B26*B89+C26*C89+D26*D89+E26*E89+F26*F89+G26*G89+H26*H89+I26*I89+J26*J89+K26*K89+L26*L89+AT26*AT90+AU90*AU26+M26*M89+N26*N89+O26*O89+P26*P89+Q26*Q89+R26*R89+S26*S89+T26*T89+U26*U89+V26*V89+W26*W89+X26*X89+Y26*Y89+Z26*Z89+AA26*AA89+AB26*AB89+AC26*AC89+AD26*AD89+AE26*AE89+AF26*AF89+AG26*AG89+AH26*AH89+AI26*AI89+AJ26*AJ89+AK26*AK89+AL26*AL89+AM26*AM89+AN26*AN89+AO26*AO89+AP26*AP89+AQ26*AQ89+AR26*AR89+AS26*AS89+AT26*AT89+AU26*AU89</s:f>
        <s:v>0</s:v>
      </s:c>
    </s:row>
    <s:row r="27" ht="18.75">
      <s:c r="A27" s="31" t="s">
        <s:v>75</s:v>
      </s:c>
      <s:c r="B27" s="49"/>
      <s:c r="C27" s="49"/>
      <s:c r="D27" s="49"/>
      <s:c r="E27" s="49"/>
      <s:c r="F27" s="49"/>
      <s:c r="G27" s="49"/>
      <s:c r="H27" s="49"/>
      <s:c r="I27" s="49"/>
      <s:c r="J27" s="49"/>
      <s:c r="K27" s="49"/>
      <s:c r="L27" s="49"/>
      <s:c r="M27" s="22"/>
      <s:c r="N27" s="22"/>
      <s:c r="O27" s="22"/>
      <s:c r="P27" s="22"/>
      <s:c r="Q27" s="22"/>
      <s:c r="R27" s="22"/>
      <s:c r="S27" s="22"/>
      <s:c r="T27" s="22"/>
      <s:c r="U27" s="22"/>
      <s:c r="V27" s="22"/>
      <s:c r="W27" s="22"/>
      <s:c r="X27" s="22"/>
      <s:c r="Y27" s="22"/>
      <s:c r="Z27" s="22"/>
      <s:c r="AA27" s="22"/>
      <s:c r="AB27" s="22"/>
      <s:c r="AC27" s="22"/>
      <s:c r="AD27" s="22"/>
      <s:c r="AE27" s="22"/>
      <s:c r="AF27" s="22"/>
      <s:c r="AG27" s="23"/>
      <s:c r="AH27" s="24"/>
      <s:c r="AI27" s="24"/>
      <s:c r="AJ27" s="24"/>
      <s:c r="AK27" s="24"/>
      <s:c r="AL27" s="50"/>
      <s:c r="AM27" s="51"/>
      <s:c r="AN27" s="51"/>
      <s:c r="AO27" s="51"/>
      <s:c r="AP27" s="51"/>
      <s:c r="AQ27" s="51"/>
      <s:c r="AR27" s="51"/>
      <s:c r="AS27" s="51"/>
      <s:c r="AT27" s="51"/>
      <s:c r="AU27" s="51"/>
      <s:c r="AV27" s="52">
        <s:f>B27*B90+C27*C90+D27*D90+E27*E90+F27*F90+G27*G90+H27*H90+I27*I90+J27*J90+K27*K90+L27*L90+AT27*AT91+AU91*AU27+M27*M90+N27*N90+O27*O90+P27*P90+Q27*Q90+R27*R90+S27*S90+T27*T90+U27*U90+V27*V90+W27*W90+X27*X90+Y27*Y90+Z27*Z90+AA27*AA90+AB27*AB90+AC27*AC90+AD27*AD90+AE27*AE90+AF27*AF90+AG27*AG90+AH27*AH90+AI27*AI90+AJ27*AJ90+AK27*AK90+AL27*AL90+AM27*AM90+AN27*AN90+AO27*AO90+AP27*AP90+AQ27*AQ90+AR27*AR90+AS27*AS90+AT27*AT90+AU27*AU90</s:f>
        <s:v>0</s:v>
      </s:c>
    </s:row>
    <s:row r="28" ht="18.75">
      <s:c r="A28" s="31" t="s">
        <s:v>7</s:v>
      </s:c>
      <s:c r="B28" s="27"/>
      <s:c r="C28" s="27"/>
      <s:c r="D28" s="27">
        <s:v>65</s:v>
      </s:c>
      <s:c r="E28" s="27"/>
      <s:c r="F28" s="27"/>
      <s:c r="G28" s="27"/>
      <s:c r="H28" s="27"/>
      <s:c r="I28" s="27"/>
      <s:c r="J28" s="27"/>
      <s:c r="K28" s="27"/>
      <s:c r="L28" s="27"/>
      <s:c r="M28" s="22"/>
      <s:c r="N28" s="22"/>
      <s:c r="O28" s="22"/>
      <s:c r="P28" s="22"/>
      <s:c r="Q28" s="22"/>
      <s:c r="R28" s="22"/>
      <s:c r="S28" s="22"/>
      <s:c r="T28" s="22"/>
      <s:c r="U28" s="22"/>
      <s:c r="V28" s="22"/>
      <s:c r="W28" s="22"/>
      <s:c r="X28" s="22"/>
      <s:c r="Y28" s="22"/>
      <s:c r="Z28" s="22"/>
      <s:c r="AA28" s="22"/>
      <s:c r="AB28" s="22">
        <s:v>15</s:v>
      </s:c>
      <s:c r="AC28" s="22"/>
      <s:c r="AD28" s="22"/>
      <s:c r="AE28" s="22"/>
      <s:c r="AF28" s="22"/>
      <s:c r="AG28" s="23"/>
      <s:c r="AH28" s="24"/>
      <s:c r="AI28" s="24"/>
      <s:c r="AJ28" s="24"/>
      <s:c r="AK28" s="24"/>
      <s:c r="AL28" s="25"/>
      <s:c r="AM28" s="26"/>
      <s:c r="AN28" s="26"/>
      <s:c r="AO28" s="26"/>
      <s:c r="AP28" s="26"/>
      <s:c r="AQ28" s="26"/>
      <s:c r="AR28" s="26"/>
      <s:c r="AS28" s="26"/>
      <s:c r="AT28" s="26"/>
      <s:c r="AU28" s="26"/>
      <s:c r="AV28" s="52">
        <s:f>B28*B91+C28*C91+D28*D91+E28*E91+F28*F91+G28*G91+H28*H91+I28*I91+J28*J91+K28*K91+L28*L91+AT28*AT92+AU92*AU28+M28*M91+N28*N91+O28*O91+P28*P91+Q28*Q91+R28*R91+S28*S91+T28*T91+U28*U91+V28*V91+W28*W91+X28*X91+Y28*Y91+Z28*Z91+AA28*AA91+AB28*AB91+AC28*AC91+AD28*AD91+AE28*AE91+AF28*AF91+AG28*AG91+AH28*AH91+AI28*AI91+AJ28*AJ91+AK28*AK91+AL28*AL91+AM28*AM91+AN28*AN91+AO28*AO91+AP28*AP91+AQ28*AQ91+AR28*AR91+AS28*AS91+AT28*AT91+AU28*AU91</s:f>
        <s:v>6642500</s:v>
      </s:c>
      <s:c r="AW28" t="s">
        <s:v>113</s:v>
      </s:c>
    </s:row>
    <s:row r="29" ht="18.75">
      <s:c r="A29" s="31" t="s">
        <s:v>80</s:v>
      </s:c>
      <s:c r="B29" s="49"/>
      <s:c r="C29" s="49"/>
      <s:c r="D29" s="49"/>
      <s:c r="E29" s="49"/>
      <s:c r="F29" s="49"/>
      <s:c r="G29" s="49"/>
      <s:c r="H29" s="49"/>
      <s:c r="I29" s="49"/>
      <s:c r="J29" s="49"/>
      <s:c r="K29" s="49"/>
      <s:c r="L29" s="49"/>
      <s:c r="M29" s="22"/>
      <s:c r="N29" s="22"/>
      <s:c r="O29" s="22"/>
      <s:c r="P29" s="22"/>
      <s:c r="Q29" s="22"/>
      <s:c r="R29" s="22"/>
      <s:c r="S29" s="22"/>
      <s:c r="T29" s="22"/>
      <s:c r="U29" s="22"/>
      <s:c r="V29" s="22"/>
      <s:c r="W29" s="22"/>
      <s:c r="X29" s="22"/>
      <s:c r="Y29" s="22"/>
      <s:c r="Z29" s="22"/>
      <s:c r="AA29" s="22"/>
      <s:c r="AB29" s="22"/>
      <s:c r="AC29" s="22"/>
      <s:c r="AD29" s="22"/>
      <s:c r="AE29" s="22"/>
      <s:c r="AF29" s="22"/>
      <s:c r="AG29" s="23"/>
      <s:c r="AH29" s="24"/>
      <s:c r="AI29" s="24"/>
      <s:c r="AJ29" s="24"/>
      <s:c r="AK29" s="24"/>
      <s:c r="AL29" s="50"/>
      <s:c r="AM29" s="51"/>
      <s:c r="AN29" s="51"/>
      <s:c r="AO29" s="51"/>
      <s:c r="AP29" s="51"/>
      <s:c r="AQ29" s="51"/>
      <s:c r="AR29" s="51"/>
      <s:c r="AS29" s="51"/>
      <s:c r="AT29" s="51"/>
      <s:c r="AU29" s="51"/>
      <s:c r="AV29" s="52">
        <s:f>B29*B92+C29*C92+D29*D92+E29*E92+F29*F92+G29*G92+H29*H92+I29*I92+J29*J92+K29*K92+L29*L92+AT29*AT93+AU93*AU29+M29*M92+N29*N92+O29*O92+P29*P92+Q29*Q92+R29*R92+S29*S92+T29*T92+U29*U92+V29*V92+W29*W92+X29*X92+Y29*Y92+Z29*Z92+AA29*AA92+AB29*AB92+AC29*AC92+AD29*AD92+AE29*AE92+AF29*AF92+AG29*AG92+AH29*AH92+AI29*AI92+AJ29*AJ92+AK29*AK92+AL29*AL92+AM29*AM92+AN29*AN92+AO29*AO92+AP29*AP92+AQ29*AQ92+AR29*AR92+AS29*AS92+AT29*AT92+AU29*AU92</s:f>
        <s:v>0</s:v>
      </s:c>
    </s:row>
    <s:row r="30" ht="18.75">
      <s:c r="A30" s="31" t="s">
        <s:v>111</s:v>
      </s:c>
      <s:c r="B30" s="49"/>
      <s:c r="C30" s="49"/>
      <s:c r="D30" s="49"/>
      <s:c r="E30" s="49"/>
      <s:c r="F30" s="49"/>
      <s:c r="G30" s="49"/>
      <s:c r="H30" s="49"/>
      <s:c r="I30" s="49"/>
      <s:c r="J30" s="49"/>
      <s:c r="K30" s="49"/>
      <s:c r="L30" s="49"/>
      <s:c r="M30" s="22"/>
      <s:c r="N30" s="22"/>
      <s:c r="O30" s="22"/>
      <s:c r="P30" s="22"/>
      <s:c r="Q30" s="22"/>
      <s:c r="R30" s="22"/>
      <s:c r="S30" s="22"/>
      <s:c r="T30" s="22"/>
      <s:c r="U30" s="22"/>
      <s:c r="V30" s="22"/>
      <s:c r="W30" s="22"/>
      <s:c r="X30" s="22"/>
      <s:c r="Y30" s="22"/>
      <s:c r="Z30" s="22"/>
      <s:c r="AA30" s="22"/>
      <s:c r="AB30" s="22"/>
      <s:c r="AC30" s="22"/>
      <s:c r="AD30" s="22"/>
      <s:c r="AE30" s="22"/>
      <s:c r="AF30" s="22"/>
      <s:c r="AG30" s="23"/>
      <s:c r="AH30" s="24"/>
      <s:c r="AI30" s="24"/>
      <s:c r="AJ30" s="24"/>
      <s:c r="AK30" s="24"/>
      <s:c r="AL30" s="50"/>
      <s:c r="AM30" s="51"/>
      <s:c r="AN30" s="51"/>
      <s:c r="AO30" s="51"/>
      <s:c r="AP30" s="51"/>
      <s:c r="AQ30" s="51"/>
      <s:c r="AR30" s="51"/>
      <s:c r="AS30" s="51"/>
      <s:c r="AT30" s="51"/>
      <s:c r="AU30" s="51"/>
      <s:c r="AV30" s="52">
        <s:f>B30*B93+C30*C93+D30*D93+E30*E93+F30*F93+G30*G93+H30*H93+I30*I93+J30*J93+K30*K93+L30*L93+AT30*AT94+AU94*AU30+M30*M93+N30*N93+O30*O93+P30*P93+Q30*Q93+R30*R93+S30*S93+T30*T93+U30*U93+V30*V93+W30*W93+X30*X93+Y30*Y93+Z30*Z93+AA30*AA93+AB30*AB93+AC30*AC93+AD30*AD93+AE30*AE93+AF30*AF93+AG30*AG93+AH30*AH93+AI30*AI93+AJ30*AJ93+AK30*AK93+AL30*AL93+AM30*AM93+AN30*AN93+AO30*AO93+AP30*AP93+AQ30*AQ93+AR30*AR93+AS30*AS93+AT30*AT93+AU30*AU93</s:f>
        <s:v>0</s:v>
      </s:c>
      <s:c r="AW30" t="s">
        <s:v>113</s:v>
      </s:c>
    </s:row>
    <s:row r="31" ht="18.75">
      <s:c r="A31" s="31" t="s">
        <s:v>54</s:v>
      </s:c>
      <s:c r="B31" s="49"/>
      <s:c r="C31" s="49"/>
      <s:c r="D31" s="49"/>
      <s:c r="E31" s="49"/>
      <s:c r="F31" s="49"/>
      <s:c r="G31" s="49"/>
      <s:c r="H31" s="49"/>
      <s:c r="I31" s="49"/>
      <s:c r="J31" s="49"/>
      <s:c r="K31" s="49"/>
      <s:c r="L31" s="49"/>
      <s:c r="M31" s="22"/>
      <s:c r="N31" s="22"/>
      <s:c r="O31" s="22"/>
      <s:c r="P31" s="22"/>
      <s:c r="Q31" s="22"/>
      <s:c r="R31" s="22"/>
      <s:c r="S31" s="22"/>
      <s:c r="T31" s="22"/>
      <s:c r="U31" s="22"/>
      <s:c r="V31" s="22"/>
      <s:c r="W31" s="22"/>
      <s:c r="X31" s="22"/>
      <s:c r="Y31" s="22"/>
      <s:c r="Z31" s="22"/>
      <s:c r="AA31" s="22"/>
      <s:c r="AB31" s="22"/>
      <s:c r="AC31" s="22"/>
      <s:c r="AD31" s="22"/>
      <s:c r="AE31" s="22"/>
      <s:c r="AF31" s="22"/>
      <s:c r="AG31" s="23"/>
      <s:c r="AH31" s="24"/>
      <s:c r="AI31" s="24"/>
      <s:c r="AJ31" s="24"/>
      <s:c r="AK31" s="24"/>
      <s:c r="AL31" s="81"/>
      <s:c r="AM31" s="51"/>
      <s:c r="AN31" s="51"/>
      <s:c r="AO31" s="51"/>
      <s:c r="AP31" s="51"/>
      <s:c r="AQ31" s="26"/>
      <s:c r="AR31" s="26"/>
      <s:c r="AS31" s="26"/>
      <s:c r="AT31" s="26"/>
      <s:c r="AU31" s="51"/>
      <s:c r="AV31" s="52">
        <s:f>B31*B94+C31*C94+D31*D94+E31*E94+F31*F94+G31*G94+H31*H94+I31*I94+J31*J94+K31*K94+L31*L94+AT31*AT95+AU95*AU31+M31*M94+N31*N94+O31*O94+P31*P94+Q31*Q94+R31*R94+S31*S94+T31*T94+U31*U94+V31*V94+W31*W94+X31*X94+Y31*Y94+Z31*Z94+AA31*AA94+AB31*AB94+AC31*AC94+AD31*AD94+AE31*AE94+AF31*AF94+AG31*AG94+AH31*AH94+AI31*AI94+AJ31*AJ94+AK31*AK94+AL31*AL94+AM31*AM94+AN31*AN94+AO31*AO94+AP31*AP94+AQ31*AQ94+AR31*AR94+AS31*AS94+AT31*AT94+AU31*AU94</s:f>
        <s:v>0</s:v>
      </s:c>
    </s:row>
    <s:row r="32" ht="18.75">
      <s:c r="A32" s="31" t="s">
        <s:v>68</s:v>
      </s:c>
      <s:c r="B32" s="49"/>
      <s:c r="C32" s="49"/>
      <s:c r="D32" s="49"/>
      <s:c r="E32" s="49"/>
      <s:c r="F32" s="49"/>
      <s:c r="G32" s="49"/>
      <s:c r="H32" s="49"/>
      <s:c r="I32" s="49"/>
      <s:c r="J32" s="49"/>
      <s:c r="K32" s="49"/>
      <s:c r="L32" s="49"/>
      <s:c r="M32" s="22"/>
      <s:c r="N32" s="22"/>
      <s:c r="O32" s="22"/>
      <s:c r="P32" s="22"/>
      <s:c r="Q32" s="22"/>
      <s:c r="R32" s="22"/>
      <s:c r="S32" s="22"/>
      <s:c r="T32" s="22"/>
      <s:c r="U32" s="22"/>
      <s:c r="V32" s="22"/>
      <s:c r="W32" s="22"/>
      <s:c r="X32" s="22"/>
      <s:c r="Y32" s="22"/>
      <s:c r="Z32" s="22"/>
      <s:c r="AA32" s="22"/>
      <s:c r="AB32" s="22"/>
      <s:c r="AC32" s="22"/>
      <s:c r="AD32" s="22"/>
      <s:c r="AE32" s="22"/>
      <s:c r="AF32" s="22"/>
      <s:c r="AG32" s="23"/>
      <s:c r="AH32" s="24"/>
      <s:c r="AI32" s="24"/>
      <s:c r="AJ32" s="24"/>
      <s:c r="AK32" s="24"/>
      <s:c r="AL32" s="50"/>
      <s:c r="AM32" s="51"/>
      <s:c r="AN32" s="51"/>
      <s:c r="AO32" s="51"/>
      <s:c r="AP32" s="51"/>
      <s:c r="AQ32" s="51"/>
      <s:c r="AR32" s="51"/>
      <s:c r="AS32" s="51"/>
      <s:c r="AT32" s="51"/>
      <s:c r="AU32" s="51"/>
      <s:c r="AV32" s="52">
        <s:f>B32*B95+C32*C95+D32*D95+E32*E95+F32*F95+G32*G95+H32*H95+I32*I95+J32*J95+K32*K95+L32*L95+AT32*AT96+AU96*AU32+M32*M95+N32*N95+O32*O95+P32*P95+Q32*Q95+R32*R95+S32*S95+T32*T95+U32*U95+V32*V95+W32*W95+X32*X95+Y32*Y95+Z32*Z95+AA32*AA95+AB32*AB95+AC32*AC95+AD32*AD95+AE32*AE95+AF32*AF95+AG32*AG95+AH32*AH95+AI32*AI95+AJ32*AJ95+AK32*AK95+AL32*AL95+AM32*AM95+AN32*AN95+AO32*AO95+AP32*AP95+AQ32*AQ95+AR32*AR95+AS32*AS95+AT32*AT95+AU32*AU95</s:f>
        <s:v>0</s:v>
      </s:c>
    </s:row>
    <s:row r="33" ht="18.75">
      <s:c r="A33" s="31" t="s">
        <s:v>2</s:v>
      </s:c>
      <s:c r="B33" s="27"/>
      <s:c r="C33" s="27"/>
      <s:c r="D33" s="27"/>
      <s:c r="E33" s="27"/>
      <s:c r="F33" s="27"/>
      <s:c r="G33" s="27"/>
      <s:c r="H33" s="27"/>
      <s:c r="I33" s="27"/>
      <s:c r="J33" s="27"/>
      <s:c r="K33" s="27"/>
      <s:c r="L33" s="27"/>
      <s:c r="M33" s="22"/>
      <s:c r="N33" s="22"/>
      <s:c r="O33" s="22"/>
      <s:c r="P33" s="22"/>
      <s:c r="Q33" s="22"/>
      <s:c r="R33" s="22"/>
      <s:c r="S33" s="22"/>
      <s:c r="T33" s="22"/>
      <s:c r="U33" s="22"/>
      <s:c r="V33" s="22"/>
      <s:c r="W33" s="22"/>
      <s:c r="X33" s="22"/>
      <s:c r="Y33" s="22"/>
      <s:c r="Z33" s="22"/>
      <s:c r="AA33" s="22"/>
      <s:c r="AB33" s="22"/>
      <s:c r="AC33" s="22"/>
      <s:c r="AD33" s="22"/>
      <s:c r="AE33" s="22"/>
      <s:c r="AF33" s="22"/>
      <s:c r="AG33" s="23"/>
      <s:c r="AH33" s="24"/>
      <s:c r="AI33" s="24"/>
      <s:c r="AJ33" s="24"/>
      <s:c r="AK33" s="24"/>
      <s:c r="AL33" s="25"/>
      <s:c r="AM33" s="26"/>
      <s:c r="AN33" s="26"/>
      <s:c r="AO33" s="26"/>
      <s:c r="AP33" s="26"/>
      <s:c r="AQ33" s="26"/>
      <s:c r="AR33" s="26"/>
      <s:c r="AS33" s="26"/>
      <s:c r="AT33" s="26"/>
      <s:c r="AU33" s="26"/>
      <s:c r="AV33" s="52">
        <s:f>B33*B96+C33*C96+D33*D96+E33*E96+F33*F96+G33*G96+H33*H96+I33*I96+J33*J96+K33*K96+L33*L96+AT33*AT97+AU97*AU33+M33*M96+N33*N96+O33*O96+P33*P96+Q33*Q96+R33*R96+S33*S96+T33*T96+U33*U96+V33*V96+W33*W96+X33*X96+Y33*Y96+Z33*Z96+AA33*AA96+AB33*AB96+AC33*AC96+AD33*AD96+AE33*AE96+AF33*AF96+AG33*AG96+AH33*AH96+AI33*AI96+AJ33*AJ96+AK33*AK96+AL33*AL96+AM33*AM96+AN33*AN96+AO33*AO96+AP33*AP96+AQ33*AQ96+AR33*AR96+AS33*AS96+AT33*AT96+AU33*AU96</s:f>
        <s:v>0</s:v>
      </s:c>
    </s:row>
    <s:row r="34" ht="18.75">
      <s:c r="A34" s="31" t="s">
        <s:v>71</s:v>
      </s:c>
      <s:c r="B34" s="49"/>
      <s:c r="C34" s="49"/>
      <s:c r="D34" s="49"/>
      <s:c r="E34" s="49"/>
      <s:c r="F34" s="49"/>
      <s:c r="G34" s="49"/>
      <s:c r="H34" s="49"/>
      <s:c r="I34" s="49"/>
      <s:c r="J34" s="49"/>
      <s:c r="K34" s="49"/>
      <s:c r="L34" s="49"/>
      <s:c r="M34" s="22"/>
      <s:c r="N34" s="22"/>
      <s:c r="O34" s="22"/>
      <s:c r="P34" s="22"/>
      <s:c r="Q34" s="22"/>
      <s:c r="R34" s="22"/>
      <s:c r="S34" s="22"/>
      <s:c r="T34" s="22"/>
      <s:c r="U34" s="22"/>
      <s:c r="V34" s="22"/>
      <s:c r="W34" s="22"/>
      <s:c r="X34" s="22"/>
      <s:c r="Y34" s="22"/>
      <s:c r="Z34" s="22"/>
      <s:c r="AA34" s="22"/>
      <s:c r="AB34" s="22"/>
      <s:c r="AC34" s="22"/>
      <s:c r="AD34" s="22"/>
      <s:c r="AE34" s="22"/>
      <s:c r="AF34" s="22"/>
      <s:c r="AG34" s="23"/>
      <s:c r="AH34" s="24"/>
      <s:c r="AI34" s="24"/>
      <s:c r="AJ34" s="24"/>
      <s:c r="AK34" s="24"/>
      <s:c r="AL34" s="50"/>
      <s:c r="AM34" s="51"/>
      <s:c r="AN34" s="51"/>
      <s:c r="AO34" s="51"/>
      <s:c r="AP34" s="51"/>
      <s:c r="AQ34" s="51"/>
      <s:c r="AR34" s="51"/>
      <s:c r="AS34" s="51"/>
      <s:c r="AT34" s="51"/>
      <s:c r="AU34" s="51"/>
      <s:c r="AV34" s="52">
        <s:f>B34*B97+C34*C97+D34*D97+E34*E97+F34*F97+G34*G97+H34*H97+I34*I97+J34*J97+K34*K97+L34*L97+AT34*AT98+AU98*AU34+M34*M97+N34*N97+O34*O97+P34*P97+Q34*Q97+R34*R97+S34*S97+T34*T97+U34*U97+V34*V97+W34*W97+X34*X97+Y34*Y97+Z34*Z97+AA34*AA97+AB34*AB97+AC34*AC97+AD34*AD97+AE34*AE97+AF34*AF97+AG34*AG97+AH34*AH97+AI34*AI97+AJ34*AJ97+AK34*AK97+AL34*AL97+AM34*AM97+AN34*AN97+AO34*AO97+AP34*AP97+AQ34*AQ97+AR34*AR97+AS34*AS97+AT34*AT97+AU34*AU97</s:f>
        <s:v>0</s:v>
      </s:c>
    </s:row>
    <s:row r="35" ht="18.75">
      <s:c r="A35" s="31" t="s">
        <s:v>64</s:v>
      </s:c>
      <s:c r="B35" s="27"/>
      <s:c r="C35" s="27"/>
      <s:c r="D35" s="27"/>
      <s:c r="E35" s="27"/>
      <s:c r="F35" s="27"/>
      <s:c r="G35" s="27"/>
      <s:c r="H35" s="27"/>
      <s:c r="I35" s="27"/>
      <s:c r="J35" s="27"/>
      <s:c r="K35" s="27"/>
      <s:c r="L35" s="27"/>
      <s:c r="M35" s="22"/>
      <s:c r="N35" s="22"/>
      <s:c r="O35" s="22"/>
      <s:c r="P35" s="22"/>
      <s:c r="Q35" s="22"/>
      <s:c r="R35" s="22"/>
      <s:c r="S35" s="22"/>
      <s:c r="T35" s="22"/>
      <s:c r="U35" s="22"/>
      <s:c r="V35" s="22"/>
      <s:c r="W35" s="22"/>
      <s:c r="X35" s="22"/>
      <s:c r="Y35" s="22"/>
      <s:c r="Z35" s="22"/>
      <s:c r="AA35" s="22"/>
      <s:c r="AB35" s="22"/>
      <s:c r="AC35" s="22"/>
      <s:c r="AD35" s="22"/>
      <s:c r="AE35" s="22"/>
      <s:c r="AF35" s="22"/>
      <s:c r="AG35" s="23"/>
      <s:c r="AH35" s="24"/>
      <s:c r="AI35" s="24"/>
      <s:c r="AJ35" s="24"/>
      <s:c r="AK35" s="24"/>
      <s:c r="AL35" s="25"/>
      <s:c r="AM35" s="26"/>
      <s:c r="AN35" s="26"/>
      <s:c r="AO35" s="26"/>
      <s:c r="AP35" s="26"/>
      <s:c r="AQ35" s="26"/>
      <s:c r="AR35" s="26"/>
      <s:c r="AS35" s="26"/>
      <s:c r="AT35" s="26"/>
      <s:c r="AU35" s="26"/>
      <s:c r="AV35" s="52">
        <s:f>B35*B98+C35*C98+D35*D98+E35*E98+F35*F98+G35*G98+H35*H98+I35*I98+J35*J98+K35*K98+L35*L98+AT35*AT99+AU99*AU35+M35*M98+N35*N98+O35*O98+P35*P98+Q35*Q98+R35*R98+S35*S98+T35*T98+U35*U98+V35*V98+W35*W98+X35*X98+Y35*Y98+Z35*Z98+AA35*AA98+AB35*AB98+AC35*AC98+AD35*AD98+AE35*AE98+AF35*AF98+AG35*AG98+AH35*AH98+AI35*AI98+AJ35*AJ98+AK35*AK98+AL35*AL98+AM35*AM98+AN35*AN98+AO35*AO98+AP35*AP98+AQ35*AQ98+AR35*AR98+AS35*AS98+AT35*AT98+AU35*AU98</s:f>
        <s:v>0</s:v>
      </s:c>
    </s:row>
    <s:row r="36" ht="18.75">
      <s:c r="A36" s="31" t="s">
        <s:v>42</s:v>
      </s:c>
      <s:c r="B36" s="27"/>
      <s:c r="C36" s="27"/>
      <s:c r="D36" s="27"/>
      <s:c r="E36" s="27"/>
      <s:c r="F36" s="27"/>
      <s:c r="G36" s="27"/>
      <s:c r="H36" s="27"/>
      <s:c r="I36" s="27"/>
      <s:c r="J36" s="27"/>
      <s:c r="K36" s="27"/>
      <s:c r="L36" s="27"/>
      <s:c r="M36" s="22"/>
      <s:c r="N36" s="22"/>
      <s:c r="O36" s="22"/>
      <s:c r="P36" s="22"/>
      <s:c r="Q36" s="22"/>
      <s:c r="R36" s="22"/>
      <s:c r="S36" s="22"/>
      <s:c r="T36" s="22"/>
      <s:c r="U36" s="22"/>
      <s:c r="V36" s="22"/>
      <s:c r="W36" s="22"/>
      <s:c r="X36" s="22"/>
      <s:c r="Y36" s="22"/>
      <s:c r="Z36" s="22"/>
      <s:c r="AA36" s="22"/>
      <s:c r="AB36" s="22"/>
      <s:c r="AC36" s="22"/>
      <s:c r="AD36" s="22"/>
      <s:c r="AE36" s="22"/>
      <s:c r="AF36" s="22"/>
      <s:c r="AG36" s="23"/>
      <s:c r="AH36" s="24"/>
      <s:c r="AI36" s="24"/>
      <s:c r="AJ36" s="24"/>
      <s:c r="AK36" s="24"/>
      <s:c r="AL36" s="25"/>
      <s:c r="AM36" s="26"/>
      <s:c r="AN36" s="26"/>
      <s:c r="AO36" s="26"/>
      <s:c r="AP36" s="26"/>
      <s:c r="AQ36" s="26"/>
      <s:c r="AR36" s="26"/>
      <s:c r="AS36" s="26"/>
      <s:c r="AT36" s="26"/>
      <s:c r="AU36" s="26"/>
      <s:c r="AV36" s="52">
        <s:f>B36*B99+C36*C99+D36*D99+E36*E99+F36*F99+G36*G99+H36*H99+I36*I99+J36*J99+K36*K99+L36*L99+AT36*AT100+AU100*AU36+M36*M99+N36*N99+O36*O99+P36*P99+Q36*Q99+R36*R99+S36*S99+T36*T99+U36*U99+V36*V99+W36*W99+X36*X99+Y36*Y99+Z36*Z99+AA36*AA99+AB36*AB99+AC36*AC99+AD36*AD99+AE36*AE99+AF36*AF99+AG36*AG99+AH36*AH99+AI36*AI99+AJ36*AJ99+AK36*AK99+AL36*AL99+AM36*AM99+AN36*AN99+AO36*AO99+AP36*AP99+AQ36*AQ99+AR36*AR99+AS36*AS99+AT36*AT99+AU36*AU99</s:f>
        <s:v>0</s:v>
      </s:c>
    </s:row>
    <s:row r="37" ht="18.75">
      <s:c r="A37" s="31" t="s">
        <s:v>45</s:v>
      </s:c>
      <s:c r="B37" s="27"/>
      <s:c r="C37" s="27"/>
      <s:c r="D37" s="27"/>
      <s:c r="E37" s="27"/>
      <s:c r="F37" s="27"/>
      <s:c r="G37" s="27"/>
      <s:c r="H37" s="27"/>
      <s:c r="I37" s="27"/>
      <s:c r="J37" s="27"/>
      <s:c r="K37" s="27"/>
      <s:c r="L37" s="27"/>
      <s:c r="M37" s="22"/>
      <s:c r="N37" s="22"/>
      <s:c r="O37" s="22"/>
      <s:c r="P37" s="22"/>
      <s:c r="Q37" s="22"/>
      <s:c r="R37" s="22"/>
      <s:c r="S37" s="22"/>
      <s:c r="T37" s="22"/>
      <s:c r="U37" s="22"/>
      <s:c r="V37" s="22"/>
      <s:c r="W37" s="22"/>
      <s:c r="X37" s="22"/>
      <s:c r="Y37" s="22"/>
      <s:c r="Z37" s="22"/>
      <s:c r="AA37" s="22"/>
      <s:c r="AB37" s="22"/>
      <s:c r="AC37" s="22"/>
      <s:c r="AD37" s="22"/>
      <s:c r="AE37" s="22"/>
      <s:c r="AF37" s="22"/>
      <s:c r="AG37" s="23"/>
      <s:c r="AH37" s="24"/>
      <s:c r="AI37" s="24"/>
      <s:c r="AJ37" s="24"/>
      <s:c r="AK37" s="24"/>
      <s:c r="AL37" s="25"/>
      <s:c r="AM37" s="26"/>
      <s:c r="AN37" s="26"/>
      <s:c r="AO37" s="26"/>
      <s:c r="AP37" s="26"/>
      <s:c r="AQ37" s="26"/>
      <s:c r="AR37" s="26"/>
      <s:c r="AS37" s="26"/>
      <s:c r="AT37" s="26"/>
      <s:c r="AU37" s="26"/>
      <s:c r="AV37" s="52">
        <s:f>B37*B100+C37*C100+D37*D100+E37*E100+F37*F100+G37*G100+H37*H100+I37*I100+J37*J100+K37*K100+L37*L100+AT37*AT101+AU101*AU37+M37*M100+N37*N100+O37*O100+P37*P100+Q37*Q100+R37*R100+S37*S100+T37*T100+U37*U100+V37*V100+W37*W100+X37*X100+Y37*Y100+Z37*Z100+AA37*AA100+AB37*AB100+AC37*AC100+AD37*AD100+AE37*AE100+AF37*AF100+AG37*AG100+AH37*AH100+AI37*AI100+AJ37*AJ100+AK37*AK100+AL37*AL100+AM37*AM100+AN37*AN100+AO37*AO100+AP37*AP100+AQ37*AQ100+AR37*AR100+AS37*AS100+AT37*AT100+AU37*AU100</s:f>
        <s:v>0</s:v>
      </s:c>
    </s:row>
    <s:row r="38" ht="18.75">
      <s:c r="A38" s="31" t="s">
        <s:v>99</s:v>
      </s:c>
      <s:c r="B38" s="27"/>
      <s:c r="C38" s="27"/>
      <s:c r="D38" s="27"/>
      <s:c r="E38" s="27"/>
      <s:c r="F38" s="27"/>
      <s:c r="G38" s="27"/>
      <s:c r="H38" s="27"/>
      <s:c r="I38" s="27"/>
      <s:c r="J38" s="27"/>
      <s:c r="K38" s="27"/>
      <s:c r="L38" s="27"/>
      <s:c r="M38" s="22"/>
      <s:c r="N38" s="22"/>
      <s:c r="O38" s="22">
        <s:v>72.8</s:v>
      </s:c>
      <s:c r="P38" s="22"/>
      <s:c r="Q38" s="22"/>
      <s:c r="R38" s="22">
        <s:v>15.2</s:v>
      </s:c>
      <s:c r="S38" s="22"/>
      <s:c r="T38" s="22"/>
      <s:c r="U38" s="22"/>
      <s:c r="V38" s="22"/>
      <s:c r="W38" s="22"/>
      <s:c r="X38" s="22"/>
      <s:c r="Y38" s="22"/>
      <s:c r="Z38" s="22"/>
      <s:c r="AA38" s="22"/>
      <s:c r="AB38" s="22"/>
      <s:c r="AC38" s="22"/>
      <s:c r="AD38" s="22"/>
      <s:c r="AE38" s="22"/>
      <s:c r="AF38" s="22"/>
      <s:c r="AG38" s="23"/>
      <s:c r="AH38" s="24"/>
      <s:c r="AI38" s="24"/>
      <s:c r="AJ38" s="24"/>
      <s:c r="AK38" s="24"/>
      <s:c r="AL38" s="25"/>
      <s:c r="AM38" s="26"/>
      <s:c r="AN38" s="26"/>
      <s:c r="AO38" s="26"/>
      <s:c r="AP38" s="26"/>
      <s:c r="AQ38" s="26"/>
      <s:c r="AR38" s="26"/>
      <s:c r="AS38" s="26"/>
      <s:c r="AT38" s="26"/>
      <s:c r="AU38" s="26"/>
      <s:c r="AV38" s="52">
        <s:f>B38*B101+C38*C101+D38*D101+E38*E101+F38*F101+G38*G101+H38*H101+I38*I101+J38*J101+K38*K101+L38*L101+AT38*AT102+AU102*AU38+M38*M101+N38*N101+O38*O101+P38*P101+Q38*Q101+R38*R101+S38*S101+T38*T101+U38*U101+V38*V101+W38*W101+X38*X101+Y38*Y101+Z38*Z101+AA38*AA101+AB38*AB101+AC38*AC101+AD38*AD101+AE38*AE101+AF38*AF101+AG38*AG101+AH38*AH101+AI38*AI101+AJ38*AJ101+AK38*AK101+AL38*AL101+AM38*AM101+AN38*AN101+AO38*AO101+AP38*AP101+AQ38*AQ101+AR38*AR101+AS38*AS101+AT38*AT101+AU38*AU101</s:f>
        <s:v>0</s:v>
      </s:c>
    </s:row>
    <s:row r="39" ht="18.75">
      <s:c r="A39" s="31" t="s">
        <s:v>67</s:v>
      </s:c>
      <s:c r="B39" s="49"/>
      <s:c r="C39" s="49"/>
      <s:c r="D39" s="49"/>
      <s:c r="E39" s="49"/>
      <s:c r="F39" s="49"/>
      <s:c r="G39" s="49"/>
      <s:c r="H39" s="49"/>
      <s:c r="I39" s="49"/>
      <s:c r="J39" s="49"/>
      <s:c r="K39" s="49"/>
      <s:c r="L39" s="49"/>
      <s:c r="M39" s="22"/>
      <s:c r="N39" s="22"/>
      <s:c r="O39" s="22"/>
      <s:c r="P39" s="22"/>
      <s:c r="Q39" s="22"/>
      <s:c r="R39" s="22"/>
      <s:c r="S39" s="22"/>
      <s:c r="T39" s="22"/>
      <s:c r="U39" s="22"/>
      <s:c r="V39" s="22"/>
      <s:c r="W39" s="22"/>
      <s:c r="X39" s="22"/>
      <s:c r="Y39" s="22"/>
      <s:c r="Z39" s="22"/>
      <s:c r="AA39" s="22"/>
      <s:c r="AB39" s="22"/>
      <s:c r="AC39" s="22"/>
      <s:c r="AD39" s="22"/>
      <s:c r="AE39" s="22"/>
      <s:c r="AF39" s="22"/>
      <s:c r="AG39" s="23"/>
      <s:c r="AH39" s="24"/>
      <s:c r="AI39" s="24"/>
      <s:c r="AJ39" s="24"/>
      <s:c r="AK39" s="24"/>
      <s:c r="AL39" s="50"/>
      <s:c r="AM39" s="51"/>
      <s:c r="AN39" s="51"/>
      <s:c r="AO39" s="51"/>
      <s:c r="AP39" s="51"/>
      <s:c r="AQ39" s="51"/>
      <s:c r="AR39" s="51"/>
      <s:c r="AS39" s="51"/>
      <s:c r="AT39" s="51"/>
      <s:c r="AU39" s="51"/>
      <s:c r="AV39" s="52">
        <s:f>B39*B102+C39*C102+D39*D102+E39*E102+F39*F102+G39*G102+H39*H102+I39*I102+J39*J102+K39*K102+L39*L102+AT39*AT103+AU103*AU39+M39*M102+N39*N102+O39*O102+P39*P102+Q39*Q102+R39*R102+S39*S102+T39*T102+U39*U102+V39*V102+W39*W102+X39*X102+Y39*Y102+Z39*Z102+AA39*AA102+AB39*AB102+AC39*AC102+AD39*AD102+AE39*AE102+AF39*AF102+AG39*AG102+AH39*AH102+AI39*AI102+AJ39*AJ102+AK39*AK102+AL39*AL102+AM39*AM102+AN39*AN102+AO39*AO102+AP39*AP102+AQ39*AQ102+AR39*AR102+AS39*AS102+AT39*AT102+AU39*AU102</s:f>
        <s:v>0</s:v>
      </s:c>
    </s:row>
    <s:row r="40" ht="18.75">
      <s:c r="A40" s="31" t="s">
        <s:v>104</s:v>
      </s:c>
      <s:c r="B40" s="27"/>
      <s:c r="C40" s="27"/>
      <s:c r="D40" s="27"/>
      <s:c r="E40" s="27"/>
      <s:c r="F40" s="27"/>
      <s:c r="G40" s="27"/>
      <s:c r="H40" s="27"/>
      <s:c r="I40" s="27"/>
      <s:c r="J40" s="27"/>
      <s:c r="K40" s="27"/>
      <s:c r="L40" s="27"/>
      <s:c r="M40" s="22"/>
      <s:c r="N40" s="22"/>
      <s:c r="O40" s="22"/>
      <s:c r="P40" s="22"/>
      <s:c r="Q40" s="22"/>
      <s:c r="R40" s="22"/>
      <s:c r="S40" s="22"/>
      <s:c r="T40" s="22"/>
      <s:c r="U40" s="22"/>
      <s:c r="V40" s="22"/>
      <s:c r="W40" s="22"/>
      <s:c r="X40" s="22"/>
      <s:c r="Y40" s="22"/>
      <s:c r="Z40" s="22"/>
      <s:c r="AA40" s="22"/>
      <s:c r="AB40" s="22"/>
      <s:c r="AC40" s="22"/>
      <s:c r="AD40" s="22"/>
      <s:c r="AE40" s="22"/>
      <s:c r="AF40" s="22"/>
      <s:c r="AG40" s="23"/>
      <s:c r="AH40" s="24"/>
      <s:c r="AI40" s="24"/>
      <s:c r="AJ40" s="24"/>
      <s:c r="AK40" s="24"/>
      <s:c r="AL40" s="25"/>
      <s:c r="AM40" s="26"/>
      <s:c r="AN40" s="26"/>
      <s:c r="AO40" s="26"/>
      <s:c r="AP40" s="26"/>
      <s:c r="AQ40" s="26"/>
      <s:c r="AR40" s="26"/>
      <s:c r="AS40" s="26"/>
      <s:c r="AT40" s="26"/>
      <s:c r="AU40" s="26"/>
      <s:c r="AV40" s="52">
        <s:f>B40*B103+C40*C103+D40*D103+E40*E103+F40*F103+G40*G103+H40*H103+I40*I103+J40*J103+K40*K103+L40*L103+AT40*AT104+AU104*AU40+M40*M103+N40*N103+O40*O103+P40*P103+Q40*Q103+R40*R103+S40*S103+T40*T103+U40*U103+V40*V103+W40*W103+X40*X103+Y40*Y103+Z40*Z103+AA40*AA103+AB40*AB103+AC40*AC103+AD40*AD103+AE40*AE103+AF40*AF103+AG40*AG103+AH40*AH103+AI40*AI103+AJ40*AJ103+AK40*AK103+AL40*AL103+AM40*AM103+AN40*AN103+AO40*AO103+AP40*AP103+AQ40*AQ103+AR40*AR103+AS40*AS103+AT40*AT103+AU40*AU103</s:f>
        <s:v>0</s:v>
      </s:c>
    </s:row>
    <s:row r="41" ht="18.75">
      <s:c r="A41" s="31" t="s">
        <s:v>43</s:v>
      </s:c>
      <s:c r="B41" s="27"/>
      <s:c r="C41" s="27"/>
      <s:c r="D41" s="27"/>
      <s:c r="E41" s="27"/>
      <s:c r="F41" s="27"/>
      <s:c r="G41" s="27"/>
      <s:c r="H41" s="27"/>
      <s:c r="I41" s="27"/>
      <s:c r="J41" s="27"/>
      <s:c r="K41" s="27"/>
      <s:c r="L41" s="27"/>
      <s:c r="M41" s="22"/>
      <s:c r="N41" s="22"/>
      <s:c r="O41" s="22"/>
      <s:c r="P41" s="22"/>
      <s:c r="Q41" s="22"/>
      <s:c r="R41" s="22"/>
      <s:c r="S41" s="22"/>
      <s:c r="T41" s="22"/>
      <s:c r="U41" s="22"/>
      <s:c r="V41" s="22"/>
      <s:c r="W41" s="22"/>
      <s:c r="X41" s="22"/>
      <s:c r="Y41" s="22"/>
      <s:c r="Z41" s="22"/>
      <s:c r="AA41" s="22"/>
      <s:c r="AB41" s="22"/>
      <s:c r="AC41" s="22"/>
      <s:c r="AD41" s="22"/>
      <s:c r="AE41" s="22"/>
      <s:c r="AF41" s="22"/>
      <s:c r="AG41" s="23"/>
      <s:c r="AH41" s="24"/>
      <s:c r="AI41" s="24"/>
      <s:c r="AJ41" s="24"/>
      <s:c r="AK41" s="24"/>
      <s:c r="AL41" s="25"/>
      <s:c r="AM41" s="26"/>
      <s:c r="AN41" s="26"/>
      <s:c r="AO41" s="26"/>
      <s:c r="AP41" s="26"/>
      <s:c r="AQ41" s="26"/>
      <s:c r="AR41" s="26"/>
      <s:c r="AS41" s="26"/>
      <s:c r="AT41" s="26"/>
      <s:c r="AU41" s="26"/>
      <s:c r="AV41" s="52">
        <s:f>B41*B104+C41*C104+D41*D104+E41*E104+F41*F104+G41*G104+H41*H104+I41*I104+J41*J104+K41*K104+L41*L104+AT41*AT105+AU105*AU41+M41*M104+N41*N104+O41*O104+P41*P104+Q41*Q104+R41*R104+S41*S104+T41*T104+U41*U104+V41*V104+W41*W104+X41*X104+Y41*Y104+Z41*Z104+AA41*AA104+AB41*AB104+AC41*AC104+AD41*AD104+AE41*AE104+AF41*AF104+AG41*AG104+AH41*AH104+AI41*AI104+AJ41*AJ104+AK41*AK104+AL41*AL104+AM41*AM104+AN41*AN104+AO41*AO104+AP41*AP104+AQ41*AQ104+AR41*AR104+AS41*AS104+AT41*AT104+AU41*AU104</s:f>
        <s:v>0</s:v>
      </s:c>
    </s:row>
    <s:row r="42" ht="18.75">
      <s:c r="A42" s="31" t="s">
        <s:v>112</s:v>
      </s:c>
      <s:c r="B42" s="27"/>
      <s:c r="C42" s="27">
        <s:v>180</s:v>
      </s:c>
      <s:c r="D42" s="27"/>
      <s:c r="E42" s="27"/>
      <s:c r="F42" s="27"/>
      <s:c r="G42" s="27"/>
      <s:c r="H42" s="27"/>
      <s:c r="I42" s="27"/>
      <s:c r="J42" s="27"/>
      <s:c r="K42" s="27"/>
      <s:c r="L42" s="27"/>
      <s:c r="M42" s="22"/>
      <s:c r="N42" s="22"/>
      <s:c r="O42" s="22"/>
      <s:c r="P42" s="22"/>
      <s:c r="Q42" s="22"/>
      <s:c r="R42" s="22"/>
      <s:c r="S42" s="22"/>
      <s:c r="T42" s="22"/>
      <s:c r="U42" s="22"/>
      <s:c r="V42" s="22"/>
      <s:c r="W42" s="22"/>
      <s:c r="X42" s="22"/>
      <s:c r="Y42" s="22"/>
      <s:c r="Z42" s="22"/>
      <s:c r="AA42" s="22"/>
      <s:c r="AB42" s="22"/>
      <s:c r="AC42" s="22"/>
      <s:c r="AD42" s="22"/>
      <s:c r="AE42" s="22"/>
      <s:c r="AF42" s="22"/>
      <s:c r="AG42" s="23"/>
      <s:c r="AH42" s="24"/>
      <s:c r="AI42" s="24"/>
      <s:c r="AJ42" s="24"/>
      <s:c r="AK42" s="24"/>
      <s:c r="AL42" s="25"/>
      <s:c r="AM42" s="26"/>
      <s:c r="AN42" s="26"/>
      <s:c r="AO42" s="26"/>
      <s:c r="AP42" s="26"/>
      <s:c r="AQ42" s="26"/>
      <s:c r="AR42" s="26"/>
      <s:c r="AS42" s="26"/>
      <s:c r="AT42" s="26"/>
      <s:c r="AU42" s="26"/>
      <s:c r="AV42" s="52">
        <s:f>B42*B105+C42*C105+D42*D105+E42*E105+F42*F105+G42*G105+H42*H105+I42*I105+J42*J105+K42*K105+L42*L105+AT42*AT106+AU106*AU42+M42*M105+N42*N105+O42*O105+P42*P105+Q42*Q105+R42*R105+S42*S105+T42*T105+U42*U105+V42*V105+W42*W105+X42*X105+Y42*Y105+Z42*Z105+AA42*AA105+AB42*AB105+AC42*AC105+AD42*AD105+AE42*AE105+AF42*AF105+AG42*AG105+AH42*AH105+AI42*AI105+AJ42*AJ105+AK42*AK105+AL42*AL105+AM42*AM105+AN42*AN105+AO42*AO105+AP42*AP105+AQ42*AQ105+AR42*AR105+AS42*AS105+AT42*AT105+AU42*AU105</s:f>
        <s:v>7830000</s:v>
      </s:c>
    </s:row>
    <s:row r="43" ht="18.75">
      <s:c r="A43" s="31" t="s">
        <s:v>0</s:v>
      </s:c>
      <s:c r="B43" s="27"/>
      <s:c r="C43" s="27"/>
      <s:c r="D43" s="27"/>
      <s:c r="E43" s="27"/>
      <s:c r="F43" s="27"/>
      <s:c r="G43" s="27"/>
      <s:c r="H43" s="27"/>
      <s:c r="I43" s="27"/>
      <s:c r="J43" s="27"/>
      <s:c r="K43" s="27"/>
      <s:c r="L43" s="27"/>
      <s:c r="M43" s="22"/>
      <s:c r="N43" s="22"/>
      <s:c r="O43" s="22"/>
      <s:c r="P43" s="22"/>
      <s:c r="Q43" s="22"/>
      <s:c r="R43" s="22"/>
      <s:c r="S43" s="22"/>
      <s:c r="T43" s="22"/>
      <s:c r="U43" s="22"/>
      <s:c r="V43" s="22"/>
      <s:c r="W43" s="22"/>
      <s:c r="X43" s="22"/>
      <s:c r="Y43" s="22"/>
      <s:c r="Z43" s="22"/>
      <s:c r="AA43" s="22"/>
      <s:c r="AB43" s="22"/>
      <s:c r="AC43" s="22"/>
      <s:c r="AD43" s="22"/>
      <s:c r="AE43" s="22"/>
      <s:c r="AF43" s="22"/>
      <s:c r="AG43" s="23"/>
      <s:c r="AH43" s="24"/>
      <s:c r="AI43" s="24"/>
      <s:c r="AJ43" s="24"/>
      <s:c r="AK43" s="24"/>
      <s:c r="AL43" s="25"/>
      <s:c r="AM43" s="26"/>
      <s:c r="AN43" s="26"/>
      <s:c r="AO43" s="26"/>
      <s:c r="AP43" s="26"/>
      <s:c r="AQ43" s="26"/>
      <s:c r="AR43" s="26"/>
      <s:c r="AS43" s="26"/>
      <s:c r="AT43" s="26"/>
      <s:c r="AU43" s="26"/>
      <s:c r="AV43" s="52">
        <s:f>B43*B106+C43*C106+D43*D106+E43*E106+F43*F106+G43*G106+H43*H106+I43*I106+J43*J106+K43*K106+L43*L106+AT43*AT107+AU107*AU43+M43*M106+N43*N106+O43*O106+P43*P106+Q43*Q106+R43*R106+S43*S106+T43*T106+U43*U106+V43*V106+W43*W106+X43*X106+Y43*Y106+Z43*Z106+AA43*AA106+AB43*AB106+AC43*AC106+AD43*AD106+AE43*AE106+AF43*AF106+AG43*AG106+AH43*AH106+AI43*AI106+AJ43*AJ106+AK43*AK106+AL43*AL106+AM43*AM106+AN43*AN106+AO43*AO106+AP43*AP106+AQ43*AQ106+AR43*AR106+AS43*AS106+AT43*AT106+AU43*AU106</s:f>
        <s:v>0</s:v>
      </s:c>
    </s:row>
    <s:row r="44" ht="18.75">
      <s:c r="A44" s="31" t="s">
        <s:v>58</s:v>
      </s:c>
      <s:c r="B44" s="49"/>
      <s:c r="C44" s="49"/>
      <s:c r="D44" s="49"/>
      <s:c r="E44" s="49"/>
      <s:c r="F44" s="49"/>
      <s:c r="G44" s="49"/>
      <s:c r="H44" s="49"/>
      <s:c r="I44" s="49"/>
      <s:c r="J44" s="49"/>
      <s:c r="K44" s="49"/>
      <s:c r="L44" s="49"/>
      <s:c r="M44" s="22"/>
      <s:c r="N44" s="22"/>
      <s:c r="O44" s="22"/>
      <s:c r="P44" s="22"/>
      <s:c r="Q44" s="22"/>
      <s:c r="R44" s="22"/>
      <s:c r="S44" s="22"/>
      <s:c r="T44" s="22"/>
      <s:c r="U44" s="22"/>
      <s:c r="V44" s="22"/>
      <s:c r="W44" s="22"/>
      <s:c r="X44" s="22"/>
      <s:c r="Y44" s="22"/>
      <s:c r="Z44" s="22"/>
      <s:c r="AA44" s="22"/>
      <s:c r="AB44" s="22"/>
      <s:c r="AC44" s="22"/>
      <s:c r="AD44" s="22"/>
      <s:c r="AE44" s="22"/>
      <s:c r="AF44" s="22"/>
      <s:c r="AG44" s="23"/>
      <s:c r="AH44" s="24"/>
      <s:c r="AI44" s="24"/>
      <s:c r="AJ44" s="24"/>
      <s:c r="AK44" s="24"/>
      <s:c r="AL44" s="50"/>
      <s:c r="AM44" s="51"/>
      <s:c r="AN44" s="51"/>
      <s:c r="AO44" s="51"/>
      <s:c r="AP44" s="51"/>
      <s:c r="AQ44" s="51"/>
      <s:c r="AR44" s="51"/>
      <s:c r="AS44" s="51"/>
      <s:c r="AT44" s="51"/>
      <s:c r="AU44" s="51"/>
      <s:c r="AV44" s="52">
        <s:f>B44*B107+C44*C107+D44*D107+E44*E107+F44*F107+G44*G107+H44*H107+I44*I107+J44*J107+K44*K107+L44*L107+AT44*AT108+AU108*AU44+M44*M107+N44*N107+O44*O107+P44*P107+Q44*Q107+R44*R107+S44*S107+T44*T107+U44*U107+V44*V107+W44*W107+X44*X107+Y44*Y107+Z44*Z107+AA44*AA107+AB44*AB107+AC44*AC107+AD44*AD107+AE44*AE107+AF44*AF107+AG44*AG107+AH44*AH107+AI44*AI107+AJ44*AJ107+AK44*AK107+AL44*AL107+AM44*AM107+AN44*AN107+AO44*AO107+AP44*AP107+AQ44*AQ107+AR44*AR107+AS44*AS107+AT44*AT107+AU44*AU107</s:f>
        <s:v>0</s:v>
      </s:c>
    </s:row>
    <s:row r="45" ht="18.75">
      <s:c r="A45" s="31" t="s">
        <s:v>39</s:v>
      </s:c>
      <s:c r="B45" s="27"/>
      <s:c r="C45" s="27"/>
      <s:c r="D45" s="27"/>
      <s:c r="E45" s="27"/>
      <s:c r="F45" s="27"/>
      <s:c r="G45" s="27"/>
      <s:c r="H45" s="27"/>
      <s:c r="I45" s="27"/>
      <s:c r="J45" s="27"/>
      <s:c r="K45" s="27"/>
      <s:c r="L45" s="27"/>
      <s:c r="M45" s="22"/>
      <s:c r="N45" s="22"/>
      <s:c r="O45" s="22"/>
      <s:c r="P45" s="22"/>
      <s:c r="Q45" s="22"/>
      <s:c r="R45" s="22"/>
      <s:c r="S45" s="22"/>
      <s:c r="T45" s="22"/>
      <s:c r="U45" s="22"/>
      <s:c r="V45" s="22"/>
      <s:c r="W45" s="22"/>
      <s:c r="X45" s="22"/>
      <s:c r="Y45" s="22"/>
      <s:c r="Z45" s="22"/>
      <s:c r="AA45" s="22"/>
      <s:c r="AB45" s="22"/>
      <s:c r="AC45" s="22"/>
      <s:c r="AD45" s="22"/>
      <s:c r="AE45" s="22"/>
      <s:c r="AF45" s="22"/>
      <s:c r="AG45" s="23"/>
      <s:c r="AH45" s="24"/>
      <s:c r="AI45" s="24"/>
      <s:c r="AJ45" s="24"/>
      <s:c r="AK45" s="24"/>
      <s:c r="AL45" s="25"/>
      <s:c r="AM45" s="26"/>
      <s:c r="AN45" s="26"/>
      <s:c r="AO45" s="26"/>
      <s:c r="AP45" s="26"/>
      <s:c r="AQ45" s="26">
        <s:v>14</s:v>
      </s:c>
      <s:c r="AR45" s="26"/>
      <s:c r="AS45" s="26"/>
      <s:c r="AT45" s="26"/>
      <s:c r="AU45" s="26"/>
      <s:c r="AV45" s="52">
        <s:f>B45*B108+C45*C108+D45*D108+E45*E108+F45*F108+G45*G108+H45*H108+I45*I108+J45*J108+K45*K108+L45*L108+AT45*AT109+AU109*AU45+M45*M108+N45*N108+O45*O108+P45*P108+Q45*Q108+R45*R108+S45*S108+T45*T108+U45*U108+V45*V108+W45*W108+X45*X108+Y45*Y108+Z45*Z108+AA45*AA108+AB45*AB108+AC45*AC108+AD45*AD108+AE45*AE108+AF45*AF108+AG45*AG108+AH45*AH108+AI45*AI108+AJ45*AJ108+AK45*AK108+AL45*AL108+AM45*AM108+AN45*AN108+AO45*AO108+AP45*AP108+AQ45*AQ108+AR45*AR108+AS45*AS108+AT45*AT108+AU45*AU108</s:f>
        <s:v>4438000</s:v>
      </s:c>
    </s:row>
    <s:row r="46" ht="18.75">
      <s:c r="A46" s="31" t="s">
        <s:v>53</s:v>
      </s:c>
      <s:c r="B46" s="49"/>
      <s:c r="C46" s="49"/>
      <s:c r="D46" s="49"/>
      <s:c r="E46" s="49"/>
      <s:c r="F46" s="49"/>
      <s:c r="G46" s="49"/>
      <s:c r="H46" s="49"/>
      <s:c r="I46" s="49"/>
      <s:c r="J46" s="49"/>
      <s:c r="K46" s="49"/>
      <s:c r="L46" s="49"/>
      <s:c r="M46" s="22"/>
      <s:c r="N46" s="22"/>
      <s:c r="O46" s="22"/>
      <s:c r="P46" s="22"/>
      <s:c r="Q46" s="22"/>
      <s:c r="R46" s="22"/>
      <s:c r="S46" s="22"/>
      <s:c r="T46" s="22"/>
      <s:c r="U46" s="22"/>
      <s:c r="V46" s="22"/>
      <s:c r="W46" s="22"/>
      <s:c r="X46" s="22"/>
      <s:c r="Y46" s="22"/>
      <s:c r="Z46" s="22"/>
      <s:c r="AA46" s="22"/>
      <s:c r="AB46" s="22"/>
      <s:c r="AC46" s="22"/>
      <s:c r="AD46" s="22"/>
      <s:c r="AE46" s="22"/>
      <s:c r="AF46" s="22"/>
      <s:c r="AG46" s="23"/>
      <s:c r="AH46" s="24"/>
      <s:c r="AI46" s="24"/>
      <s:c r="AJ46" s="24"/>
      <s:c r="AK46" s="24"/>
      <s:c r="AL46" s="50"/>
      <s:c r="AM46" s="51"/>
      <s:c r="AN46" s="51"/>
      <s:c r="AO46" s="51"/>
      <s:c r="AP46" s="51"/>
      <s:c r="AQ46" s="51"/>
      <s:c r="AR46" s="51"/>
      <s:c r="AS46" s="51"/>
      <s:c r="AT46" s="51"/>
      <s:c r="AU46" s="51"/>
      <s:c r="AV46" s="52">
        <s:f>B46*B109+C46*C109+D46*D109+E46*E109+F46*F109+G46*G109+H46*H109+I46*I109+J46*J109+K46*K109+L46*L109+AT46*AT110+AU110*AU46+M46*M109+N46*N109+O46*O109+P46*P109+Q46*Q109+R46*R109+S46*S109+T46*T109+U46*U109+V46*V109+W46*W109+X46*X109+Y46*Y109+Z46*Z109+AA46*AA109+AB46*AB109+AC46*AC109+AD46*AD109+AE46*AE109+AF46*AF109+AG46*AG109+AH46*AH109+AI46*AI109+AJ46*AJ109+AK46*AK109+AL46*AL109+AM46*AM109+AN46*AN109+AO46*AO109+AP46*AP109+AQ46*AQ109+AR46*AR109+AS46*AS109+AT46*AT109+AU46*AU109</s:f>
        <s:v>0</s:v>
      </s:c>
    </s:row>
    <s:row r="47" ht="18.75">
      <s:c r="A47" s="31" t="s">
        <s:v>85</s:v>
      </s:c>
      <s:c r="B47" s="27"/>
      <s:c r="C47" s="27"/>
      <s:c r="D47" s="27"/>
      <s:c r="E47" s="27"/>
      <s:c r="F47" s="27"/>
      <s:c r="G47" s="27"/>
      <s:c r="H47" s="27"/>
      <s:c r="I47" s="27"/>
      <s:c r="J47" s="27"/>
      <s:c r="K47" s="27"/>
      <s:c r="L47" s="27"/>
      <s:c r="M47" s="22"/>
      <s:c r="N47" s="22"/>
      <s:c r="O47" s="22"/>
      <s:c r="P47" s="75"/>
      <s:c r="Q47" s="22"/>
      <s:c r="R47" s="22"/>
      <s:c r="S47" s="22"/>
      <s:c r="T47" s="22"/>
      <s:c r="U47" s="22"/>
      <s:c r="V47" s="22"/>
      <s:c r="W47" s="22"/>
      <s:c r="X47" s="22"/>
      <s:c r="Y47" s="22"/>
      <s:c r="Z47" s="22"/>
      <s:c r="AA47" s="22"/>
      <s:c r="AB47" s="28"/>
      <s:c r="AC47" s="22"/>
      <s:c r="AD47" s="22"/>
      <s:c r="AE47" s="22"/>
      <s:c r="AF47" s="22"/>
      <s:c r="AG47" s="23"/>
      <s:c r="AH47" s="24"/>
      <s:c r="AI47" s="24"/>
      <s:c r="AJ47" s="24"/>
      <s:c r="AK47" s="24"/>
      <s:c r="AL47" s="25"/>
      <s:c r="AM47" s="26"/>
      <s:c r="AN47" s="26"/>
      <s:c r="AO47" s="26"/>
      <s:c r="AP47" s="26"/>
      <s:c r="AQ47" s="26"/>
      <s:c r="AR47" s="26"/>
      <s:c r="AS47" s="26"/>
      <s:c r="AT47" s="26"/>
      <s:c r="AU47" s="26"/>
      <s:c r="AV47" s="52">
        <s:f>B47*B110+C47*C110+D47*D110+E47*E110+F47*F110+G47*G110+H47*H110+I47*I110+J47*J110+K47*K110+L47*L110+AT47*AT111+AU111*AU47+M47*M110+N47*N110+O47*O110+P47*P110+Q47*Q110+R47*R110+S47*S110+T47*T110+U47*U110+V47*V110+W47*W110+X47*X110+Y47*Y110+Z47*Z110+AA47*AA110+AB47*AB110+AC47*AC110+AD47*AD110+AE47*AE110+AF47*AF110+AG47*AG110+AH47*AH110+AI47*AI110+AJ47*AJ110+AK47*AK110+AL47*AL110+AM47*AM110+AN47*AN110+AO47*AO110+AP47*AP110+AQ47*AQ110+AR47*AR110+AS47*AS110+AT47*AT110+AU47*AU110</s:f>
        <s:v>0</s:v>
      </s:c>
      <s:c r="AW47" t="s">
        <s:v>113</s:v>
      </s:c>
    </s:row>
    <s:row r="48" ht="18.75">
      <s:c r="A48" s="31" t="s">
        <s:v>74</s:v>
      </s:c>
      <s:c r="B48" s="27"/>
      <s:c r="C48" s="27"/>
      <s:c r="D48" s="27"/>
      <s:c r="E48" s="27"/>
      <s:c r="F48" s="27"/>
      <s:c r="G48" s="27"/>
      <s:c r="H48" s="27"/>
      <s:c r="I48" s="27"/>
      <s:c r="J48" s="27"/>
      <s:c r="K48" s="27"/>
      <s:c r="L48" s="27"/>
      <s:c r="M48" s="22"/>
      <s:c r="N48" s="22"/>
      <s:c r="O48" s="22"/>
      <s:c r="P48" s="22"/>
      <s:c r="Q48" s="22"/>
      <s:c r="R48" s="22"/>
      <s:c r="S48" s="22">
        <s:v>1</s:v>
      </s:c>
      <s:c r="T48" s="22"/>
      <s:c r="U48" s="22"/>
      <s:c r="V48" s="22"/>
      <s:c r="W48" s="22"/>
      <s:c r="X48" s="22"/>
      <s:c r="Y48" s="22"/>
      <s:c r="Z48" s="22"/>
      <s:c r="AA48" s="22"/>
      <s:c r="AB48" s="22"/>
      <s:c r="AC48" s="22"/>
      <s:c r="AD48" s="22"/>
      <s:c r="AE48" s="22"/>
      <s:c r="AF48" s="22"/>
      <s:c r="AG48" s="23"/>
      <s:c r="AH48" s="24"/>
      <s:c r="AI48" s="24"/>
      <s:c r="AJ48" s="24"/>
      <s:c r="AK48" s="24"/>
      <s:c r="AL48" s="25"/>
      <s:c r="AM48" s="26"/>
      <s:c r="AN48" s="26"/>
      <s:c r="AO48" s="26"/>
      <s:c r="AP48" s="26"/>
      <s:c r="AQ48" s="26"/>
      <s:c r="AR48" s="26"/>
      <s:c r="AS48" s="26"/>
      <s:c r="AT48" s="26"/>
      <s:c r="AU48" s="26"/>
      <s:c r="AV48" s="52">
        <s:f>B48*B111+C48*C111+D48*D111+E48*E111+F48*F111+G48*G111+H48*H111+I48*I111+J48*J111+K48*K111+L48*L111+AT48*AT112+AU112*AU48+M48*M111+N48*N111+O48*O111+P48*P111+Q48*Q111+R48*R111+S48*S111+T48*T111+U48*U111+V48*V111+W48*W111+X48*X111+Y48*Y111+Z48*Z111+AA48*AA111+AB48*AB111+AC48*AC111+AD48*AD111+AE48*AE111+AF48*AF111+AG48*AG111+AH48*AH111+AI48*AI111+AJ48*AJ111+AK48*AK111+AL48*AL111+AM48*AM111+AN48*AN111+AO48*AO111+AP48*AP111+AQ48*AQ111+AR48*AR111+AS48*AS111+AT48*AT111+AU48*AU111</s:f>
        <s:v>235000</s:v>
      </s:c>
    </s:row>
    <s:row r="49" ht="18.75">
      <s:c r="A49" s="31" t="s">
        <s:v>63</s:v>
      </s:c>
      <s:c r="B49" s="27"/>
      <s:c r="C49" s="27"/>
      <s:c r="D49" s="27"/>
      <s:c r="E49" s="27"/>
      <s:c r="F49" s="27"/>
      <s:c r="G49" s="27"/>
      <s:c r="H49" s="27"/>
      <s:c r="I49" s="27"/>
      <s:c r="J49" s="27"/>
      <s:c r="K49" s="27"/>
      <s:c r="L49" s="27"/>
      <s:c r="M49" s="22"/>
      <s:c r="N49" s="22"/>
      <s:c r="O49" s="22"/>
      <s:c r="P49" s="22"/>
      <s:c r="Q49" s="22"/>
      <s:c r="R49" s="22"/>
      <s:c r="S49" s="22"/>
      <s:c r="T49" s="22"/>
      <s:c r="U49" s="22"/>
      <s:c r="V49" s="22"/>
      <s:c r="W49" s="22"/>
      <s:c r="X49" s="22"/>
      <s:c r="Y49" s="22"/>
      <s:c r="Z49" s="22"/>
      <s:c r="AA49" s="22"/>
      <s:c r="AB49" s="22"/>
      <s:c r="AC49" s="22"/>
      <s:c r="AD49" s="22"/>
      <s:c r="AE49" s="22"/>
      <s:c r="AF49" s="22"/>
      <s:c r="AG49" s="23"/>
      <s:c r="AH49" s="24"/>
      <s:c r="AI49" s="24"/>
      <s:c r="AJ49" s="24"/>
      <s:c r="AK49" s="24"/>
      <s:c r="AL49" s="25"/>
      <s:c r="AM49" s="26"/>
      <s:c r="AN49" s="26"/>
      <s:c r="AO49" s="26"/>
      <s:c r="AP49" s="26"/>
      <s:c r="AQ49" s="26"/>
      <s:c r="AR49" s="26"/>
      <s:c r="AS49" s="26"/>
      <s:c r="AT49" s="26"/>
      <s:c r="AU49" s="26"/>
      <s:c r="AV49" s="52">
        <s:f>B49*B112+C49*C112+D49*D112+E49*E112+F49*F112+G49*G112+H49*H112+I49*I112+J49*J112+K49*K112+L49*L112+AT49*AT113+AU113*AU49+M49*M112+N49*N112+O49*O112+P49*P112+Q49*Q112+R49*R112+S49*S112+T49*T112+U49*U112+V49*V112+W49*W112+X49*X112+Y49*Y112+Z49*Z112+AA49*AA112+AB49*AB112+AC49*AC112+AD49*AD112+AE49*AE112+AF49*AF112+AG49*AG112+AH49*AH112+AI49*AI112+AJ49*AJ112+AK49*AK112+AL49*AL112+AM49*AM112+AN49*AN112+AO49*AO112+AP49*AP112+AQ49*AQ112+AR49*AR112+AS49*AS112+AT49*AT112+AU49*AU112</s:f>
        <s:v>0</s:v>
      </s:c>
    </s:row>
    <s:row r="50" ht="18.75">
      <s:c r="A50" s="31" t="s">
        <s:v>87</s:v>
      </s:c>
      <s:c r="B50" s="49"/>
      <s:c r="C50" s="27"/>
      <s:c r="D50" s="49"/>
      <s:c r="E50" s="49"/>
      <s:c r="F50" s="49"/>
      <s:c r="G50" s="49"/>
      <s:c r="H50" s="49"/>
      <s:c r="I50" s="49"/>
      <s:c r="J50" s="49"/>
      <s:c r="K50" s="49"/>
      <s:c r="L50" s="49"/>
      <s:c r="M50" s="22"/>
      <s:c r="N50" s="22"/>
      <s:c r="O50" s="22"/>
      <s:c r="P50" s="22"/>
      <s:c r="Q50" s="22"/>
      <s:c r="R50" s="22"/>
      <s:c r="S50" s="22"/>
      <s:c r="T50" s="22"/>
      <s:c r="U50" s="22"/>
      <s:c r="V50" s="22"/>
      <s:c r="W50" s="22"/>
      <s:c r="X50" s="22"/>
      <s:c r="Y50" s="22"/>
      <s:c r="Z50" s="22"/>
      <s:c r="AA50" s="22"/>
      <s:c r="AB50" s="22"/>
      <s:c r="AC50" s="22"/>
      <s:c r="AD50" s="22"/>
      <s:c r="AE50" s="22"/>
      <s:c r="AF50" s="22"/>
      <s:c r="AG50" s="23"/>
      <s:c r="AH50" s="24"/>
      <s:c r="AI50" s="24"/>
      <s:c r="AJ50" s="24"/>
      <s:c r="AK50" s="24"/>
      <s:c r="AL50" s="50"/>
      <s:c r="AM50" s="51"/>
      <s:c r="AN50" s="51"/>
      <s:c r="AO50" s="51"/>
      <s:c r="AP50" s="51"/>
      <s:c r="AQ50" s="51"/>
      <s:c r="AR50" s="51"/>
      <s:c r="AS50" s="51"/>
      <s:c r="AT50" s="51"/>
      <s:c r="AU50" s="51"/>
      <s:c r="AV50" s="52">
        <s:f>B50*B113+C50*C113+D50*D113+E50*E113+F50*F113+G50*G113+H50*H113+I50*I113+J50*J113+K50*K113+L50*L113+AT50*AT114+AU114*AU50+M50*M113+N50*N113+O50*O113+P50*P113+Q50*Q113+R50*R113+S50*S113+T50*T113+U50*U113+V50*V113+W50*W113+X50*X113+Y50*Y113+Z50*Z113+AA50*AA113+AB50*AB113+AC50*AC113+AD50*AD113+AE50*AE113+AF50*AF113+AG50*AG113+AH50*AH113+AI50*AI113+AJ50*AJ113+AK50*AK113+AL50*AL113+AM50*AM113+AN50*AN113+AO50*AO113+AP50*AP113+AQ50*AQ113+AR50*AR113+AS50*AS113+AT50*AT113+AU50*AU113</s:f>
        <s:v>0</s:v>
      </s:c>
    </s:row>
    <s:row r="51" ht="18.75">
      <s:c r="A51" s="31" t="s">
        <s:v>48</s:v>
      </s:c>
      <s:c r="B51" s="27"/>
      <s:c r="C51" s="27"/>
      <s:c r="D51" s="27"/>
      <s:c r="E51" s="27"/>
      <s:c r="F51" s="27"/>
      <s:c r="G51" s="27"/>
      <s:c r="H51" s="27"/>
      <s:c r="I51" s="27"/>
      <s:c r="J51" s="27"/>
      <s:c r="K51" s="27"/>
      <s:c r="L51" s="27"/>
      <s:c r="M51" s="22"/>
      <s:c r="N51" s="22"/>
      <s:c r="O51" s="22"/>
      <s:c r="P51" s="22"/>
      <s:c r="Q51" s="22"/>
      <s:c r="R51" s="22"/>
      <s:c r="S51" s="22"/>
      <s:c r="T51" s="22"/>
      <s:c r="U51" s="22"/>
      <s:c r="V51" s="22"/>
      <s:c r="W51" s="22"/>
      <s:c r="X51" s="22"/>
      <s:c r="Y51" s="22"/>
      <s:c r="Z51" s="22"/>
      <s:c r="AA51" s="22"/>
      <s:c r="AB51" s="22"/>
      <s:c r="AC51" s="22"/>
      <s:c r="AD51" s="22"/>
      <s:c r="AE51" s="22"/>
      <s:c r="AF51" s="22"/>
      <s:c r="AG51" s="23"/>
      <s:c r="AH51" s="24"/>
      <s:c r="AI51" s="24"/>
      <s:c r="AJ51" s="24"/>
      <s:c r="AK51" s="24"/>
      <s:c r="AL51" s="25"/>
      <s:c r="AM51" s="26"/>
      <s:c r="AN51" s="26"/>
      <s:c r="AO51" s="26"/>
      <s:c r="AP51" s="26"/>
      <s:c r="AQ51" s="26"/>
      <s:c r="AR51" s="26"/>
      <s:c r="AS51" s="26"/>
      <s:c r="AT51" s="26"/>
      <s:c r="AU51" s="26"/>
      <s:c r="AV51" s="52">
        <s:f>B51*B114+C51*C114+D51*D114+E51*E114+F51*F114+G51*G114+H51*H114+I51*I114+J51*J114+K51*K114+L51*L114+AT51*AT115+AU115*AU51+M51*M114+N51*N114+O51*O114+P51*P114+Q51*Q114+R51*R114+S51*S114+T51*T114+U51*U114+V51*V114+W51*W114+X51*X114+Y51*Y114+Z51*Z114+AA51*AA114+AB51*AB114+AC51*AC114+AD51*AD114+AE51*AE114+AF51*AF114+AG51*AG114+AH51*AH114+AI51*AI114+AJ51*AJ114+AK51*AK114+AL51*AL114+AM51*AM114+AN51*AN114+AO51*AO114+AP51*AP114+AQ51*AQ114+AR51*AR114+AS51*AS114+AT51*AT114+AU51*AU114</s:f>
        <s:v>0</s:v>
      </s:c>
    </s:row>
    <s:row r="52" ht="18.75">
      <s:c r="A52" s="31" t="s">
        <s:v>57</s:v>
      </s:c>
      <s:c r="B52" s="49"/>
      <s:c r="C52" s="49"/>
      <s:c r="D52" s="49"/>
      <s:c r="E52" s="49"/>
      <s:c r="F52" s="49"/>
      <s:c r="G52" s="49"/>
      <s:c r="H52" s="49"/>
      <s:c r="I52" s="49"/>
      <s:c r="J52" s="49"/>
      <s:c r="K52" s="49"/>
      <s:c r="L52" s="49"/>
      <s:c r="M52" s="22"/>
      <s:c r="N52" s="22"/>
      <s:c r="O52" s="22"/>
      <s:c r="P52" s="22"/>
      <s:c r="Q52" s="22"/>
      <s:c r="R52" s="22"/>
      <s:c r="S52" s="22"/>
      <s:c r="T52" s="22"/>
      <s:c r="U52" s="22"/>
      <s:c r="V52" s="22"/>
      <s:c r="W52" s="22"/>
      <s:c r="X52" s="22"/>
      <s:c r="Y52" s="22"/>
      <s:c r="Z52" s="22"/>
      <s:c r="AA52" s="22"/>
      <s:c r="AB52" s="22"/>
      <s:c r="AC52" s="22"/>
      <s:c r="AD52" s="22"/>
      <s:c r="AE52" s="22"/>
      <s:c r="AF52" s="22"/>
      <s:c r="AG52" s="23"/>
      <s:c r="AH52" s="24"/>
      <s:c r="AI52" s="24"/>
      <s:c r="AJ52" s="24"/>
      <s:c r="AK52" s="24"/>
      <s:c r="AL52" s="50"/>
      <s:c r="AM52" s="51"/>
      <s:c r="AN52" s="51"/>
      <s:c r="AO52" s="51"/>
      <s:c r="AP52" s="51"/>
      <s:c r="AQ52" s="51"/>
      <s:c r="AR52" s="51"/>
      <s:c r="AS52" s="51"/>
      <s:c r="AT52" s="51"/>
      <s:c r="AU52" s="51"/>
      <s:c r="AV52" s="52">
        <s:f>B52*B115+C52*C115+D52*D115+E52*E115+F52*F115+G52*G115+H52*H115+I52*I115+J52*J115+K52*K115+L52*L115+AT52*AT116+AU116*AU52+M52*M115+N52*N115+O52*O115+P52*P115+Q52*Q115+R52*R115+S52*S115+T52*T115+U52*U115+V52*V115+W52*W115+X52*X115+Y52*Y115+Z52*Z115+AA52*AA115+AB52*AB115+AC52*AC115+AD52*AD115+AE52*AE115+AF52*AF115+AG52*AG115+AH52*AH115+AI52*AI115+AJ52*AJ115+AK52*AK115+AL52*AL115+AM52*AM115+AN52*AN115+AO52*AO115+AP52*AP115+AQ52*AQ115+AR52*AR115+AS52*AS115+AT52*AT115+AU52*AU115</s:f>
        <s:v>0</s:v>
      </s:c>
    </s:row>
    <s:row r="53" ht="18.75">
      <s:c r="A53" s="31" t="s">
        <s:v>51</s:v>
      </s:c>
      <s:c r="B53" s="27"/>
      <s:c r="C53" s="27"/>
      <s:c r="D53" s="27"/>
      <s:c r="E53" s="27"/>
      <s:c r="F53" s="27"/>
      <s:c r="G53" s="27"/>
      <s:c r="H53" s="27"/>
      <s:c r="I53" s="27"/>
      <s:c r="J53" s="27"/>
      <s:c r="K53" s="27"/>
      <s:c r="L53" s="27"/>
      <s:c r="M53" s="22"/>
      <s:c r="N53" s="22"/>
      <s:c r="O53" s="22"/>
      <s:c r="P53" s="22"/>
      <s:c r="Q53" s="22"/>
      <s:c r="R53" s="22">
        <s:v>6.4</s:v>
      </s:c>
      <s:c r="S53" s="22"/>
      <s:c r="T53" s="22"/>
      <s:c r="U53" s="22"/>
      <s:c r="V53" s="22"/>
      <s:c r="W53" s="22"/>
      <s:c r="X53" s="22"/>
      <s:c r="Y53" s="22"/>
      <s:c r="Z53" s="22"/>
      <s:c r="AA53" s="22"/>
      <s:c r="AB53" s="22"/>
      <s:c r="AC53" s="22"/>
      <s:c r="AD53" s="22"/>
      <s:c r="AE53" s="22"/>
      <s:c r="AF53" s="22"/>
      <s:c r="AG53" s="23"/>
      <s:c r="AH53" s="24"/>
      <s:c r="AI53" s="24"/>
      <s:c r="AJ53" s="24"/>
      <s:c r="AK53" s="24"/>
      <s:c r="AL53" s="25"/>
      <s:c r="AM53" s="26"/>
      <s:c r="AN53" s="26"/>
      <s:c r="AO53" s="26"/>
      <s:c r="AP53" s="26"/>
      <s:c r="AQ53" s="26"/>
      <s:c r="AR53" s="26"/>
      <s:c r="AS53" s="26"/>
      <s:c r="AT53" s="26"/>
      <s:c r="AU53" s="26"/>
      <s:c r="AV53" s="52">
        <s:f>B53*B116+C53*C116+D53*D116+E53*E116+F53*F116+G53*G116+H53*H116+I53*I116+J53*J116+K53*K116+L53*L116+AT53*AT117+AU117*AU53+M53*M116+N53*N116+O53*O116+P53*P116+Q53*Q116+R53*R116+S53*S116+T53*T116+U53*U116+V53*V116+W53*W116+X53*X116+Y53*Y116+Z53*Z116+AA53*AA116+AB53*AB116+AC53*AC116+AD53*AD116+AE53*AE116+AF53*AF116+AG53*AG116+AH53*AH116+AI53*AI116+AJ53*AJ116+AK53*AK116+AL53*AL116+AM53*AM116+AN53*AN116+AO53*AO116+AP53*AP116+AQ53*AQ116+AR53*AR116+AS53*AS116+AT53*AT116+AU53*AU116</s:f>
        <s:v>575360</s:v>
      </s:c>
    </s:row>
    <s:row r="54" ht="18.75">
      <s:c r="A54" s="31" t="s">
        <s:v>49</s:v>
      </s:c>
      <s:c r="B54" s="27"/>
      <s:c r="C54" s="27"/>
      <s:c r="D54" s="27"/>
      <s:c r="E54" s="27"/>
      <s:c r="F54" s="27"/>
      <s:c r="G54" s="27"/>
      <s:c r="H54" s="27"/>
      <s:c r="I54" s="27"/>
      <s:c r="J54" s="27"/>
      <s:c r="K54" s="27"/>
      <s:c r="L54" s="27"/>
      <s:c r="M54" s="22"/>
      <s:c r="N54" s="22"/>
      <s:c r="O54" s="22"/>
      <s:c r="P54" s="22"/>
      <s:c r="Q54" s="22"/>
      <s:c r="R54" s="22"/>
      <s:c r="S54" s="22"/>
      <s:c r="T54" s="22"/>
      <s:c r="U54" s="22"/>
      <s:c r="V54" s="22"/>
      <s:c r="W54" s="22"/>
      <s:c r="X54" s="22"/>
      <s:c r="Y54" s="22"/>
      <s:c r="Z54" s="22"/>
      <s:c r="AA54" s="22"/>
      <s:c r="AB54" s="22"/>
      <s:c r="AC54" s="22"/>
      <s:c r="AD54" s="22"/>
      <s:c r="AE54" s="22"/>
      <s:c r="AF54" s="22"/>
      <s:c r="AG54" s="23"/>
      <s:c r="AH54" s="24"/>
      <s:c r="AI54" s="24"/>
      <s:c r="AJ54" s="24"/>
      <s:c r="AK54" s="24"/>
      <s:c r="AL54" s="25"/>
      <s:c r="AM54" s="26"/>
      <s:c r="AN54" s="26"/>
      <s:c r="AO54" s="26"/>
      <s:c r="AP54" s="26"/>
      <s:c r="AQ54" s="26"/>
      <s:c r="AR54" s="26"/>
      <s:c r="AS54" s="26"/>
      <s:c r="AT54" s="26"/>
      <s:c r="AU54" s="26"/>
      <s:c r="AV54" s="52">
        <s:f>B54*B117+C54*C117+D54*D117+E54*E117+F54*F117+G54*G117+H54*H117+I54*I117+J54*J117+K54*K117+L54*L117+AT54*AT118+AU118*AU54+M54*M117+N54*N117+O54*O117+P54*P117+Q54*Q117+R54*R117+S54*S117+T54*T117+U54*U117+V54*V117+W54*W117+X54*X117+Y54*Y117+Z54*Z117+AA54*AA117+AB54*AB117+AC54*AC117+AD54*AD117+AE54*AE117+AF54*AF117+AG54*AG117+AH54*AH117+AI54*AI117+AJ54*AJ117+AK54*AK117+AL54*AL117+AM54*AM117+AN54*AN117+AO54*AO117+AP54*AP117+AQ54*AQ117+AR54*AR117+AS54*AS117+AT54*AT117+AU54*AU117</s:f>
        <s:v>0</s:v>
      </s:c>
    </s:row>
    <s:row r="55" ht="18.75">
      <s:c r="A55" s="31" t="s">
        <s:v>94</s:v>
      </s:c>
      <s:c r="B55" s="49"/>
      <s:c r="C55" s="49"/>
      <s:c r="D55" s="49"/>
      <s:c r="E55" s="49"/>
      <s:c r="F55" s="49"/>
      <s:c r="G55" s="49"/>
      <s:c r="H55" s="49"/>
      <s:c r="I55" s="49"/>
      <s:c r="J55" s="49"/>
      <s:c r="K55" s="49"/>
      <s:c r="L55" s="49"/>
      <s:c r="M55" s="22"/>
      <s:c r="N55" s="22"/>
      <s:c r="O55" s="22"/>
      <s:c r="P55" s="22"/>
      <s:c r="Q55" s="22"/>
      <s:c r="R55" s="22"/>
      <s:c r="S55" s="22"/>
      <s:c r="T55" s="22"/>
      <s:c r="U55" s="22"/>
      <s:c r="V55" s="22"/>
      <s:c r="W55" s="22"/>
      <s:c r="X55" s="22"/>
      <s:c r="Y55" s="22"/>
      <s:c r="Z55" s="22"/>
      <s:c r="AA55" s="22"/>
      <s:c r="AB55" s="22"/>
      <s:c r="AC55" s="22"/>
      <s:c r="AD55" s="22"/>
      <s:c r="AE55" s="22"/>
      <s:c r="AF55" s="22"/>
      <s:c r="AG55" s="23"/>
      <s:c r="AH55" s="24"/>
      <s:c r="AI55" s="24"/>
      <s:c r="AJ55" s="24"/>
      <s:c r="AK55" s="24"/>
      <s:c r="AL55" s="50"/>
      <s:c r="AM55" s="51"/>
      <s:c r="AN55" s="51"/>
      <s:c r="AO55" s="51"/>
      <s:c r="AP55" s="51"/>
      <s:c r="AQ55" s="51"/>
      <s:c r="AR55" s="51"/>
      <s:c r="AS55" s="51"/>
      <s:c r="AT55" s="51"/>
      <s:c r="AU55" s="51"/>
      <s:c r="AV55" s="52">
        <s:f>B55*B118+C55*C118+D55*D118+E55*E118+F55*F118+G55*G118+H55*H118+I55*I118+J55*J118+K55*K118+L55*L118+AT55*AT119+AU119*AU55+M55*M118+N55*N118+O55*O118+P55*P118+Q55*Q118+R55*R118+S55*S118+T55*T118+U55*U118+V55*V118+W55*W118+X55*X118+Y55*Y118+Z55*Z118+AA55*AA118+AB55*AB118+AC55*AC118+AD55*AD118+AE55*AE118+AF55*AF118+AG55*AG118+AH55*AH118+AI55*AI118+AJ55*AJ118+AK55*AK118+AL55*AL118+AM55*AM118+AN55*AN118+AO55*AO118+AP55*AP118+AQ55*AQ118+AR55*AR118+AS55*AS118+AT55*AT118+AU55*AU118</s:f>
        <s:v>0</s:v>
      </s:c>
    </s:row>
    <s:row r="56" ht="18.75">
      <s:c r="A56" s="31" t="s">
        <s:v>114</s:v>
      </s:c>
      <s:c r="B56" s="49"/>
      <s:c r="C56" s="49"/>
      <s:c r="D56" s="49"/>
      <s:c r="E56" s="49"/>
      <s:c r="F56" s="49"/>
      <s:c r="G56" s="49"/>
      <s:c r="H56" s="49"/>
      <s:c r="I56" s="49"/>
      <s:c r="J56" s="49"/>
      <s:c r="K56" s="49"/>
      <s:c r="L56" s="49"/>
      <s:c r="M56" s="22"/>
      <s:c r="N56" s="22"/>
      <s:c r="O56" s="22"/>
      <s:c r="P56" s="22"/>
      <s:c r="Q56" s="22"/>
      <s:c r="R56" s="22"/>
      <s:c r="S56" s="22"/>
      <s:c r="T56" s="22"/>
      <s:c r="U56" s="22"/>
      <s:c r="V56" s="22"/>
      <s:c r="W56" s="22"/>
      <s:c r="X56" s="22"/>
      <s:c r="Y56" s="22"/>
      <s:c r="Z56" s="22"/>
      <s:c r="AA56" s="22"/>
      <s:c r="AB56" s="22"/>
      <s:c r="AC56" s="22"/>
      <s:c r="AD56" s="22"/>
      <s:c r="AE56" s="22"/>
      <s:c r="AF56" s="22"/>
      <s:c r="AG56" s="23"/>
      <s:c r="AH56" s="24"/>
      <s:c r="AI56" s="24"/>
      <s:c r="AJ56" s="24"/>
      <s:c r="AK56" s="24"/>
      <s:c r="AL56" s="50"/>
      <s:c r="AM56" s="51"/>
      <s:c r="AN56" s="51"/>
      <s:c r="AO56" s="51"/>
      <s:c r="AP56" s="51"/>
      <s:c r="AQ56" s="51"/>
      <s:c r="AR56" s="51"/>
      <s:c r="AS56" s="51"/>
      <s:c r="AT56" s="51"/>
      <s:c r="AU56" s="51"/>
      <s:c r="AV56" s="52">
        <s:f>B56*B119+C56*C119+D56*D119+E56*E119+F56*F119+G56*G119+H56*H119+I56*I119+J56*J119+K56*K119+L56*L119+AT56*AT120+AU120*AU56+M56*M119+N56*N119+O56*O119+P56*P119+Q56*Q119+R56*R119+S56*S119+T56*T119+U56*U119+V56*V119+W56*W119+X56*X119+Y56*Y119+Z56*Z119+AA56*AA119+AB56*AB119+AC56*AC119+AD56*AD119+AE56*AE119+AF56*AF119+AG56*AG119+AH56*AH119+AI56*AI119+AJ56*AJ119+AK56*AK119+AL56*AL119+AM56*AM119+AN56*AN119+AO56*AO119+AP56*AP119+AQ56*AQ119+AR56*AR119+AS56*AS119+AT56*AT119+AU56*AU119</s:f>
        <s:v>0</s:v>
      </s:c>
    </s:row>
    <s:row r="57" ht="18.75">
      <s:c r="A57" s="31" t="s">
        <s:v>115</s:v>
      </s:c>
      <s:c r="B57" s="49"/>
      <s:c r="C57" s="49"/>
      <s:c r="D57" s="49"/>
      <s:c r="E57" s="49"/>
      <s:c r="F57" s="49"/>
      <s:c r="G57" s="49"/>
      <s:c r="H57" s="49"/>
      <s:c r="I57" s="49"/>
      <s:c r="J57" s="49"/>
      <s:c r="K57" s="49"/>
      <s:c r="L57" s="49"/>
      <s:c r="M57" s="22"/>
      <s:c r="N57" s="22"/>
      <s:c r="O57" s="22"/>
      <s:c r="P57" s="22"/>
      <s:c r="Q57" s="22"/>
      <s:c r="R57" s="22"/>
      <s:c r="S57" s="22"/>
      <s:c r="T57" s="22"/>
      <s:c r="U57" s="22"/>
      <s:c r="V57" s="22"/>
      <s:c r="W57" s="22"/>
      <s:c r="X57" s="22"/>
      <s:c r="Y57" s="22"/>
      <s:c r="Z57" s="22"/>
      <s:c r="AA57" s="22"/>
      <s:c r="AB57" s="22"/>
      <s:c r="AC57" s="22"/>
      <s:c r="AD57" s="22"/>
      <s:c r="AE57" s="22"/>
      <s:c r="AF57" s="22"/>
      <s:c r="AG57" s="23"/>
      <s:c r="AH57" s="24"/>
      <s:c r="AI57" s="24"/>
      <s:c r="AJ57" s="24"/>
      <s:c r="AK57" s="24"/>
      <s:c r="AL57" s="50"/>
      <s:c r="AM57" s="51"/>
      <s:c r="AN57" s="51"/>
      <s:c r="AO57" s="51"/>
      <s:c r="AP57" s="51"/>
      <s:c r="AQ57" s="51"/>
      <s:c r="AR57" s="51"/>
      <s:c r="AS57" s="51"/>
      <s:c r="AT57" s="51"/>
      <s:c r="AU57" s="51"/>
      <s:c r="AV57" s="52">
        <s:f>B57*B120+C57*C120+D57*D120+E57*E120+F57*F120+G57*G120+H57*H120+I57*I120+J57*J120+K57*K120+L57*L120+AT57*AT121+AU121*AU57+M57*M120+N57*N120+O57*O120+P57*P120+Q57*Q120+R57*R120+S57*S120+T57*T120+U57*U120+V57*V120+W57*W120+X57*X120+Y57*Y120+Z57*Z120+AA57*AA120+AB57*AB120+AC57*AC120+AD57*AD120+AE57*AE120+AF57*AF120+AG57*AG120+AH57*AH120+AI57*AI120+AJ57*AJ120+AK57*AK120+AL57*AL120+AM57*AM120+AN57*AN120+AO57*AO120+AP57*AP120+AQ57*AQ120+AR57*AR120+AS57*AS120+AT57*AT120+AU57*AU120</s:f>
        <s:v>0</s:v>
      </s:c>
    </s:row>
    <s:row r="58" ht="18.75">
      <s:c r="A58" s="31" t="s">
        <s:v>92</s:v>
      </s:c>
      <s:c r="B58" s="49"/>
      <s:c r="C58" s="49"/>
      <s:c r="D58" s="49"/>
      <s:c r="E58" s="49"/>
      <s:c r="F58" s="49"/>
      <s:c r="G58" s="49"/>
      <s:c r="H58" s="49"/>
      <s:c r="I58" s="49"/>
      <s:c r="J58" s="49"/>
      <s:c r="K58" s="49"/>
      <s:c r="L58" s="49"/>
      <s:c r="M58" s="22"/>
      <s:c r="N58" s="22"/>
      <s:c r="O58" s="22"/>
      <s:c r="P58" s="22"/>
      <s:c r="Q58" s="22"/>
      <s:c r="R58" s="22"/>
      <s:c r="S58" s="22"/>
      <s:c r="T58" s="22"/>
      <s:c r="U58" s="22"/>
      <s:c r="V58" s="22"/>
      <s:c r="W58" s="22"/>
      <s:c r="X58" s="22"/>
      <s:c r="Y58" s="22"/>
      <s:c r="Z58" s="22"/>
      <s:c r="AA58" s="22"/>
      <s:c r="AB58" s="22"/>
      <s:c r="AC58" s="22"/>
      <s:c r="AD58" s="22"/>
      <s:c r="AE58" s="22"/>
      <s:c r="AF58" s="22"/>
      <s:c r="AG58" s="23"/>
      <s:c r="AH58" s="24"/>
      <s:c r="AI58" s="24"/>
      <s:c r="AJ58" s="24"/>
      <s:c r="AK58" s="24"/>
      <s:c r="AL58" s="50"/>
      <s:c r="AM58" s="51"/>
      <s:c r="AN58" s="51"/>
      <s:c r="AO58" s="51"/>
      <s:c r="AP58" s="51"/>
      <s:c r="AQ58" s="51"/>
      <s:c r="AR58" s="51"/>
      <s:c r="AS58" s="51"/>
      <s:c r="AT58" s="51"/>
      <s:c r="AU58" s="51"/>
      <s:c r="AV58" s="52">
        <s:f>B58*B121+C58*C121+D58*D121+E58*E121+F58*F121+G58*G121+H58*H121+I58*I121+J58*J121+K58*K121+L58*L121+AT58*AT122+AU122*AU58+M58*M121+N58*N121+O58*O121+P58*P121+Q58*Q121+R58*R121+S58*S121+T58*T121+U58*U121+V58*V121+W58*W121+X58*X121+Y58*Y121+Z58*Z121+AA58*AA121+AB58*AB121+AC58*AC121+AD58*AD121+AE58*AE121+AF58*AF121+AG58*AG121+AH58*AH121+AI58*AI121+AJ58*AJ121+AK58*AK121+AL58*AL121+AM58*AM121+AN58*AN121+AO58*AO121+AP58*AP121+AQ58*AQ121+AR58*AR121+AS58*AS121+AT58*AT121+AU58*AU121</s:f>
        <s:v>0</s:v>
      </s:c>
    </s:row>
    <s:row r="59" ht="18.75">
      <s:c r="A59" s="53" t="s">
        <s:v>93</s:v>
      </s:c>
      <s:c r="B59" s="54"/>
      <s:c r="C59" s="54"/>
      <s:c r="D59" s="54"/>
      <s:c r="E59" s="54"/>
      <s:c r="F59" s="54"/>
      <s:c r="G59" s="54"/>
      <s:c r="H59" s="54"/>
      <s:c r="I59" s="54"/>
      <s:c r="J59" s="54"/>
      <s:c r="K59" s="54"/>
      <s:c r="L59" s="54"/>
      <s:c r="M59" s="55"/>
      <s:c r="N59" s="55"/>
      <s:c r="O59" s="55"/>
      <s:c r="P59" s="55"/>
      <s:c r="Q59" s="55"/>
      <s:c r="R59" s="55"/>
      <s:c r="S59" s="55"/>
      <s:c r="T59" s="55"/>
      <s:c r="U59" s="55"/>
      <s:c r="V59" s="55"/>
      <s:c r="W59" s="55"/>
      <s:c r="X59" s="55"/>
      <s:c r="Y59" s="55"/>
      <s:c r="Z59" s="55"/>
      <s:c r="AA59" s="55"/>
      <s:c r="AB59" s="55"/>
      <s:c r="AC59" s="55"/>
      <s:c r="AD59" s="55"/>
      <s:c r="AE59" s="55"/>
      <s:c r="AF59" s="55"/>
      <s:c r="AG59" s="23"/>
      <s:c r="AH59" s="24"/>
      <s:c r="AI59" s="24"/>
      <s:c r="AJ59" s="24"/>
      <s:c r="AK59" s="24"/>
      <s:c r="AL59" s="50"/>
      <s:c r="AM59" s="51"/>
      <s:c r="AN59" s="51"/>
      <s:c r="AO59" s="51"/>
      <s:c r="AP59" s="51"/>
      <s:c r="AQ59" s="51"/>
      <s:c r="AR59" s="51"/>
      <s:c r="AS59" s="51"/>
      <s:c r="AT59" s="51"/>
      <s:c r="AU59" s="51"/>
      <s:c r="AV59" s="52">
        <s:f>B59*B122+C59*C122+D59*D122+E59*E122+F59*F122+G59*G122+H59*H122+I59*I122+J59*J122+K59*K122+L59*L122+AT59*AT123+AU123*AU59+M59*M122+N59*N122+O59*O122+P59*P122+Q59*Q122+R59*R122+S59*S122+T59*T122+U59*U122+V59*V122+W59*W122+X59*X122+Y59*Y122+Z59*Z122+AA59*AA122+AB59*AB122+AC59*AC122+AD59*AD122+AE59*AE122+AF59*AF122+AG59*AG122+AH59*AH122+AI59*AI122+AJ59*AJ122+AK59*AK122+AL59*AL122+AM59*AM122+AN59*AN122+AO59*AO122+AP59*AP122+AQ59*AQ122+AR59*AR122+AS59*AS122+AT59*AT122+AU59*AU122</s:f>
        <s:v>0</s:v>
      </s:c>
    </s:row>
    <s:row r="60" ht="18.75">
      <s:c r="A60" s="53" t="s">
        <s:v>97</s:v>
      </s:c>
      <s:c r="B60" s="54"/>
      <s:c r="C60" s="54"/>
      <s:c r="D60" s="54"/>
      <s:c r="E60" s="54"/>
      <s:c r="F60" s="54"/>
      <s:c r="G60" s="54"/>
      <s:c r="H60" s="54"/>
      <s:c r="I60" s="54"/>
      <s:c r="J60" s="54"/>
      <s:c r="K60" s="54"/>
      <s:c r="L60" s="54"/>
      <s:c r="M60" s="55"/>
      <s:c r="N60" s="55"/>
      <s:c r="O60" s="55"/>
      <s:c r="P60" s="55"/>
      <s:c r="Q60" s="55"/>
      <s:c r="R60" s="55"/>
      <s:c r="S60" s="55"/>
      <s:c r="T60" s="55"/>
      <s:c r="U60" s="55"/>
      <s:c r="V60" s="55"/>
      <s:c r="W60" s="55"/>
      <s:c r="X60" s="55"/>
      <s:c r="Y60" s="55"/>
      <s:c r="Z60" s="55"/>
      <s:c r="AA60" s="55"/>
      <s:c r="AB60" s="55"/>
      <s:c r="AC60" s="55"/>
      <s:c r="AD60" s="55"/>
      <s:c r="AE60" s="55"/>
      <s:c r="AF60" s="55"/>
      <s:c r="AG60" s="23"/>
      <s:c r="AH60" s="24"/>
      <s:c r="AI60" s="24"/>
      <s:c r="AJ60" s="24"/>
      <s:c r="AK60" s="24"/>
      <s:c r="AL60" s="50"/>
      <s:c r="AM60" s="51"/>
      <s:c r="AN60" s="51"/>
      <s:c r="AO60" s="51"/>
      <s:c r="AP60" s="51"/>
      <s:c r="AQ60" s="51"/>
      <s:c r="AR60" s="51"/>
      <s:c r="AS60" s="51"/>
      <s:c r="AT60" s="51"/>
      <s:c r="AU60" s="51"/>
      <s:c r="AV60" s="52">
        <s:f>B60*B123+C60*C123+D60*D123+E60*E123+F60*F123+G60*G123+H60*H123+I60*I123+J60*J123+K60*K123+L60*L123+AT60*AT124+AU124*AU60+M60*M123+N60*N123+O60*O123+P60*P123+Q60*Q123+R60*R123+S60*S123+T60*T123+U60*U123+V60*V123+W60*W123+X60*X123+Y60*Y123+Z60*Z123+AA60*AA123+AB60*AB123+AC60*AC123+AD60*AD123+AE60*AE123+AF60*AF123+AG60*AG123+AH60*AH123+AI60*AI123+AJ60*AJ123+AK60*AK123+AL60*AL123+AM60*AM123+AN60*AN123+AO60*AO123+AP60*AP123+AQ60*AQ123+AR60*AR123+AS60*AS123+AT60*AT123+AU60*AU123</s:f>
        <s:v>0</s:v>
      </s:c>
    </s:row>
    <s:row r="61" ht="19.5">
      <s:c r="A61" s="56" t="s">
        <s:v>102</s:v>
      </s:c>
      <s:c r="B61" s="57"/>
      <s:c r="C61" s="57"/>
      <s:c r="D61" s="57"/>
      <s:c r="E61" s="57"/>
      <s:c r="F61" s="57"/>
      <s:c r="G61" s="57"/>
      <s:c r="H61" s="57"/>
      <s:c r="I61" s="57"/>
      <s:c r="J61" s="57"/>
      <s:c r="K61" s="57"/>
      <s:c r="L61" s="57"/>
      <s:c r="M61" s="58"/>
      <s:c r="N61" s="58"/>
      <s:c r="O61" s="58"/>
      <s:c r="P61" s="58"/>
      <s:c r="Q61" s="58"/>
      <s:c r="R61" s="58">
        <s:v>2</s:v>
      </s:c>
      <s:c r="S61" s="58"/>
      <s:c r="T61" s="58"/>
      <s:c r="U61" s="58"/>
      <s:c r="V61" s="58"/>
      <s:c r="W61" s="58"/>
      <s:c r="X61" s="58"/>
      <s:c r="Y61" s="58"/>
      <s:c r="Z61" s="58"/>
      <s:c r="AA61" s="58"/>
      <s:c r="AB61" s="58"/>
      <s:c r="AC61" s="58"/>
      <s:c r="AD61" s="58"/>
      <s:c r="AE61" s="58"/>
      <s:c r="AF61" s="58"/>
      <s:c r="AG61" s="59"/>
      <s:c r="AH61" s="60"/>
      <s:c r="AI61" s="60"/>
      <s:c r="AJ61" s="60"/>
      <s:c r="AK61" s="60"/>
      <s:c r="AL61" s="61"/>
      <s:c r="AM61" s="62"/>
      <s:c r="AN61" s="62"/>
      <s:c r="AO61" s="62"/>
      <s:c r="AP61" s="62"/>
      <s:c r="AQ61" s="62"/>
      <s:c r="AR61" s="62"/>
      <s:c r="AS61" s="62"/>
      <s:c r="AT61" s="62"/>
      <s:c r="AU61" s="62"/>
      <s:c r="AV61" s="52">
        <s:f>B61*B124+C61*C124+D61*D124+E61*E124+F61*F124+G61*G124+H61*H124+I61*I124+J61*J124+K61*K124+L61*L124+AT61*AT125+AU125*AU61+M61*M124+N61*N124+O61*O124+P61*P124+Q61*Q124+R61*R124+S61*S124+T61*T124+U61*U124+V61*V124+W61*W124+X61*X124+Y61*Y124+Z61*Z124+AA61*AA124+AB61*AB124+AC61*AC124+AD61*AD124+AE61*AE124+AF61*AF124+AG61*AG124+AH61*AH124+AI61*AI124+AJ61*AJ124+AK61*AK124+AL61*AL124+AM61*AM124+AN61*AN124+AO61*AO124+AP61*AP124+AQ61*AQ124+AR61*AR124+AS61*AS124+AT61*AT124+AU61*AU124</s:f>
        <s:v>222000</s:v>
      </s:c>
      <s:c r="AW61" t="s">
        <s:v>113</s:v>
      </s:c>
    </s:row>
    <s:row x14ac:dyDescent="0.35" r="62" spans="1:49" ht="27.75" customHeight="1" thickBot="1">
      <s:c r="A62" s="63"/>
      <s:c r="B62" s="78">
        <s:f>B5*B68+B6*B69+B7*B70+B8*B71+B9*B72+B10*B73+B11*B74+B12*B75+B13*B76+B14*B77+B15*B78+B16*B79+B17*B80+B18*B81+B19*B82+B20*B83+B21*B84+B22*B85+B23*B86+B24*B87+B25*B88+B26*B89+B27*B90+B28*B91+B29*B92+B31*B94+B32*B95+B33*B96+B34*B97+B35*B98+B36*B99+B37*B100+B38*B102+B39*B103+B40*B104+B41*B105+B43*B106+B44*B107+B45*B108+B46*B109+B47*B110+B48*B111+B49*B112+B50*B113+B51*B114+B52*B115+B53*B116+B54*B117+B55*B118+B56*B119+B57*B120+B58*B121+B59*B122+B60*B123+B61*B124</s:f>
        <s:v>0</s:v>
      </s:c>
      <s:c r="C62" s="19">
        <s:f>C42*C105+C5*C68+C6*C69+C7*C70+C8*C71+C9*C72+C10*C73+C11*C74+C12*C75+C13*C76+C14*C77+C15*C78+C16*C79+C17*C80+C18*C81+C19*C82+C20*C83+C21*C84+C22*C85+C23*C86+C24*C87+C25*C88+C26*C89+C27*C90+C28*C91+C29*C92+C31*C94+C32*C95+C33*C96+C34*C97+C35*C98+C36*C99+C37*C100+C38*C102+C39*C103+C40*C104+C41*C105+C43*C106+C44*C107+C45*C108+C46*C109+C47*C110+C48*C111+C49*C112+C50*C113+C51*C114+C52*C115+C53*C116+C54*C117+C55*C118+C56*C119+C57*C120+C58*C121+C59*C122+C60*C123+C61*C124</s:f>
        <s:v>7830000</s:v>
      </s:c>
      <s:c r="D62" s="19">
        <s:f>D5*D68+D6*D69+D7*D70+D8*D71+D9*D72+D10*D73+D11*D74+D12*D75+D13*D76+D14*D77+D15*D78+D16*D79+D17*D80+D18*D81+D19*D82+D20*D83+D21*D84+D22*D85+D23*D86+D24*D87+D25*D88+D26*D89+D27*D90+D28*D91+D29*D92+D31*D94+D32*D95+D33*D96+D34*D97+D35*D98+D36*D99+D37*D100+D38*D102+D39*D103+D40*D104+D41*D105+D43*D106+D44*D107+D45*D108+D46*D109+D47*D110+D48*D111+D49*D112+D50*D113+D51*D114+D52*D115+D53*D116+D54*D117+D55*D118+D56*D119+D57*D120+D58*D121+D59*D122+D60*D123+D61*D124</s:f>
        <s:v>6392500</s:v>
      </s:c>
      <s:c r="E62" s="78">
        <s:f>E5*E68+E6*E69+E7*E70+E8*E71+E9*E72+E10*E73+E11*E74+E12*E75+E13*E76+E14*E77+E15*E78+E16*E79+E17*E80+E18*E81+E19*E82+E20*E83+E21*E84+E22*E85+E23*E86+E24*E87+E25*E88+E26*E89+E27*E90+E28*E91+E29*E92+E31*E94+E32*E95+E33*E96+E34*E97+E35*E98+E36*E99+E37*E100+E38*E102+E39*E103+E40*E104+E41*E105+E43*E106+E44*E107+E45*E108+E46*E109+E47*E110+E48*E111+E49*E112+E50*E113+E51*E114+E52*E115+E53*E116+E54*E117+E55*E118+E56*E119+E57*E120+E58*E121+E59*E122+E60*E123+E61*E124</s:f>
        <s:v>0</s:v>
      </s:c>
      <s:c r="F62" s="19">
        <s:f>F5*F68+F6*F69+F7*F70+F8*F71+F9*F72+F10*F73+F11*F74+F12*F75+F13*F76+F14*F77+F15*F78+F16*F79+F17*F80+F18*F81+F19*F82+F20*F83+F21*F84+F22*F85+F23*F86+F24*F87+F25*F88+F26*F89+F27*F90+F28*F91+F29*F92+F31*F94+F32*F95+F33*F96+F34*F97+F35*F98+F36*F99+F37*F100+F38*F102+F39*F103+F40*F104+F41*F105+F43*F106+F44*F107+F45*F108+F46*F109+F47*F110+F48*F111+F49*F112+F50*F113+F51*F114+F52*F115+F53*F116+F54*F117+F55*F118+F56*F119+F57*F120+F58*F121+F59*F122+F60*F123+F61*F124</s:f>
        <s:v>0</s:v>
      </s:c>
      <s:c r="G62" s="19">
        <s:f>G5*G68+G6*G69+G7*G70+G8*G71+G9*G72+G10*G73+G11*G74+G12*G75+G13*G76+G14*G77+G15*G78+G16*G79+G17*G80+G18*G81+G19*G82+G20*G83+G21*G84+G22*G85+G23*G86+G24*G87+G25*G88+G26*G89+G27*G90+G28*G91+G29*G92+G31*G94+G32*G95+G33*G96+G34*G97+G35*G98+G36*G99+G37*G100+G38*G102+G39*G103+G40*G104+G41*G105+G43*G106+G44*G107+G45*G108+G46*G109+G47*G110+G48*G111+G49*G112+G50*G113+G51*G114+G52*G115+G53*G116+G54*G117+G55*G118+G56*G119+G57*G120+G58*G121+G59*G122+G60*G123+G61*G124</s:f>
        <s:v>0</s:v>
      </s:c>
      <s:c r="H62" s="19">
        <s:f>H5*H68+H6*H69+H7*H70+H8*H71+H9*H72+H10*H73+H11*H74+H12*H75+H13*H76+H14*H77+H15*H78+H16*H79+H17*H80+H18*H81+H19*H82+H20*H83+H21*H84+H22*H85+H23*H86+H24*H87+H25*H88+H26*H89+H27*H90+H28*H91+H29*H92+H31*H94+H32*H95+H33*H96+H34*H97+H35*H98+H36*H99+H37*H100+H38*H102+H39*H103+H40*H104+H41*H105+H43*H106+H44*H107+H45*H108+H46*H109+H47*H110+H48*H111+H49*H112+H50*H113+H51*H114+H52*H115+H53*H116+H54*H117+H55*H118+H56*H119+H57*H120+H58*H121+H59*H122+H60*H123+H61*H124</s:f>
        <s:v>0</s:v>
      </s:c>
      <s:c r="I62" s="19">
        <s:f>I5*I68+I6*I69+I7*I70+I8*I71+I9*I72+I10*I73+I11*I74+I12*I75+I13*I76+I14*I77+I15*I78+I16*I79+I17*I80+I18*I81+I19*I82+I20*I83+I21*I84+I22*I85+I23*I86+I24*I87+I25*I88+I26*I89+I27*I90+I28*I91+I29*I92+I31*I94+I32*I95+I33*I96+I34*I97+I35*I98+I36*I99+I37*I100+I38*I102+I39*I103+I40*I104+I41*I105+I43*I106+I44*I107+I45*I108+I46*I109+I47*I110+I48*I111+I49*I112+I50*I113+I51*I114+I52*I115+I53*I116+I54*I117+I55*I118+I56*I119+I57*I120+I58*I121+I59*I122+I60*I123+I61*I124</s:f>
        <s:v>0</s:v>
      </s:c>
      <s:c r="J62" s="19">
        <s:f>J5*J68+J6*J69+J7*J70+J8*J71+J9*J72+J10*J73+J11*J74+J12*J75+J13*J76+J14*J77+J15*J78+J16*J79+J17*J80+J18*J81+J19*J82+J20*J83+J21*J84+J22*J85+J23*J86+J24*J87+J25*J88+J26*J89+J27*J90+J28*J91+J29*J92+J31*J94+J32*J95+J33*J96+J34*J97+J35*J98+J36*J99+J37*J100+J38*J102+J39*J103+J40*J104+J41*J105+J43*J106+J44*J107+J45*J108+J46*J109+J47*J110+J48*J111+J49*J112+J50*J113+J51*J114+J52*J115+J53*J116+J54*J117+J55*J118+J56*J119+J57*J120+J58*J121+J59*J122+J60*J123+J61*J124</s:f>
        <s:v>0</s:v>
      </s:c>
      <s:c r="K62" s="19">
        <s:f>K5*K68+K6*K69+K7*K70+K8*K71+K9*K72+K10*K73+K11*K74+K12*K75+K13*K76+K14*K77+K15*K78+K16*K79+K17*K80+K18*K81+K19*K82+K20*K83+K21*K84+K22*K85+K23*K86+K24*K87+K25*K88+K26*K89+K27*K90+K28*K91+K29*K92+K31*K94+K32*K95+K33*K96+K34*K97+K35*K98+K36*K99+K37*K100+K38*K102+K39*K103+K40*K104+K41*K105+K43*K106+K44*K107+K45*K108+K46*K109+K47*K110+K48*K111+K49*K112+K50*K113+K51*K114+K52*K115+K53*K116+K54*K117+K55*K118+K56*K119+K57*K120+K58*K121+K59*K122+K60*K123+K61*K124</s:f>
        <s:v>0</s:v>
      </s:c>
      <s:c r="L62" s="19">
        <s:f>L5*L68+L6*L69+L7*L70+L8*L71+L9*L72+L10*L73+L11*L74+L12*L75+L13*L76+L14*L77+L15*L78+L16*L79+L17*L80+L18*L81+L19*L82+L20*L83+L21*L84+L22*L85+L23*L86+L24*L87+L25*L88+L26*L89+L27*L90+L28*L91+L29*L92+L31*L94+L32*L95+L33*L96+L34*L97+L35*L98+L36*L99+L37*L100+L38*L102+L39*L103+L40*L104+L41*L105+L43*L106+L44*L107+L45*L108+L46*L109+L47*L110+L48*L111+L49*L112+L50*L113+L51*L114+L52*L115+L53*L116+L54*L117+L55*L118+L56*L119+L57*L120+L58*L121+L59*L122+L60*L123+L61*L124</s:f>
        <s:v>0</s:v>
      </s:c>
      <s:c r="M62" s="19">
        <s:f>M5*M68+M6*M69+M7*M70+M8*M71+M9*M72+M10*M73+M11*M74+M12*M75+M13*M76+M14*M77+M15*M78+M16*M79+M17*M80+M18*M81+M19*M82+M20*M83+M21*M84+M22*M85+M23*M86+M24*M87+M25*M88+M26*M89+M27*M90+M28*M91+M29*M92+M31*M94+M32*M95+M33*M96+M34*M97+M35*M98+M36*M99+M37*M100+M38*M102+M39*M103+M40*M104+M41*M105+M43*M106+M44*M107+M45*M108+M46*M109+M47*M110+M48*M111+M49*M112+M50*M113+M51*M114+M52*M115+M53*M116+M54*M117+M55*M118+M56*M119+M57*M120+M58*M121+M59*M122+M60*M123+M61*M124</s:f>
        <s:v>0</s:v>
      </s:c>
      <s:c r="N62" s="19">
        <s:f>N5*N68+N6*N69+N7*N70+N8*N71+N9*N72+N10*N73+N11*N74+N12*N75+N13*N76+N14*N77+N15*N78+N16*N79+N17*N80+N18*N81+N19*N82+N20*N83+N21*N84+N22*N85+N23*N86+N24*N87+N25*N88+N26*N89+N27*N90+N28*N91+N29*N92+N31*N94+N32*N95+N33*N96+N34*N97+N35*N98+N36*N99+N37*N100+N38*N102+N39*N103+N40*N104+N41*N105+N43*N106+N44*N107+N45*N108+N46*N109+N47*N110+N48*N111+N49*N112+N50*N113+N51*N114+N52*N115+N53*N116+N54*N117+N55*N118+N56*N119+N57*N120+N58*N121+N59*N122+N60*N123+N61*N124</s:f>
        <s:v>0</s:v>
      </s:c>
      <s:c r="O62" s="19">
        <s:f>O5*O68+O6*O69+O7*O70+O8*O71+O9*O72+O10*O73+O11*O74+O12*O75+O13*O76+O14*O77+O15*O78+O16*O79+O17*O80+O18*O81+O19*O82+O20*O83+O21*O84+O22*O85+O23*O86+O24*O87+O25*O88+O26*O89+O27*O90+O28*O91+O29*O92+O31*O94+O32*O95+O33*O96+O34*O97+O35*O98+O36*O99+O37*O100+O38*O102+O39*O103+O40*O104+O41*O105+O43*O106+O44*O107+O45*O108+O46*O109+O47*O110+O48*O111+O49*O112+O50*O113+O51*O114+O52*O115+O53*O116+O54*O117+O55*O118+O56*O119+O57*O120+O58*O121+O59*O122+O60*O123+O61*O124</s:f>
        <s:v>6224400</s:v>
      </s:c>
      <s:c r="P62" s="19">
        <s:f>P5*P68+P6*P69+P7*P70+P8*P71+P9*P72+P10*P73+P11*P74+P12*P75+P13*P76+P14*P77+P15*P78+P16*P79+P17*P80+P18*P81+P19*P82+P20*P83+P21*P84+P22*P85+P23*P86+P24*P87+P25*P88+P26*P89+P27*P90+P28*P91+P29*P92+P31*P94+P32*P95+P33*P96+P34*P97+P35*P98+P36*P99+P37*P100+P38*P102+P39*P103+P40*P104+P41*P105+P43*P106+P44*P107+P45*P108+P46*P109+P47*P110+P48*P111+P49*P112+P50*P113+P51*P114+P52*P115+P53*P116+P54*P117+P55*P118+P56*P119+P57*P120+P58*P121+P59*P122+P60*P123+P61*P124</s:f>
        <s:v>0</s:v>
      </s:c>
      <s:c r="Q62" s="19">
        <s:f>Q5*Q68+Q6*Q69+Q7*Q70+Q8*Q71+Q9*Q72+Q10*Q73+Q11*Q74+Q12*Q75+Q13*Q76+Q14*Q77+Q15*Q78+Q16*Q79+Q17*Q80+Q18*Q81+Q19*Q82+Q20*Q83+Q21*Q84+Q22*Q85+Q23*Q86+Q24*Q87+Q25*Q88+Q26*Q89+Q27*Q90+Q28*Q91+Q29*Q92+Q31*Q94+Q32*Q95+Q33*Q96+Q34*Q97+Q35*Q98+Q36*Q99+Q37*Q100+Q38*Q102+Q39*Q103+Q40*Q104+Q41*Q105+Q43*Q106+Q44*Q107+Q45*Q108+Q46*Q109+Q47*Q110+Q48*Q111+Q49*Q112+Q50*Q113+Q51*Q114+Q52*Q115+Q53*Q116+Q54*Q117+Q55*Q118+Q56*Q119+Q57*Q120+Q58*Q121+Q59*Q122+Q60*Q123+Q61*Q124</s:f>
        <s:v>0</s:v>
      </s:c>
      <s:c r="R62" s="78">
        <s:f>R5*R68+R6*R69+R7*R70+R30*R93+R8*R71+R9*R72+R10*R73+R11*R74+R12*R75+R13*R76+R14*R77+R15*R78+R16*R79+R17*R80+R18*R81+R19*R82+R20*R83+R21*R84+R22*R85+R23*R86+R24*R87+R25*R88+R26*R89+R27*R90+R28*R91+R29*R92+R31*R94+R32*R95+R33*R96+R34*R97+R35*R98+R36*R99+R37*R100+R38*R102+R39*R103+R40*R104+R41*R105+R43*R106+R44*R107+R45*R108+R46*R109+R47*R110+R48*R111+R49*R112+R50*R113+R51*R114+R52*R115+R53*R116+R54*R117+R55*R118+R56*R119+R57*R120+R58*R121+R59*R122+R60*R123+R61*R124</s:f>
        <s:v>3904160</s:v>
      </s:c>
      <s:c r="S62" s="19">
        <s:f>S5*S68+S6*S69+S7*S70+S8*S71+S9*S72+S10*S73+S11*S74+S12*S75+S13*S76+S14*S77+S15*S78+S16*S79+S17*S80+S18*S81+S19*S82+S20*S83+S21*S84+S22*S85+S23*S86+S24*S87+S25*S88+S26*S89+S27*S90+S28*S91+S29*S92+S31*S94+S32*S95+S33*S96+S34*S97+S35*S98+S36*S99+S37*S100+S38*S102+S39*S103+S40*S104+S41*S105+S43*S106+S44*S107+S45*S108+S46*S109+S47*S110+S48*S111+S49*S112+S50*S113+S51*S114+S52*S115+S53*S116+S54*S117+S55*S118+S56*S119+S57*S120+S58*S121+S59*S122+S60*S123+S61*S124</s:f>
        <s:v>235000</s:v>
      </s:c>
      <s:c r="T62" s="19">
        <s:f>T5*T68+T6*T69+T7*T70+T8*T71+T9*T72+T10*T73+T11*T74+T12*T75+T13*T76+T14*T77+T15*T78+T16*T79+T17*T80+T18*T81+T19*T82+T20*T83+T21*T84+T22*T85+T23*T86+T24*T87+T25*T88+T26*T89+T27*T90+T28*T91+T29*T92+T31*T94+T32*T95+T33*T96+T34*T97+T35*T98+T36*T99+T37*T100+T38*T102+T39*T103+T40*T104+T41*T105+T43*T106+T44*T107+T45*T108+T46*T109+T47*T110+T48*T111+T49*T112+T50*T113+T51*T114+T52*T115+T53*T116+T54*T117+T55*T118+T56*T119+T57*T120+T58*T121+T59*T122+T60*T123+T61*T124</s:f>
        <s:v>4494400</s:v>
      </s:c>
      <s:c r="U62" s="19">
        <s:f>U5*U68+U6*U69+U7*U70+U8*U71+U9*U72+U10*U73+U11*U74+U12*U75+U13*U76+U14*U77+U15*U78+U16*U79+U17*U80+U18*U81+U19*U82+U20*U83+U21*U84+U22*U85+U23*U86+U24*U87+U25*U88+U26*U89+U27*U90+U28*U91+U29*U92+U31*U94+U32*U95+U33*U96+U34*U97+U35*U98+U36*U99+U37*U100+U38*U102+U39*U103+U40*U104+U41*U105+U43*U106+U44*U107+U45*U108+U46*U109+U47*U110+U48*U111+U49*U112+U50*U113+U51*U114+U52*U115+U53*U116+U54*U117+U55*U118+U56*U119+U57*U120+U58*U121+U59*U122+U60*U123+U61*U124</s:f>
        <s:v>0</s:v>
      </s:c>
      <s:c r="V62" s="19">
        <s:f>V5*V68+V6*V69+V7*V70+V8*V71+V9*V72+V10*V73+V11*V74+V12*V75+V13*V76+V14*V77+V15*V78+V16*V79+V17*V80+V18*V81+V19*V82+V20*V83+V21*V84+V22*V85+V23*V86+V24*V87+V25*V88+V26*V89+V27*V90+V28*V91+V29*V92+V31*V94+V32*V95+V33*V96+V34*V97+V35*V98+V36*V99+V37*V100+V38*V102+V39*V103+V40*V104+V41*V105+V43*V106+V44*V107+V45*V108+V46*V109+V47*V110+V48*V111+V49*V112+V50*V113+V51*V114+V52*V115+V53*V116+V54*V117+V55*V118+V56*V119+V57*V120+V58*V121+V59*V122+V60*V123+V61*V124</s:f>
        <s:v>0</s:v>
      </s:c>
      <s:c r="W62" s="19">
        <s:f>W5*W68+W6*W69+W7*W70+W8*W71+W9*W72+W10*W73+W11*W74+W12*W75+W13*W76+W14*W77+W15*W78+W16*W79+W17*W80+W18*W81+W19*W82+W20*W83+W21*W84+W22*W85+W23*W86+W24*W87+W25*W88+W26*W89+W27*W90+W28*W91+W29*W92+W31*W94+W32*W95+W33*W96+W34*W97+W35*W98+W36*W99+W37*W100+W38*W102+W39*W103+W40*W104+W41*W105+W43*W106+W44*W107+W45*W108+W46*W109+W47*W110+W48*W111+W49*W112+W50*W113+W51*W114+W52*W115+W53*W116+W54*W117+W55*W118+W56*W119+W57*W120+W58*W121+W59*W122+W60*W123+W61*W124</s:f>
        <s:v>1108800</s:v>
      </s:c>
      <s:c r="X62" s="19">
        <s:f>X5*X68+X6*X69+X7*X70+X8*X71+X9*X72+X10*X73+X11*X74+X12*X75+X13*X76+X14*X77+X15*X78+X16*X79+X17*X80+X18*X81+X19*X82+X20*X83+X21*X84+X22*X85+X23*X86+X24*X87+X25*X88+X26*X89+X27*X90+X28*X91+X29*X92+X31*X94+X32*X95+X33*X96+X34*X97+X35*X98+X36*X99+X37*X100+X38*X102+X39*X103+X40*X104+X41*X105+X43*X106+X44*X107+X45*X108+X46*X109+X47*X110+X48*X111+X49*X112+X50*X113+X51*X114+X52*X115+X53*X116+X54*X117+X55*X118+X56*X119+X57*X120+X58*X121+X59*X122+X60*X123+X61*X124</s:f>
        <s:v>0</s:v>
      </s:c>
      <s:c r="Y62" s="19">
        <s:f>Y5*Y68+Y6*Y69+Y7*Y70+Y8*Y71+Y9*Y72+Y10*Y73+Y11*Y74+Y12*Y75+Y13*Y76+Y14*Y77+Y15*Y78+Y16*Y79+Y17*Y80+Y18*Y81+Y19*Y82+Y20*Y83+Y21*Y84+Y22*Y85+Y23*Y86+Y24*Y87+Y25*Y88+Y26*Y89+Y27*Y90+Y28*Y91+Y29*Y92+Y31*Y94+Y32*Y95+Y33*Y96+Y34*Y97+Y35*Y98+Y36*Y99+Y37*Y100+Y38*Y102+Y39*Y103+Y40*Y104+Y41*Y105+Y43*Y106+Y44*Y107+Y45*Y108+Y46*Y109+Y47*Y110+Y48*Y111+Y49*Y112+Y50*Y113+Y51*Y114+Y52*Y115+Y53*Y116+Y54*Y117+Y55*Y118+Y56*Y119+Y57*Y120+Y58*Y121+Y59*Y122+Y60*Y123+Y61*Y124</s:f>
        <s:v>0</s:v>
      </s:c>
      <s:c r="Z62" s="78">
        <s:f>Z5*Z68+Z6*Z69+Z7*Z70+Z8*Z71+Z9*Z72+Z10*Z73+Z11*Z74+Z12*Z75+Z13*Z76+Z14*Z77+Z15*Z78+Z16*Z79+Z17*Z80+Z18*Z81+Z19*Z82+Z20*Z83+Z21*Z84+Z22*Z85+Z23*Z86+Z24*Z87+Z25*Z88+Z26*Z89+Z27*Z90+Z28*Z91+Z29*Z92+Z31*Z94+Z32*Z95+Z33*Z96+Z34*Z97+Z35*Z98+Z36*Z99+Z37*Z100+Z38*Z102+Z39*Z103+Z40*Z104+Z41*Z105+Z43*Z106+Z44*Z107+Z45*Z108+Z46*Z109+Z47*Z110+Z48*Z111+Z49*Z112+Z50*Z113+Z51*Z114+Z52*Z115+Z53*Z116+Z54*Z117+Z55*Z118+Z56*Z119+Z57*Z120+Z58*Z121+Z59*Z122+Z60*Z123+Z61*Z124</s:f>
        <s:v>0</s:v>
      </s:c>
      <s:c r="AA62" s="19">
        <s:f>AA5*AA68+AA6*AA69+AA7*AA70+AA8*AA71+AA9*AA72+AA10*AA73+AA11*AA74+AA12*AA75+AA13*AA76+AA14*AA77+AA15*AA78+AA16*AA79+AA17*AA80+AA18*AA81+AA19*AA82+AA20*AA83+AA21*AA84+AA22*AA85+AA23*AA86+AA24*AA87+AA25*AA88+AA26*AA89+AA27*AA90+AA28*AA91+AA29*AA92+AA31*AA94+AA32*AA95+AA33*AA96+AA34*AA97+AA35*AA98+AA36*AA99+AA37*AA100+AA38*AA102+AA39*AA103+AA40*AA104+AA41*AA105+AA43*AA106+AA44*AA107+AA45*AA108+AA46*AA109+AA47*AA110+AA48*AA111+AA49*AA112+AA50*AA113+AA51*AA114+AA52*AA115+AA53*AA116+AA54*AA117+AA55*AA118+AA56*AA119+AA57*AA120+AA58*AA121+AA59*AA122+AA60*AA123+AA61*AA124</s:f>
        <s:v>753600</s:v>
      </s:c>
      <s:c r="AB62" s="19">
        <s:f>AB5*AB68+AB6*AB69+AB7*AB70+AB8*AB71+AB9*AB72+AB10*AB73+AB11*AB74+AB12*AB75+AB13*AB76+AB14*AB77+AB15*AB78+AB16*AB79+AB17*AB80+AB18*AB81+AB19*AB82+AB20*AB83+AB21*AB84+AB22*AB85+AB23*AB86+AB24*AB87+AB25*AB88+AB26*AB89+AB27*AB90+AB28*AB91+AB29*AB92+AB31*AB94+AB32*AB95+AB33*AB96+AB34*AB97+AB35*AB98+AB36*AB99+AB37*AB100+AB38*AB102+AB39*AB103+AB40*AB104+AB41*AB105+AB43*AB106+AB44*AB107+AB45*AB108+AB46*AB109+AB47*AB110+AB48*AB111+AB49*AB112+AB50*AB113+AB51*AB114+AB52*AB115+AB53*AB116+AB54*AB117+AB55*AB118+AB56*AB119+AB57*AB120+AB58*AB121+AB59*AB122+AB60*AB123+AB61*AB124</s:f>
        <s:v>3750000</s:v>
      </s:c>
      <s:c r="AC62" s="19">
        <s:f>AC5*AC68+AC6*AC69+AC7*AC70+AC8*AC71+AC9*AC72+AC10*AC73+AC11*AC74+AC12*AC75+AC13*AC76+AC14*AC77+AC15*AC78+AC16*AC79+AC17*AC80+AC18*AC81+AC19*AC82+AC20*AC83+AC21*AC84+AC22*AC85+AC23*AC86+AC24*AC87+AC25*AC88+AC26*AC89+AC27*AC90+AC28*AC91+AC29*AC92+AC31*AC94+AC32*AC95+AC33*AC96+AC34*AC97+AC35*AC98+AC36*AC99+AC37*AC100+AC38*AC102+AC39*AC103+AC40*AC104+AC41*AC105+AC43*AC106+AC44*AC107+AC45*AC108+AC46*AC109+AC47*AC110+AC48*AC111+AC49*AC112+AC50*AC113+AC51*AC114+AC52*AC115+AC53*AC116+AC54*AC117+AC55*AC118+AC56*AC119+AC57*AC120+AC58*AC121+AC59*AC122+AC60*AC123+AC61*AC124</s:f>
        <s:v>0</s:v>
      </s:c>
      <s:c r="AD62" s="19">
        <s:f>AD5*AD68+AD6*AD69+AD7*AD70+AD8*AD71+AD9*AD72+AD10*AD73+AD11*AD74+AD12*AD75+AD13*AD76+AD14*AD77+AD15*AD78+AD16*AD79+AD17*AD80+AD18*AD81+AD19*AD82+AD20*AD83+AD21*AD84+AD22*AD85+AD23*AD86+AD24*AD87+AD25*AD88+AD26*AD89+AD27*AD90+AD28*AD91+AD29*AD92+AD31*AD94+AD32*AD95+AD33*AD96+AD34*AD97+AD35*AD98+AD36*AD99+AD37*AD100+AD38*AD102+AD39*AD103+AD40*AD104+AD41*AD105+AD43*AD106+AD44*AD107+AD45*AD108+AD46*AD109+AD47*AD110+AD48*AD111+AD49*AD112+AD50*AD113+AD51*AD114+AD52*AD115+AD53*AD116+AD54*AD117+AD55*AD118+AD56*AD119+AD57*AD120+AD58*AD121+AD59*AD122+AD60*AD123+AD61*AD124</s:f>
        <s:v>0</s:v>
      </s:c>
      <s:c r="AE62" s="78">
        <s:f>AE5*AE68+AE6*AE69+AE7*AE70+AE8*AE71+AE9*AE72+AE10*AE73+AE11*AE74+AE12*AE75+AE13*AE76+AE14*AE77+AE15*AE78+AE16*AE79+AE17*AE80+AE18*AE81+AE19*AE82+AE20*AE83+AE21*AE84+AE22*AE85+AE23*AE86+AE24*AE87+AE25*AE88+AE26*AE89+AE27*AE90+AE28*AE91+AE29*AE92+AE31*AE94+AE32*AE95+AE33*AE96+AE34*AE97+AE35*AE98+AE36*AE99+AE37*AE100+AE38*AE102+AE39*AE103+AE40*AE104+AE41*AE105+AE43*AE106+AE44*AE107+AE45*AE108+AE46*AE109+AE47*AE110+AE48*AE111+AE49*AE112+AE50*AE113+AE51*AE114+AE52*AE115+AE53*AE116+AE54*AE117+AE55*AE118+AE56*AE119+AE57*AE120+AE58*AE121+AE59*AE122+AE60*AE123+AE61*AE124</s:f>
        <s:v>0</s:v>
      </s:c>
      <s:c r="AF62" s="19">
        <s:f>AF5*AF68+AF6*AF69+AF7*AF70+AF8*AF71+AF9*AF72+AF10*AF73+AF11*AF74+AF12*AF75+AF13*AF76+AF14*AF77+AF15*AF78+AF16*AF79+AF17*AF80+AF18*AF81+AF19*AF82+AF20*AF83+AF21*AF84+AF22*AF85+AF23*AF86+AF24*AF87+AF25*AF88+AF26*AF89+AF27*AF90+AF28*AF91+AF29*AF92+AF31*AF94+AF32*AF95+AF33*AF96+AF34*AF97+AF35*AF98+AF36*AF99+AF37*AF100+AF38*AF102+AF39*AF103+AF40*AF104+AF41*AF105+AF43*AF106+AF44*AF107+AF45*AF108+AF46*AF109+AF47*AF110+AF48*AF111+AF49*AF112+AF50*AF113+AF51*AF114+AF52*AF115+AF53*AF116+AF54*AF117+AF55*AF118+AF56*AF119+AF57*AF120+AF58*AF121+AF59*AF122+AF60*AF123+AF61*AF124</s:f>
        <s:v>0</s:v>
      </s:c>
      <s:c r="AG62" s="19">
        <s:f>AG5*AG68+AG6*AG69+AG7*AG70+AG8*AG71+AG9*AG72+AG10*AG73+AG11*AG74+AG12*AG75+AG13*AG76+AG14*AG77+AG15*AG78+AG16*AG79+AG17*AG80+AG18*AG81+AG19*AG82+AG20*AG83+AG21*AG84+AG22*AG85+AG23*AG86+AG24*AG87+AG25*AG88+AG26*AG89+AG27*AG90+AG28*AG91+AG29*AG92+AG31*AG94+AG32*AG95+AG33*AG96+AG34*AG97+AG35*AG98+AG36*AG99+AG37*AG100+AG38*AG102+AG39*AG103+AG40*AG104+AG41*AG105+AG43*AG106+AG44*AG107+AG45*AG108+AG46*AG109+AG47*AG110+AG48*AG111+AG49*AG112+AG50*AG113+AG51*AG114+AG52*AG115+AG53*AG116+AG54*AG117+AG55*AG118+AG56*AG119+AG57*AG120+AG58*AG121+AG59*AG122+AG60*AG123+AG61*AG124</s:f>
        <s:v>0</s:v>
      </s:c>
      <s:c r="AH62" s="78">
        <s:f>AH5*AH68+AH6*AH69+AH7*AH70+AH8*AH71+AH9*AH72+AH10*AH73+AH11*AH74+AH12*AH75+AH13*AH76+AH14*AH77+AH15*AH78+AH16*AH79+AH17*AH80+AH18*AH81+AH19*AH82+AH20*AH83+AH21*AH84+AH22*AH85+AH23*AH86+AH24*AH87+AH25*AH88+AH26*AH89+AH27*AH90+AH28*AH91+AH29*AH92+AH31*AH94+AH32*AH95+AH33*AH96+AH34*AH97+AH35*AH98+AH36*AH99+AH37*AH100+AH38*AH102+AH39*AH103+AH40*AH104+AH41*AH105+AH43*AH106+AH44*AH107+AH45*AH108+AH46*AH109+AH47*AH110+AH48*AH111+AH49*AH112+AH50*AH113+AH51*AH114+AH52*AH115+AH53*AH116+AH54*AH117+AH55*AH118+AH56*AH119+AH57*AH120+AH58*AH121+AH59*AH122+AH60*AH123+AH61*AH124</s:f>
        <s:v>0</s:v>
      </s:c>
      <s:c r="AI62" s="78">
        <s:f>AI5*AI68+AI6*AI69+AI7*AI70+AI8*AI71+AI9*AI72+AI10*AI73+AI11*AI74+AI12*AI75+AI13*AI76+AI14*AI77+AI15*AI78+AI16*AI79+AI17*AI80+AI18*AI81+AI19*AI82+AI20*AI83+AI21*AI84+AI22*AI85+AI23*AI86+AI24*AI87+AI25*AI88+AI26*AI89+AI27*AI90+AI28*AI91+AI29*AI92+AI31*AI94+AI32*AI95+AI33*AI96+AI34*AI97+AI35*AI98+AI36*AI99+AI37*AI100+AI38*AI102+AI39*AI103+AI40*AI104+AI41*AI105+AI43*AI106+AI44*AI107+AI45*AI108+AI46*AI109+AI47*AI110+AI48*AI111+AI49*AI112+AI50*AI113+AI51*AI114+AI52*AI115+AI53*AI116+AI54*AI117+AI55*AI118+AI56*AI119+AI57*AI120+AI58*AI121+AI59*AI122+AI60*AI123+AI61*AI124</s:f>
        <s:v>0</s:v>
      </s:c>
      <s:c r="AJ62" s="19">
        <s:f>AJ5*AJ68+AJ6*AJ69+AJ7*AJ70+AJ8*AJ71+AJ9*AJ72+AJ10*AJ73+AJ11*AJ74+AJ12*AJ75+AJ13*AJ76+AJ14*AJ77+AJ15*AJ78+AJ16*AJ79+AJ17*AJ80+AJ18*AJ81+AJ19*AJ82+AJ20*AJ83+AJ21*AJ84+AJ22*AJ85+AJ23*AJ86+AJ24*AJ87+AJ25*AJ88+AJ26*AJ89+AJ27*AJ90+AJ28*AJ91+AJ29*AJ92+AJ31*AJ94+AJ32*AJ95+AJ33*AJ96+AJ34*AJ97+AJ35*AJ98+AJ36*AJ99+AJ37*AJ100+AJ38*AJ102+AJ39*AJ103+AJ40*AJ104+AJ41*AJ105+AJ43*AJ106+AJ44*AJ107+AJ45*AJ108+AJ46*AJ109+AJ47*AJ110+AJ48*AJ111+AJ49*AJ112+AJ50*AJ113+AJ51*AJ114+AJ52*AJ115+AJ53*AJ116+AJ54*AJ117+AJ55*AJ118+AJ56*AJ119+AJ57*AJ120+AJ58*AJ121+AJ59*AJ122+AJ60*AJ123+AJ61*AJ124</s:f>
        <s:v>0</s:v>
      </s:c>
      <s:c r="AK62" s="78">
        <s:f>AK5*AK68+AK6*AK69+AK7*AK70+AK8*AK71+AK9*AK72+AK10*AK73+AK11*AK74+AK12*AK75+AK13*AK76+AK14*AK77+AK15*AK78+AK16*AK79+AK17*AK80+AK18*AK81+AK19*AK82+AK20*AK83+AK21*AK84+AK22*AK85+AK23*AK86+AK24*AK87+AK25*AK88+AK26*AK89+AK27*AK90+AK28*AK91+AK29*AK92+AK31*AK94+AK32*AK95+AK33*AK96+AK34*AK97+AK35*AK98+AK36*AK99+AK37*AK100+AK38*AK102+AK39*AK103+AK40*AK104+AK41*AK105+AK43*AK106+AK44*AK107+AK45*AK108+AK46*AK109+AK47*AK110+AK48*AK111+AK49*AK112+AK50*AK113+AK51*AK114+AK52*AK115+AK53*AK116+AK54*AK117+AK55*AK118+AK56*AK119+AK57*AK120+AK58*AK121+AK59*AK122+AK60*AK123+AK61*AK124</s:f>
        <s:v>0</s:v>
      </s:c>
      <s:c r="AL62" s="19">
        <s:f>AL5*AL68+AL6*AL69+AL7*AL70+AL8*AL71+AL9*AL72+AL10*AL73+AL11*AL74+AL12*AL75+AL13*AL76+AL14*AL77+AL15*AL78+AL16*AL79+AL17*AL80+AL18*AL81+AL19*AL82+AL20*AL83+AL21*AL84+AL22*AL85+AL23*AL86+AL24*AL87+AL25*AL88+AL26*AL89+AL27*AL90+AL28*AL91+AL29*AL92+AL31*AL94+AL32*AL95+AL33*AL96+AL34*AL97+AL35*AL98+AL36*AL99+AL37*AL100+AL38*AL102+AL39*AL103+AL40*AL104+AL41*AL105+AL43*AL106+AL44*AL107+AL45*AL108+AL46*AL109+AL47*AL110+AL48*AL111+AL49*AL112+AL50*AL113+AL51*AL114+AL52*AL115+AL53*AL116+AL54*AL117+AL55*AL118+AL56*AL119+AL57*AL120+AL58*AL121+AL59*AL122+AL60*AL123+AL61*AL124</s:f>
        <s:v>0</s:v>
      </s:c>
      <s:c r="AM62" s="19">
        <s:f>AM5*AM68+AM6*AM69+AM7*AM70+AM8*AM71+AM9*AM72+AM10*AM73+AM11*AM74+AM12*AM75+AM13*AM76+AM14*AM77+AM15*AM78+AM16*AM79+AM17*AM80+AM18*AM81+AM19*AM82+AM20*AM83+AM21*AM84+AM22*AM85+AM23*AM86+AM24*AM87+AM25*AM88+AM26*AM89+AM27*AM90+AM28*AM91+AM29*AM92+AM31*AM94+AM32*AM95+AM33*AM96+AM34*AM97+AM35*AM98+AM36*AM99+AM37*AM100+AM38*AM102+AM39*AM103+AM40*AM104+AM41*AM105+AM43*AM106+AM44*AM107+AM45*AM108+AM46*AM109+AM47*AM110+AM48*AM111+AM49*AM112+AM50*AM113+AM51*AM114+AM52*AM115+AM53*AM116+AM54*AM117+AM55*AM118+AM56*AM119+AM57*AM120+AM58*AM121+AM59*AM122+AM60*AM123+AM61*AM124</s:f>
        <s:v>0</s:v>
      </s:c>
      <s:c r="AN62" s="19">
        <s:f>AN5*AN68+AN6*AN69+AN7*AN70+AN8*AN71+AN9*AN72+AN10*AN73+AN11*AN74+AN12*AN75+AN13*AN76+AN14*AN77+AN15*AN78+AN16*AN79+AN17*AN80+AN18*AN81+AN19*AN82+AN20*AN83+AN21*AN84+AN22*AN85+AN23*AN86+AN24*AN87+AN25*AN88+AN26*AN89+AN27*AN90+AN28*AN91+AN29*AN92+AN31*AN94+AN32*AN95+AN33*AN96+AN34*AN97+AN35*AN98+AN36*AN99+AN37*AN100+AN38*AN102+AN39*AN103+AN40*AN104+AN41*AN105+AN43*AN106+AN44*AN107+AN45*AN108+AN46*AN109+AN47*AN110+AN48*AN111+AN49*AN112+AN50*AN113+AN51*AN114+AN52*AN115+AN53*AN116+AN54*AN117+AN55*AN118+AN56*AN119+AN57*AN120+AN58*AN121+AN59*AN122+AN60*AN123+AN61*AN124</s:f>
        <s:v>460800</s:v>
      </s:c>
      <s:c r="AO62" s="19">
        <s:f>AO5*AO68+AO6*AO69+AO7*AO70+AO8*AO71+AO9*AO72+AO10*AO73+AO11*AO74+AO12*AO75+AO13*AO76+AO14*AO77+AO15*AO78+AO16*AO79+AO17*AO80+AO18*AO81+AO19*AO82+AO20*AO83+AO21*AO84+AO22*AO85+AO23*AO86+AO24*AO87+AO25*AO88+AO26*AO89+AO27*AO90+AO28*AO91+AO29*AO92+AO31*AO94+AO32*AO95+AO33*AO96+AO34*AO97+AO35*AO98+AO36*AO99+AO37*AO100+AO38*AO102+AO39*AO103+AO40*AO104+AO41*AO105+AO43*AO106+AO44*AO107+AO45*AO108+AO46*AO109+AO47*AO110+AO48*AO111+AO49*AO112+AO50*AO113+AO51*AO114+AO52*AO115+AO53*AO116+AO54*AO117+AO55*AO118+AO56*AO119+AO57*AO120+AO58*AO121+AO59*AO122+AO60*AO123+AO61*AO124</s:f>
        <s:v>0</s:v>
      </s:c>
      <s:c r="AP62" s="19">
        <s:f>AP5*AP68+AP6*AP69+AP7*AP70+AP8*AP71+AP9*AP72+AP93*AP30+AP10*AP73+AP11*AP74+AP12*AP75+AP13*AP76+AP14*AP77+AP15*AP78+AP16*AP79+AP17*AP80+AP18*AP81+AP19*AP82+AP20*AP83+AP21*AP84+AP22*AP85+AP23*AP86+AP24*AP87+AP25*AP88+AP26*AP89+AP27*AP90+AP28*AP91+AP29*AP92+AP31*AP94+AP32*AP95+AP33*AP96+AP34*AP97+AP35*AP98+AP36*AP99+AP37*AP100+AP38*AP102+AP39*AP103+AP40*AP104+AP41*AP105+AP43*AP106+AP44*AP107+AP45*AP108+AP46*AP109+AP47*AP110+AP48*AP111+AP49*AP112+AP50*AP113+AP51*AP114+AP52*AP115+AP53*AP116+AP54*AP117+AP55*AP118+AP56*AP119+AP57*AP120+AP58*AP121+AP59*AP122+AP60*AP123+AP61*AP124</s:f>
        <s:v>0</s:v>
      </s:c>
      <s:c r="AQ62" s="19">
        <s:f>AQ5*AQ68+AQ6*AQ69+AQ7*AQ70+AQ8*AQ71+AQ9*AQ72+AQ10*AQ73+AQ11*AQ74+AQ12*AQ75+AQ13*AQ76+AQ14*AQ77+AQ15*AQ78+AQ16*AQ79+AQ17*AQ80+AQ18*AQ81+AQ19*AQ82+AQ20*AQ83+AQ21*AQ84+AQ22*AQ85+AQ23*AQ86+AQ24*AQ87+AQ25*AQ88+AQ26*AQ89+AQ27*AQ90+AQ28*AQ91+AQ29*AQ92+AQ31*AQ94+AQ32*AQ95+AQ33*AQ96+AQ34*AQ97+AQ35*AQ98+AQ36*AQ99+AQ37*AQ100+AQ38*AQ102+AQ39*AQ103+AQ40*AQ104+AQ41*AQ105+AQ43*AQ106+AQ44*AQ107+AQ45*AQ108+AQ46*AQ109+AQ47*AQ110+AQ48*AQ111+AQ49*AQ112+AQ50*AQ113+AQ51*AQ114+AQ52*AQ115+AQ53*AQ116+AQ54*AQ117+AQ55*AQ118+AQ56*AQ119+AQ57*AQ120+AQ58*AQ121+AQ59*AQ122+AQ60*AQ123+AQ61*AQ124</s:f>
        <s:v>4438000</s:v>
      </s:c>
      <s:c r="AR62" s="19">
        <s:f>AR5*AR68+AR6*AR69+AR7*AR70+AR8*AR71+AR9*AR72+AR10*AR73+AR11*AR74+AR12*AR75+AR13*AR76+AR14*AR77+AR15*AR78+AR16*AR79+AR17*AR80+AR18*AR81+AR19*AR82+AR20*AR83+AR21*AR84+AR22*AR85+AR23*AR86+AR24*AR87+AR25*AR88+AR26*AR89+AR27*AR90+AR28*AR91+AR29*AR92+AR31*AR94+AR32*AR95+AR33*AR96+AR34*AR97+AR35*AR98+AR36*AR99+AR37*AR100+AR38*AR102+AR39*AR103+AR40*AR104+AR41*AR105+AR43*AR106+AR44*AR107+AR45*AR108+AR46*AR109+AR47*AR110+AR48*AR111+AR49*AR112+AR50*AR113+AR51*AR114+AR52*AR115+AR53*AR116+AR54*AR117+AR55*AR118+AR56*AR119+AR57*AR120+AR58*AR121+AR59*AR122+AR60*AR123+AR61*AR124</s:f>
        <s:v>0</s:v>
      </s:c>
      <s:c r="AS62" s="19">
        <s:f>AS5*AS68+AS6*AS69+AS7*AS70+AS8*AS71+AS9*AS72+AS10*AS73+AS11*AS74+AS12*AS75+AS13*AS76+AS14*AS77+AS15*AS78+AS16*AS79+AS17*AS80+AS18*AS81+AS19*AS82+AS20*AS83+AS21*AS84+AS22*AS85+AS23*AS86+AS24*AS87+AS25*AS88+AS26*AS89+AS27*AS90+AS28*AS91+AS29*AS92+AS31*AS94+AS32*AS95+AS33*AS96+AS34*AS97+AS35*AS98+AS36*AS99+AS37*AS100+AS38*AS102+AS39*AS103+AS40*AS104+AS41*AS105+AS43*AS106+AS44*AS107+AS45*AS108+AS46*AS109+AS47*AS110+AS48*AS111+AS49*AS112+AS50*AS113+AS51*AS114+AS52*AS115+AS53*AS116+AS54*AS117+AS55*AS118+AS56*AS119+AS57*AS120+AS58*AS121+AS59*AS122+AS60*AS123+AS61*AS124</s:f>
        <s:v>0</s:v>
      </s:c>
      <s:c r="AT62" s="19">
        <s:f>AT5*AT68+AT6*AT69+AT7*AT70+AT8*AT71+AT9*AT72+AT10*AT73+AT11*AT74+AT12*AT75+AT13*AT76+AT14*AT77+AT15*AT78+AT16*AT79+AT17*AT80+AT18*AT81+AT19*AT82+AT20*AT83+AT21*AT84+AT22*AT85+AT23*AT86+AT24*AT87+AT25*AT88+AT26*AT89+AT27*AT90+AT28*AT91+AT29*AT92+AT31*AT94+AT32*AT95+AT33*AT96+AT34*AT97+AT35*AT98+AT36*AT99+AT37*AT100+AT38*AT102+AT39*AT103+AT40*AT104+AT41*AT105+AT43*AT106+AT44*AT107+AT45*AT108+AT46*AT109+AT47*AT110+AT48*AT111+AT49*AT112+AT50*AT113+AT51*AT114+AT52*AT115+AT53*AT116+AT54*AT117+AT55*AT118+AT56*AT119+AT57*AT120+AT58*AT121+AT59*AT122+AT60*AT123+AT61*AT124</s:f>
        <s:v>0</s:v>
      </s:c>
      <s:c r="AU62" s="19">
        <s:f>AU5*AU68+AU6*AU69+AU7*AU70+AU8*AU71+AU9*AU72+AU10*AU73+AU11*AU74+AU12*AU75+AU13*AU76+AU14*AU77+AU15*AU78+AU16*AU79+AU17*AU80+AU18*AU81+AU19*AU82+AU20*AU83+AU21*AU84+AU22*AU85+AU23*AU86+AU24*AU87+AU25*AU88+AU26*AU89+AU27*AU90+AU28*AU91+AU29*AU92+AU31*AU94+AU32*AU95+AU33*AU96+AU34*AU97+AU35*AU98+AU36*AU99+AU37*AU100+AU38*AU102+AU39*AU103+AU40*AU104+AU41*AU105+AU43*AU106+AU44*AU107+AU45*AU108+AU46*AU109+AU47*AU110+AU48*AU111+AU49*AU112+AU50*AU113+AU51*AU114+AU52*AU115+AU53*AU116+AU54*AU117+AU55*AU118+AU56*AU119+AU57*AU120+AU58*AU121+AU59*AU122+AU60*AU123+AU61*AU124</s:f>
        <s:v>0</s:v>
      </s:c>
      <s:c r="AV62" s="64">
        <s:f>SUM(A62:AU62)</s:f>
        <s:v>39591660</s:v>
      </s:c>
    </s:row>
    <s:row r="63" ht="19.5">
      <s:c r="A63" s="65"/>
      <s:c r="B63" s="66">
        <s:f>SUM(B5:B61)</s:f>
        <s:v>0</s:v>
      </s:c>
      <s:c r="C63" s="66">
        <s:f>SUM(C5:C61)</s:f>
        <s:v>180</s:v>
      </s:c>
      <s:c r="D63" s="66">
        <s:f>SUM(D5:D61)</s:f>
        <s:v>145</s:v>
      </s:c>
      <s:c r="E63" s="66">
        <s:f>SUM(E5:E61)</s:f>
        <s:v>0</s:v>
      </s:c>
      <s:c r="F63" s="66">
        <s:f>SUM(F5:F61)</s:f>
        <s:v>0</s:v>
      </s:c>
      <s:c r="G63" s="66">
        <s:f>SUM(G5:G61)</s:f>
        <s:v>0</s:v>
      </s:c>
      <s:c r="H63" s="66">
        <s:f>SUM(H5:H61)</s:f>
        <s:v>0</s:v>
      </s:c>
      <s:c r="I63" s="66">
        <s:f>SUM(I5:I61)</s:f>
        <s:v>0</s:v>
      </s:c>
      <s:c r="J63" s="66">
        <s:f>SUM(J5:J61)</s:f>
        <s:v>0</s:v>
      </s:c>
      <s:c r="K63" s="66">
        <s:f>SUM(K5:K61)</s:f>
        <s:v>0</s:v>
      </s:c>
      <s:c r="L63" s="66">
        <s:f>SUM(L5:L61)</s:f>
        <s:v>0</s:v>
      </s:c>
      <s:c r="M63" s="66">
        <s:f>SUM(M5:M61)</s:f>
        <s:v>0</s:v>
      </s:c>
      <s:c r="N63" s="66">
        <s:f>SUM(N5:N61)</s:f>
        <s:v>0</s:v>
      </s:c>
      <s:c r="O63" s="66">
        <s:f>SUM(O5:O61)</s:f>
        <s:v>72.8</s:v>
      </s:c>
      <s:c r="P63" s="66">
        <s:f>SUM(P5:P61)</s:f>
        <s:v>0</s:v>
      </s:c>
      <s:c r="Q63" s="66">
        <s:f>SUM(Q5:Q61)</s:f>
        <s:v>0</s:v>
      </s:c>
      <s:c r="R63" s="66">
        <s:f>SUM(R5:R61)</s:f>
        <s:v>42.8</s:v>
      </s:c>
      <s:c r="S63" s="66">
        <s:f>SUM(S5:S61)</s:f>
        <s:v>1</s:v>
      </s:c>
      <s:c r="T63" s="66">
        <s:f>SUM(T5:T61)</s:f>
        <s:v>36.32</s:v>
      </s:c>
      <s:c r="U63" s="66">
        <s:f>SUM(U5:U61)</s:f>
        <s:v>0</s:v>
      </s:c>
      <s:c r="V63" s="66">
        <s:f>SUM(V5:V61)</s:f>
        <s:v>0</s:v>
      </s:c>
      <s:c r="W63" s="66">
        <s:f>SUM(W5:W61)</s:f>
        <s:v>5.04</s:v>
      </s:c>
      <s:c r="X63" s="66">
        <s:f>SUM(X5:X61)</s:f>
        <s:v>0</s:v>
      </s:c>
      <s:c r="Y63" s="66">
        <s:f>SUM(Y5:Y61)</s:f>
        <s:v>0</s:v>
      </s:c>
      <s:c r="Z63" s="66">
        <s:f>SUM(Z5:Z61)</s:f>
        <s:v>0</s:v>
      </s:c>
      <s:c r="AA63" s="66">
        <s:f>SUM(AA5:AA61)</s:f>
        <s:v>4.8</s:v>
      </s:c>
      <s:c r="AB63" s="66">
        <s:f>SUM(AB5:AB61)</s:f>
        <s:v>15</s:v>
      </s:c>
      <s:c r="AC63" s="66">
        <s:f>SUM(AC5:AC61)</s:f>
        <s:v>0</s:v>
      </s:c>
      <s:c r="AD63" s="66">
        <s:f>SUM(AD5:AD61)</s:f>
        <s:v>0</s:v>
      </s:c>
      <s:c r="AE63" s="66">
        <s:f>SUM(AE5:AE61)</s:f>
        <s:v>0</s:v>
      </s:c>
      <s:c r="AF63" s="66">
        <s:f>SUM(AF5:AF61)</s:f>
        <s:v>0</s:v>
      </s:c>
      <s:c r="AG63" s="66">
        <s:f>SUM(AG5:AG61)</s:f>
        <s:v>0</s:v>
      </s:c>
      <s:c r="AH63" s="66">
        <s:f>SUM(AH5:AH61)</s:f>
        <s:v>0</s:v>
      </s:c>
      <s:c r="AI63" s="66">
        <s:f>SUM(AI5:AI61)</s:f>
        <s:v>0</s:v>
      </s:c>
      <s:c r="AJ63" s="66">
        <s:f>SUM(AJ5:AJ61)</s:f>
        <s:v>0</s:v>
      </s:c>
      <s:c r="AK63" s="66">
        <s:f>SUM(AK5:AK61)</s:f>
        <s:v>0</s:v>
      </s:c>
      <s:c r="AL63" s="66">
        <s:f>SUM(AL5:AL61)</s:f>
        <s:v>0</s:v>
      </s:c>
      <s:c r="AM63" s="66">
        <s:f>SUM(AM5:AM61)</s:f>
        <s:v>0</s:v>
      </s:c>
      <s:c r="AN63" s="66">
        <s:f>SUM(AN5:AN61)</s:f>
        <s:v>2.88</s:v>
      </s:c>
      <s:c r="AO63" s="66">
        <s:f>SUM(AO5:AO61)</s:f>
        <s:v>0</s:v>
      </s:c>
      <s:c r="AP63" s="66">
        <s:f>SUM(AP5:AP61)</s:f>
        <s:v>0</s:v>
      </s:c>
      <s:c r="AQ63" s="66">
        <s:f>SUM(AQ5:AQ61)</s:f>
        <s:v>14</s:v>
      </s:c>
      <s:c r="AR63" s="66">
        <s:f>SUM(AR5:AR61)</s:f>
        <s:v>0</s:v>
      </s:c>
      <s:c r="AS63" s="66">
        <s:f>SUM(AS5:AS61)</s:f>
        <s:v>0</s:v>
      </s:c>
      <s:c r="AT63" s="66">
        <s:f>SUM(AT5:AT61)</s:f>
        <s:v>0</s:v>
      </s:c>
      <s:c r="AU63" s="66">
        <s:f>SUM(AU5:AU61)</s:f>
        <s:v>0</s:v>
      </s:c>
      <s:c r="AV63" s="76">
        <s:f>SUM(B63:AU63)</s:f>
        <s:v>519.6400000000001</s:v>
      </s:c>
    </s:row>
    <s:row r="64" ht="19.5">
      <s:c r="A64" s="67"/>
      <s:c r="B64" s="68"/>
      <s:c r="C64" s="69"/>
      <s:c r="D64" s="69"/>
      <s:c r="E64" s="69"/>
      <s:c r="F64" s="69"/>
      <s:c r="G64" s="77">
        <s:f>SUM(B63:L63)</s:f>
        <s:v>325</s:v>
      </s:c>
      <s:c r="H64" s="69"/>
      <s:c r="I64" s="69"/>
      <s:c r="J64" s="69"/>
      <s:c r="K64" s="69"/>
      <s:c r="L64" s="70"/>
      <s:c r="M64" s="68"/>
      <s:c r="N64" s="69"/>
      <s:c r="O64" s="69"/>
      <s:c r="P64" s="69"/>
      <s:c r="Q64" s="69"/>
      <s:c r="R64" s="69"/>
      <s:c r="S64" s="69"/>
      <s:c r="T64" s="69"/>
      <s:c r="U64" s="69"/>
      <s:c r="V64" s="69"/>
      <s:c r="W64" s="69"/>
      <s:c r="X64" s="69"/>
      <s:c r="Y64" s="69"/>
      <s:c r="Z64" s="69"/>
      <s:c r="AA64" s="69"/>
      <s:c r="AB64" s="69"/>
      <s:c r="AC64" s="69"/>
      <s:c r="AD64" s="69"/>
      <s:c r="AE64" s="69"/>
      <s:c r="AF64" s="69"/>
      <s:c r="AG64" s="69"/>
      <s:c r="AH64" s="69"/>
      <s:c r="AI64" s="69"/>
      <s:c r="AJ64" s="69"/>
      <s:c r="AK64" s="69"/>
      <s:c r="AL64" s="69"/>
      <s:c r="AM64" s="69"/>
      <s:c r="AN64" s="69"/>
      <s:c r="AO64" s="69"/>
      <s:c r="AP64" s="69"/>
      <s:c r="AQ64" s="69"/>
      <s:c r="AR64" s="69"/>
      <s:c r="AS64" s="69"/>
      <s:c r="AT64" s="69"/>
      <s:c r="AU64" s="71">
        <s:f>SUM(M63:AU63)</s:f>
        <s:v>194.64</s:v>
      </s:c>
      <s:c r="AV64" s="72"/>
    </s:row>
    <s:row r="65">
      <s:c r="A65" s="1"/>
      <s:c r="B65" s="1"/>
      <s:c r="C65" s="1"/>
      <s:c r="D65" s="1"/>
      <s:c r="E65" s="1"/>
      <s:c r="F65" s="1"/>
      <s:c r="G65" s="1"/>
      <s:c r="H65" s="1"/>
      <s:c r="I65" s="1"/>
      <s:c r="J65" s="1"/>
      <s:c r="K65" s="1"/>
      <s:c r="L65" s="1"/>
      <s:c r="M65" s="1"/>
      <s:c r="N65" s="1"/>
      <s:c r="O65" s="1"/>
      <s:c r="P65" s="1"/>
      <s:c r="Q65" s="1"/>
      <s:c r="R65" s="1"/>
      <s:c r="S65" s="1"/>
      <s:c r="T65" s="1"/>
      <s:c r="U65" s="1"/>
      <s:c r="V65" s="1"/>
      <s:c r="W65" s="1"/>
      <s:c r="X65" s="1"/>
      <s:c r="Y65" s="1"/>
      <s:c r="Z65" s="1"/>
      <s:c r="AA65" s="1"/>
      <s:c r="AB65" s="1"/>
      <s:c r="AC65" s="1"/>
      <s:c r="AD65" s="1"/>
      <s:c r="AE65" s="1"/>
      <s:c r="AF65" s="1"/>
      <s:c r="AG65" s="1"/>
      <s:c r="AH65" s="1"/>
      <s:c r="AI65" s="1"/>
      <s:c r="AJ65" s="1"/>
      <s:c r="AK65" s="1"/>
      <s:c r="AL65" s="1"/>
      <s:c r="AM65" s="1"/>
      <s:c r="AN65" s="1"/>
      <s:c r="AO65" s="1"/>
      <s:c r="AP65" s="1"/>
      <s:c r="AQ65" s="1"/>
      <s:c r="AR65" s="1"/>
      <s:c r="AS65" s="1"/>
      <s:c r="AT65" s="1"/>
      <s:c r="AU65" s="1"/>
      <s:c r="AV65" s="1"/>
    </s:row>
    <s:row r="66" ht="18.75">
      <s:c r="A66" s="4" t="s">
        <s:v>5</s:v>
      </s:c>
      <s:c r="B66" s="4"/>
      <s:c r="C66" s="4"/>
      <s:c r="D66" s="4"/>
      <s:c r="E66" s="4"/>
      <s:c r="F66" s="4"/>
      <s:c r="G66" s="4"/>
      <s:c r="H66" s="4"/>
      <s:c r="I66" s="4"/>
      <s:c r="J66" s="4"/>
      <s:c r="K66" s="4"/>
      <s:c r="L66" s="4"/>
      <s:c r="M66" s="5"/>
      <s:c r="N66" s="5"/>
      <s:c r="O66" s="5"/>
      <s:c r="P66" s="5"/>
      <s:c r="Q66" s="5"/>
      <s:c r="R66" s="5"/>
      <s:c r="S66" s="5"/>
      <s:c r="T66" s="5"/>
      <s:c r="U66" s="5"/>
      <s:c r="V66" s="5"/>
      <s:c r="W66" s="5"/>
      <s:c r="X66" s="5"/>
      <s:c r="Y66" s="5"/>
      <s:c r="Z66" s="5"/>
      <s:c r="AA66" s="5"/>
      <s:c r="AB66" s="5"/>
      <s:c r="AC66" s="5"/>
      <s:c r="AD66" s="5"/>
      <s:c r="AE66" s="5"/>
      <s:c r="AF66" s="5"/>
      <s:c r="AG66" s="5"/>
      <s:c r="AH66" s="5"/>
      <s:c r="AI66" s="5"/>
      <s:c r="AJ66" s="5"/>
      <s:c r="AK66" s="5"/>
      <s:c r="AL66" s="5"/>
      <s:c r="AM66" s="5"/>
      <s:c r="AN66" s="5"/>
      <s:c r="AO66" s="5"/>
      <s:c r="AP66" s="5"/>
      <s:c r="AQ66" s="5"/>
      <s:c r="AR66" s="5"/>
      <s:c r="AS66" s="5"/>
      <s:c r="AT66" s="5"/>
      <s:c r="AU66" s="5"/>
      <s:c r="AV66" s="1"/>
    </s:row>
    <s:row x14ac:dyDescent="0.25" r="67" spans="1:48" ht="52.5" customHeight="1">
      <s:c r="A67" s="12" t="s">
        <s:v>8</s:v>
      </s:c>
      <s:c r="B67" s="40" t="s">
        <s:v>18</s:v>
      </s:c>
      <s:c r="C67" s="40" t="s">
        <s:v>38</s:v>
      </s:c>
      <s:c r="D67" s="40" t="s">
        <s:v>83</s:v>
      </s:c>
      <s:c r="E67" s="40" t="s">
        <s:v>19</s:v>
      </s:c>
      <s:c r="F67" s="40" t="s">
        <s:v>60</s:v>
      </s:c>
      <s:c r="G67" s="40" t="s">
        <s:v>6</s:v>
      </s:c>
      <s:c r="H67" s="40" t="s">
        <s:v>20</s:v>
      </s:c>
      <s:c r="I67" s="40" t="s">
        <s:v>21</s:v>
      </s:c>
      <s:c r="J67" s="40" t="s">
        <s:v>22</s:v>
      </s:c>
      <s:c r="K67" s="40" t="s">
        <s:v>23</s:v>
      </s:c>
      <s:c r="L67" s="40" t="s">
        <s:v>24</s:v>
      </s:c>
      <s:c r="M67" s="40" t="s">
        <s:v>37</s:v>
      </s:c>
      <s:c r="N67" s="40" t="s">
        <s:v>13</s:v>
      </s:c>
      <s:c r="O67" s="40" t="s">
        <s:v>17</s:v>
      </s:c>
      <s:c r="P67" s="40" t="s">
        <s:v>25</s:v>
      </s:c>
      <s:c r="Q67" s="40" t="s">
        <s:v>41</s:v>
      </s:c>
      <s:c r="R67" s="40" t="s">
        <s:v>26</s:v>
      </s:c>
      <s:c r="S67" s="40" t="s">
        <s:v>86</s:v>
      </s:c>
      <s:c r="T67" s="40" t="s">
        <s:v>84</s:v>
      </s:c>
      <s:c r="U67" s="40" t="s">
        <s:v>27</s:v>
      </s:c>
      <s:c r="V67" s="40" t="s">
        <s:v>28</s:v>
      </s:c>
      <s:c r="W67" s="40" t="s">
        <s:v>29</s:v>
      </s:c>
      <s:c r="X67" s="40" t="s">
        <s:v>30</s:v>
      </s:c>
      <s:c r="Y67" s="40" t="s">
        <s:v>31</s:v>
      </s:c>
      <s:c r="Z67" s="73" t="s">
        <s:v>47</s:v>
      </s:c>
      <s:c r="AA67" s="40" t="s">
        <s:v>50</s:v>
      </s:c>
      <s:c r="AB67" s="41" t="s">
        <s:v>32</s:v>
      </s:c>
      <s:c r="AC67" s="40" t="s">
        <s:v>107</s:v>
      </s:c>
      <s:c r="AD67" s="40" t="s">
        <s:v>108</s:v>
      </s:c>
      <s:c r="AE67" s="42" t="s">
        <s:v>109</s:v>
      </s:c>
      <s:c r="AF67" s="40" t="s">
        <s:v>110</s:v>
      </s:c>
      <s:c r="AG67" s="43" t="s">
        <s:v>105</s:v>
      </s:c>
      <s:c r="AH67" s="40" t="s">
        <s:v>33</s:v>
      </s:c>
      <s:c r="AI67" s="44" t="s">
        <s:v>34</s:v>
      </s:c>
      <s:c r="AJ67" s="45" t="s">
        <s:v>106</s:v>
      </s:c>
      <s:c r="AK67" s="44" t="s">
        <s:v>35</s:v>
      </s:c>
      <s:c r="AL67" s="44" t="s">
        <s:v>100</s:v>
      </s:c>
      <s:c r="AM67" s="46" t="s">
        <s:v>66</s:v>
      </s:c>
      <s:c r="AN67" s="46" t="s">
        <s:v>120</s:v>
      </s:c>
      <s:c r="AO67" s="46" t="s">
        <s:v>116</s:v>
      </s:c>
      <s:c r="AP67" s="46" t="s">
        <s:v>117</s:v>
      </s:c>
      <s:c r="AQ67" s="46" t="s">
        <s:v>55</s:v>
      </s:c>
      <s:c r="AR67" s="46" t="s">
        <s:v>95</s:v>
      </s:c>
      <s:c r="AS67" s="46" t="str">
        <s:f>AS4</s:f>
        <s:v>Веллбонд</s:v>
      </s:c>
      <s:c r="AT67" s="46" t="s">
        <s:v>78</s:v>
      </s:c>
      <s:c r="AU67" s="46" t="s">
        <s:v>101</s:v>
      </s:c>
    </s:row>
    <s:row r="68" ht="18.75">
      <s:c r="A68" s="29" t="s">
        <s:v>103</s:v>
      </s:c>
      <s:c r="B68" s="14"/>
      <s:c r="C68" s="14"/>
      <s:c r="D68" s="14"/>
      <s:c r="E68" s="14"/>
      <s:c r="F68" s="14"/>
      <s:c r="G68" s="14"/>
      <s:c r="H68" s="14"/>
      <s:c r="I68" s="14"/>
      <s:c r="J68" s="14"/>
      <s:c r="K68" s="14"/>
      <s:c r="L68" s="14"/>
      <s:c r="M68" s="14"/>
      <s:c r="N68" s="14"/>
      <s:c r="O68" s="14"/>
      <s:c r="P68" s="14"/>
      <s:c r="Q68" s="14"/>
      <s:c r="R68" s="14"/>
      <s:c r="S68" s="14"/>
      <s:c r="T68" s="14">
        <s:v>127500</s:v>
      </s:c>
      <s:c r="U68" s="14"/>
      <s:c r="V68" s="14"/>
      <s:c r="W68" s="14"/>
      <s:c r="X68" s="14"/>
      <s:c r="Y68" s="14"/>
      <s:c r="Z68" s="74"/>
      <s:c r="AA68" s="14">
        <s:v>146500</s:v>
      </s:c>
      <s:c r="AB68" s="14"/>
      <s:c r="AC68" s="14"/>
      <s:c r="AD68" s="14"/>
      <s:c r="AE68" s="14"/>
      <s:c r="AF68" s="14"/>
      <s:c r="AG68" s="15"/>
      <s:c r="AH68" s="16"/>
      <s:c r="AI68" s="16"/>
      <s:c r="AJ68" s="16"/>
      <s:c r="AK68" s="16"/>
      <s:c r="AL68" s="17"/>
      <s:c r="AM68" s="18"/>
      <s:c r="AN68" s="18">
        <s:v>160000</s:v>
      </s:c>
      <s:c r="AO68" s="18"/>
      <s:c r="AP68" s="18"/>
      <s:c r="AQ68" s="18"/>
      <s:c r="AR68" s="18"/>
      <s:c r="AS68" s="18"/>
      <s:c r="AT68" s="18"/>
      <s:c r="AU68" s="18"/>
    </s:row>
    <s:row r="69" ht="18.75">
      <s:c r="A69" s="29" t="s">
        <s:v>62</s:v>
      </s:c>
      <s:c r="B69" s="14"/>
      <s:c r="C69" s="14"/>
      <s:c r="D69" s="14"/>
      <s:c r="E69" s="14"/>
      <s:c r="F69" s="14"/>
      <s:c r="G69" s="14"/>
      <s:c r="H69" s="14"/>
      <s:c r="I69" s="14"/>
      <s:c r="J69" s="14"/>
      <s:c r="K69" s="14"/>
      <s:c r="L69" s="14"/>
      <s:c r="M69" s="14"/>
      <s:c r="N69" s="14"/>
      <s:c r="O69" s="14"/>
      <s:c r="P69" s="14"/>
      <s:c r="Q69" s="14"/>
      <s:c r="R69" s="14"/>
      <s:c r="S69" s="14"/>
      <s:c r="T69" s="14"/>
      <s:c r="U69" s="14"/>
      <s:c r="V69" s="14"/>
      <s:c r="W69" s="14"/>
      <s:c r="X69" s="14"/>
      <s:c r="Y69" s="14"/>
      <s:c r="Z69" s="74"/>
      <s:c r="AA69" s="14"/>
      <s:c r="AB69" s="14"/>
      <s:c r="AC69" s="14"/>
      <s:c r="AD69" s="14"/>
      <s:c r="AE69" s="14"/>
      <s:c r="AF69" s="14"/>
      <s:c r="AG69" s="15"/>
      <s:c r="AH69" s="16"/>
      <s:c r="AI69" s="16"/>
      <s:c r="AJ69" s="16"/>
      <s:c r="AK69" s="16"/>
      <s:c r="AL69" s="17"/>
      <s:c r="AM69" s="18"/>
      <s:c r="AN69" s="18"/>
      <s:c r="AO69" s="18"/>
      <s:c r="AP69" s="18"/>
      <s:c r="AQ69" s="18"/>
      <s:c r="AR69" s="18"/>
      <s:c r="AS69" s="18"/>
      <s:c r="AT69" s="18"/>
      <s:c r="AU69" s="18"/>
      <s:c r="AV69" s="79">
        <s:f>AU69+AT69</s:f>
        <s:v>0</s:v>
      </s:c>
    </s:row>
    <s:row r="70" ht="18.75">
      <s:c r="A70" s="29" t="s">
        <s:v>56</s:v>
      </s:c>
      <s:c r="B70" s="14"/>
      <s:c r="C70" s="14">
        <s:v>45500</s:v>
      </s:c>
      <s:c r="D70" s="14"/>
      <s:c r="E70" s="14"/>
      <s:c r="F70" s="14"/>
      <s:c r="G70" s="14"/>
      <s:c r="H70" s="14"/>
      <s:c r="I70" s="14"/>
      <s:c r="J70" s="14"/>
      <s:c r="K70" s="14"/>
      <s:c r="L70" s="14"/>
      <s:c r="M70" s="14"/>
      <s:c r="N70" s="14"/>
      <s:c r="O70" s="14">
        <s:v>82000</s:v>
      </s:c>
      <s:c r="P70" s="14"/>
      <s:c r="Q70" s="14"/>
      <s:c r="R70" s="14"/>
      <s:c r="S70" s="14"/>
      <s:c r="T70" s="14"/>
      <s:c r="U70" s="14"/>
      <s:c r="V70" s="14"/>
      <s:c r="W70" s="14"/>
      <s:c r="X70" s="14"/>
      <s:c r="Y70" s="14"/>
      <s:c r="Z70" s="74"/>
      <s:c r="AA70" s="14"/>
      <s:c r="AB70" s="14"/>
      <s:c r="AC70" s="14"/>
      <s:c r="AD70" s="14"/>
      <s:c r="AE70" s="14"/>
      <s:c r="AF70" s="14"/>
      <s:c r="AG70" s="15"/>
      <s:c r="AH70" s="16"/>
      <s:c r="AI70" s="16"/>
      <s:c r="AJ70" s="16"/>
      <s:c r="AK70" s="16"/>
      <s:c r="AL70" s="17"/>
      <s:c r="AM70" s="18"/>
      <s:c r="AN70" s="18"/>
      <s:c r="AO70" s="18"/>
      <s:c r="AP70" s="18"/>
      <s:c r="AQ70" s="18"/>
      <s:c r="AR70" s="18"/>
      <s:c r="AS70" s="18"/>
      <s:c r="AT70" s="18"/>
      <s:c r="AU70" s="18"/>
    </s:row>
    <s:row r="71" ht="18.75">
      <s:c r="A71" s="13" t="s">
        <s:v>81</s:v>
      </s:c>
      <s:c r="B71" s="14"/>
      <s:c r="C71" s="14"/>
      <s:c r="D71" s="14"/>
      <s:c r="E71" s="14"/>
      <s:c r="F71" s="14"/>
      <s:c r="G71" s="14"/>
      <s:c r="H71" s="14"/>
      <s:c r="I71" s="14"/>
      <s:c r="J71" s="14"/>
      <s:c r="K71" s="14"/>
      <s:c r="L71" s="14"/>
      <s:c r="M71" s="14"/>
      <s:c r="N71" s="14"/>
      <s:c r="O71" s="14"/>
      <s:c r="P71" s="14"/>
      <s:c r="Q71" s="14"/>
      <s:c r="R71" s="14"/>
      <s:c r="S71" s="14"/>
      <s:c r="T71" s="14"/>
      <s:c r="U71" s="14"/>
      <s:c r="V71" s="14"/>
      <s:c r="W71" s="14"/>
      <s:c r="X71" s="14"/>
      <s:c r="Y71" s="14"/>
      <s:c r="Z71" s="74"/>
      <s:c r="AA71" s="14"/>
      <s:c r="AB71" s="14"/>
      <s:c r="AC71" s="14"/>
      <s:c r="AD71" s="14"/>
      <s:c r="AE71" s="14"/>
      <s:c r="AF71" s="14"/>
      <s:c r="AG71" s="15"/>
      <s:c r="AH71" s="16"/>
      <s:c r="AI71" s="16"/>
      <s:c r="AJ71" s="16"/>
      <s:c r="AK71" s="16"/>
      <s:c r="AL71" s="17"/>
      <s:c r="AM71" s="18"/>
      <s:c r="AN71" s="18"/>
      <s:c r="AO71" s="18"/>
      <s:c r="AP71" s="18"/>
      <s:c r="AQ71" s="18"/>
      <s:c r="AR71" s="18"/>
      <s:c r="AS71" s="18"/>
      <s:c r="AT71" s="18"/>
      <s:c r="AU71" s="18"/>
    </s:row>
    <s:row r="72" ht="18.75">
      <s:c r="A72" s="29" t="s">
        <s:v>1</s:v>
      </s:c>
      <s:c r="B72" s="14"/>
      <s:c r="C72" s="14"/>
      <s:c r="D72" s="14"/>
      <s:c r="E72" s="14"/>
      <s:c r="F72" s="14"/>
      <s:c r="G72" s="14"/>
      <s:c r="H72" s="14"/>
      <s:c r="I72" s="14"/>
      <s:c r="J72" s="14"/>
      <s:c r="K72" s="14"/>
      <s:c r="L72" s="14"/>
      <s:c r="M72" s="14"/>
      <s:c r="N72" s="14"/>
      <s:c r="O72" s="14"/>
      <s:c r="P72" s="14"/>
      <s:c r="Q72" s="14"/>
      <s:c r="R72" s="14">
        <s:v>93000</s:v>
      </s:c>
      <s:c r="S72" s="14"/>
      <s:c r="T72" s="14"/>
      <s:c r="U72" s="14"/>
      <s:c r="V72" s="14"/>
      <s:c r="W72" s="14"/>
      <s:c r="X72" s="14"/>
      <s:c r="Y72" s="14"/>
      <s:c r="Z72" s="74"/>
      <s:c r="AA72" s="14"/>
      <s:c r="AB72" s="14"/>
      <s:c r="AC72" s="14"/>
      <s:c r="AD72" s="14"/>
      <s:c r="AE72" s="14"/>
      <s:c r="AF72" s="14"/>
      <s:c r="AG72" s="15"/>
      <s:c r="AH72" s="16">
        <s:v>369000</s:v>
      </s:c>
      <s:c r="AI72" s="16"/>
      <s:c r="AJ72" s="16"/>
      <s:c r="AK72" s="16"/>
      <s:c r="AL72" s="17"/>
      <s:c r="AM72" s="18"/>
      <s:c r="AN72" s="18"/>
      <s:c r="AO72" s="18"/>
      <s:c r="AP72" s="18"/>
      <s:c r="AQ72" s="18"/>
      <s:c r="AR72" s="18"/>
      <s:c r="AS72" s="18"/>
      <s:c r="AT72" s="18"/>
      <s:c r="AU72" s="18"/>
    </s:row>
    <s:row r="73" ht="18.75">
      <s:c r="A73" s="29" t="s">
        <s:v>91</s:v>
      </s:c>
      <s:c r="B73" s="14"/>
      <s:c r="C73" s="14"/>
      <s:c r="D73" s="14"/>
      <s:c r="E73" s="14"/>
      <s:c r="F73" s="14"/>
      <s:c r="G73" s="14"/>
      <s:c r="H73" s="14"/>
      <s:c r="I73" s="14"/>
      <s:c r="J73" s="14"/>
      <s:c r="K73" s="14"/>
      <s:c r="L73" s="14"/>
      <s:c r="M73" s="14"/>
      <s:c r="N73" s="14"/>
      <s:c r="O73" s="14"/>
      <s:c r="P73" s="14"/>
      <s:c r="Q73" s="14"/>
      <s:c r="R73" s="14"/>
      <s:c r="S73" s="14"/>
      <s:c r="T73" s="14"/>
      <s:c r="U73" s="14"/>
      <s:c r="V73" s="14"/>
      <s:c r="W73" s="14"/>
      <s:c r="X73" s="14"/>
      <s:c r="Y73" s="14"/>
      <s:c r="Z73" s="74"/>
      <s:c r="AA73" s="14"/>
      <s:c r="AB73" s="14"/>
      <s:c r="AC73" s="14"/>
      <s:c r="AD73" s="14"/>
      <s:c r="AE73" s="14"/>
      <s:c r="AF73" s="14"/>
      <s:c r="AG73" s="15"/>
      <s:c r="AH73" s="16"/>
      <s:c r="AI73" s="16"/>
      <s:c r="AJ73" s="16"/>
      <s:c r="AK73" s="16"/>
      <s:c r="AL73" s="17"/>
      <s:c r="AM73" s="18"/>
      <s:c r="AN73" s="18"/>
      <s:c r="AO73" s="18"/>
      <s:c r="AP73" s="18"/>
      <s:c r="AQ73" s="18"/>
      <s:c r="AR73" s="18"/>
      <s:c r="AS73" s="18"/>
      <s:c r="AT73" s="18"/>
      <s:c r="AU73" s="18"/>
    </s:row>
    <s:row r="74" ht="18.75">
      <s:c r="A74" s="30" t="s">
        <s:v>74</s:v>
      </s:c>
      <s:c r="B74" s="14"/>
      <s:c r="C74" s="14"/>
      <s:c r="D74" s="14"/>
      <s:c r="E74" s="14"/>
      <s:c r="F74" s="14"/>
      <s:c r="G74" s="14"/>
      <s:c r="H74" s="14"/>
      <s:c r="I74" s="14"/>
      <s:c r="J74" s="14"/>
      <s:c r="K74" s="14"/>
      <s:c r="L74" s="14"/>
      <s:c r="M74" s="14"/>
      <s:c r="N74" s="14"/>
      <s:c r="O74" s="14"/>
      <s:c r="P74" s="14"/>
      <s:c r="Q74" s="14"/>
      <s:c r="R74" s="14"/>
      <s:c r="S74" s="14"/>
      <s:c r="T74" s="14"/>
      <s:c r="U74" s="14"/>
      <s:c r="V74" s="14"/>
      <s:c r="W74" s="14"/>
      <s:c r="X74" s="14"/>
      <s:c r="Y74" s="14"/>
      <s:c r="Z74" s="74"/>
      <s:c r="AA74" s="14"/>
      <s:c r="AB74" s="14"/>
      <s:c r="AC74" s="14"/>
      <s:c r="AD74" s="14"/>
      <s:c r="AE74" s="14"/>
      <s:c r="AF74" s="14"/>
      <s:c r="AG74" s="15"/>
      <s:c r="AH74" s="16"/>
      <s:c r="AI74" s="16"/>
      <s:c r="AJ74" s="16"/>
      <s:c r="AK74" s="16"/>
      <s:c r="AL74" s="17"/>
      <s:c r="AM74" s="18"/>
      <s:c r="AN74" s="18"/>
      <s:c r="AO74" s="18"/>
      <s:c r="AP74" s="18"/>
      <s:c r="AQ74" s="18"/>
      <s:c r="AR74" s="18"/>
      <s:c r="AS74" s="18"/>
      <s:c r="AT74" s="18"/>
      <s:c r="AU74" s="18"/>
    </s:row>
    <s:row r="75" ht="18.75">
      <s:c r="A75" s="29" t="s">
        <s:v>4</s:v>
      </s:c>
      <s:c r="B75" s="14"/>
      <s:c r="C75" s="14"/>
      <s:c r="D75" s="14"/>
      <s:c r="E75" s="14"/>
      <s:c r="F75" s="14"/>
      <s:c r="G75" s="14"/>
      <s:c r="H75" s="14"/>
      <s:c r="I75" s="14"/>
      <s:c r="J75" s="14"/>
      <s:c r="K75" s="14"/>
      <s:c r="L75" s="14"/>
      <s:c r="M75" s="14"/>
      <s:c r="N75" s="14"/>
      <s:c r="O75" s="14"/>
      <s:c r="P75" s="14"/>
      <s:c r="Q75" s="14"/>
      <s:c r="R75" s="14"/>
      <s:c r="S75" s="14"/>
      <s:c r="T75" s="14"/>
      <s:c r="U75" s="14"/>
      <s:c r="V75" s="14"/>
      <s:c r="W75" s="14"/>
      <s:c r="X75" s="14"/>
      <s:c r="Y75" s="14"/>
      <s:c r="Z75" s="74"/>
      <s:c r="AA75" s="14"/>
      <s:c r="AB75" s="14"/>
      <s:c r="AC75" s="14"/>
      <s:c r="AD75" s="14"/>
      <s:c r="AE75" s="14"/>
      <s:c r="AF75" s="14"/>
      <s:c r="AG75" s="15"/>
      <s:c r="AH75" s="16"/>
      <s:c r="AI75" s="16"/>
      <s:c r="AJ75" s="16"/>
      <s:c r="AK75" s="16"/>
      <s:c r="AL75" s="17"/>
      <s:c r="AM75" s="18"/>
      <s:c r="AN75" s="18"/>
      <s:c r="AO75" s="18"/>
      <s:c r="AP75" s="18"/>
      <s:c r="AQ75" s="18"/>
      <s:c r="AR75" s="18"/>
      <s:c r="AS75" s="18"/>
      <s:c r="AT75" s="18"/>
      <s:c r="AU75" s="18"/>
    </s:row>
    <s:row r="76" ht="18.75">
      <s:c r="A76" s="29" t="s">
        <s:v>3</s:v>
      </s:c>
      <s:c r="B76" s="14"/>
      <s:c r="C76" s="14"/>
      <s:c r="D76" s="14">
        <s:v>41500</s:v>
      </s:c>
      <s:c r="E76" s="14"/>
      <s:c r="F76" s="14"/>
      <s:c r="G76" s="14"/>
      <s:c r="H76" s="14"/>
      <s:c r="I76" s="14"/>
      <s:c r="J76" s="14"/>
      <s:c r="K76" s="14"/>
      <s:c r="L76" s="14"/>
      <s:c r="M76" s="14"/>
      <s:c r="N76" s="14"/>
      <s:c r="O76" s="14"/>
      <s:c r="P76" s="14"/>
      <s:c r="Q76" s="14"/>
      <s:c r="R76" s="14"/>
      <s:c r="S76" s="14"/>
      <s:c r="T76" s="14"/>
      <s:c r="U76" s="14"/>
      <s:c r="V76" s="14"/>
      <s:c r="W76" s="14"/>
      <s:c r="X76" s="14"/>
      <s:c r="Y76" s="14"/>
      <s:c r="Z76" s="74"/>
      <s:c r="AA76" s="14"/>
      <s:c r="AB76" s="14"/>
      <s:c r="AC76" s="14"/>
      <s:c r="AD76" s="14"/>
      <s:c r="AE76" s="14"/>
      <s:c r="AF76" s="14"/>
      <s:c r="AG76" s="15"/>
      <s:c r="AH76" s="16"/>
      <s:c r="AI76" s="16"/>
      <s:c r="AJ76" s="16"/>
      <s:c r="AK76" s="16"/>
      <s:c r="AL76" s="17"/>
      <s:c r="AM76" s="18"/>
      <s:c r="AN76" s="18"/>
      <s:c r="AO76" s="18"/>
      <s:c r="AP76" s="18"/>
      <s:c r="AQ76" s="18"/>
      <s:c r="AR76" s="18"/>
      <s:c r="AS76" s="18"/>
      <s:c r="AT76" s="18"/>
      <s:c r="AU76" s="18"/>
    </s:row>
    <s:row r="77" ht="18.75">
      <s:c r="A77" s="29" t="s">
        <s:v>44</s:v>
      </s:c>
      <s:c r="B77" s="14"/>
      <s:c r="C77" s="14"/>
      <s:c r="D77" s="14"/>
      <s:c r="E77" s="14"/>
      <s:c r="F77" s="14"/>
      <s:c r="G77" s="14"/>
      <s:c r="H77" s="14"/>
      <s:c r="I77" s="14"/>
      <s:c r="J77" s="14"/>
      <s:c r="K77" s="14"/>
      <s:c r="L77" s="14"/>
      <s:c r="M77" s="14"/>
      <s:c r="N77" s="14"/>
      <s:c r="O77" s="14"/>
      <s:c r="P77" s="14"/>
      <s:c r="Q77" s="14"/>
      <s:c r="R77" s="14"/>
      <s:c r="S77" s="14"/>
      <s:c r="T77" s="14"/>
      <s:c r="U77" s="14"/>
      <s:c r="V77" s="14"/>
      <s:c r="W77" s="14"/>
      <s:c r="X77" s="14"/>
      <s:c r="Y77" s="14"/>
      <s:c r="Z77" s="74"/>
      <s:c r="AA77" s="14"/>
      <s:c r="AB77" s="14"/>
      <s:c r="AC77" s="14"/>
      <s:c r="AD77" s="14"/>
      <s:c r="AE77" s="14"/>
      <s:c r="AF77" s="14"/>
      <s:c r="AG77" s="15"/>
      <s:c r="AH77" s="16"/>
      <s:c r="AI77" s="16"/>
      <s:c r="AJ77" s="16"/>
      <s:c r="AK77" s="16"/>
      <s:c r="AL77" s="17"/>
      <s:c r="AM77" s="18"/>
      <s:c r="AN77" s="18"/>
      <s:c r="AO77" s="18"/>
      <s:c r="AP77" s="18"/>
      <s:c r="AQ77" s="18"/>
      <s:c r="AR77" s="18"/>
      <s:c r="AS77" s="18"/>
      <s:c r="AT77" s="18"/>
      <s:c r="AU77" s="18"/>
    </s:row>
    <s:row r="78" ht="18.75">
      <s:c r="A78" s="29" t="s">
        <s:v>46</s:v>
      </s:c>
      <s:c r="B78" s="14"/>
      <s:c r="C78" s="14"/>
      <s:c r="D78" s="14"/>
      <s:c r="E78" s="14"/>
      <s:c r="F78" s="14"/>
      <s:c r="G78" s="14"/>
      <s:c r="H78" s="14"/>
      <s:c r="I78" s="14"/>
      <s:c r="J78" s="14"/>
      <s:c r="K78" s="14"/>
      <s:c r="L78" s="14"/>
      <s:c r="M78" s="14"/>
      <s:c r="N78" s="14"/>
      <s:c r="O78" s="14"/>
      <s:c r="P78" s="14"/>
      <s:c r="Q78" s="14"/>
      <s:c r="R78" s="14"/>
      <s:c r="S78" s="14"/>
      <s:c r="T78" s="14"/>
      <s:c r="U78" s="14"/>
      <s:c r="V78" s="14"/>
      <s:c r="W78" s="14"/>
      <s:c r="X78" s="14"/>
      <s:c r="Y78" s="14"/>
      <s:c r="Z78" s="74"/>
      <s:c r="AA78" s="14"/>
      <s:c r="AB78" s="14"/>
      <s:c r="AC78" s="14"/>
      <s:c r="AD78" s="14"/>
      <s:c r="AE78" s="14"/>
      <s:c r="AF78" s="14"/>
      <s:c r="AG78" s="15"/>
      <s:c r="AH78" s="16"/>
      <s:c r="AI78" s="16"/>
      <s:c r="AJ78" s="16"/>
      <s:c r="AK78" s="16"/>
      <s:c r="AL78" s="17"/>
      <s:c r="AM78" s="18"/>
      <s:c r="AN78" s="18"/>
      <s:c r="AO78" s="18"/>
      <s:c r="AP78" s="18"/>
      <s:c r="AQ78" s="18"/>
      <s:c r="AR78" s="18"/>
      <s:c r="AS78" s="18"/>
      <s:c r="AT78" s="18"/>
      <s:c r="AU78" s="18"/>
    </s:row>
    <s:row r="79" ht="18.75">
      <s:c r="A79" s="13" t="s">
        <s:v>79</s:v>
      </s:c>
      <s:c r="B79" s="14"/>
      <s:c r="C79" s="14"/>
      <s:c r="D79" s="14"/>
      <s:c r="E79" s="14"/>
      <s:c r="F79" s="14"/>
      <s:c r="G79" s="14"/>
      <s:c r="H79" s="14"/>
      <s:c r="I79" s="14"/>
      <s:c r="J79" s="14"/>
      <s:c r="K79" s="14"/>
      <s:c r="L79" s="14"/>
      <s:c r="M79" s="14"/>
      <s:c r="N79" s="14"/>
      <s:c r="O79" s="14"/>
      <s:c r="P79" s="14"/>
      <s:c r="Q79" s="14"/>
      <s:c r="R79" s="14"/>
      <s:c r="S79" s="14"/>
      <s:c r="T79" s="14"/>
      <s:c r="U79" s="14"/>
      <s:c r="V79" s="14"/>
      <s:c r="W79" s="14"/>
      <s:c r="X79" s="14"/>
      <s:c r="Y79" s="14"/>
      <s:c r="Z79" s="74"/>
      <s:c r="AA79" s="14"/>
      <s:c r="AB79" s="14"/>
      <s:c r="AC79" s="14"/>
      <s:c r="AD79" s="14"/>
      <s:c r="AE79" s="14"/>
      <s:c r="AF79" s="14"/>
      <s:c r="AG79" s="15"/>
      <s:c r="AH79" s="16"/>
      <s:c r="AI79" s="16"/>
      <s:c r="AJ79" s="16"/>
      <s:c r="AK79" s="16"/>
      <s:c r="AL79" s="17"/>
      <s:c r="AM79" s="18"/>
      <s:c r="AN79" s="18"/>
      <s:c r="AO79" s="18"/>
      <s:c r="AP79" s="18"/>
      <s:c r="AQ79" s="18"/>
      <s:c r="AR79" s="18"/>
      <s:c r="AS79" s="18"/>
      <s:c r="AT79" s="18"/>
      <s:c r="AU79" s="18"/>
    </s:row>
    <s:row r="80" ht="18.75">
      <s:c r="A80" s="29" t="s">
        <s:v>72</s:v>
      </s:c>
      <s:c r="B80" s="14"/>
      <s:c r="C80" s="14">
        <s:v>45000</s:v>
      </s:c>
      <s:c r="D80" s="14">
        <s:v>44300</s:v>
      </s:c>
      <s:c r="E80" s="14"/>
      <s:c r="F80" s="14"/>
      <s:c r="G80" s="14"/>
      <s:c r="H80" s="14"/>
      <s:c r="I80" s="14"/>
      <s:c r="J80" s="14"/>
      <s:c r="K80" s="14"/>
      <s:c r="L80" s="14"/>
      <s:c r="M80" s="14"/>
      <s:c r="N80" s="14"/>
      <s:c r="O80" s="14"/>
      <s:c r="P80" s="14"/>
      <s:c r="Q80" s="14"/>
      <s:c r="R80" s="14"/>
      <s:c r="S80" s="14"/>
      <s:c r="T80" s="14">
        <s:v>122000</s:v>
      </s:c>
      <s:c r="U80" s="14"/>
      <s:c r="V80" s="14"/>
      <s:c r="W80" s="14">
        <s:v>220000</s:v>
      </s:c>
      <s:c r="X80" s="14"/>
      <s:c r="Y80" s="14"/>
      <s:c r="Z80" s="74"/>
      <s:c r="AA80" s="14">
        <s:v>157000</s:v>
      </s:c>
      <s:c r="AB80" s="14"/>
      <s:c r="AC80" s="14"/>
      <s:c r="AD80" s="14"/>
      <s:c r="AE80" s="14"/>
      <s:c r="AF80" s="14"/>
      <s:c r="AG80" s="15"/>
      <s:c r="AH80" s="16"/>
      <s:c r="AI80" s="16"/>
      <s:c r="AJ80" s="16"/>
      <s:c r="AK80" s="16"/>
      <s:c r="AL80" s="17"/>
      <s:c r="AM80" s="18"/>
      <s:c r="AN80" s="18"/>
      <s:c r="AO80" s="18"/>
      <s:c r="AP80" s="18"/>
      <s:c r="AQ80" s="18"/>
      <s:c r="AR80" s="18"/>
      <s:c r="AS80" s="18"/>
      <s:c r="AT80" s="18"/>
      <s:c r="AU80" s="18"/>
    </s:row>
    <s:row r="81" ht="18.75">
      <s:c r="A81" s="29" t="s">
        <s:v>98</s:v>
      </s:c>
      <s:c r="B81" s="14"/>
      <s:c r="C81" s="14">
        <s:v>39000</s:v>
      </s:c>
      <s:c r="D81" s="14"/>
      <s:c r="E81" s="14"/>
      <s:c r="F81" s="14"/>
      <s:c r="G81" s="14"/>
      <s:c r="H81" s="14"/>
      <s:c r="I81" s="14"/>
      <s:c r="J81" s="14"/>
      <s:c r="K81" s="14"/>
      <s:c r="L81" s="14"/>
      <s:c r="M81" s="14"/>
      <s:c r="N81" s="14"/>
      <s:c r="O81" s="14"/>
      <s:c r="P81" s="14"/>
      <s:c r="Q81" s="14"/>
      <s:c r="R81" s="14"/>
      <s:c r="S81" s="14"/>
      <s:c r="T81" s="14"/>
      <s:c r="U81" s="14"/>
      <s:c r="V81" s="14"/>
      <s:c r="W81" s="14"/>
      <s:c r="X81" s="14"/>
      <s:c r="Y81" s="14"/>
      <s:c r="Z81" s="74"/>
      <s:c r="AA81" s="14"/>
      <s:c r="AB81" s="14"/>
      <s:c r="AC81" s="14"/>
      <s:c r="AD81" s="14"/>
      <s:c r="AE81" s="14"/>
      <s:c r="AF81" s="14"/>
      <s:c r="AG81" s="15"/>
      <s:c r="AH81" s="16"/>
      <s:c r="AI81" s="16"/>
      <s:c r="AJ81" s="16"/>
      <s:c r="AK81" s="16"/>
      <s:c r="AL81" s="17"/>
      <s:c r="AM81" s="18"/>
      <s:c r="AN81" s="18"/>
      <s:c r="AO81" s="18"/>
      <s:c r="AP81" s="18"/>
      <s:c r="AQ81" s="18"/>
      <s:c r="AR81" s="18"/>
      <s:c r="AS81" s="18"/>
      <s:c r="AT81" s="18"/>
      <s:c r="AU81" s="18"/>
    </s:row>
    <s:row r="82" ht="18.75">
      <s:c r="A82" s="29" t="s">
        <s:v>119</s:v>
      </s:c>
      <s:c r="B82" s="14"/>
      <s:c r="C82" s="14"/>
      <s:c r="D82" s="14"/>
      <s:c r="E82" s="14"/>
      <s:c r="F82" s="14"/>
      <s:c r="G82" s="14"/>
      <s:c r="H82" s="14"/>
      <s:c r="I82" s="14"/>
      <s:c r="J82" s="14"/>
      <s:c r="K82" s="14"/>
      <s:c r="L82" s="14"/>
      <s:c r="M82" s="14"/>
      <s:c r="N82" s="14"/>
      <s:c r="O82" s="14"/>
      <s:c r="P82" s="14"/>
      <s:c r="Q82" s="14"/>
      <s:c r="R82" s="14"/>
      <s:c r="S82" s="14"/>
      <s:c r="T82" s="14"/>
      <s:c r="U82" s="14"/>
      <s:c r="V82" s="14"/>
      <s:c r="W82" s="14"/>
      <s:c r="X82" s="14"/>
      <s:c r="Y82" s="14"/>
      <s:c r="Z82" s="74"/>
      <s:c r="AA82" s="14"/>
      <s:c r="AB82" s="14"/>
      <s:c r="AC82" s="14"/>
      <s:c r="AD82" s="14"/>
      <s:c r="AE82" s="14"/>
      <s:c r="AF82" s="14"/>
      <s:c r="AG82" s="15"/>
      <s:c r="AH82" s="16"/>
      <s:c r="AI82" s="16"/>
      <s:c r="AJ82" s="16"/>
      <s:c r="AK82" s="16"/>
      <s:c r="AL82" s="17"/>
      <s:c r="AM82" s="18"/>
      <s:c r="AN82" s="18"/>
      <s:c r="AO82" s="18"/>
      <s:c r="AP82" s="18">
        <s:v>280000</s:v>
      </s:c>
      <s:c r="AQ82" s="18"/>
      <s:c r="AR82" s="18"/>
      <s:c r="AS82" s="18"/>
      <s:c r="AT82" s="18"/>
      <s:c r="AU82" s="18"/>
    </s:row>
    <s:row r="83" ht="18.75">
      <s:c r="A83" s="29" t="s">
        <s:v>73</s:v>
      </s:c>
      <s:c r="B83" s="14"/>
      <s:c r="C83" s="14"/>
      <s:c r="D83" s="14"/>
      <s:c r="E83" s="14"/>
      <s:c r="F83" s="14"/>
      <s:c r="G83" s="14"/>
      <s:c r="H83" s="14"/>
      <s:c r="I83" s="14"/>
      <s:c r="J83" s="14"/>
      <s:c r="K83" s="14"/>
      <s:c r="L83" s="14"/>
      <s:c r="M83" s="14"/>
      <s:c r="N83" s="14"/>
      <s:c r="O83" s="14"/>
      <s:c r="P83" s="14"/>
      <s:c r="Q83" s="14"/>
      <s:c r="R83" s="14"/>
      <s:c r="S83" s="14"/>
      <s:c r="T83" s="14"/>
      <s:c r="U83" s="14"/>
      <s:c r="V83" s="14"/>
      <s:c r="W83" s="14"/>
      <s:c r="X83" s="14"/>
      <s:c r="Y83" s="14"/>
      <s:c r="Z83" s="74"/>
      <s:c r="AA83" s="14"/>
      <s:c r="AB83" s="14"/>
      <s:c r="AC83" s="14"/>
      <s:c r="AD83" s="14"/>
      <s:c r="AE83" s="14"/>
      <s:c r="AF83" s="14"/>
      <s:c r="AG83" s="15"/>
      <s:c r="AH83" s="16"/>
      <s:c r="AI83" s="16"/>
      <s:c r="AJ83" s="16"/>
      <s:c r="AK83" s="16"/>
      <s:c r="AL83" s="17"/>
      <s:c r="AM83" s="18"/>
      <s:c r="AN83" s="18"/>
      <s:c r="AO83" s="18"/>
      <s:c r="AP83" s="18"/>
      <s:c r="AQ83" s="18"/>
      <s:c r="AR83" s="18"/>
      <s:c r="AS83" s="18"/>
      <s:c r="AT83" s="18"/>
      <s:c r="AU83" s="18"/>
    </s:row>
    <s:row r="84" ht="18.75">
      <s:c r="A84" s="29" t="s">
        <s:v>65</s:v>
      </s:c>
      <s:c r="B84" s="14"/>
      <s:c r="C84" s="14"/>
      <s:c r="D84" s="14"/>
      <s:c r="E84" s="14"/>
      <s:c r="F84" s="14"/>
      <s:c r="G84" s="14"/>
      <s:c r="H84" s="14"/>
      <s:c r="I84" s="14"/>
      <s:c r="J84" s="14"/>
      <s:c r="K84" s="14"/>
      <s:c r="L84" s="14"/>
      <s:c r="M84" s="14"/>
      <s:c r="N84" s="14"/>
      <s:c r="O84" s="14"/>
      <s:c r="P84" s="14"/>
      <s:c r="Q84" s="14"/>
      <s:c r="R84" s="14"/>
      <s:c r="S84" s="14"/>
      <s:c r="T84" s="14"/>
      <s:c r="U84" s="14"/>
      <s:c r="V84" s="14"/>
      <s:c r="W84" s="14"/>
      <s:c r="X84" s="14"/>
      <s:c r="Y84" s="14"/>
      <s:c r="Z84" s="74"/>
      <s:c r="AA84" s="14"/>
      <s:c r="AB84" s="14"/>
      <s:c r="AC84" s="14"/>
      <s:c r="AD84" s="14"/>
      <s:c r="AE84" s="14"/>
      <s:c r="AF84" s="14"/>
      <s:c r="AG84" s="15"/>
      <s:c r="AH84" s="16"/>
      <s:c r="AI84" s="16"/>
      <s:c r="AJ84" s="16"/>
      <s:c r="AK84" s="16"/>
      <s:c r="AL84" s="17"/>
      <s:c r="AM84" s="18"/>
      <s:c r="AN84" s="18"/>
      <s:c r="AO84" s="18"/>
      <s:c r="AP84" s="18"/>
      <s:c r="AQ84" s="18"/>
      <s:c r="AR84" s="18"/>
      <s:c r="AS84" s="18"/>
      <s:c r="AT84" s="18"/>
      <s:c r="AU84" s="18"/>
    </s:row>
    <s:row r="85" ht="18.75">
      <s:c r="A85" s="29" t="s">
        <s:v>52</s:v>
      </s:c>
      <s:c r="B85" s="14"/>
      <s:c r="C85" s="14"/>
      <s:c r="D85" s="14"/>
      <s:c r="E85" s="14"/>
      <s:c r="F85" s="14"/>
      <s:c r="G85" s="14"/>
      <s:c r="H85" s="14"/>
      <s:c r="I85" s="14"/>
      <s:c r="J85" s="14"/>
      <s:c r="K85" s="14"/>
      <s:c r="L85" s="14"/>
      <s:c r="M85" s="14"/>
      <s:c r="N85" s="14"/>
      <s:c r="O85" s="14"/>
      <s:c r="P85" s="14"/>
      <s:c r="Q85" s="14"/>
      <s:c r="R85" s="14"/>
      <s:c r="S85" s="14"/>
      <s:c r="T85" s="14"/>
      <s:c r="U85" s="14"/>
      <s:c r="V85" s="14"/>
      <s:c r="W85" s="14"/>
      <s:c r="X85" s="14"/>
      <s:c r="Y85" s="14"/>
      <s:c r="Z85" s="74"/>
      <s:c r="AA85" s="14"/>
      <s:c r="AB85" s="14"/>
      <s:c r="AC85" s="14"/>
      <s:c r="AD85" s="14"/>
      <s:c r="AE85" s="14"/>
      <s:c r="AF85" s="14"/>
      <s:c r="AG85" s="15"/>
      <s:c r="AH85" s="16"/>
      <s:c r="AI85" s="16"/>
      <s:c r="AJ85" s="16"/>
      <s:c r="AK85" s="16"/>
      <s:c r="AL85" s="17"/>
      <s:c r="AM85" s="18"/>
      <s:c r="AN85" s="18"/>
      <s:c r="AO85" s="18"/>
      <s:c r="AP85" s="18"/>
      <s:c r="AQ85" s="18"/>
      <s:c r="AR85" s="18"/>
      <s:c r="AS85" s="18"/>
      <s:c r="AT85" s="18"/>
      <s:c r="AU85" s="18"/>
    </s:row>
    <s:row r="86" ht="18.75">
      <s:c r="A86" s="30" t="s">
        <s:v>61</s:v>
      </s:c>
      <s:c r="B86" s="14"/>
      <s:c r="C86" s="14">
        <s:v>43500</s:v>
      </s:c>
      <s:c r="D86" s="14">
        <s:v>44500</s:v>
      </s:c>
      <s:c r="E86" s="14"/>
      <s:c r="F86" s="14"/>
      <s:c r="G86" s="14"/>
      <s:c r="H86" s="14"/>
      <s:c r="I86" s="14"/>
      <s:c r="J86" s="14"/>
      <s:c r="K86" s="14"/>
      <s:c r="L86" s="14"/>
      <s:c r="M86" s="14">
        <s:v>87000</s:v>
      </s:c>
      <s:c r="N86" s="14"/>
      <s:c r="O86" s="14"/>
      <s:c r="P86" s="14"/>
      <s:c r="Q86" s="14">
        <s:v>105000</s:v>
      </s:c>
      <s:c r="R86" s="14">
        <s:v>87000</s:v>
      </s:c>
      <s:c r="S86" s="14"/>
      <s:c r="T86" s="14">
        <s:v>135000</s:v>
      </s:c>
      <s:c r="U86" s="14"/>
      <s:c r="V86" s="14"/>
      <s:c r="W86" s="14"/>
      <s:c r="X86" s="80">
        <s:v>310000</s:v>
      </s:c>
      <s:c r="Y86" s="14">
        <s:v>70000</s:v>
      </s:c>
      <s:c r="Z86" s="74">
        <s:v>250000</s:v>
      </s:c>
      <s:c r="AA86" s="14"/>
      <s:c r="AB86" s="14">
        <s:v>250000</s:v>
      </s:c>
      <s:c r="AC86" s="14"/>
      <s:c r="AD86" s="14"/>
      <s:c r="AE86" s="14"/>
      <s:c r="AF86" s="14"/>
      <s:c r="AG86" s="15"/>
      <s:c r="AH86" s="16"/>
      <s:c r="AI86" s="16"/>
      <s:c r="AJ86" s="16"/>
      <s:c r="AK86" s="16">
        <s:v>97000</s:v>
      </s:c>
      <s:c r="AL86" s="17">
        <s:v>270000</s:v>
      </s:c>
      <s:c r="AM86" s="18"/>
      <s:c r="AN86" s="18"/>
      <s:c r="AO86" s="18"/>
      <s:c r="AP86" s="18"/>
      <s:c r="AQ86" s="18"/>
      <s:c r="AR86" s="18"/>
      <s:c r="AS86" s="18"/>
      <s:c r="AT86" s="18">
        <s:v>127000</s:v>
      </s:c>
      <s:c r="AU86" s="18"/>
    </s:row>
    <s:row r="87" ht="18.75">
      <s:c r="A87" s="29" t="s">
        <s:v>16</s:v>
      </s:c>
      <s:c r="B87" s="14"/>
      <s:c r="C87" s="14"/>
      <s:c r="D87" s="14"/>
      <s:c r="E87" s="14"/>
      <s:c r="F87" s="14"/>
      <s:c r="G87" s="14"/>
      <s:c r="H87" s="14"/>
      <s:c r="I87" s="14"/>
      <s:c r="J87" s="14"/>
      <s:c r="K87" s="14"/>
      <s:c r="L87" s="14"/>
      <s:c r="M87" s="14"/>
      <s:c r="N87" s="14"/>
      <s:c r="O87" s="14"/>
      <s:c r="P87" s="14"/>
      <s:c r="Q87" s="14"/>
      <s:c r="R87" s="14"/>
      <s:c r="S87" s="14"/>
      <s:c r="T87" s="14"/>
      <s:c r="U87" s="14"/>
      <s:c r="V87" s="14"/>
      <s:c r="W87" s="14"/>
      <s:c r="X87" s="14"/>
      <s:c r="Y87" s="14"/>
      <s:c r="Z87" s="74"/>
      <s:c r="AA87" s="14"/>
      <s:c r="AB87" s="14"/>
      <s:c r="AC87" s="14"/>
      <s:c r="AD87" s="14"/>
      <s:c r="AE87" s="14"/>
      <s:c r="AF87" s="14"/>
      <s:c r="AG87" s="15"/>
      <s:c r="AH87" s="16"/>
      <s:c r="AI87" s="16"/>
      <s:c r="AJ87" s="16"/>
      <s:c r="AK87" s="16"/>
      <s:c r="AL87" s="17"/>
      <s:c r="AM87" s="18"/>
      <s:c r="AN87" s="18"/>
      <s:c r="AO87" s="18"/>
      <s:c r="AP87" s="18"/>
      <s:c r="AQ87" s="18"/>
      <s:c r="AR87" s="18"/>
      <s:c r="AS87" s="18"/>
      <s:c r="AT87" s="18"/>
      <s:c r="AU87" s="18"/>
    </s:row>
    <s:row r="88" ht="18.75">
      <s:c r="A88" s="30" t="s">
        <s:v>70</s:v>
      </s:c>
      <s:c r="B88" s="14"/>
      <s:c r="C88" s="14"/>
      <s:c r="D88" s="14"/>
      <s:c r="E88" s="14"/>
      <s:c r="F88" s="14"/>
      <s:c r="G88" s="14"/>
      <s:c r="H88" s="14"/>
      <s:c r="I88" s="14"/>
      <s:c r="J88" s="14"/>
      <s:c r="K88" s="14"/>
      <s:c r="L88" s="14"/>
      <s:c r="M88" s="14"/>
      <s:c r="N88" s="14"/>
      <s:c r="O88" s="14"/>
      <s:c r="P88" s="14"/>
      <s:c r="Q88" s="14"/>
      <s:c r="R88" s="14"/>
      <s:c r="S88" s="14"/>
      <s:c r="T88" s="14"/>
      <s:c r="U88" s="14"/>
      <s:c r="V88" s="14"/>
      <s:c r="W88" s="14"/>
      <s:c r="X88" s="14"/>
      <s:c r="Y88" s="14"/>
      <s:c r="Z88" s="74"/>
      <s:c r="AA88" s="14"/>
      <s:c r="AB88" s="14"/>
      <s:c r="AC88" s="14"/>
      <s:c r="AD88" s="14"/>
      <s:c r="AE88" s="14"/>
      <s:c r="AF88" s="14"/>
      <s:c r="AG88" s="15"/>
      <s:c r="AH88" s="16"/>
      <s:c r="AI88" s="16"/>
      <s:c r="AJ88" s="16"/>
      <s:c r="AK88" s="16"/>
      <s:c r="AL88" s="17"/>
      <s:c r="AM88" s="18"/>
      <s:c r="AN88" s="18"/>
      <s:c r="AO88" s="18"/>
      <s:c r="AP88" s="18"/>
      <s:c r="AQ88" s="18"/>
      <s:c r="AR88" s="18"/>
      <s:c r="AS88" s="18"/>
      <s:c r="AT88" s="18"/>
      <s:c r="AU88" s="18"/>
    </s:row>
    <s:row r="89" ht="18.75">
      <s:c r="A89" s="13" t="s">
        <s:v>77</s:v>
      </s:c>
      <s:c r="B89" s="14"/>
      <s:c r="C89" s="14"/>
      <s:c r="D89" s="14"/>
      <s:c r="E89" s="14"/>
      <s:c r="F89" s="14"/>
      <s:c r="G89" s="14"/>
      <s:c r="H89" s="14"/>
      <s:c r="I89" s="14"/>
      <s:c r="J89" s="14"/>
      <s:c r="K89" s="14"/>
      <s:c r="L89" s="14"/>
      <s:c r="M89" s="14"/>
      <s:c r="N89" s="14"/>
      <s:c r="O89" s="14"/>
      <s:c r="P89" s="14"/>
      <s:c r="Q89" s="14"/>
      <s:c r="R89" s="14"/>
      <s:c r="S89" s="14"/>
      <s:c r="T89" s="14"/>
      <s:c r="U89" s="14"/>
      <s:c r="V89" s="14"/>
      <s:c r="W89" s="14"/>
      <s:c r="X89" s="14"/>
      <s:c r="Y89" s="14"/>
      <s:c r="Z89" s="74"/>
      <s:c r="AA89" s="14"/>
      <s:c r="AB89" s="14"/>
      <s:c r="AC89" s="14"/>
      <s:c r="AD89" s="14"/>
      <s:c r="AE89" s="14"/>
      <s:c r="AF89" s="14"/>
      <s:c r="AG89" s="15"/>
      <s:c r="AH89" s="16"/>
      <s:c r="AI89" s="16"/>
      <s:c r="AJ89" s="16"/>
      <s:c r="AK89" s="16"/>
      <s:c r="AL89" s="17"/>
      <s:c r="AM89" s="18"/>
      <s:c r="AN89" s="18"/>
      <s:c r="AO89" s="18"/>
      <s:c r="AP89" s="18"/>
      <s:c r="AQ89" s="18"/>
      <s:c r="AR89" s="18"/>
      <s:c r="AS89" s="18"/>
      <s:c r="AT89" s="18"/>
      <s:c r="AU89" s="18"/>
    </s:row>
    <s:row r="90" ht="18.75">
      <s:c r="A90" s="13" t="s">
        <s:v>76</s:v>
      </s:c>
      <s:c r="B90" s="14"/>
      <s:c r="C90" s="14"/>
      <s:c r="D90" s="14"/>
      <s:c r="E90" s="14"/>
      <s:c r="F90" s="14"/>
      <s:c r="G90" s="14"/>
      <s:c r="H90" s="14"/>
      <s:c r="I90" s="14"/>
      <s:c r="J90" s="14"/>
      <s:c r="K90" s="14"/>
      <s:c r="L90" s="14"/>
      <s:c r="M90" s="14"/>
      <s:c r="N90" s="14"/>
      <s:c r="O90" s="14"/>
      <s:c r="P90" s="14"/>
      <s:c r="Q90" s="14"/>
      <s:c r="R90" s="14"/>
      <s:c r="S90" s="14"/>
      <s:c r="T90" s="14"/>
      <s:c r="U90" s="14"/>
      <s:c r="V90" s="14"/>
      <s:c r="W90" s="14"/>
      <s:c r="X90" s="14"/>
      <s:c r="Y90" s="14"/>
      <s:c r="Z90" s="74"/>
      <s:c r="AA90" s="14"/>
      <s:c r="AB90" s="14"/>
      <s:c r="AC90" s="14"/>
      <s:c r="AD90" s="14"/>
      <s:c r="AE90" s="14"/>
      <s:c r="AF90" s="14"/>
      <s:c r="AG90" s="15"/>
      <s:c r="AH90" s="16"/>
      <s:c r="AI90" s="16"/>
      <s:c r="AJ90" s="16"/>
      <s:c r="AK90" s="16"/>
      <s:c r="AL90" s="17"/>
      <s:c r="AM90" s="18"/>
      <s:c r="AN90" s="18"/>
      <s:c r="AO90" s="18"/>
      <s:c r="AP90" s="18"/>
      <s:c r="AQ90" s="18"/>
      <s:c r="AR90" s="18"/>
      <s:c r="AS90" s="18"/>
      <s:c r="AT90" s="18"/>
      <s:c r="AU90" s="18"/>
    </s:row>
    <s:row r="91" ht="18.75">
      <s:c r="A91" s="29" t="s">
        <s:v>7</s:v>
      </s:c>
      <s:c r="B91" s="14"/>
      <s:c r="C91" s="14"/>
      <s:c r="D91" s="14">
        <s:v>44500</s:v>
      </s:c>
      <s:c r="E91" s="14"/>
      <s:c r="F91" s="14"/>
      <s:c r="G91" s="14"/>
      <s:c r="H91" s="14"/>
      <s:c r="I91" s="14"/>
      <s:c r="J91" s="14"/>
      <s:c r="K91" s="14"/>
      <s:c r="L91" s="14"/>
      <s:c r="M91" s="14">
        <s:v>87000</s:v>
      </s:c>
      <s:c r="N91" s="14"/>
      <s:c r="O91" s="14"/>
      <s:c r="P91" s="14"/>
      <s:c r="Q91" s="14">
        <s:v>105000</s:v>
      </s:c>
      <s:c r="R91" s="14"/>
      <s:c r="S91" s="14"/>
      <s:c r="T91" s="14"/>
      <s:c r="U91" s="14"/>
      <s:c r="V91" s="14"/>
      <s:c r="W91" s="14"/>
      <s:c r="X91" s="14"/>
      <s:c r="Y91" s="14"/>
      <s:c r="Z91" s="74"/>
      <s:c r="AA91" s="14"/>
      <s:c r="AB91" s="14">
        <s:v>250000</s:v>
      </s:c>
      <s:c r="AC91" s="14"/>
      <s:c r="AD91" s="14"/>
      <s:c r="AE91" s="14"/>
      <s:c r="AF91" s="14"/>
      <s:c r="AG91" s="15"/>
      <s:c r="AH91" s="16"/>
      <s:c r="AI91" s="16"/>
      <s:c r="AJ91" s="16"/>
      <s:c r="AK91" s="16"/>
      <s:c r="AL91" s="17"/>
      <s:c r="AM91" s="18"/>
      <s:c r="AN91" s="18"/>
      <s:c r="AO91" s="18"/>
      <s:c r="AP91" s="18"/>
      <s:c r="AQ91" s="18"/>
      <s:c r="AR91" s="18"/>
      <s:c r="AS91" s="18"/>
      <s:c r="AT91" s="18"/>
      <s:c r="AU91" s="18"/>
    </s:row>
    <s:row r="92" ht="18.75">
      <s:c r="A92" s="13" t="s">
        <s:v>80</s:v>
      </s:c>
      <s:c r="B92" s="14"/>
      <s:c r="C92" s="14"/>
      <s:c r="D92" s="14"/>
      <s:c r="E92" s="14"/>
      <s:c r="F92" s="14"/>
      <s:c r="G92" s="14"/>
      <s:c r="H92" s="14"/>
      <s:c r="I92" s="14"/>
      <s:c r="J92" s="14"/>
      <s:c r="K92" s="14"/>
      <s:c r="L92" s="14"/>
      <s:c r="M92" s="14"/>
      <s:c r="N92" s="14"/>
      <s:c r="O92" s="14"/>
      <s:c r="P92" s="14"/>
      <s:c r="Q92" s="14"/>
      <s:c r="R92" s="14"/>
      <s:c r="S92" s="14"/>
      <s:c r="T92" s="14"/>
      <s:c r="U92" s="14"/>
      <s:c r="V92" s="14"/>
      <s:c r="W92" s="14"/>
      <s:c r="X92" s="14"/>
      <s:c r="Y92" s="14"/>
      <s:c r="Z92" s="74"/>
      <s:c r="AA92" s="14"/>
      <s:c r="AB92" s="14"/>
      <s:c r="AC92" s="14"/>
      <s:c r="AD92" s="14"/>
      <s:c r="AE92" s="14"/>
      <s:c r="AF92" s="14"/>
      <s:c r="AG92" s="15"/>
      <s:c r="AH92" s="16"/>
      <s:c r="AI92" s="16"/>
      <s:c r="AJ92" s="16"/>
      <s:c r="AK92" s="16"/>
      <s:c r="AL92" s="17"/>
      <s:c r="AM92" s="18"/>
      <s:c r="AN92" s="18"/>
      <s:c r="AO92" s="18"/>
      <s:c r="AP92" s="18"/>
      <s:c r="AQ92" s="18"/>
      <s:c r="AR92" s="18"/>
      <s:c r="AS92" s="18"/>
      <s:c r="AT92" s="18"/>
      <s:c r="AU92" s="18"/>
    </s:row>
    <s:row r="93" ht="18.75">
      <s:c r="A93" s="13" t="s">
        <s:v>111</s:v>
      </s:c>
      <s:c r="B93" s="14"/>
      <s:c r="C93" s="14"/>
      <s:c r="D93" s="14"/>
      <s:c r="E93" s="14"/>
      <s:c r="F93" s="14"/>
      <s:c r="G93" s="14"/>
      <s:c r="H93" s="14"/>
      <s:c r="I93" s="14"/>
      <s:c r="J93" s="14"/>
      <s:c r="K93" s="14"/>
      <s:c r="L93" s="14"/>
      <s:c r="M93" s="14"/>
      <s:c r="N93" s="14"/>
      <s:c r="O93" s="14"/>
      <s:c r="P93" s="14"/>
      <s:c r="Q93" s="14"/>
      <s:c r="R93" s="14">
        <s:v>89000</s:v>
      </s:c>
      <s:c r="S93" s="14"/>
      <s:c r="T93" s="14"/>
      <s:c r="U93" s="14"/>
      <s:c r="V93" s="14"/>
      <s:c r="W93" s="14"/>
      <s:c r="X93" s="14"/>
      <s:c r="Y93" s="14"/>
      <s:c r="Z93" s="74"/>
      <s:c r="AA93" s="14"/>
      <s:c r="AB93" s="14"/>
      <s:c r="AC93" s="14"/>
      <s:c r="AD93" s="14"/>
      <s:c r="AE93" s="14"/>
      <s:c r="AF93" s="14"/>
      <s:c r="AG93" s="15"/>
      <s:c r="AH93" s="16"/>
      <s:c r="AI93" s="16"/>
      <s:c r="AJ93" s="16"/>
      <s:c r="AK93" s="16"/>
      <s:c r="AL93" s="17"/>
      <s:c r="AM93" s="18"/>
      <s:c r="AN93" s="18"/>
      <s:c r="AO93" s="18"/>
      <s:c r="AP93" s="18">
        <s:v>110000</s:v>
      </s:c>
      <s:c r="AQ93" s="18"/>
      <s:c r="AR93" s="18"/>
      <s:c r="AS93" s="18"/>
      <s:c r="AT93" s="18"/>
      <s:c r="AU93" s="18"/>
    </s:row>
    <s:row r="94" ht="18.75">
      <s:c r="A94" s="30" t="s">
        <s:v>54</s:v>
      </s:c>
      <s:c r="B94" s="14"/>
      <s:c r="C94" s="14"/>
      <s:c r="D94" s="14"/>
      <s:c r="E94" s="14"/>
      <s:c r="F94" s="14"/>
      <s:c r="G94" s="14"/>
      <s:c r="H94" s="14"/>
      <s:c r="I94" s="14"/>
      <s:c r="J94" s="14"/>
      <s:c r="K94" s="14"/>
      <s:c r="L94" s="14"/>
      <s:c r="M94" s="14"/>
      <s:c r="N94" s="14"/>
      <s:c r="O94" s="14"/>
      <s:c r="P94" s="14"/>
      <s:c r="Q94" s="14"/>
      <s:c r="R94" s="14"/>
      <s:c r="S94" s="14"/>
      <s:c r="T94" s="14"/>
      <s:c r="U94" s="14"/>
      <s:c r="V94" s="14"/>
      <s:c r="W94" s="14"/>
      <s:c r="X94" s="14"/>
      <s:c r="Y94" s="14"/>
      <s:c r="Z94" s="74"/>
      <s:c r="AA94" s="14"/>
      <s:c r="AB94" s="14"/>
      <s:c r="AC94" s="14"/>
      <s:c r="AD94" s="14"/>
      <s:c r="AE94" s="14"/>
      <s:c r="AF94" s="14"/>
      <s:c r="AG94" s="15"/>
      <s:c r="AH94" s="16"/>
      <s:c r="AI94" s="16"/>
      <s:c r="AJ94" s="16"/>
      <s:c r="AK94" s="16"/>
      <s:c r="AL94" s="17">
        <s:v>316000</s:v>
      </s:c>
      <s:c r="AM94" s="18"/>
      <s:c r="AN94" s="18"/>
      <s:c r="AO94" s="18"/>
      <s:c r="AP94" s="18"/>
      <s:c r="AQ94" s="18"/>
      <s:c r="AR94" s="18"/>
      <s:c r="AS94" s="18"/>
      <s:c r="AT94" s="18"/>
      <s:c r="AU94" s="18"/>
    </s:row>
    <s:row r="95" ht="18.75">
      <s:c r="A95" s="29" t="s">
        <s:v>68</s:v>
      </s:c>
      <s:c r="B95" s="14"/>
      <s:c r="C95" s="14"/>
      <s:c r="D95" s="14"/>
      <s:c r="E95" s="14"/>
      <s:c r="F95" s="14"/>
      <s:c r="G95" s="14"/>
      <s:c r="H95" s="14"/>
      <s:c r="I95" s="14"/>
      <s:c r="J95" s="14"/>
      <s:c r="K95" s="14"/>
      <s:c r="L95" s="14"/>
      <s:c r="M95" s="14"/>
      <s:c r="N95" s="14"/>
      <s:c r="O95" s="14"/>
      <s:c r="P95" s="14"/>
      <s:c r="Q95" s="14"/>
      <s:c r="R95" s="14"/>
      <s:c r="S95" s="14"/>
      <s:c r="T95" s="14"/>
      <s:c r="U95" s="14"/>
      <s:c r="V95" s="14"/>
      <s:c r="W95" s="14"/>
      <s:c r="X95" s="14"/>
      <s:c r="Y95" s="14"/>
      <s:c r="Z95" s="74"/>
      <s:c r="AA95" s="14"/>
      <s:c r="AB95" s="14"/>
      <s:c r="AC95" s="14"/>
      <s:c r="AD95" s="14"/>
      <s:c r="AE95" s="14"/>
      <s:c r="AF95" s="14"/>
      <s:c r="AG95" s="15"/>
      <s:c r="AH95" s="16"/>
      <s:c r="AI95" s="16"/>
      <s:c r="AJ95" s="16"/>
      <s:c r="AK95" s="16"/>
      <s:c r="AL95" s="17"/>
      <s:c r="AM95" s="18"/>
      <s:c r="AN95" s="18"/>
      <s:c r="AO95" s="18"/>
      <s:c r="AP95" s="18"/>
      <s:c r="AQ95" s="18"/>
      <s:c r="AR95" s="18"/>
      <s:c r="AS95" s="18"/>
      <s:c r="AT95" s="18"/>
      <s:c r="AU95" s="18"/>
    </s:row>
    <s:row r="96" ht="18.75">
      <s:c r="A96" s="29" t="s">
        <s:v>2</s:v>
      </s:c>
      <s:c r="B96" s="14"/>
      <s:c r="C96" s="14"/>
      <s:c r="D96" s="14"/>
      <s:c r="E96" s="14"/>
      <s:c r="F96" s="14"/>
      <s:c r="G96" s="14"/>
      <s:c r="H96" s="14"/>
      <s:c r="I96" s="14"/>
      <s:c r="J96" s="14"/>
      <s:c r="K96" s="14"/>
      <s:c r="L96" s="14"/>
      <s:c r="M96" s="14"/>
      <s:c r="N96" s="14"/>
      <s:c r="O96" s="14"/>
      <s:c r="P96" s="14"/>
      <s:c r="Q96" s="14"/>
      <s:c r="R96" s="14"/>
      <s:c r="S96" s="14"/>
      <s:c r="T96" s="14"/>
      <s:c r="U96" s="14"/>
      <s:c r="V96" s="14"/>
      <s:c r="W96" s="14"/>
      <s:c r="X96" s="14"/>
      <s:c r="Y96" s="14"/>
      <s:c r="Z96" s="74"/>
      <s:c r="AA96" s="14"/>
      <s:c r="AB96" s="14"/>
      <s:c r="AC96" s="14"/>
      <s:c r="AD96" s="14"/>
      <s:c r="AE96" s="14"/>
      <s:c r="AF96" s="14"/>
      <s:c r="AG96" s="15"/>
      <s:c r="AH96" s="16"/>
      <s:c r="AI96" s="16"/>
      <s:c r="AJ96" s="16"/>
      <s:c r="AK96" s="16"/>
      <s:c r="AL96" s="17"/>
      <s:c r="AM96" s="18"/>
      <s:c r="AN96" s="18"/>
      <s:c r="AO96" s="18"/>
      <s:c r="AP96" s="18"/>
      <s:c r="AQ96" s="18"/>
      <s:c r="AR96" s="18"/>
      <s:c r="AS96" s="18"/>
      <s:c r="AT96" s="18"/>
      <s:c r="AU96" s="18"/>
    </s:row>
    <s:row r="97" ht="18.75">
      <s:c r="A97" s="29" t="s">
        <s:v>71</s:v>
      </s:c>
      <s:c r="B97" s="14"/>
      <s:c r="C97" s="14"/>
      <s:c r="D97" s="14"/>
      <s:c r="E97" s="14"/>
      <s:c r="F97" s="14"/>
      <s:c r="G97" s="14"/>
      <s:c r="H97" s="14"/>
      <s:c r="I97" s="14"/>
      <s:c r="J97" s="14"/>
      <s:c r="K97" s="14"/>
      <s:c r="L97" s="14"/>
      <s:c r="M97" s="14"/>
      <s:c r="N97" s="14"/>
      <s:c r="O97" s="14"/>
      <s:c r="P97" s="14"/>
      <s:c r="Q97" s="14"/>
      <s:c r="R97" s="14"/>
      <s:c r="S97" s="14"/>
      <s:c r="T97" s="14"/>
      <s:c r="U97" s="14"/>
      <s:c r="V97" s="14"/>
      <s:c r="W97" s="14"/>
      <s:c r="X97" s="14"/>
      <s:c r="Y97" s="14"/>
      <s:c r="Z97" s="74"/>
      <s:c r="AA97" s="14"/>
      <s:c r="AB97" s="14"/>
      <s:c r="AC97" s="14"/>
      <s:c r="AD97" s="14"/>
      <s:c r="AE97" s="14"/>
      <s:c r="AF97" s="14"/>
      <s:c r="AG97" s="15"/>
      <s:c r="AH97" s="16"/>
      <s:c r="AI97" s="16"/>
      <s:c r="AJ97" s="16"/>
      <s:c r="AK97" s="16"/>
      <s:c r="AL97" s="17"/>
      <s:c r="AM97" s="18"/>
      <s:c r="AN97" s="18"/>
      <s:c r="AO97" s="18"/>
      <s:c r="AP97" s="18"/>
      <s:c r="AQ97" s="18"/>
      <s:c r="AR97" s="18"/>
      <s:c r="AS97" s="18"/>
      <s:c r="AT97" s="18"/>
      <s:c r="AU97" s="18"/>
    </s:row>
    <s:row r="98" ht="18.75">
      <s:c r="A98" s="29" t="s">
        <s:v>64</s:v>
      </s:c>
      <s:c r="B98" s="14"/>
      <s:c r="C98" s="14"/>
      <s:c r="D98" s="14"/>
      <s:c r="E98" s="14"/>
      <s:c r="F98" s="14"/>
      <s:c r="G98" s="14"/>
      <s:c r="H98" s="14"/>
      <s:c r="I98" s="14"/>
      <s:c r="J98" s="14"/>
      <s:c r="K98" s="14"/>
      <s:c r="L98" s="14"/>
      <s:c r="M98" s="14"/>
      <s:c r="N98" s="14"/>
      <s:c r="O98" s="14"/>
      <s:c r="P98" s="14"/>
      <s:c r="Q98" s="14"/>
      <s:c r="R98" s="14"/>
      <s:c r="S98" s="14"/>
      <s:c r="T98" s="14"/>
      <s:c r="U98" s="14"/>
      <s:c r="V98" s="14"/>
      <s:c r="W98" s="14"/>
      <s:c r="X98" s="14"/>
      <s:c r="Y98" s="14"/>
      <s:c r="Z98" s="74"/>
      <s:c r="AA98" s="14"/>
      <s:c r="AB98" s="14"/>
      <s:c r="AC98" s="14"/>
      <s:c r="AD98" s="14"/>
      <s:c r="AE98" s="14"/>
      <s:c r="AF98" s="14"/>
      <s:c r="AG98" s="15"/>
      <s:c r="AH98" s="16"/>
      <s:c r="AI98" s="16"/>
      <s:c r="AJ98" s="16"/>
      <s:c r="AK98" s="16"/>
      <s:c r="AL98" s="17"/>
      <s:c r="AM98" s="18"/>
      <s:c r="AN98" s="18"/>
      <s:c r="AO98" s="18"/>
      <s:c r="AP98" s="18"/>
      <s:c r="AQ98" s="18"/>
      <s:c r="AR98" s="18"/>
      <s:c r="AS98" s="18"/>
      <s:c r="AT98" s="18"/>
      <s:c r="AU98" s="18"/>
    </s:row>
    <s:row r="99" ht="18.75">
      <s:c r="A99" s="29" t="s">
        <s:v>42</s:v>
      </s:c>
      <s:c r="B99" s="14"/>
      <s:c r="C99" s="14"/>
      <s:c r="D99" s="14"/>
      <s:c r="E99" s="14"/>
      <s:c r="F99" s="14"/>
      <s:c r="G99" s="14"/>
      <s:c r="H99" s="14"/>
      <s:c r="I99" s="14"/>
      <s:c r="J99" s="14"/>
      <s:c r="K99" s="14"/>
      <s:c r="L99" s="14"/>
      <s:c r="M99" s="14"/>
      <s:c r="N99" s="14"/>
      <s:c r="O99" s="14"/>
      <s:c r="P99" s="14"/>
      <s:c r="Q99" s="14"/>
      <s:c r="R99" s="14"/>
      <s:c r="S99" s="14"/>
      <s:c r="T99" s="14"/>
      <s:c r="U99" s="14"/>
      <s:c r="V99" s="14"/>
      <s:c r="W99" s="14"/>
      <s:c r="X99" s="14"/>
      <s:c r="Y99" s="14"/>
      <s:c r="Z99" s="74"/>
      <s:c r="AA99" s="14"/>
      <s:c r="AB99" s="14"/>
      <s:c r="AC99" s="14"/>
      <s:c r="AD99" s="14"/>
      <s:c r="AE99" s="14"/>
      <s:c r="AF99" s="14"/>
      <s:c r="AG99" s="15"/>
      <s:c r="AH99" s="16"/>
      <s:c r="AI99" s="16"/>
      <s:c r="AJ99" s="16"/>
      <s:c r="AK99" s="16"/>
      <s:c r="AL99" s="17"/>
      <s:c r="AM99" s="18"/>
      <s:c r="AN99" s="18"/>
      <s:c r="AO99" s="18"/>
      <s:c r="AP99" s="18"/>
      <s:c r="AQ99" s="18"/>
      <s:c r="AR99" s="18"/>
      <s:c r="AS99" s="18"/>
      <s:c r="AT99" s="18"/>
      <s:c r="AU99" s="18"/>
    </s:row>
    <s:row r="100" ht="18.75">
      <s:c r="A100" s="29" t="s">
        <s:v>45</s:v>
      </s:c>
      <s:c r="B100" s="14"/>
      <s:c r="C100" s="14"/>
      <s:c r="D100" s="14"/>
      <s:c r="E100" s="14"/>
      <s:c r="F100" s="14"/>
      <s:c r="G100" s="14"/>
      <s:c r="H100" s="14"/>
      <s:c r="I100" s="14"/>
      <s:c r="J100" s="14"/>
      <s:c r="K100" s="14"/>
      <s:c r="L100" s="14"/>
      <s:c r="M100" s="14"/>
      <s:c r="N100" s="14"/>
      <s:c r="O100" s="14"/>
      <s:c r="P100" s="14"/>
      <s:c r="Q100" s="14"/>
      <s:c r="R100" s="14"/>
      <s:c r="S100" s="14"/>
      <s:c r="T100" s="14"/>
      <s:c r="U100" s="14"/>
      <s:c r="V100" s="14"/>
      <s:c r="W100" s="14"/>
      <s:c r="X100" s="14"/>
      <s:c r="Y100" s="14"/>
      <s:c r="Z100" s="74"/>
      <s:c r="AA100" s="14"/>
      <s:c r="AB100" s="14"/>
      <s:c r="AC100" s="14"/>
      <s:c r="AD100" s="14"/>
      <s:c r="AE100" s="14"/>
      <s:c r="AF100" s="14"/>
      <s:c r="AG100" s="15"/>
      <s:c r="AH100" s="16"/>
      <s:c r="AI100" s="16"/>
      <s:c r="AJ100" s="16"/>
      <s:c r="AK100" s="16"/>
      <s:c r="AL100" s="17"/>
      <s:c r="AM100" s="18"/>
      <s:c r="AN100" s="18"/>
      <s:c r="AO100" s="18"/>
      <s:c r="AP100" s="18"/>
      <s:c r="AQ100" s="18"/>
      <s:c r="AR100" s="18"/>
      <s:c r="AS100" s="18"/>
      <s:c r="AT100" s="18"/>
      <s:c r="AU100" s="18"/>
    </s:row>
    <s:row r="101" ht="18.75">
      <s:c r="A101" s="29" t="s">
        <s:v>43</s:v>
      </s:c>
      <s:c r="B101" s="29"/>
      <s:c r="C101" s="14"/>
      <s:c r="D101" s="14"/>
      <s:c r="E101" s="14"/>
      <s:c r="F101" s="14"/>
      <s:c r="G101" s="14"/>
      <s:c r="H101" s="14"/>
      <s:c r="I101" s="14"/>
      <s:c r="J101" s="14"/>
      <s:c r="K101" s="14"/>
      <s:c r="L101" s="14"/>
      <s:c r="M101" s="14"/>
      <s:c r="N101" s="14"/>
      <s:c r="O101" s="14"/>
      <s:c r="P101" s="14"/>
      <s:c r="Q101" s="14"/>
      <s:c r="R101" s="14"/>
      <s:c r="S101" s="14"/>
      <s:c r="T101" s="14"/>
      <s:c r="U101" s="14"/>
      <s:c r="V101" s="14"/>
      <s:c r="W101" s="14"/>
      <s:c r="X101" s="14"/>
      <s:c r="Y101" s="14"/>
      <s:c r="Z101" s="74"/>
      <s:c r="AA101" s="14"/>
      <s:c r="AB101" s="14"/>
      <s:c r="AC101" s="14"/>
      <s:c r="AD101" s="14"/>
      <s:c r="AE101" s="14"/>
      <s:c r="AF101" s="14"/>
      <s:c r="AG101" s="15"/>
      <s:c r="AH101" s="16"/>
      <s:c r="AI101" s="16"/>
      <s:c r="AJ101" s="16"/>
      <s:c r="AK101" s="16"/>
      <s:c r="AL101" s="17"/>
      <s:c r="AM101" s="18"/>
      <s:c r="AN101" s="18"/>
      <s:c r="AO101" s="18"/>
      <s:c r="AP101" s="18"/>
      <s:c r="AQ101" s="18"/>
      <s:c r="AR101" s="18"/>
      <s:c r="AS101" s="18"/>
      <s:c r="AT101" s="18"/>
      <s:c r="AU101" s="18"/>
    </s:row>
    <s:row r="102" ht="18.75">
      <s:c r="A102" s="29" t="s">
        <s:v>99</s:v>
      </s:c>
      <s:c r="B102" s="14"/>
      <s:c r="C102" s="14"/>
      <s:c r="D102" s="14"/>
      <s:c r="E102" s="14"/>
      <s:c r="F102" s="14"/>
      <s:c r="G102" s="14"/>
      <s:c r="H102" s="14"/>
      <s:c r="I102" s="14"/>
      <s:c r="J102" s="14"/>
      <s:c r="K102" s="14"/>
      <s:c r="L102" s="14"/>
      <s:c r="M102" s="14"/>
      <s:c r="N102" s="14"/>
      <s:c r="O102" s="14">
        <s:v>85500</s:v>
      </s:c>
      <s:c r="P102" s="14"/>
      <s:c r="Q102" s="14"/>
      <s:c r="R102" s="14">
        <s:v>94500</s:v>
      </s:c>
      <s:c r="S102" s="14"/>
      <s:c r="T102" s="14"/>
      <s:c r="U102" s="14"/>
      <s:c r="V102" s="14"/>
      <s:c r="W102" s="14"/>
      <s:c r="X102" s="14"/>
      <s:c r="Y102" s="14"/>
      <s:c r="Z102" s="74"/>
      <s:c r="AA102" s="14"/>
      <s:c r="AB102" s="14"/>
      <s:c r="AC102" s="14"/>
      <s:c r="AD102" s="14"/>
      <s:c r="AE102" s="14"/>
      <s:c r="AF102" s="14"/>
      <s:c r="AG102" s="15"/>
      <s:c r="AH102" s="16"/>
      <s:c r="AI102" s="16"/>
      <s:c r="AJ102" s="16"/>
      <s:c r="AK102" s="16"/>
      <s:c r="AL102" s="17"/>
      <s:c r="AM102" s="18"/>
      <s:c r="AN102" s="18"/>
      <s:c r="AO102" s="18"/>
      <s:c r="AP102" s="18"/>
      <s:c r="AQ102" s="18"/>
      <s:c r="AR102" s="18"/>
      <s:c r="AS102" s="18"/>
      <s:c r="AT102" s="18"/>
      <s:c r="AU102" s="18"/>
    </s:row>
    <s:row r="103" ht="18.75">
      <s:c r="A103" s="29" t="s">
        <s:v>67</s:v>
      </s:c>
      <s:c r="B103" s="14"/>
      <s:c r="C103" s="14"/>
      <s:c r="D103" s="14"/>
      <s:c r="E103" s="14"/>
      <s:c r="F103" s="14"/>
      <s:c r="G103" s="14"/>
      <s:c r="H103" s="14"/>
      <s:c r="I103" s="14"/>
      <s:c r="J103" s="14"/>
      <s:c r="K103" s="14"/>
      <s:c r="L103" s="14"/>
      <s:c r="M103" s="14"/>
      <s:c r="N103" s="14"/>
      <s:c r="O103" s="14"/>
      <s:c r="P103" s="14"/>
      <s:c r="Q103" s="14"/>
      <s:c r="R103" s="14"/>
      <s:c r="S103" s="14"/>
      <s:c r="T103" s="14"/>
      <s:c r="U103" s="14"/>
      <s:c r="V103" s="14"/>
      <s:c r="W103" s="14"/>
      <s:c r="X103" s="14"/>
      <s:c r="Y103" s="14"/>
      <s:c r="Z103" s="74"/>
      <s:c r="AA103" s="14"/>
      <s:c r="AB103" s="14"/>
      <s:c r="AC103" s="14"/>
      <s:c r="AD103" s="14"/>
      <s:c r="AE103" s="14"/>
      <s:c r="AF103" s="14"/>
      <s:c r="AG103" s="15"/>
      <s:c r="AH103" s="16"/>
      <s:c r="AI103" s="16"/>
      <s:c r="AJ103" s="16"/>
      <s:c r="AK103" s="16"/>
      <s:c r="AL103" s="17"/>
      <s:c r="AM103" s="18"/>
      <s:c r="AN103" s="18"/>
      <s:c r="AO103" s="18"/>
      <s:c r="AP103" s="18"/>
      <s:c r="AQ103" s="18"/>
      <s:c r="AR103" s="18"/>
      <s:c r="AS103" s="18"/>
      <s:c r="AT103" s="18"/>
      <s:c r="AU103" s="18"/>
    </s:row>
    <s:row r="104" ht="18.75">
      <s:c r="A104" s="29" t="s">
        <s:v>104</s:v>
      </s:c>
      <s:c r="B104" s="14"/>
      <s:c r="C104" s="14"/>
      <s:c r="D104" s="14"/>
      <s:c r="E104" s="14"/>
      <s:c r="F104" s="14"/>
      <s:c r="G104" s="14"/>
      <s:c r="H104" s="14"/>
      <s:c r="I104" s="14"/>
      <s:c r="J104" s="14"/>
      <s:c r="K104" s="14"/>
      <s:c r="L104" s="14"/>
      <s:c r="M104" s="14"/>
      <s:c r="N104" s="14"/>
      <s:c r="O104" s="14"/>
      <s:c r="P104" s="14"/>
      <s:c r="Q104" s="14">
        <s:v>170000</s:v>
      </s:c>
      <s:c r="R104" s="14"/>
      <s:c r="S104" s="14"/>
      <s:c r="T104" s="14"/>
      <s:c r="U104" s="14"/>
      <s:c r="V104" s="14"/>
      <s:c r="W104" s="14"/>
      <s:c r="X104" s="14"/>
      <s:c r="Y104" s="14"/>
      <s:c r="Z104" s="14"/>
      <s:c r="AA104" s="14"/>
      <s:c r="AB104" s="14"/>
      <s:c r="AC104" s="14"/>
      <s:c r="AD104" s="14"/>
      <s:c r="AE104" s="14"/>
      <s:c r="AF104" s="14"/>
      <s:c r="AG104" s="15"/>
      <s:c r="AH104" s="16"/>
      <s:c r="AI104" s="16"/>
      <s:c r="AJ104" s="16"/>
      <s:c r="AK104" s="16"/>
      <s:c r="AL104" s="17"/>
      <s:c r="AM104" s="18"/>
      <s:c r="AN104" s="18"/>
      <s:c r="AO104" s="18"/>
      <s:c r="AP104" s="18"/>
      <s:c r="AQ104" s="18"/>
      <s:c r="AR104" s="18"/>
      <s:c r="AS104" s="18"/>
      <s:c r="AT104" s="18"/>
      <s:c r="AU104" s="18"/>
    </s:row>
    <s:row r="105" ht="18.75">
      <s:c r="A105" s="29" t="s">
        <s:v>112</s:v>
      </s:c>
      <s:c r="B105" s="14"/>
      <s:c r="C105" s="14">
        <s:v>43500</s:v>
      </s:c>
      <s:c r="D105" s="14"/>
      <s:c r="E105" s="14"/>
      <s:c r="F105" s="14"/>
      <s:c r="G105" s="14"/>
      <s:c r="H105" s="14"/>
      <s:c r="I105" s="14"/>
      <s:c r="J105" s="14"/>
      <s:c r="K105" s="14"/>
      <s:c r="L105" s="14"/>
      <s:c r="M105" s="14"/>
      <s:c r="N105" s="14"/>
      <s:c r="O105" s="14"/>
      <s:c r="P105" s="14"/>
      <s:c r="Q105" s="14"/>
      <s:c r="R105" s="14"/>
      <s:c r="S105" s="14"/>
      <s:c r="T105" s="14"/>
      <s:c r="U105" s="14"/>
      <s:c r="V105" s="14"/>
      <s:c r="W105" s="14"/>
      <s:c r="X105" s="14"/>
      <s:c r="Y105" s="14"/>
      <s:c r="Z105" s="14"/>
      <s:c r="AA105" s="14"/>
      <s:c r="AB105" s="14"/>
      <s:c r="AC105" s="14"/>
      <s:c r="AD105" s="14"/>
      <s:c r="AE105" s="14"/>
      <s:c r="AF105" s="14"/>
      <s:c r="AG105" s="15"/>
      <s:c r="AH105" s="16"/>
      <s:c r="AI105" s="16"/>
      <s:c r="AJ105" s="16"/>
      <s:c r="AK105" s="16"/>
      <s:c r="AL105" s="17"/>
      <s:c r="AM105" s="18"/>
      <s:c r="AN105" s="18"/>
      <s:c r="AO105" s="18"/>
      <s:c r="AP105" s="18"/>
      <s:c r="AQ105" s="18"/>
      <s:c r="AR105" s="18"/>
      <s:c r="AS105" s="18"/>
      <s:c r="AT105" s="18"/>
      <s:c r="AU105" s="18"/>
    </s:row>
    <s:row r="106" ht="18.75">
      <s:c r="A106" s="29" t="s">
        <s:v>0</s:v>
      </s:c>
      <s:c r="B106" s="14"/>
      <s:c r="C106" s="14"/>
      <s:c r="D106" s="14"/>
      <s:c r="E106" s="14"/>
      <s:c r="F106" s="14"/>
      <s:c r="G106" s="14"/>
      <s:c r="H106" s="14"/>
      <s:c r="I106" s="14"/>
      <s:c r="J106" s="14"/>
      <s:c r="K106" s="14"/>
      <s:c r="L106" s="14"/>
      <s:c r="M106" s="14"/>
      <s:c r="N106" s="14"/>
      <s:c r="O106" s="14"/>
      <s:c r="P106" s="14"/>
      <s:c r="Q106" s="14"/>
      <s:c r="R106" s="14"/>
      <s:c r="S106" s="14"/>
      <s:c r="T106" s="14"/>
      <s:c r="U106" s="14"/>
      <s:c r="V106" s="14"/>
      <s:c r="W106" s="14"/>
      <s:c r="X106" s="14"/>
      <s:c r="Y106" s="14"/>
      <s:c r="Z106" s="14"/>
      <s:c r="AA106" s="14"/>
      <s:c r="AB106" s="14"/>
      <s:c r="AC106" s="14"/>
      <s:c r="AD106" s="14"/>
      <s:c r="AE106" s="14"/>
      <s:c r="AF106" s="14"/>
      <s:c r="AG106" s="15"/>
      <s:c r="AH106" s="16"/>
      <s:c r="AI106" s="16"/>
      <s:c r="AJ106" s="16"/>
      <s:c r="AK106" s="16"/>
      <s:c r="AL106" s="17"/>
      <s:c r="AM106" s="18"/>
      <s:c r="AN106" s="18"/>
      <s:c r="AO106" s="18"/>
      <s:c r="AP106" s="18"/>
      <s:c r="AQ106" s="18"/>
      <s:c r="AR106" s="18"/>
      <s:c r="AS106" s="18"/>
      <s:c r="AT106" s="18"/>
      <s:c r="AU106" s="18"/>
    </s:row>
    <s:row r="107" ht="18.75">
      <s:c r="A107" s="30" t="s">
        <s:v>58</s:v>
      </s:c>
      <s:c r="B107" s="14"/>
      <s:c r="C107" s="14"/>
      <s:c r="D107" s="14"/>
      <s:c r="E107" s="14"/>
      <s:c r="F107" s="14"/>
      <s:c r="G107" s="14"/>
      <s:c r="H107" s="14"/>
      <s:c r="I107" s="14"/>
      <s:c r="J107" s="14"/>
      <s:c r="K107" s="14"/>
      <s:c r="L107" s="14"/>
      <s:c r="M107" s="14"/>
      <s:c r="N107" s="14"/>
      <s:c r="O107" s="14"/>
      <s:c r="P107" s="14"/>
      <s:c r="Q107" s="14"/>
      <s:c r="R107" s="14"/>
      <s:c r="S107" s="14"/>
      <s:c r="T107" s="14"/>
      <s:c r="U107" s="14"/>
      <s:c r="V107" s="14"/>
      <s:c r="W107" s="14"/>
      <s:c r="X107" s="14"/>
      <s:c r="Y107" s="14"/>
      <s:c r="Z107" s="14"/>
      <s:c r="AA107" s="14"/>
      <s:c r="AB107" s="14"/>
      <s:c r="AC107" s="14"/>
      <s:c r="AD107" s="14"/>
      <s:c r="AE107" s="14"/>
      <s:c r="AF107" s="14"/>
      <s:c r="AG107" s="15"/>
      <s:c r="AH107" s="16"/>
      <s:c r="AI107" s="16"/>
      <s:c r="AJ107" s="16"/>
      <s:c r="AK107" s="16"/>
      <s:c r="AL107" s="17"/>
      <s:c r="AM107" s="18"/>
      <s:c r="AN107" s="18"/>
      <s:c r="AO107" s="18"/>
      <s:c r="AP107" s="18"/>
      <s:c r="AQ107" s="18"/>
      <s:c r="AR107" s="18"/>
      <s:c r="AS107" s="18"/>
      <s:c r="AT107" s="18"/>
      <s:c r="AU107" s="18"/>
    </s:row>
    <s:row r="108" ht="18.75">
      <s:c r="A108" s="29" t="s">
        <s:v>40</s:v>
      </s:c>
      <s:c r="B108" s="14"/>
      <s:c r="C108" s="14"/>
      <s:c r="D108" s="14"/>
      <s:c r="E108" s="14"/>
      <s:c r="F108" s="14"/>
      <s:c r="G108" s="14"/>
      <s:c r="H108" s="14"/>
      <s:c r="I108" s="14"/>
      <s:c r="J108" s="14"/>
      <s:c r="K108" s="14"/>
      <s:c r="L108" s="14"/>
      <s:c r="M108" s="14"/>
      <s:c r="N108" s="14"/>
      <s:c r="O108" s="14"/>
      <s:c r="P108" s="14"/>
      <s:c r="Q108" s="14"/>
      <s:c r="R108" s="14"/>
      <s:c r="S108" s="14"/>
      <s:c r="T108" s="14"/>
      <s:c r="U108" s="14"/>
      <s:c r="V108" s="14"/>
      <s:c r="W108" s="14"/>
      <s:c r="X108" s="14"/>
      <s:c r="Y108" s="14"/>
      <s:c r="Z108" s="14"/>
      <s:c r="AA108" s="14"/>
      <s:c r="AB108" s="14"/>
      <s:c r="AC108" s="14"/>
      <s:c r="AD108" s="14"/>
      <s:c r="AE108" s="14"/>
      <s:c r="AF108" s="14"/>
      <s:c r="AG108" s="15"/>
      <s:c r="AH108" s="16"/>
      <s:c r="AI108" s="16"/>
      <s:c r="AJ108" s="16"/>
      <s:c r="AK108" s="16"/>
      <s:c r="AL108" s="17"/>
      <s:c r="AM108" s="18"/>
      <s:c r="AN108" s="18"/>
      <s:c r="AO108" s="18"/>
      <s:c r="AP108" s="18"/>
      <s:c r="AQ108" s="18">
        <s:v>317000</s:v>
      </s:c>
      <s:c r="AR108" s="18"/>
      <s:c r="AS108" s="18"/>
      <s:c r="AT108" s="18"/>
      <s:c r="AU108" s="18"/>
    </s:row>
    <s:row r="109" ht="18.75">
      <s:c r="A109" s="29" t="s">
        <s:v>53</s:v>
      </s:c>
      <s:c r="B109" s="14"/>
      <s:c r="C109" s="14"/>
      <s:c r="D109" s="14"/>
      <s:c r="E109" s="14"/>
      <s:c r="F109" s="14"/>
      <s:c r="G109" s="14"/>
      <s:c r="H109" s="14"/>
      <s:c r="I109" s="14"/>
      <s:c r="J109" s="14"/>
      <s:c r="K109" s="14"/>
      <s:c r="L109" s="14"/>
      <s:c r="M109" s="14"/>
      <s:c r="N109" s="14"/>
      <s:c r="O109" s="14"/>
      <s:c r="P109" s="14"/>
      <s:c r="Q109" s="14"/>
      <s:c r="R109" s="14"/>
      <s:c r="S109" s="14"/>
      <s:c r="T109" s="14"/>
      <s:c r="U109" s="14"/>
      <s:c r="V109" s="14"/>
      <s:c r="W109" s="14"/>
      <s:c r="X109" s="14"/>
      <s:c r="Y109" s="14"/>
      <s:c r="Z109" s="14"/>
      <s:c r="AA109" s="14"/>
      <s:c r="AB109" s="14"/>
      <s:c r="AC109" s="14"/>
      <s:c r="AD109" s="14"/>
      <s:c r="AE109" s="14"/>
      <s:c r="AF109" s="14"/>
      <s:c r="AG109" s="15"/>
      <s:c r="AH109" s="16"/>
      <s:c r="AI109" s="16"/>
      <s:c r="AJ109" s="16"/>
      <s:c r="AK109" s="16"/>
      <s:c r="AL109" s="17"/>
      <s:c r="AM109" s="18"/>
      <s:c r="AN109" s="18"/>
      <s:c r="AO109" s="18"/>
      <s:c r="AP109" s="18"/>
      <s:c r="AQ109" s="18"/>
      <s:c r="AR109" s="18"/>
      <s:c r="AS109" s="18"/>
      <s:c r="AT109" s="18"/>
      <s:c r="AU109" s="18"/>
    </s:row>
    <s:row r="110" ht="18.75">
      <s:c r="A110" s="29" t="s">
        <s:v>85</s:v>
      </s:c>
      <s:c r="B110" s="14">
        <s:v>41000</s:v>
      </s:c>
      <s:c r="C110" s="14"/>
      <s:c r="D110" s="14"/>
      <s:c r="E110" s="14"/>
      <s:c r="F110" s="14"/>
      <s:c r="G110" s="14"/>
      <s:c r="H110" s="14"/>
      <s:c r="I110" s="14"/>
      <s:c r="J110" s="14"/>
      <s:c r="K110" s="14"/>
      <s:c r="L110" s="14"/>
      <s:c r="M110" s="14"/>
      <s:c r="N110" s="14"/>
      <s:c r="O110" s="14"/>
      <s:c r="P110" s="14"/>
      <s:c r="Q110" s="14">
        <s:v>125000</s:v>
      </s:c>
      <s:c r="R110" s="14"/>
      <s:c r="S110" s="14">
        <s:v>255000</s:v>
      </s:c>
      <s:c r="T110" s="14"/>
      <s:c r="U110" s="14"/>
      <s:c r="V110" s="14"/>
      <s:c r="W110" s="14"/>
      <s:c r="X110" s="14"/>
      <s:c r="Y110" s="14"/>
      <s:c r="Z110" s="14">
        <s:v>265000</s:v>
      </s:c>
      <s:c r="AA110" s="14"/>
      <s:c r="AB110" s="14"/>
      <s:c r="AC110" s="14"/>
      <s:c r="AD110" s="14"/>
      <s:c r="AE110" s="14"/>
      <s:c r="AF110" s="14"/>
      <s:c r="AG110" s="15"/>
      <s:c r="AH110" s="16"/>
      <s:c r="AI110" s="16"/>
      <s:c r="AJ110" s="16"/>
      <s:c r="AK110" s="16"/>
      <s:c r="AL110" s="17"/>
      <s:c r="AM110" s="18"/>
      <s:c r="AN110" s="18"/>
      <s:c r="AO110" s="18"/>
      <s:c r="AP110" s="18"/>
      <s:c r="AQ110" s="18"/>
      <s:c r="AR110" s="18"/>
      <s:c r="AS110" s="18"/>
      <s:c r="AT110" s="18"/>
      <s:c r="AU110" s="18">
        <s:v>790348</s:v>
      </s:c>
    </s:row>
    <s:row r="111" ht="18.75">
      <s:c r="A111" s="29" t="s">
        <s:v>74</s:v>
      </s:c>
      <s:c r="B111" s="14"/>
      <s:c r="C111" s="14"/>
      <s:c r="D111" s="14"/>
      <s:c r="E111" s="14"/>
      <s:c r="F111" s="14"/>
      <s:c r="G111" s="14"/>
      <s:c r="H111" s="14"/>
      <s:c r="I111" s="14"/>
      <s:c r="J111" s="14"/>
      <s:c r="K111" s="14"/>
      <s:c r="L111" s="14"/>
      <s:c r="M111" s="14"/>
      <s:c r="N111" s="14"/>
      <s:c r="O111" s="14">
        <s:v>85000</s:v>
      </s:c>
      <s:c r="P111" s="14"/>
      <s:c r="Q111" s="14"/>
      <s:c r="R111" s="14">
        <s:v>97000</s:v>
      </s:c>
      <s:c r="S111" s="14">
        <s:v>235000</s:v>
      </s:c>
      <s:c r="T111" s="14"/>
      <s:c r="U111" s="14"/>
      <s:c r="V111" s="14"/>
      <s:c r="W111" s="14"/>
      <s:c r="X111" s="14"/>
      <s:c r="Y111" s="14"/>
      <s:c r="Z111" s="14"/>
      <s:c r="AA111" s="14"/>
      <s:c r="AB111" s="14"/>
      <s:c r="AC111" s="14"/>
      <s:c r="AD111" s="14"/>
      <s:c r="AE111" s="14"/>
      <s:c r="AF111" s="14"/>
      <s:c r="AG111" s="15"/>
      <s:c r="AH111" s="16"/>
      <s:c r="AI111" s="16"/>
      <s:c r="AJ111" s="16"/>
      <s:c r="AK111" s="16"/>
      <s:c r="AL111" s="17"/>
      <s:c r="AM111" s="18"/>
      <s:c r="AN111" s="18"/>
      <s:c r="AO111" s="18"/>
      <s:c r="AP111" s="18"/>
      <s:c r="AQ111" s="18"/>
      <s:c r="AR111" s="18"/>
      <s:c r="AS111" s="18"/>
      <s:c r="AT111" s="18"/>
      <s:c r="AU111" s="18"/>
    </s:row>
    <s:row r="112" ht="18.75">
      <s:c r="A112" s="29" t="s">
        <s:v>63</s:v>
      </s:c>
      <s:c r="B112" s="14"/>
      <s:c r="C112" s="14"/>
      <s:c r="D112" s="14"/>
      <s:c r="E112" s="14"/>
      <s:c r="F112" s="14"/>
      <s:c r="G112" s="14"/>
      <s:c r="H112" s="14"/>
      <s:c r="I112" s="14"/>
      <s:c r="J112" s="14"/>
      <s:c r="K112" s="14"/>
      <s:c r="L112" s="14"/>
      <s:c r="M112" s="14"/>
      <s:c r="N112" s="14"/>
      <s:c r="O112" s="14"/>
      <s:c r="P112" s="14"/>
      <s:c r="Q112" s="14"/>
      <s:c r="R112" s="14"/>
      <s:c r="S112" s="14"/>
      <s:c r="T112" s="14"/>
      <s:c r="U112" s="14"/>
      <s:c r="V112" s="14"/>
      <s:c r="W112" s="14"/>
      <s:c r="X112" s="14"/>
      <s:c r="Y112" s="14"/>
      <s:c r="Z112" s="14"/>
      <s:c r="AA112" s="14"/>
      <s:c r="AB112" s="14"/>
      <s:c r="AC112" s="14"/>
      <s:c r="AD112" s="14"/>
      <s:c r="AE112" s="14"/>
      <s:c r="AF112" s="14"/>
      <s:c r="AG112" s="15"/>
      <s:c r="AH112" s="16"/>
      <s:c r="AI112" s="16"/>
      <s:c r="AJ112" s="16"/>
      <s:c r="AK112" s="16"/>
      <s:c r="AL112" s="17"/>
      <s:c r="AM112" s="18"/>
      <s:c r="AN112" s="18"/>
      <s:c r="AO112" s="18"/>
      <s:c r="AP112" s="18"/>
      <s:c r="AQ112" s="18"/>
      <s:c r="AR112" s="18"/>
      <s:c r="AS112" s="18"/>
      <s:c r="AT112" s="18"/>
      <s:c r="AU112" s="18"/>
    </s:row>
    <s:row r="113" ht="18.75">
      <s:c r="A113" s="30" t="s">
        <s:v>87</s:v>
      </s:c>
      <s:c r="B113" s="14"/>
      <s:c r="C113" s="14"/>
      <s:c r="D113" s="14"/>
      <s:c r="E113" s="14"/>
      <s:c r="F113" s="14"/>
      <s:c r="G113" s="14"/>
      <s:c r="H113" s="14"/>
      <s:c r="I113" s="14"/>
      <s:c r="J113" s="14"/>
      <s:c r="K113" s="14"/>
      <s:c r="L113" s="14"/>
      <s:c r="M113" s="14"/>
      <s:c r="N113" s="14"/>
      <s:c r="O113" s="14"/>
      <s:c r="P113" s="14"/>
      <s:c r="Q113" s="14"/>
      <s:c r="R113" s="14"/>
      <s:c r="S113" s="14"/>
      <s:c r="T113" s="14"/>
      <s:c r="U113" s="14"/>
      <s:c r="V113" s="14"/>
      <s:c r="W113" s="14"/>
      <s:c r="X113" s="14"/>
      <s:c r="Y113" s="14"/>
      <s:c r="Z113" s="14"/>
      <s:c r="AA113" s="14"/>
      <s:c r="AB113" s="14"/>
      <s:c r="AC113" s="14"/>
      <s:c r="AD113" s="14"/>
      <s:c r="AE113" s="14"/>
      <s:c r="AF113" s="14"/>
      <s:c r="AG113" s="15"/>
      <s:c r="AH113" s="16"/>
      <s:c r="AI113" s="16"/>
      <s:c r="AJ113" s="16"/>
      <s:c r="AK113" s="16"/>
      <s:c r="AL113" s="17"/>
      <s:c r="AM113" s="18"/>
      <s:c r="AN113" s="18"/>
      <s:c r="AO113" s="18"/>
      <s:c r="AP113" s="18"/>
      <s:c r="AQ113" s="18"/>
      <s:c r="AR113" s="18"/>
      <s:c r="AS113" s="18"/>
      <s:c r="AT113" s="18"/>
      <s:c r="AU113" s="18"/>
    </s:row>
    <s:row r="114" ht="18.75">
      <s:c r="A114" s="29" t="s">
        <s:v>48</s:v>
      </s:c>
      <s:c r="B114" s="14"/>
      <s:c r="C114" s="14"/>
      <s:c r="D114" s="14"/>
      <s:c r="E114" s="14"/>
      <s:c r="F114" s="14"/>
      <s:c r="G114" s="14"/>
      <s:c r="H114" s="14"/>
      <s:c r="I114" s="14"/>
      <s:c r="J114" s="14"/>
      <s:c r="K114" s="14"/>
      <s:c r="L114" s="14"/>
      <s:c r="M114" s="14"/>
      <s:c r="N114" s="14"/>
      <s:c r="O114" s="14"/>
      <s:c r="P114" s="14"/>
      <s:c r="Q114" s="14"/>
      <s:c r="R114" s="14"/>
      <s:c r="S114" s="14"/>
      <s:c r="T114" s="14"/>
      <s:c r="U114" s="14"/>
      <s:c r="V114" s="14"/>
      <s:c r="W114" s="14"/>
      <s:c r="X114" s="14"/>
      <s:c r="Y114" s="14"/>
      <s:c r="Z114" s="14"/>
      <s:c r="AA114" s="14"/>
      <s:c r="AB114" s="14"/>
      <s:c r="AC114" s="14"/>
      <s:c r="AD114" s="14"/>
      <s:c r="AE114" s="14"/>
      <s:c r="AF114" s="14"/>
      <s:c r="AG114" s="15"/>
      <s:c r="AH114" s="16"/>
      <s:c r="AI114" s="16"/>
      <s:c r="AJ114" s="16"/>
      <s:c r="AK114" s="16"/>
      <s:c r="AL114" s="17"/>
      <s:c r="AM114" s="18"/>
      <s:c r="AN114" s="18"/>
      <s:c r="AO114" s="18"/>
      <s:c r="AP114" s="18"/>
      <s:c r="AQ114" s="18"/>
      <s:c r="AR114" s="18"/>
      <s:c r="AS114" s="18"/>
      <s:c r="AT114" s="18"/>
      <s:c r="AU114" s="18"/>
    </s:row>
    <s:row r="115" ht="18.75">
      <s:c r="A115" s="29" t="s">
        <s:v>57</s:v>
      </s:c>
      <s:c r="B115" s="14"/>
      <s:c r="C115" s="14"/>
      <s:c r="D115" s="14"/>
      <s:c r="E115" s="14"/>
      <s:c r="F115" s="14"/>
      <s:c r="G115" s="14"/>
      <s:c r="H115" s="14"/>
      <s:c r="I115" s="14"/>
      <s:c r="J115" s="14"/>
      <s:c r="K115" s="14"/>
      <s:c r="L115" s="14"/>
      <s:c r="M115" s="14"/>
      <s:c r="N115" s="14"/>
      <s:c r="O115" s="14"/>
      <s:c r="P115" s="14"/>
      <s:c r="Q115" s="14"/>
      <s:c r="R115" s="14"/>
      <s:c r="S115" s="14"/>
      <s:c r="T115" s="14"/>
      <s:c r="U115" s="14"/>
      <s:c r="V115" s="14"/>
      <s:c r="W115" s="14"/>
      <s:c r="X115" s="14"/>
      <s:c r="Y115" s="14"/>
      <s:c r="Z115" s="14"/>
      <s:c r="AA115" s="14"/>
      <s:c r="AB115" s="14"/>
      <s:c r="AC115" s="14"/>
      <s:c r="AD115" s="14"/>
      <s:c r="AE115" s="14"/>
      <s:c r="AF115" s="14"/>
      <s:c r="AG115" s="15"/>
      <s:c r="AH115" s="16"/>
      <s:c r="AI115" s="16"/>
      <s:c r="AJ115" s="16"/>
      <s:c r="AK115" s="16"/>
      <s:c r="AL115" s="17"/>
      <s:c r="AM115" s="18"/>
      <s:c r="AN115" s="18"/>
      <s:c r="AO115" s="18"/>
      <s:c r="AP115" s="18"/>
      <s:c r="AQ115" s="18"/>
      <s:c r="AR115" s="18"/>
      <s:c r="AS115" s="18"/>
      <s:c r="AT115" s="18"/>
      <s:c r="AU115" s="18"/>
    </s:row>
    <s:row r="116" ht="18.75">
      <s:c r="A116" s="29" t="s">
        <s:v>51</s:v>
      </s:c>
      <s:c r="B116" s="14"/>
      <s:c r="C116" s="14">
        <s:v>45800</s:v>
      </s:c>
      <s:c r="D116" s="14"/>
      <s:c r="E116" s="14"/>
      <s:c r="F116" s="14"/>
      <s:c r="G116" s="14"/>
      <s:c r="H116" s="14"/>
      <s:c r="I116" s="14"/>
      <s:c r="J116" s="14"/>
      <s:c r="K116" s="14"/>
      <s:c r="L116" s="14"/>
      <s:c r="M116" s="14"/>
      <s:c r="N116" s="14"/>
      <s:c r="O116" s="14"/>
      <s:c r="P116" s="14"/>
      <s:c r="Q116" s="14"/>
      <s:c r="R116" s="14">
        <s:v>89900</s:v>
      </s:c>
      <s:c r="S116" s="14"/>
      <s:c r="T116" s="14"/>
      <s:c r="U116" s="14"/>
      <s:c r="V116" s="14"/>
      <s:c r="W116" s="14"/>
      <s:c r="X116" s="14"/>
      <s:c r="Y116" s="14"/>
      <s:c r="Z116" s="14"/>
      <s:c r="AA116" s="14"/>
      <s:c r="AB116" s="14"/>
      <s:c r="AC116" s="14"/>
      <s:c r="AD116" s="14"/>
      <s:c r="AE116" s="14"/>
      <s:c r="AF116" s="14"/>
      <s:c r="AG116" s="15"/>
      <s:c r="AH116" s="16"/>
      <s:c r="AI116" s="16"/>
      <s:c r="AJ116" s="16"/>
      <s:c r="AK116" s="16"/>
      <s:c r="AL116" s="17"/>
      <s:c r="AM116" s="18"/>
      <s:c r="AN116" s="18"/>
      <s:c r="AO116" s="18"/>
      <s:c r="AP116" s="18"/>
      <s:c r="AQ116" s="18"/>
      <s:c r="AR116" s="18"/>
      <s:c r="AS116" s="18"/>
      <s:c r="AT116" s="18"/>
      <s:c r="AU116" s="18"/>
    </s:row>
    <s:row r="117" ht="18.75">
      <s:c r="A117" s="29" t="s">
        <s:v>49</s:v>
      </s:c>
      <s:c r="B117" s="14"/>
      <s:c r="C117" s="14"/>
      <s:c r="D117" s="14"/>
      <s:c r="E117" s="14"/>
      <s:c r="F117" s="14"/>
      <s:c r="G117" s="14"/>
      <s:c r="H117" s="14"/>
      <s:c r="I117" s="14"/>
      <s:c r="J117" s="14"/>
      <s:c r="K117" s="14"/>
      <s:c r="L117" s="14"/>
      <s:c r="M117" s="14"/>
      <s:c r="N117" s="14"/>
      <s:c r="O117" s="14"/>
      <s:c r="P117" s="14"/>
      <s:c r="Q117" s="14"/>
      <s:c r="R117" s="14"/>
      <s:c r="S117" s="14"/>
      <s:c r="T117" s="14"/>
      <s:c r="U117" s="14"/>
      <s:c r="V117" s="14"/>
      <s:c r="W117" s="14"/>
      <s:c r="X117" s="14"/>
      <s:c r="Y117" s="14"/>
      <s:c r="Z117" s="14"/>
      <s:c r="AA117" s="14"/>
      <s:c r="AB117" s="14"/>
      <s:c r="AC117" s="14"/>
      <s:c r="AD117" s="14"/>
      <s:c r="AE117" s="14"/>
      <s:c r="AF117" s="14"/>
      <s:c r="AG117" s="15"/>
      <s:c r="AH117" s="16"/>
      <s:c r="AI117" s="16"/>
      <s:c r="AJ117" s="16"/>
      <s:c r="AK117" s="16"/>
      <s:c r="AL117" s="17"/>
      <s:c r="AM117" s="18"/>
      <s:c r="AN117" s="18"/>
      <s:c r="AO117" s="18"/>
      <s:c r="AP117" s="18"/>
      <s:c r="AQ117" s="18"/>
      <s:c r="AR117" s="18"/>
      <s:c r="AS117" s="18"/>
      <s:c r="AT117" s="18"/>
      <s:c r="AU117" s="18"/>
    </s:row>
    <s:row r="118" ht="18.75">
      <s:c r="A118" s="29" t="str">
        <s:f>$A$55</s:f>
        <s:v>SANEG</s:v>
      </s:c>
      <s:c r="B118" s="14"/>
      <s:c r="C118" s="14"/>
      <s:c r="D118" s="14"/>
      <s:c r="E118" s="14"/>
      <s:c r="F118" s="14"/>
      <s:c r="G118" s="14"/>
      <s:c r="H118" s="14"/>
      <s:c r="I118" s="14"/>
      <s:c r="J118" s="14"/>
      <s:c r="K118" s="14"/>
      <s:c r="L118" s="14"/>
      <s:c r="M118" s="14"/>
      <s:c r="N118" s="14"/>
      <s:c r="O118" s="14"/>
      <s:c r="P118" s="14"/>
      <s:c r="Q118" s="14"/>
      <s:c r="R118" s="14"/>
      <s:c r="S118" s="14"/>
      <s:c r="T118" s="14"/>
      <s:c r="U118" s="14"/>
      <s:c r="V118" s="14"/>
      <s:c r="W118" s="14"/>
      <s:c r="X118" s="14"/>
      <s:c r="Y118" s="14"/>
      <s:c r="Z118" s="14"/>
      <s:c r="AA118" s="14"/>
      <s:c r="AB118" s="14"/>
      <s:c r="AC118" s="14"/>
      <s:c r="AD118" s="14"/>
      <s:c r="AE118" s="14"/>
      <s:c r="AF118" s="14"/>
      <s:c r="AG118" s="15"/>
      <s:c r="AH118" s="16"/>
      <s:c r="AI118" s="16"/>
      <s:c r="AJ118" s="16"/>
      <s:c r="AK118" s="16"/>
      <s:c r="AL118" s="17"/>
      <s:c r="AM118" s="18"/>
      <s:c r="AN118" s="18"/>
      <s:c r="AO118" s="18"/>
      <s:c r="AP118" s="18"/>
      <s:c r="AQ118" s="18"/>
      <s:c r="AR118" s="18"/>
      <s:c r="AS118" s="18"/>
      <s:c r="AT118" s="18"/>
      <s:c r="AU118" s="18"/>
    </s:row>
    <s:row r="119" ht="18.75">
      <s:c r="A119" s="29" t="s">
        <s:v>114</s:v>
      </s:c>
      <s:c r="B119" s="14"/>
      <s:c r="C119" s="14"/>
      <s:c r="D119" s="14"/>
      <s:c r="E119" s="14"/>
      <s:c r="F119" s="14"/>
      <s:c r="G119" s="14"/>
      <s:c r="H119" s="14"/>
      <s:c r="I119" s="14"/>
      <s:c r="J119" s="14"/>
      <s:c r="K119" s="14"/>
      <s:c r="L119" s="14"/>
      <s:c r="M119" s="14"/>
      <s:c r="N119" s="14"/>
      <s:c r="O119" s="14"/>
      <s:c r="P119" s="14"/>
      <s:c r="Q119" s="14"/>
      <s:c r="R119" s="14">
        <s:v>111000</s:v>
      </s:c>
      <s:c r="S119" s="14"/>
      <s:c r="T119" s="14"/>
      <s:c r="U119" s="14"/>
      <s:c r="V119" s="14"/>
      <s:c r="W119" s="14"/>
      <s:c r="X119" s="14"/>
      <s:c r="Y119" s="14"/>
      <s:c r="Z119" s="14"/>
      <s:c r="AA119" s="14"/>
      <s:c r="AB119" s="14"/>
      <s:c r="AC119" s="14"/>
      <s:c r="AD119" s="14"/>
      <s:c r="AE119" s="14"/>
      <s:c r="AF119" s="14"/>
      <s:c r="AG119" s="15"/>
      <s:c r="AH119" s="16"/>
      <s:c r="AI119" s="16"/>
      <s:c r="AJ119" s="16"/>
      <s:c r="AK119" s="16"/>
      <s:c r="AL119" s="17"/>
      <s:c r="AM119" s="18"/>
      <s:c r="AN119" s="18"/>
      <s:c r="AO119" s="18"/>
      <s:c r="AP119" s="18"/>
      <s:c r="AQ119" s="18"/>
      <s:c r="AR119" s="18"/>
      <s:c r="AS119" s="18"/>
      <s:c r="AT119" s="18"/>
      <s:c r="AU119" s="18"/>
    </s:row>
    <s:row r="120" ht="18.75">
      <s:c r="A120" s="29" t="s">
        <s:v>115</s:v>
      </s:c>
      <s:c r="B120" s="14"/>
      <s:c r="C120" s="14"/>
      <s:c r="D120" s="14"/>
      <s:c r="E120" s="14"/>
      <s:c r="F120" s="14"/>
      <s:c r="G120" s="14"/>
      <s:c r="H120" s="14"/>
      <s:c r="I120" s="14"/>
      <s:c r="J120" s="14"/>
      <s:c r="K120" s="14"/>
      <s:c r="L120" s="14"/>
      <s:c r="M120" s="14"/>
      <s:c r="N120" s="14"/>
      <s:c r="O120" s="14"/>
      <s:c r="P120" s="14"/>
      <s:c r="Q120" s="14"/>
      <s:c r="R120" s="14"/>
      <s:c r="S120" s="14"/>
      <s:c r="T120" s="14"/>
      <s:c r="U120" s="14"/>
      <s:c r="V120" s="14"/>
      <s:c r="W120" s="14"/>
      <s:c r="X120" s="14"/>
      <s:c r="Y120" s="14"/>
      <s:c r="Z120" s="14"/>
      <s:c r="AA120" s="14"/>
      <s:c r="AB120" s="14"/>
      <s:c r="AC120" s="14"/>
      <s:c r="AD120" s="14"/>
      <s:c r="AE120" s="14"/>
      <s:c r="AF120" s="14"/>
      <s:c r="AG120" s="15"/>
      <s:c r="AH120" s="16"/>
      <s:c r="AI120" s="16"/>
      <s:c r="AJ120" s="16"/>
      <s:c r="AK120" s="16"/>
      <s:c r="AL120" s="17"/>
      <s:c r="AM120" s="18"/>
      <s:c r="AN120" s="18"/>
      <s:c r="AO120" s="18">
        <s:v>190000</s:v>
      </s:c>
      <s:c r="AP120" s="18"/>
      <s:c r="AQ120" s="18"/>
      <s:c r="AR120" s="18"/>
      <s:c r="AS120" s="18"/>
      <s:c r="AT120" s="18"/>
      <s:c r="AU120" s="18"/>
    </s:row>
    <s:row r="121" ht="18.75">
      <s:c r="A121" s="13" t="s">
        <s:v>92</s:v>
      </s:c>
      <s:c r="B121" s="14"/>
      <s:c r="C121" s="14"/>
      <s:c r="D121" s="14"/>
      <s:c r="E121" s="14"/>
      <s:c r="F121" s="14"/>
      <s:c r="G121" s="14"/>
      <s:c r="H121" s="14"/>
      <s:c r="I121" s="14"/>
      <s:c r="J121" s="14"/>
      <s:c r="K121" s="14"/>
      <s:c r="L121" s="14"/>
      <s:c r="M121" s="14"/>
      <s:c r="N121" s="14"/>
      <s:c r="O121" s="14"/>
      <s:c r="P121" s="14"/>
      <s:c r="Q121" s="14"/>
      <s:c r="R121" s="14"/>
      <s:c r="S121" s="14"/>
      <s:c r="T121" s="14"/>
      <s:c r="U121" s="14"/>
      <s:c r="V121" s="14"/>
      <s:c r="W121" s="14"/>
      <s:c r="X121" s="14"/>
      <s:c r="Y121" s="14"/>
      <s:c r="Z121" s="14"/>
      <s:c r="AA121" s="14"/>
      <s:c r="AB121" s="14"/>
      <s:c r="AC121" s="14"/>
      <s:c r="AD121" s="14"/>
      <s:c r="AE121" s="14"/>
      <s:c r="AF121" s="14"/>
      <s:c r="AG121" s="15"/>
      <s:c r="AH121" s="16"/>
      <s:c r="AI121" s="16"/>
      <s:c r="AJ121" s="16"/>
      <s:c r="AK121" s="16"/>
      <s:c r="AL121" s="17"/>
      <s:c r="AM121" s="18"/>
      <s:c r="AN121" s="18"/>
      <s:c r="AO121" s="18"/>
      <s:c r="AP121" s="18"/>
      <s:c r="AQ121" s="18"/>
      <s:c r="AR121" s="18">
        <s:v>330000</s:v>
      </s:c>
      <s:c r="AS121" s="18"/>
      <s:c r="AT121" s="18"/>
      <s:c r="AU121" s="18"/>
    </s:row>
    <s:row r="122" ht="18.75">
      <s:c r="A122" s="13" t="s">
        <s:v>93</s:v>
      </s:c>
      <s:c r="B122" s="14"/>
      <s:c r="C122" s="14"/>
      <s:c r="D122" s="14"/>
      <s:c r="E122" s="14"/>
      <s:c r="F122" s="14"/>
      <s:c r="G122" s="14"/>
      <s:c r="H122" s="14"/>
      <s:c r="I122" s="14"/>
      <s:c r="J122" s="14"/>
      <s:c r="K122" s="14"/>
      <s:c r="L122" s="14"/>
      <s:c r="M122" s="14"/>
      <s:c r="N122" s="14"/>
      <s:c r="O122" s="14"/>
      <s:c r="P122" s="14"/>
      <s:c r="Q122" s="14"/>
      <s:c r="R122" s="14"/>
      <s:c r="S122" s="14"/>
      <s:c r="T122" s="14"/>
      <s:c r="U122" s="14"/>
      <s:c r="V122" s="14"/>
      <s:c r="W122" s="14"/>
      <s:c r="X122" s="14"/>
      <s:c r="Y122" s="14"/>
      <s:c r="Z122" s="14"/>
      <s:c r="AA122" s="14"/>
      <s:c r="AB122" s="14"/>
      <s:c r="AC122" s="14"/>
      <s:c r="AD122" s="14"/>
      <s:c r="AE122" s="14"/>
      <s:c r="AF122" s="14"/>
      <s:c r="AG122" s="15"/>
      <s:c r="AH122" s="16"/>
      <s:c r="AI122" s="16"/>
      <s:c r="AJ122" s="16"/>
      <s:c r="AK122" s="16"/>
      <s:c r="AL122" s="17"/>
      <s:c r="AM122" s="18"/>
      <s:c r="AN122" s="18"/>
      <s:c r="AO122" s="18"/>
      <s:c r="AP122" s="18">
        <s:v>39000</s:v>
      </s:c>
      <s:c r="AQ122" s="18"/>
      <s:c r="AR122" s="18"/>
      <s:c r="AS122" s="18"/>
      <s:c r="AT122" s="18"/>
      <s:c r="AU122" s="18"/>
    </s:row>
    <s:row r="123" ht="18.75">
      <s:c r="A123" s="13" t="s">
        <s:v>97</s:v>
      </s:c>
      <s:c r="B123" s="14"/>
      <s:c r="C123" s="14"/>
      <s:c r="D123" s="14"/>
      <s:c r="E123" s="14"/>
      <s:c r="F123" s="14"/>
      <s:c r="G123" s="14"/>
      <s:c r="H123" s="14"/>
      <s:c r="I123" s="14"/>
      <s:c r="J123" s="14"/>
      <s:c r="K123" s="14"/>
      <s:c r="L123" s="14"/>
      <s:c r="M123" s="14"/>
      <s:c r="N123" s="14"/>
      <s:c r="O123" s="14"/>
      <s:c r="P123" s="14"/>
      <s:c r="Q123" s="14"/>
      <s:c r="R123" s="14"/>
      <s:c r="S123" s="14"/>
      <s:c r="T123" s="14"/>
      <s:c r="U123" s="14"/>
      <s:c r="V123" s="14"/>
      <s:c r="W123" s="14"/>
      <s:c r="X123" s="14"/>
      <s:c r="Y123" s="14"/>
      <s:c r="Z123" s="14"/>
      <s:c r="AA123" s="14"/>
      <s:c r="AB123" s="14"/>
      <s:c r="AC123" s="14"/>
      <s:c r="AD123" s="14"/>
      <s:c r="AE123" s="14"/>
      <s:c r="AF123" s="14"/>
      <s:c r="AG123" s="15"/>
      <s:c r="AH123" s="16"/>
      <s:c r="AI123" s="16"/>
      <s:c r="AJ123" s="16"/>
      <s:c r="AK123" s="16"/>
      <s:c r="AL123" s="17"/>
      <s:c r="AM123" s="18"/>
      <s:c r="AN123" s="18"/>
      <s:c r="AO123" s="18"/>
      <s:c r="AP123" s="18"/>
      <s:c r="AQ123" s="18"/>
      <s:c r="AR123" s="18"/>
      <s:c r="AS123" s="18"/>
      <s:c r="AT123" s="18"/>
      <s:c r="AU123" s="18"/>
    </s:row>
    <s:row r="124" ht="18.75">
      <s:c r="A124" s="13" t="s">
        <s:v>102</s:v>
      </s:c>
      <s:c r="B124" s="14"/>
      <s:c r="C124" s="14"/>
      <s:c r="D124" s="14"/>
      <s:c r="E124" s="14"/>
      <s:c r="F124" s="14"/>
      <s:c r="G124" s="14"/>
      <s:c r="H124" s="14"/>
      <s:c r="I124" s="14"/>
      <s:c r="J124" s="14"/>
      <s:c r="K124" s="14"/>
      <s:c r="L124" s="14"/>
      <s:c r="M124" s="14"/>
      <s:c r="N124" s="14"/>
      <s:c r="O124" s="14"/>
      <s:c r="P124" s="14"/>
      <s:c r="Q124" s="14"/>
      <s:c r="R124" s="14">
        <s:v>111000</s:v>
      </s:c>
      <s:c r="S124" s="14"/>
      <s:c r="T124" s="14"/>
      <s:c r="U124" s="14"/>
      <s:c r="V124" s="14"/>
      <s:c r="W124" s="14"/>
      <s:c r="X124" s="14"/>
      <s:c r="Y124" s="14"/>
      <s:c r="Z124" s="14"/>
      <s:c r="AA124" s="14"/>
      <s:c r="AB124" s="14"/>
      <s:c r="AC124" s="14"/>
      <s:c r="AD124" s="14"/>
      <s:c r="AE124" s="14"/>
      <s:c r="AF124" s="14"/>
      <s:c r="AG124" s="15"/>
      <s:c r="AH124" s="16"/>
      <s:c r="AI124" s="16"/>
      <s:c r="AJ124" s="16"/>
      <s:c r="AK124" s="16"/>
      <s:c r="AL124" s="17"/>
      <s:c r="AM124" s="18"/>
      <s:c r="AN124" s="18"/>
      <s:c r="AO124" s="18"/>
      <s:c r="AP124" s="18"/>
      <s:c r="AQ124" s="18"/>
      <s:c r="AR124" s="18"/>
      <s:c r="AS124" s="18"/>
      <s:c r="AT124" s="18"/>
      <s:c r="AU124" s="18"/>
    </s:row>
  </s:sheetData>
  <s:pageMargins left="0.7" right="0.7" top="0.75" bottom="0.75" header="0.3" footer="0.3"/>
  <s:pageSetup paperSize="9" orientation="portrait" r:id="rId1"/>
  <s:headerFooter>
    <s:oddHeader>&amp;CAT</s:oddHeader>
  </s:headerFooter>
</s:worksheet>
</file>

<file path=xl/worksheets/sheet3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FA5FA854-565D-4727-8AFF-A4B8686ED6E8}">
  <s:dimension ref="A1:AW124"/>
  <s:sheetViews>
    <s:sheetView tabSelected="0" topLeftCell="A13" zoomScale="55" zoomScaleNormal="55" workbookViewId="0">
      <s:pane xSplit="1" topLeftCell="AF1" activePane="topRight" state="frozen"/>
      <s:selection pane="topRight" activeCell="AV62" sqref="AV62"/>
    </s:sheetView>
  </s:sheetViews>
  <s:sheetFormatPr x14ac:dyDescent="0.25" defaultColWidth="10" defaultRowHeight="15"/>
  <s:cols>
    <s:col min="1" max="1" width="40" customWidth="1"/>
    <s:col min="2" max="2" width="20.855" bestFit="1" customWidth="1"/>
    <s:col min="3" max="3" width="18.285" bestFit="1" customWidth="1"/>
    <s:col min="4" max="4" width="18.285" customWidth="1"/>
    <s:col min="5" max="5" width="20.855" bestFit="1" customWidth="1"/>
    <s:col min="6" max="6" width="20.855" customWidth="1"/>
    <s:col min="7" max="7" width="16.711" bestFit="1" customWidth="1"/>
    <s:col min="8" max="8" width="14.426" bestFit="1" customWidth="1"/>
    <s:col min="9" max="9" width="14.711" customWidth="1"/>
    <s:col min="10" max="10" width="17.285" customWidth="1"/>
    <s:col min="11" max="11" width="18.711" bestFit="1" customWidth="1"/>
    <s:col min="12" max="12" width="17" customWidth="1"/>
    <s:col min="13" max="13" width="18.285" bestFit="1" customWidth="1"/>
    <s:col min="14" max="14" width="20.285" bestFit="1" customWidth="1"/>
    <s:col min="15" max="15" width="20.57" bestFit="1" customWidth="1"/>
    <s:col min="16" max="16" width="28.285" customWidth="1"/>
    <s:col min="17" max="17" width="25.141" customWidth="1"/>
    <s:col min="18" max="18" width="18.426" customWidth="1"/>
    <s:col min="19" max="19" width="19.426" customWidth="1"/>
    <s:col min="20" max="20" width="36.426" customWidth="1"/>
    <s:col min="21" max="21" width="32.285" bestFit="1" customWidth="1"/>
    <s:col min="22" max="22" width="38.711" bestFit="1" customWidth="1"/>
    <s:col min="23" max="23" width="18.711" customWidth="1"/>
    <s:col min="24" max="24" width="51.141" customWidth="1"/>
    <s:col min="25" max="25" width="34.285" customWidth="1"/>
    <s:col min="26" max="26" width="17.57" customWidth="1"/>
    <s:col min="27" max="27" width="22.285" customWidth="1"/>
    <s:col min="28" max="28" width="30.426" customWidth="1"/>
    <s:col min="29" max="29" width="27.57" bestFit="1" customWidth="1"/>
    <s:col min="30" max="30" width="23.141" customWidth="1"/>
    <s:col min="31" max="31" width="38.426" bestFit="1" customWidth="1"/>
    <s:col min="32" max="32" width="20" bestFit="1" customWidth="1"/>
    <s:col min="33" max="33" width="23.141" bestFit="1" customWidth="1"/>
    <s:col min="34" max="34" width="44.855" bestFit="1" customWidth="1"/>
    <s:col min="35" max="35" width="40.426" bestFit="1" customWidth="1"/>
    <s:col min="36" max="36" width="25.285" bestFit="1" customWidth="1"/>
    <s:col min="37" max="37" width="17.57" customWidth="1"/>
    <s:col min="38" max="38" width="30.711" bestFit="1" customWidth="1"/>
    <s:col min="39" max="39" width="24.426" bestFit="1" customWidth="1"/>
    <s:col min="40" max="40" width="18" bestFit="1" customWidth="1"/>
    <s:col min="41" max="47" width="18" customWidth="1"/>
    <s:col min="48" max="48" width="28.57" customWidth="1"/>
    <s:col min="49" max="49" width="31" customWidth="1"/>
  </s:cols>
  <s:sheetData>
    <s:row r="1" ht="18.75">
      <s:c r="A1" s="20" t="s">
        <s:v>9</s:v>
      </s:c>
      <s:c r="B1" s="21">
        <s:v>46023</s:v>
      </s:c>
      <s:c r="C1" s="3"/>
      <s:c r="D1" s="3"/>
      <s:c r="E1" s="3"/>
      <s:c r="F1" s="3"/>
      <s:c r="G1" s="3"/>
      <s:c r="H1" s="3"/>
      <s:c r="I1" s="3"/>
      <s:c r="J1" s="3"/>
      <s:c r="K1" s="3"/>
      <s:c r="L1" s="3"/>
    </s:row>
    <s:row r="2">
      <s:c r="A2" s="2"/>
      <s:c r="B2" s="2"/>
      <s:c r="C2" s="2"/>
      <s:c r="D2" s="2"/>
      <s:c r="E2" s="2"/>
      <s:c r="F2" s="2"/>
      <s:c r="G2" s="2"/>
      <s:c r="H2" s="2"/>
      <s:c r="I2" s="2"/>
      <s:c r="J2" s="2"/>
      <s:c r="K2" s="2"/>
      <s:c r="L2" s="2"/>
    </s:row>
    <s:row r="3" ht="19.5">
      <s:c r="A3" s="3" t="s">
        <s:v>12</s:v>
      </s:c>
      <s:c r="B3" s="3"/>
      <s:c r="C3" s="3"/>
      <s:c r="D3" s="3"/>
      <s:c r="E3" s="3"/>
      <s:c r="F3" s="3"/>
      <s:c r="G3" s="3"/>
      <s:c r="H3" s="3"/>
      <s:c r="I3" s="3"/>
      <s:c r="J3" s="3"/>
      <s:c r="K3" s="3"/>
      <s:c r="L3" s="3"/>
      <s:c r="M3" s="47"/>
      <s:c r="N3" s="47"/>
      <s:c r="O3" s="47">
        <s:f>O7*69000+O41*69000</s:f>
        <s:v>2428800</s:v>
      </s:c>
      <s:c r="P3" s="47"/>
      <s:c r="Q3" s="47"/>
      <s:c r="R3" s="47"/>
      <s:c r="S3" s="47"/>
      <s:c r="T3" s="47"/>
      <s:c r="U3" s="47"/>
      <s:c r="V3" s="47"/>
      <s:c r="W3" s="47"/>
      <s:c r="X3" s="47"/>
      <s:c r="Y3" s="47"/>
      <s:c r="Z3" s="47"/>
      <s:c r="AA3" s="47"/>
      <s:c r="AB3" s="47"/>
      <s:c r="AC3" s="47"/>
      <s:c r="AD3" s="47"/>
      <s:c r="AE3" s="47"/>
      <s:c r="AF3" s="47"/>
      <s:c r="AG3" s="47"/>
      <s:c r="AH3" s="47"/>
      <s:c r="AI3" s="47"/>
      <s:c r="AJ3" s="47"/>
      <s:c r="AK3" s="47"/>
      <s:c r="AL3" s="47"/>
      <s:c r="AM3" s="47"/>
      <s:c r="AN3" s="47"/>
      <s:c r="AO3" s="47"/>
      <s:c r="AP3" s="47"/>
      <s:c r="AQ3" s="47"/>
      <s:c r="AR3" s="47"/>
      <s:c r="AS3" s="47"/>
      <s:c r="AT3" s="47"/>
      <s:c r="AU3" s="47"/>
      <s:c r="AV3" s="48">
        <s:f>SUM(AV5:AV61)</s:f>
        <s:v>19094400</s:v>
      </s:c>
    </s:row>
    <s:row r="4" ht="75">
      <s:c r="A4" s="11" t="s">
        <s:v>8</s:v>
      </s:c>
      <s:c r="B4" s="32" t="s">
        <s:v>18</s:v>
      </s:c>
      <s:c r="C4" s="32" t="s">
        <s:v>38</s:v>
      </s:c>
      <s:c r="D4" s="32" t="s">
        <s:v>83</s:v>
      </s:c>
      <s:c r="E4" s="32" t="s">
        <s:v>19</s:v>
      </s:c>
      <s:c r="F4" s="32" t="s">
        <s:v>59</s:v>
      </s:c>
      <s:c r="G4" s="32" t="s">
        <s:v>6</s:v>
      </s:c>
      <s:c r="H4" s="32" t="s">
        <s:v>20</s:v>
      </s:c>
      <s:c r="I4" s="32" t="s">
        <s:v>21</s:v>
      </s:c>
      <s:c r="J4" s="32" t="s">
        <s:v>22</s:v>
      </s:c>
      <s:c r="K4" s="32" t="s">
        <s:v>23</s:v>
      </s:c>
      <s:c r="L4" s="32" t="s">
        <s:v>24</s:v>
      </s:c>
      <s:c r="M4" s="32" t="s">
        <s:v>37</s:v>
      </s:c>
      <s:c r="N4" s="32" t="s">
        <s:v>13</s:v>
      </s:c>
      <s:c r="O4" s="32" t="s">
        <s:v>17</s:v>
      </s:c>
      <s:c r="P4" s="32" t="s">
        <s:v>82</s:v>
      </s:c>
      <s:c r="Q4" s="32" t="s">
        <s:v>41</s:v>
      </s:c>
      <s:c r="R4" s="32" t="s">
        <s:v>26</s:v>
      </s:c>
      <s:c r="S4" s="32" t="s">
        <s:v>86</s:v>
      </s:c>
      <s:c r="T4" s="32" t="s">
        <s:v>84</s:v>
      </s:c>
      <s:c r="U4" s="32" t="s">
        <s:v>27</s:v>
      </s:c>
      <s:c r="V4" s="32" t="s">
        <s:v>28</s:v>
      </s:c>
      <s:c r="W4" s="32" t="s">
        <s:v>88</s:v>
      </s:c>
      <s:c r="X4" s="32" t="s">
        <s:v>30</s:v>
      </s:c>
      <s:c r="Y4" s="32" t="s">
        <s:v>31</s:v>
      </s:c>
      <s:c r="Z4" s="32" t="s">
        <s:v>89</s:v>
      </s:c>
      <s:c r="AA4" s="32" t="s">
        <s:v>50</s:v>
      </s:c>
      <s:c r="AB4" s="33" t="s">
        <s:v>32</s:v>
      </s:c>
      <s:c r="AC4" s="32" t="s">
        <s:v>107</s:v>
      </s:c>
      <s:c r="AD4" s="32" t="s">
        <s:v>108</s:v>
      </s:c>
      <s:c r="AE4" s="34" t="s">
        <s:v>109</s:v>
      </s:c>
      <s:c r="AF4" s="32" t="s">
        <s:v>110</s:v>
      </s:c>
      <s:c r="AG4" s="35" t="s">
        <s:v>105</s:v>
      </s:c>
      <s:c r="AH4" s="32" t="s">
        <s:v>33</s:v>
      </s:c>
      <s:c r="AI4" s="36" t="s">
        <s:v>34</s:v>
      </s:c>
      <s:c r="AJ4" s="37" t="s">
        <s:v>106</s:v>
      </s:c>
      <s:c r="AK4" s="36" t="s">
        <s:v>35</s:v>
      </s:c>
      <s:c r="AL4" s="36" t="s">
        <s:v>100</s:v>
      </s:c>
      <s:c r="AM4" s="38" t="s">
        <s:v>66</s:v>
      </s:c>
      <s:c r="AN4" s="38" t="s">
        <s:v>36</s:v>
      </s:c>
      <s:c r="AO4" s="38" t="s">
        <s:v>116</s:v>
      </s:c>
      <s:c r="AP4" s="38" t="s">
        <s:v>117</s:v>
      </s:c>
      <s:c r="AQ4" s="38" t="s">
        <s:v>55</s:v>
      </s:c>
      <s:c r="AR4" s="38" t="s">
        <s:v>95</s:v>
      </s:c>
      <s:c r="AS4" s="38" t="s">
        <s:v>96</s:v>
      </s:c>
      <s:c r="AT4" s="38" t="s">
        <s:v>78</s:v>
      </s:c>
      <s:c r="AU4" s="38" t="s">
        <s:v>101</s:v>
      </s:c>
      <s:c r="AV4" s="39" t="s">
        <s:v>10</s:v>
      </s:c>
    </s:row>
    <s:row r="5" ht="18.75">
      <s:c r="A5" s="31" t="s">
        <s:v>103</s:v>
      </s:c>
      <s:c r="B5" s="49"/>
      <s:c r="C5" s="49"/>
      <s:c r="D5" s="49"/>
      <s:c r="E5" s="49"/>
      <s:c r="F5" s="49"/>
      <s:c r="G5" s="49"/>
      <s:c r="H5" s="49"/>
      <s:c r="I5" s="49"/>
      <s:c r="J5" s="49"/>
      <s:c r="K5" s="49"/>
      <s:c r="L5" s="49"/>
      <s:c r="M5" s="22"/>
      <s:c r="N5" s="22"/>
      <s:c r="O5" s="22"/>
      <s:c r="P5" s="22"/>
      <s:c r="Q5" s="22"/>
      <s:c r="R5" s="22"/>
      <s:c r="S5" s="22"/>
      <s:c r="T5" s="22"/>
      <s:c r="U5" s="22"/>
      <s:c r="V5" s="22"/>
      <s:c r="W5" s="22"/>
      <s:c r="X5" s="22"/>
      <s:c r="Y5" s="22"/>
      <s:c r="Z5" s="22"/>
      <s:c r="AA5" s="22"/>
      <s:c r="AB5" s="22"/>
      <s:c r="AC5" s="22"/>
      <s:c r="AD5" s="22"/>
      <s:c r="AE5" s="22"/>
      <s:c r="AF5" s="22"/>
      <s:c r="AG5" s="23"/>
      <s:c r="AH5" s="24"/>
      <s:c r="AI5" s="24"/>
      <s:c r="AJ5" s="24"/>
      <s:c r="AK5" s="24"/>
      <s:c r="AL5" s="50"/>
      <s:c r="AM5" s="51"/>
      <s:c r="AN5" s="51"/>
      <s:c r="AO5" s="51"/>
      <s:c r="AP5" s="51"/>
      <s:c r="AQ5" s="51"/>
      <s:c r="AR5" s="51"/>
      <s:c r="AS5" s="51"/>
      <s:c r="AT5" s="51"/>
      <s:c r="AU5" s="51"/>
      <s:c r="AV5" s="52">
        <s:f>B5*B68+C5*C68+D5*D68+E5*E68+F5*F68+G5*G68+H5*H68+I5*I68+J5*J68+K5*K68+L5*L68+AT5*AT69+AU69*AU5+M5*M68+N5*N68+O5*O68+P5*P68+Q5*Q68+R5*R68+S5*S68+T5*T68+U5*U68+V5*V68+W5*W68+X5*X68+Y5*Y68+Z5*Z68+AA5*AA68+AB5*AB68+AC5*AC68+AD5*AD68+AE5*AE68+AF5*AF68+AG5*AG68+AH5*AH68+AI5*AI68+AJ5*AJ68+AK5*AK68+AL5*AL68+AM5*AM68+AN5*AN68+AO5*AO68+AP5*AP68+AQ5*AQ68+AR5*AR68+AS5*AS68+AT5*AT68+AU5*AU68</s:f>
        <s:v>0</s:v>
      </s:c>
    </s:row>
    <s:row r="6" ht="18.75">
      <s:c r="A6" s="31" t="s">
        <s:v>62</s:v>
      </s:c>
      <s:c r="B6" s="49"/>
      <s:c r="C6" s="49"/>
      <s:c r="D6" s="49"/>
      <s:c r="E6" s="49"/>
      <s:c r="F6" s="49"/>
      <s:c r="G6" s="49"/>
      <s:c r="H6" s="49"/>
      <s:c r="I6" s="49"/>
      <s:c r="J6" s="49"/>
      <s:c r="K6" s="49"/>
      <s:c r="L6" s="49"/>
      <s:c r="M6" s="22"/>
      <s:c r="N6" s="22"/>
      <s:c r="O6" s="22"/>
      <s:c r="P6" s="22"/>
      <s:c r="Q6" s="22"/>
      <s:c r="R6" s="22"/>
      <s:c r="S6" s="22"/>
      <s:c r="T6" s="22"/>
      <s:c r="U6" s="22"/>
      <s:c r="V6" s="22"/>
      <s:c r="W6" s="22"/>
      <s:c r="X6" s="22"/>
      <s:c r="Y6" s="22"/>
      <s:c r="Z6" s="22"/>
      <s:c r="AA6" s="22"/>
      <s:c r="AB6" s="22"/>
      <s:c r="AC6" s="22"/>
      <s:c r="AD6" s="22"/>
      <s:c r="AE6" s="22"/>
      <s:c r="AF6" s="22"/>
      <s:c r="AG6" s="23"/>
      <s:c r="AH6" s="24"/>
      <s:c r="AI6" s="24"/>
      <s:c r="AJ6" s="24"/>
      <s:c r="AK6" s="24"/>
      <s:c r="AL6" s="50"/>
      <s:c r="AM6" s="51"/>
      <s:c r="AN6" s="51"/>
      <s:c r="AO6" s="51"/>
      <s:c r="AP6" s="51"/>
      <s:c r="AQ6" s="51"/>
      <s:c r="AR6" s="51"/>
      <s:c r="AS6" s="51"/>
      <s:c r="AT6" s="51"/>
      <s:c r="AU6" s="51"/>
      <s:c r="AV6" s="52">
        <s:f>B6*B69+C6*C69+D6*D69+E6*E69+F6*F69+G6*G69+H6*H69+I6*I69+J6*J69+K6*K69+L6*L69+AT6*AT70+AU70*AU6+M6*M69+N6*N69+O6*O69+P6*P69+Q6*Q69+R6*R69+S6*S69+T6*T69+U6*U69+V6*V69+W6*W69+X6*X69+Y6*Y69+Z6*Z69+AA6*AA69+AB6*AB69+AC6*AC69+AD6*AD69+AE6*AE69+AF6*AF69+AG6*AG69+AH6*AH69+AI6*AI69+AJ6*AJ69+AK6*AK69+AL6*AL69+AM6*AM69+AN6*AN69+AO6*AO69+AP6*AP69+AQ6*AQ69+AR6*AR69+AS6*AS69+AT6*AT69+AU6*AU69</s:f>
        <s:v>0</s:v>
      </s:c>
    </s:row>
    <s:row r="7" ht="18.75">
      <s:c r="A7" s="31" t="s">
        <s:v>56</s:v>
      </s:c>
      <s:c r="B7" s="49"/>
      <s:c r="C7" s="49"/>
      <s:c r="D7" s="49"/>
      <s:c r="E7" s="49"/>
      <s:c r="F7" s="49"/>
      <s:c r="G7" s="49"/>
      <s:c r="H7" s="49"/>
      <s:c r="I7" s="49"/>
      <s:c r="J7" s="49"/>
      <s:c r="K7" s="49"/>
      <s:c r="L7" s="49"/>
      <s:c r="M7" s="22"/>
      <s:c r="N7" s="22"/>
      <s:c r="O7" s="22">
        <s:v>35.200000000000003</s:v>
      </s:c>
      <s:c r="P7" s="22"/>
      <s:c r="Q7" s="22"/>
      <s:c r="R7" s="22"/>
      <s:c r="S7" s="22"/>
      <s:c r="T7" s="22"/>
      <s:c r="U7" s="22"/>
      <s:c r="V7" s="22"/>
      <s:c r="W7" s="22"/>
      <s:c r="X7" s="22"/>
      <s:c r="Y7" s="22"/>
      <s:c r="Z7" s="22"/>
      <s:c r="AA7" s="22"/>
      <s:c r="AB7" s="22"/>
      <s:c r="AC7" s="22"/>
      <s:c r="AD7" s="22"/>
      <s:c r="AE7" s="22"/>
      <s:c r="AF7" s="22"/>
      <s:c r="AG7" s="23"/>
      <s:c r="AH7" s="24"/>
      <s:c r="AI7" s="24"/>
      <s:c r="AJ7" s="24"/>
      <s:c r="AK7" s="24"/>
      <s:c r="AL7" s="50"/>
      <s:c r="AM7" s="51"/>
      <s:c r="AN7" s="51"/>
      <s:c r="AO7" s="51"/>
      <s:c r="AP7" s="51"/>
      <s:c r="AQ7" s="51"/>
      <s:c r="AR7" s="51"/>
      <s:c r="AS7" s="51"/>
      <s:c r="AT7" s="51"/>
      <s:c r="AU7" s="51"/>
      <s:c r="AV7" s="52">
        <s:f>B7*B70+C7*C70+D7*D70+E7*E70+F7*F70+G7*G70+H7*H70+I7*I70+J7*J70+K7*K70+L7*L70+AT7*AT71+AU71*AU7+M7*M70+N7*N70+O7*O70+P7*P70+Q7*Q70+R7*R70+S7*S70+T7*T70+U7*U70+V7*V70+W7*W70+X7*X70+Y7*Y70+Z7*Z70+AA7*AA70+AB7*AB70+AC7*AC70+AD7*AD70+AE7*AE70+AF7*AF70+AG7*AG70+AH7*AH70+AI7*AI70+AJ7*AJ70+AK7*AK70+AL7*AL70+AM7*AM70+AN7*AN70+AO7*AO70+AP7*AP70+AQ7*AQ70+AR7*AR70+AS7*AS70+AT7*AT70+AU7*AU70</s:f>
        <s:v>2886400.0000000005</s:v>
      </s:c>
      <s:c r="AW7" t="s">
        <s:v>113</s:v>
      </s:c>
    </s:row>
    <s:row r="8" ht="18.75">
      <s:c r="A8" s="31" t="s">
        <s:v>81</s:v>
      </s:c>
      <s:c r="B8" s="49"/>
      <s:c r="C8" s="49"/>
      <s:c r="D8" s="49"/>
      <s:c r="E8" s="49"/>
      <s:c r="F8" s="49"/>
      <s:c r="G8" s="49"/>
      <s:c r="H8" s="49"/>
      <s:c r="I8" s="49"/>
      <s:c r="J8" s="49"/>
      <s:c r="K8" s="49"/>
      <s:c r="L8" s="49"/>
      <s:c r="M8" s="22"/>
      <s:c r="N8" s="22"/>
      <s:c r="O8" s="22"/>
      <s:c r="P8" s="22"/>
      <s:c r="Q8" s="22"/>
      <s:c r="R8" s="22"/>
      <s:c r="S8" s="22"/>
      <s:c r="T8" s="22"/>
      <s:c r="U8" s="22"/>
      <s:c r="V8" s="22"/>
      <s:c r="W8" s="22"/>
      <s:c r="X8" s="22"/>
      <s:c r="Y8" s="22"/>
      <s:c r="Z8" s="22"/>
      <s:c r="AA8" s="22"/>
      <s:c r="AB8" s="22"/>
      <s:c r="AC8" s="22"/>
      <s:c r="AD8" s="22"/>
      <s:c r="AE8" s="22"/>
      <s:c r="AF8" s="22"/>
      <s:c r="AG8" s="23"/>
      <s:c r="AH8" s="24"/>
      <s:c r="AI8" s="24"/>
      <s:c r="AJ8" s="24"/>
      <s:c r="AK8" s="24"/>
      <s:c r="AL8" s="50"/>
      <s:c r="AM8" s="51"/>
      <s:c r="AN8" s="51"/>
      <s:c r="AO8" s="51"/>
      <s:c r="AP8" s="51"/>
      <s:c r="AQ8" s="51"/>
      <s:c r="AR8" s="51"/>
      <s:c r="AS8" s="51"/>
      <s:c r="AT8" s="51"/>
      <s:c r="AU8" s="51"/>
      <s:c r="AV8" s="52">
        <s:f>B8*B71+C8*C71+D8*D71+E8*E71+F8*F71+G8*G71+H8*H71+I8*I71+J8*J71+K8*K71+L8*L71+AT8*AT72+AU72*AU8+M8*M71+N8*N71+O8*O71+P8*P71+Q8*Q71+R8*R71+S8*S71+T8*T71+U8*U71+V8*V71+W8*W71+X8*X71+Y8*Y71+Z8*Z71+AA8*AA71+AB8*AB71+AC8*AC71+AD8*AD71+AE8*AE71+AF8*AF71+AG8*AG71+AH8*AH71+AI8*AI71+AJ8*AJ71+AK8*AK71+AL8*AL71+AM8*AM71+AN8*AN71+AO8*AO71+AP8*AP71+AQ8*AQ71+AR8*AR71+AS8*AS71+AT8*AT71+AU8*AU71</s:f>
        <s:v>0</s:v>
      </s:c>
    </s:row>
    <s:row r="9" ht="18.75">
      <s:c r="A9" s="31" t="s">
        <s:v>1</s:v>
      </s:c>
      <s:c r="B9" s="27"/>
      <s:c r="C9" s="27"/>
      <s:c r="D9" s="27"/>
      <s:c r="E9" s="27"/>
      <s:c r="F9" s="27"/>
      <s:c r="G9" s="27"/>
      <s:c r="H9" s="27"/>
      <s:c r="I9" s="27"/>
      <s:c r="J9" s="27"/>
      <s:c r="K9" s="27"/>
      <s:c r="L9" s="27"/>
      <s:c r="M9" s="22"/>
      <s:c r="N9" s="22"/>
      <s:c r="O9" s="22"/>
      <s:c r="P9" s="22"/>
      <s:c r="Q9" s="22"/>
      <s:c r="R9" s="22"/>
      <s:c r="S9" s="22"/>
      <s:c r="T9" s="22"/>
      <s:c r="U9" s="22"/>
      <s:c r="V9" s="22"/>
      <s:c r="W9" s="22"/>
      <s:c r="X9" s="22"/>
      <s:c r="Y9" s="22"/>
      <s:c r="Z9" s="22"/>
      <s:c r="AA9" s="22"/>
      <s:c r="AB9" s="22"/>
      <s:c r="AC9" s="22"/>
      <s:c r="AD9" s="22"/>
      <s:c r="AE9" s="22"/>
      <s:c r="AF9" s="22"/>
      <s:c r="AG9" s="23"/>
      <s:c r="AH9" s="24"/>
      <s:c r="AI9" s="24"/>
      <s:c r="AJ9" s="24"/>
      <s:c r="AK9" s="24"/>
      <s:c r="AL9" s="25"/>
      <s:c r="AM9" s="26"/>
      <s:c r="AN9" s="26"/>
      <s:c r="AO9" s="26"/>
      <s:c r="AP9" s="26"/>
      <s:c r="AQ9" s="26"/>
      <s:c r="AR9" s="26"/>
      <s:c r="AS9" s="26"/>
      <s:c r="AT9" s="26"/>
      <s:c r="AU9" s="26"/>
      <s:c r="AV9" s="52">
        <s:f>B9*B72+C9*C72+D9*D72+E9*E72+F9*F72+G9*G72+H9*H72+I9*I72+J9*J72+K9*K72+L9*L72+AT9*AT73+AU73*AU9+M9*M72+N9*N72+O9*O72+P9*P72+Q9*Q72+R9*R72+S9*S72+T9*T72+U9*U72+V9*V72+W9*W72+X9*X72+Y9*Y72+Z9*Z72+AA9*AA72+AB9*AB72+AC9*AC72+AD9*AD72+AE9*AE72+AF9*AF72+AG9*AG72+AH9*AH72+AI9*AI72+AJ9*AJ72+AK9*AK72+AL9*AL72+AM9*AM72+AN9*AN72+AO9*AO72+AP9*AP72+AQ9*AQ72+AR9*AR72+AS9*AS72+AT9*AT72+AU9*AU72</s:f>
        <s:v>0</s:v>
      </s:c>
      <s:c r="AW9" t="s">
        <s:v>113</s:v>
      </s:c>
    </s:row>
    <s:row r="10" ht="18.75">
      <s:c r="A10" s="31" t="s">
        <s:v>90</s:v>
      </s:c>
      <s:c r="B10" s="49"/>
      <s:c r="C10" s="49"/>
      <s:c r="D10" s="49"/>
      <s:c r="E10" s="49"/>
      <s:c r="F10" s="49"/>
      <s:c r="G10" s="49"/>
      <s:c r="H10" s="49"/>
      <s:c r="I10" s="49"/>
      <s:c r="J10" s="49"/>
      <s:c r="K10" s="49"/>
      <s:c r="L10" s="49"/>
      <s:c r="M10" s="22"/>
      <s:c r="N10" s="22"/>
      <s:c r="O10" s="22"/>
      <s:c r="P10" s="22"/>
      <s:c r="Q10" s="22"/>
      <s:c r="R10" s="22"/>
      <s:c r="S10" s="22"/>
      <s:c r="T10" s="22"/>
      <s:c r="U10" s="22"/>
      <s:c r="V10" s="22"/>
      <s:c r="W10" s="22"/>
      <s:c r="X10" s="22"/>
      <s:c r="Y10" s="22"/>
      <s:c r="Z10" s="22"/>
      <s:c r="AA10" s="22"/>
      <s:c r="AB10" s="22"/>
      <s:c r="AC10" s="22"/>
      <s:c r="AD10" s="22"/>
      <s:c r="AE10" s="22"/>
      <s:c r="AF10" s="22"/>
      <s:c r="AG10" s="23"/>
      <s:c r="AH10" s="24"/>
      <s:c r="AI10" s="24"/>
      <s:c r="AJ10" s="24"/>
      <s:c r="AK10" s="24"/>
      <s:c r="AL10" s="50"/>
      <s:c r="AM10" s="51"/>
      <s:c r="AN10" s="51"/>
      <s:c r="AO10" s="51"/>
      <s:c r="AP10" s="51"/>
      <s:c r="AQ10" s="51"/>
      <s:c r="AR10" s="51"/>
      <s:c r="AS10" s="51"/>
      <s:c r="AT10" s="51"/>
      <s:c r="AU10" s="51"/>
      <s:c r="AV10" s="52">
        <s:f>B10*B73+C10*C73+D10*D73+E10*E73+F10*F73+G10*G73+H10*H73+I10*I73+J10*J73+K10*K73+L10*L73+AT10*AT74+AU74*AU10+M10*M73+N10*N73+O10*O73+P10*P73+Q10*Q73+R10*R73+S10*S73+T10*T73+U10*U73+V10*V73+W10*W73+X10*X73+Y10*Y73+Z10*Z73+AA10*AA73+AB10*AB73+AC10*AC73+AD10*AD73+AE10*AE73+AF10*AF73+AG10*AG73+AH10*AH73+AI10*AI73+AJ10*AJ73+AK10*AK73+AL10*AL73+AM10*AM73+AN10*AN73+AO10*AO73+AP10*AP73+AQ10*AQ73+AR10*AR73+AS10*AS73+AT10*AT73+AU10*AU73</s:f>
        <s:v>0</s:v>
      </s:c>
    </s:row>
    <s:row r="11" ht="18.75">
      <s:c r="A11" s="31" t="s">
        <s:v>74</s:v>
      </s:c>
      <s:c r="B11" s="49"/>
      <s:c r="C11" s="49"/>
      <s:c r="D11" s="49"/>
      <s:c r="E11" s="49"/>
      <s:c r="F11" s="49"/>
      <s:c r="G11" s="49"/>
      <s:c r="H11" s="49"/>
      <s:c r="I11" s="49"/>
      <s:c r="J11" s="49"/>
      <s:c r="K11" s="49"/>
      <s:c r="L11" s="49"/>
      <s:c r="M11" s="22"/>
      <s:c r="N11" s="22"/>
      <s:c r="O11" s="22"/>
      <s:c r="P11" s="22"/>
      <s:c r="Q11" s="22"/>
      <s:c r="R11" s="22"/>
      <s:c r="S11" s="22"/>
      <s:c r="T11" s="22"/>
      <s:c r="U11" s="22"/>
      <s:c r="V11" s="22"/>
      <s:c r="W11" s="22"/>
      <s:c r="X11" s="22"/>
      <s:c r="Y11" s="22"/>
      <s:c r="Z11" s="22"/>
      <s:c r="AA11" s="22"/>
      <s:c r="AB11" s="22"/>
      <s:c r="AC11" s="22"/>
      <s:c r="AD11" s="22"/>
      <s:c r="AE11" s="22"/>
      <s:c r="AF11" s="22"/>
      <s:c r="AG11" s="23"/>
      <s:c r="AH11" s="24"/>
      <s:c r="AI11" s="24"/>
      <s:c r="AJ11" s="24"/>
      <s:c r="AK11" s="24"/>
      <s:c r="AL11" s="50"/>
      <s:c r="AM11" s="51"/>
      <s:c r="AN11" s="51"/>
      <s:c r="AO11" s="51"/>
      <s:c r="AP11" s="51"/>
      <s:c r="AQ11" s="51"/>
      <s:c r="AR11" s="51"/>
      <s:c r="AS11" s="51"/>
      <s:c r="AT11" s="51"/>
      <s:c r="AU11" s="51"/>
      <s:c r="AV11" s="52">
        <s:f>B11*B74+C11*C74+D11*D74+E11*E74+F11*F74+G11*G74+H11*H74+I11*I74+J11*J74+K11*K74+L11*L74+AT11*AT75+AU75*AU11+M11*M74+N11*N74+O11*O74+P11*P74+Q11*Q74+R11*R74+S11*S74+T11*T74+U11*U74+V11*V74+W11*W74+X11*X74+Y11*Y74+Z11*Z74+AA11*AA74+AB11*AB74+AC11*AC74+AD11*AD74+AE11*AE74+AF11*AF74+AG11*AG74+AH11*AH74+AI11*AI74+AJ11*AJ74+AK11*AK74+AL11*AL74+AM11*AM74+AN11*AN74+AO11*AO74+AP11*AP74+AQ11*AQ74+AR11*AR74+AS11*AS74+AT11*AT74+AU11*AU74</s:f>
        <s:v>0</s:v>
      </s:c>
    </s:row>
    <s:row r="12" ht="18.75">
      <s:c r="A12" s="31" t="s">
        <s:v>4</s:v>
      </s:c>
      <s:c r="B12" s="27"/>
      <s:c r="C12" s="27"/>
      <s:c r="D12" s="27"/>
      <s:c r="E12" s="27"/>
      <s:c r="F12" s="27"/>
      <s:c r="G12" s="27"/>
      <s:c r="H12" s="27"/>
      <s:c r="I12" s="27"/>
      <s:c r="J12" s="27"/>
      <s:c r="K12" s="27"/>
      <s:c r="L12" s="27"/>
      <s:c r="M12" s="22"/>
      <s:c r="N12" s="22"/>
      <s:c r="O12" s="22"/>
      <s:c r="P12" s="22"/>
      <s:c r="Q12" s="22"/>
      <s:c r="R12" s="22"/>
      <s:c r="S12" s="22"/>
      <s:c r="T12" s="22"/>
      <s:c r="U12" s="22"/>
      <s:c r="V12" s="22"/>
      <s:c r="W12" s="22"/>
      <s:c r="X12" s="22"/>
      <s:c r="Y12" s="22"/>
      <s:c r="Z12" s="22"/>
      <s:c r="AA12" s="22"/>
      <s:c r="AB12" s="22"/>
      <s:c r="AC12" s="22"/>
      <s:c r="AD12" s="22"/>
      <s:c r="AE12" s="22"/>
      <s:c r="AF12" s="22"/>
      <s:c r="AG12" s="23"/>
      <s:c r="AH12" s="24"/>
      <s:c r="AI12" s="24"/>
      <s:c r="AJ12" s="24"/>
      <s:c r="AK12" s="24"/>
      <s:c r="AL12" s="25"/>
      <s:c r="AM12" s="26"/>
      <s:c r="AN12" s="26"/>
      <s:c r="AO12" s="26"/>
      <s:c r="AP12" s="26"/>
      <s:c r="AQ12" s="26"/>
      <s:c r="AR12" s="26"/>
      <s:c r="AS12" s="26"/>
      <s:c r="AT12" s="26"/>
      <s:c r="AU12" s="26"/>
      <s:c r="AV12" s="52">
        <s:f>B12*B75+C12*C75+D12*D75+E12*E75+F12*F75+G12*G75+H12*H75+I12*I75+J12*J75+K12*K75+L12*L75+AT12*AT76+AU76*AU12+M12*M75+N12*N75+O12*O75+P12*P75+Q12*Q75+R12*R75+S12*S75+T12*T75+U12*U75+V12*V75+W12*W75+X12*X75+Y12*Y75+Z12*Z75+AA12*AA75+AB12*AB75+AC12*AC75+AD12*AD75+AE12*AE75+AF12*AF75+AG12*AG75+AH12*AH75+AI12*AI75+AJ12*AJ75+AK12*AK75+AL12*AL75+AM12*AM75+AN12*AN75+AO12*AO75+AP12*AP75+AQ12*AQ75+AR12*AR75+AS12*AS75+AT12*AT75+AU12*AU75</s:f>
        <s:v>0</s:v>
      </s:c>
    </s:row>
    <s:row r="13" ht="18.75">
      <s:c r="A13" s="31" t="s">
        <s:v>3</s:v>
      </s:c>
      <s:c r="B13" s="27"/>
      <s:c r="C13" s="27"/>
      <s:c r="D13" s="27"/>
      <s:c r="E13" s="27"/>
      <s:c r="F13" s="27"/>
      <s:c r="G13" s="27"/>
      <s:c r="H13" s="27"/>
      <s:c r="I13" s="27"/>
      <s:c r="J13" s="27"/>
      <s:c r="K13" s="27"/>
      <s:c r="L13" s="27"/>
      <s:c r="M13" s="22"/>
      <s:c r="N13" s="22"/>
      <s:c r="O13" s="22"/>
      <s:c r="P13" s="22"/>
      <s:c r="Q13" s="22"/>
      <s:c r="R13" s="22"/>
      <s:c r="S13" s="22"/>
      <s:c r="T13" s="22"/>
      <s:c r="U13" s="22"/>
      <s:c r="V13" s="22"/>
      <s:c r="W13" s="22"/>
      <s:c r="X13" s="22"/>
      <s:c r="Y13" s="22"/>
      <s:c r="Z13" s="22"/>
      <s:c r="AA13" s="22"/>
      <s:c r="AB13" s="22"/>
      <s:c r="AC13" s="22"/>
      <s:c r="AD13" s="22"/>
      <s:c r="AE13" s="22"/>
      <s:c r="AF13" s="22"/>
      <s:c r="AG13" s="23"/>
      <s:c r="AH13" s="24"/>
      <s:c r="AI13" s="24"/>
      <s:c r="AJ13" s="24"/>
      <s:c r="AK13" s="24"/>
      <s:c r="AL13" s="25"/>
      <s:c r="AM13" s="26"/>
      <s:c r="AN13" s="26"/>
      <s:c r="AO13" s="26"/>
      <s:c r="AP13" s="26"/>
      <s:c r="AQ13" s="26"/>
      <s:c r="AR13" s="26"/>
      <s:c r="AS13" s="26"/>
      <s:c r="AT13" s="26"/>
      <s:c r="AU13" s="26"/>
      <s:c r="AV13" s="52">
        <s:f>B13*B76+C13*C76+D13*D76+E13*E76+F13*F76+G13*G76+H13*H76+I13*I76+J13*J76+K13*K76+L13*L76+AT13*AT77+AU77*AU13+M13*M76+N13*N76+O13*O76+P13*P76+Q13*Q76+R13*R76+S13*S76+T13*T76+U13*U76+V13*V76+W13*W76+X13*X76+Y13*Y76+Z13*Z76+AA13*AA76+AB13*AB76+AC13*AC76+AD13*AD76+AE13*AE76+AF13*AF76+AG13*AG76+AH13*AH76+AI13*AI76+AJ13*AJ76+AK13*AK76+AL13*AL76+AM13*AM76+AN13*AN76+AO13*AO76+AP13*AP76+AQ13*AQ76+AR13*AR76+AS13*AS76+AT13*AT76+AU13*AU76</s:f>
        <s:v>0</s:v>
      </s:c>
    </s:row>
    <s:row r="14" ht="18.75">
      <s:c r="A14" s="31" t="s">
        <s:v>44</s:v>
      </s:c>
      <s:c r="B14" s="49"/>
      <s:c r="C14" s="49"/>
      <s:c r="D14" s="49"/>
      <s:c r="E14" s="49"/>
      <s:c r="F14" s="49"/>
      <s:c r="G14" s="49"/>
      <s:c r="H14" s="49"/>
      <s:c r="I14" s="49"/>
      <s:c r="J14" s="49"/>
      <s:c r="K14" s="49"/>
      <s:c r="L14" s="49"/>
      <s:c r="M14" s="22"/>
      <s:c r="N14" s="22"/>
      <s:c r="O14" s="22"/>
      <s:c r="P14" s="22"/>
      <s:c r="Q14" s="22"/>
      <s:c r="R14" s="22"/>
      <s:c r="S14" s="22"/>
      <s:c r="T14" s="22"/>
      <s:c r="U14" s="22"/>
      <s:c r="V14" s="22"/>
      <s:c r="W14" s="22"/>
      <s:c r="X14" s="22"/>
      <s:c r="Y14" s="22"/>
      <s:c r="Z14" s="22"/>
      <s:c r="AA14" s="22"/>
      <s:c r="AB14" s="22"/>
      <s:c r="AC14" s="22"/>
      <s:c r="AD14" s="22"/>
      <s:c r="AE14" s="22"/>
      <s:c r="AF14" s="22"/>
      <s:c r="AG14" s="23"/>
      <s:c r="AH14" s="24"/>
      <s:c r="AI14" s="24"/>
      <s:c r="AJ14" s="24"/>
      <s:c r="AK14" s="24"/>
      <s:c r="AL14" s="50"/>
      <s:c r="AM14" s="51"/>
      <s:c r="AN14" s="51"/>
      <s:c r="AO14" s="51"/>
      <s:c r="AP14" s="51"/>
      <s:c r="AQ14" s="51"/>
      <s:c r="AR14" s="51"/>
      <s:c r="AS14" s="51"/>
      <s:c r="AT14" s="51"/>
      <s:c r="AU14" s="51"/>
      <s:c r="AV14" s="52">
        <s:f>B14*B77+C14*C77+D14*D77+E14*E77+F14*F77+G14*G77+H14*H77+I14*I77+J14*J77+K14*K77+L14*L77+AT14*AT78+AU78*AU14+M14*M77+N14*N77+O14*O77+P14*P77+Q14*Q77+R14*R77+S14*S77+T14*T77+U14*U77+V14*V77+W14*W77+X14*X77+Y14*Y77+Z14*Z77+AA14*AA77+AB14*AB77+AC14*AC77+AD14*AD77+AE14*AE77+AF14*AF77+AG14*AG77+AH14*AH77+AI14*AI77+AJ14*AJ77+AK14*AK77+AL14*AL77+AM14*AM77+AN14*AN77+AO14*AO77+AP14*AP77+AQ14*AQ77+AR14*AR77+AS14*AS77+AT14*AT77+AU14*AU77</s:f>
        <s:v>0</s:v>
      </s:c>
    </s:row>
    <s:row r="15" ht="18.75">
      <s:c r="A15" s="31" t="s">
        <s:v>46</s:v>
      </s:c>
      <s:c r="B15" s="49"/>
      <s:c r="C15" s="49"/>
      <s:c r="D15" s="49"/>
      <s:c r="E15" s="49"/>
      <s:c r="F15" s="49"/>
      <s:c r="G15" s="49"/>
      <s:c r="H15" s="49"/>
      <s:c r="I15" s="49"/>
      <s:c r="J15" s="49"/>
      <s:c r="K15" s="49"/>
      <s:c r="L15" s="49"/>
      <s:c r="M15" s="22"/>
      <s:c r="N15" s="22"/>
      <s:c r="O15" s="22"/>
      <s:c r="P15" s="22"/>
      <s:c r="Q15" s="22"/>
      <s:c r="R15" s="22"/>
      <s:c r="S15" s="22"/>
      <s:c r="T15" s="22"/>
      <s:c r="U15" s="22"/>
      <s:c r="V15" s="22"/>
      <s:c r="W15" s="22"/>
      <s:c r="X15" s="22"/>
      <s:c r="Y15" s="22"/>
      <s:c r="Z15" s="22"/>
      <s:c r="AA15" s="22"/>
      <s:c r="AB15" s="22"/>
      <s:c r="AC15" s="22"/>
      <s:c r="AD15" s="22"/>
      <s:c r="AE15" s="22"/>
      <s:c r="AF15" s="22"/>
      <s:c r="AG15" s="23"/>
      <s:c r="AH15" s="24"/>
      <s:c r="AI15" s="24"/>
      <s:c r="AJ15" s="24"/>
      <s:c r="AK15" s="24"/>
      <s:c r="AL15" s="50"/>
      <s:c r="AM15" s="51"/>
      <s:c r="AN15" s="51"/>
      <s:c r="AO15" s="51"/>
      <s:c r="AP15" s="51"/>
      <s:c r="AQ15" s="51"/>
      <s:c r="AR15" s="51"/>
      <s:c r="AS15" s="51"/>
      <s:c r="AT15" s="51"/>
      <s:c r="AU15" s="51"/>
      <s:c r="AV15" s="52">
        <s:f>B15*B78+C15*C78+D15*D78+E15*E78+F15*F78+G15*G78+H15*H78+I15*I78+J15*J78+K15*K78+L15*L78+AT15*AT79+AU79*AU15+M15*M78+N15*N78+O15*O78+P15*P78+Q15*Q78+R15*R78+S15*S78+T15*T78+U15*U78+V15*V78+W15*W78+X15*X78+Y15*Y78+Z15*Z78+AA15*AA78+AB15*AB78+AC15*AC78+AD15*AD78+AE15*AE78+AF15*AF78+AG15*AG78+AH15*AH78+AI15*AI78+AJ15*AJ78+AK15*AK78+AL15*AL78+AM15*AM78+AN15*AN78+AO15*AO78+AP15*AP78+AQ15*AQ78+AR15*AR78+AS15*AS78+AT15*AT78+AU15*AU78</s:f>
        <s:v>0</s:v>
      </s:c>
    </s:row>
    <s:row r="16" ht="18.75">
      <s:c r="A16" s="31" t="s">
        <s:v>79</s:v>
      </s:c>
      <s:c r="B16" s="49"/>
      <s:c r="C16" s="49"/>
      <s:c r="D16" s="49"/>
      <s:c r="E16" s="49"/>
      <s:c r="F16" s="49"/>
      <s:c r="G16" s="49"/>
      <s:c r="H16" s="49"/>
      <s:c r="I16" s="49"/>
      <s:c r="J16" s="49"/>
      <s:c r="K16" s="49"/>
      <s:c r="L16" s="49"/>
      <s:c r="M16" s="22"/>
      <s:c r="N16" s="22"/>
      <s:c r="O16" s="22"/>
      <s:c r="P16" s="22"/>
      <s:c r="Q16" s="22"/>
      <s:c r="R16" s="22"/>
      <s:c r="S16" s="22"/>
      <s:c r="T16" s="22"/>
      <s:c r="U16" s="22"/>
      <s:c r="V16" s="22"/>
      <s:c r="W16" s="22"/>
      <s:c r="X16" s="22"/>
      <s:c r="Y16" s="22"/>
      <s:c r="Z16" s="22"/>
      <s:c r="AA16" s="22"/>
      <s:c r="AB16" s="22"/>
      <s:c r="AC16" s="22"/>
      <s:c r="AD16" s="22"/>
      <s:c r="AE16" s="22"/>
      <s:c r="AF16" s="22"/>
      <s:c r="AG16" s="23"/>
      <s:c r="AH16" s="24"/>
      <s:c r="AI16" s="24"/>
      <s:c r="AJ16" s="24"/>
      <s:c r="AK16" s="24"/>
      <s:c r="AL16" s="50"/>
      <s:c r="AM16" s="51"/>
      <s:c r="AN16" s="51"/>
      <s:c r="AO16" s="51"/>
      <s:c r="AP16" s="51"/>
      <s:c r="AQ16" s="51"/>
      <s:c r="AR16" s="51"/>
      <s:c r="AS16" s="51"/>
      <s:c r="AT16" s="51"/>
      <s:c r="AU16" s="51"/>
      <s:c r="AV16" s="52">
        <s:f>B16*B79+C16*C79+D16*D79+E16*E79+F16*F79+G16*G79+H16*H79+I16*I79+J16*J79+K16*K79+L16*L79+AT16*AT80+AU80*AU16+M16*M79+N16*N79+O16*O79+P16*P79+Q16*Q79+R16*R79+S16*S79+T16*T79+U16*U79+V16*V79+W16*W79+X16*X79+Y16*Y79+Z16*Z79+AA16*AA79+AB16*AB79+AC16*AC79+AD16*AD79+AE16*AE79+AF16*AF79+AG16*AG79+AH16*AH79+AI16*AI79+AJ16*AJ79+AK16*AK79+AL16*AL79+AM16*AM79+AN16*AN79+AO16*AO79+AP16*AP79+AQ16*AQ79+AR16*AR79+AS16*AS79+AT16*AT79+AU16*AU79</s:f>
        <s:v>0</s:v>
      </s:c>
    </s:row>
    <s:row r="17" ht="18.75">
      <s:c r="A17" s="31" t="s">
        <s:v>72</s:v>
      </s:c>
      <s:c r="B17" s="27"/>
      <s:c r="C17" s="27"/>
      <s:c r="D17" s="27">
        <s:v>20</s:v>
      </s:c>
      <s:c r="E17" s="27"/>
      <s:c r="F17" s="27"/>
      <s:c r="G17" s="27"/>
      <s:c r="H17" s="27"/>
      <s:c r="I17" s="27"/>
      <s:c r="J17" s="27"/>
      <s:c r="K17" s="27"/>
      <s:c r="L17" s="27"/>
      <s:c r="M17" s="22"/>
      <s:c r="N17" s="22"/>
      <s:c r="O17" s="22"/>
      <s:c r="P17" s="22"/>
      <s:c r="Q17" s="22"/>
      <s:c r="R17" s="22"/>
      <s:c r="S17" s="22"/>
      <s:c r="T17" s="22">
        <s:v>17.600000000000001</s:v>
      </s:c>
      <s:c r="U17" s="22"/>
      <s:c r="V17" s="22"/>
      <s:c r="W17" s="22"/>
      <s:c r="X17" s="22"/>
      <s:c r="Y17" s="22"/>
      <s:c r="Z17" s="22"/>
      <s:c r="AA17" s="22"/>
      <s:c r="AB17" s="22"/>
      <s:c r="AC17" s="22"/>
      <s:c r="AD17" s="22"/>
      <s:c r="AE17" s="22"/>
      <s:c r="AF17" s="22"/>
      <s:c r="AG17" s="23"/>
      <s:c r="AH17" s="24"/>
      <s:c r="AI17" s="24"/>
      <s:c r="AJ17" s="24"/>
      <s:c r="AK17" s="24"/>
      <s:c r="AL17" s="25"/>
      <s:c r="AM17" s="26"/>
      <s:c r="AN17" s="26"/>
      <s:c r="AO17" s="26"/>
      <s:c r="AP17" s="26"/>
      <s:c r="AQ17" s="26"/>
      <s:c r="AR17" s="26"/>
      <s:c r="AS17" s="26"/>
      <s:c r="AT17" s="26"/>
      <s:c r="AU17" s="26"/>
      <s:c r="AV17" s="52">
        <s:f>B17*B80+C17*C80+D17*D80+E17*E80+F17*F80+G17*G80+H17*H80+I17*I80+J17*J80+K17*K80+L17*L80+AT17*AT81+AU81*AU17+M17*M80+N17*N80+O17*O80+P17*P80+Q17*Q80+R17*R80+S17*S80+T17*T80+U17*U80+V17*V80+W17*W80+X17*X80+Y17*Y80+Z17*Z80+AA17*AA80+AB17*AB80+AC17*AC80+AD17*AD80+AE17*AE80+AF17*AF80+AG17*AG80+AH17*AH80+AI17*AI80+AJ17*AJ80+AK17*AK80+AL17*AL80+AM17*AM80+AN17*AN80+AO17*AO80+AP17*AP80+AQ17*AQ80+AR17*AR80+AS17*AS80+AT17*AT80+AU17*AU80</s:f>
        <s:v>3138800</s:v>
      </s:c>
      <s:c r="AW17" t="s">
        <s:v>113</s:v>
      </s:c>
    </s:row>
    <s:row r="18" ht="18.75">
      <s:c r="A18" s="31" t="s">
        <s:v>98</s:v>
      </s:c>
      <s:c r="B18" s="49"/>
      <s:c r="C18" s="49"/>
      <s:c r="D18" s="49"/>
      <s:c r="E18" s="49"/>
      <s:c r="F18" s="49"/>
      <s:c r="G18" s="49"/>
      <s:c r="H18" s="49"/>
      <s:c r="I18" s="49"/>
      <s:c r="J18" s="49"/>
      <s:c r="K18" s="49"/>
      <s:c r="L18" s="49"/>
      <s:c r="M18" s="22"/>
      <s:c r="N18" s="22"/>
      <s:c r="O18" s="22"/>
      <s:c r="P18" s="22"/>
      <s:c r="Q18" s="22"/>
      <s:c r="R18" s="22"/>
      <s:c r="S18" s="22"/>
      <s:c r="T18" s="22"/>
      <s:c r="U18" s="22"/>
      <s:c r="V18" s="22"/>
      <s:c r="W18" s="22"/>
      <s:c r="X18" s="22"/>
      <s:c r="Y18" s="22"/>
      <s:c r="Z18" s="22"/>
      <s:c r="AA18" s="22"/>
      <s:c r="AB18" s="22"/>
      <s:c r="AC18" s="22"/>
      <s:c r="AD18" s="22"/>
      <s:c r="AE18" s="22"/>
      <s:c r="AF18" s="22"/>
      <s:c r="AG18" s="23"/>
      <s:c r="AH18" s="24"/>
      <s:c r="AI18" s="24"/>
      <s:c r="AJ18" s="24"/>
      <s:c r="AK18" s="24"/>
      <s:c r="AL18" s="50"/>
      <s:c r="AM18" s="51"/>
      <s:c r="AN18" s="51"/>
      <s:c r="AO18" s="51"/>
      <s:c r="AP18" s="51"/>
      <s:c r="AQ18" s="51"/>
      <s:c r="AR18" s="51"/>
      <s:c r="AS18" s="51"/>
      <s:c r="AT18" s="51"/>
      <s:c r="AU18" s="51"/>
      <s:c r="AV18" s="52">
        <s:f>B18*B81+C18*C81+D18*D81+E18*E81+F18*F81+G18*G81+H18*H81+I18*I81+J18*J81+K18*K81+L18*L81+AT18*AT82+AU82*AU18+M18*M81+N18*N81+O18*O81+P18*P81+Q18*Q81+R18*R81+S18*S81+T18*T81+U18*U81+V18*V81+W18*W81+X18*X81+Y18*Y81+Z18*Z81+AA18*AA81+AB18*AB81+AC18*AC81+AD18*AD81+AE18*AE81+AF18*AF81+AG18*AG81+AH18*AH81+AI18*AI81+AJ18*AJ81+AK18*AK81+AL18*AL81+AM18*AM81+AN18*AN81+AO18*AO81+AP18*AP81+AQ18*AQ81+AR18*AR81+AS18*AS81+AT18*AT81+AU18*AU81</s:f>
        <s:v>0</s:v>
      </s:c>
    </s:row>
    <s:row r="19" ht="18.75">
      <s:c r="A19" s="31" t="s">
        <s:v>118</s:v>
      </s:c>
      <s:c r="B19" s="49"/>
      <s:c r="C19" s="49"/>
      <s:c r="D19" s="49"/>
      <s:c r="E19" s="49"/>
      <s:c r="F19" s="49"/>
      <s:c r="G19" s="49"/>
      <s:c r="H19" s="49"/>
      <s:c r="I19" s="49"/>
      <s:c r="J19" s="49"/>
      <s:c r="K19" s="49"/>
      <s:c r="L19" s="49"/>
      <s:c r="M19" s="22"/>
      <s:c r="N19" s="22"/>
      <s:c r="O19" s="22"/>
      <s:c r="P19" s="22"/>
      <s:c r="Q19" s="22"/>
      <s:c r="R19" s="22"/>
      <s:c r="S19" s="22"/>
      <s:c r="T19" s="22"/>
      <s:c r="U19" s="22"/>
      <s:c r="V19" s="22"/>
      <s:c r="W19" s="22"/>
      <s:c r="X19" s="22"/>
      <s:c r="Y19" s="22"/>
      <s:c r="Z19" s="22"/>
      <s:c r="AA19" s="22"/>
      <s:c r="AB19" s="22"/>
      <s:c r="AC19" s="22"/>
      <s:c r="AD19" s="22"/>
      <s:c r="AE19" s="22"/>
      <s:c r="AF19" s="22"/>
      <s:c r="AG19" s="23"/>
      <s:c r="AH19" s="24"/>
      <s:c r="AI19" s="24"/>
      <s:c r="AJ19" s="24"/>
      <s:c r="AK19" s="24"/>
      <s:c r="AL19" s="50"/>
      <s:c r="AM19" s="51"/>
      <s:c r="AN19" s="51"/>
      <s:c r="AO19" s="51"/>
      <s:c r="AP19" s="51"/>
      <s:c r="AQ19" s="51"/>
      <s:c r="AR19" s="51"/>
      <s:c r="AS19" s="51"/>
      <s:c r="AT19" s="51"/>
      <s:c r="AU19" s="51"/>
      <s:c r="AV19" s="52">
        <s:f>B19*B82+C19*C82+D19*D82+E19*E82+F19*F82+G19*G82+H19*H82+I19*I82+J19*J82+K19*K82+L19*L82+AT19*AT83+AU83*AU19+M19*M82+N19*N82+O19*O82+P19*P82+Q19*Q82+R19*R82+S19*S82+T19*T82+U19*U82+V19*V82+W19*W82+X19*X82+Y19*Y82+Z19*Z82+AA19*AA82+AB19*AB82+AC19*AC82+AD19*AD82+AE19*AE82+AF19*AF82+AG19*AG82+AH19*AH82+AI19*AI82+AJ19*AJ82+AK19*AK82+AL19*AL82+AM19*AM82+AN19*AN82+AO19*AO82+AP19*AP82+AQ19*AQ82+AR19*AR82+AS19*AS82+AT19*AT82+AU19*AU82</s:f>
        <s:v>0</s:v>
      </s:c>
    </s:row>
    <s:row r="20" ht="18.75">
      <s:c r="A20" s="31" t="s">
        <s:v>73</s:v>
      </s:c>
      <s:c r="B20" s="49"/>
      <s:c r="C20" s="49"/>
      <s:c r="D20" s="49"/>
      <s:c r="E20" s="49"/>
      <s:c r="F20" s="49"/>
      <s:c r="G20" s="49"/>
      <s:c r="H20" s="49"/>
      <s:c r="I20" s="49"/>
      <s:c r="J20" s="49"/>
      <s:c r="K20" s="49"/>
      <s:c r="L20" s="49"/>
      <s:c r="M20" s="22"/>
      <s:c r="N20" s="22"/>
      <s:c r="O20" s="22"/>
      <s:c r="P20" s="22"/>
      <s:c r="Q20" s="22"/>
      <s:c r="R20" s="22"/>
      <s:c r="S20" s="22"/>
      <s:c r="T20" s="22"/>
      <s:c r="U20" s="22"/>
      <s:c r="V20" s="22"/>
      <s:c r="W20" s="22"/>
      <s:c r="X20" s="22"/>
      <s:c r="Y20" s="22"/>
      <s:c r="Z20" s="22"/>
      <s:c r="AA20" s="22"/>
      <s:c r="AB20" s="22"/>
      <s:c r="AC20" s="22"/>
      <s:c r="AD20" s="22"/>
      <s:c r="AE20" s="22"/>
      <s:c r="AF20" s="22"/>
      <s:c r="AG20" s="23"/>
      <s:c r="AH20" s="24"/>
      <s:c r="AI20" s="24"/>
      <s:c r="AJ20" s="24"/>
      <s:c r="AK20" s="24"/>
      <s:c r="AL20" s="50"/>
      <s:c r="AM20" s="51"/>
      <s:c r="AN20" s="51"/>
      <s:c r="AO20" s="51"/>
      <s:c r="AP20" s="51"/>
      <s:c r="AQ20" s="51"/>
      <s:c r="AR20" s="51"/>
      <s:c r="AS20" s="51"/>
      <s:c r="AT20" s="51"/>
      <s:c r="AU20" s="51"/>
      <s:c r="AV20" s="52">
        <s:f>B20*B83+C20*C83+D20*D83+E20*E83+F20*F83+G20*G83+H20*H83+I20*I83+J20*J83+K20*K83+L20*L83+AT20*AT84+AU84*AU20+M20*M83+N20*N83+O20*O83+P20*P83+Q20*Q83+R20*R83+S20*S83+T20*T83+U20*U83+V20*V83+W20*W83+X20*X83+Y20*Y83+Z20*Z83+AA20*AA83+AB20*AB83+AC20*AC83+AD20*AD83+AE20*AE83+AF20*AF83+AG20*AG83+AH20*AH83+AI20*AI83+AJ20*AJ83+AK20*AK83+AL20*AL83+AM20*AM83+AN20*AN83+AO20*AO83+AP20*AP83+AQ20*AQ83+AR20*AR83+AS20*AS83+AT20*AT83+AU20*AU83</s:f>
        <s:v>0</s:v>
      </s:c>
    </s:row>
    <s:row r="21" ht="18.75">
      <s:c r="A21" s="31" t="s">
        <s:v>65</s:v>
      </s:c>
      <s:c r="B21" s="49"/>
      <s:c r="C21" s="49"/>
      <s:c r="D21" s="49"/>
      <s:c r="E21" s="49"/>
      <s:c r="F21" s="49"/>
      <s:c r="G21" s="49"/>
      <s:c r="H21" s="49"/>
      <s:c r="I21" s="49"/>
      <s:c r="J21" s="49"/>
      <s:c r="K21" s="49"/>
      <s:c r="L21" s="49"/>
      <s:c r="M21" s="22"/>
      <s:c r="N21" s="22"/>
      <s:c r="O21" s="22"/>
      <s:c r="P21" s="22"/>
      <s:c r="Q21" s="22"/>
      <s:c r="R21" s="22"/>
      <s:c r="S21" s="22"/>
      <s:c r="T21" s="22"/>
      <s:c r="U21" s="22"/>
      <s:c r="V21" s="22"/>
      <s:c r="W21" s="22"/>
      <s:c r="X21" s="22"/>
      <s:c r="Y21" s="22"/>
      <s:c r="Z21" s="22"/>
      <s:c r="AA21" s="22"/>
      <s:c r="AB21" s="22"/>
      <s:c r="AC21" s="22"/>
      <s:c r="AD21" s="22"/>
      <s:c r="AE21" s="22"/>
      <s:c r="AF21" s="22"/>
      <s:c r="AG21" s="23"/>
      <s:c r="AH21" s="24"/>
      <s:c r="AI21" s="24"/>
      <s:c r="AJ21" s="24"/>
      <s:c r="AK21" s="24"/>
      <s:c r="AL21" s="50"/>
      <s:c r="AM21" s="51"/>
      <s:c r="AN21" s="51"/>
      <s:c r="AO21" s="51"/>
      <s:c r="AP21" s="51"/>
      <s:c r="AQ21" s="51"/>
      <s:c r="AR21" s="51"/>
      <s:c r="AS21" s="51"/>
      <s:c r="AT21" s="51"/>
      <s:c r="AU21" s="51"/>
      <s:c r="AV21" s="52">
        <s:f>B21*B84+C21*C84+D21*D84+E21*E84+F21*F84+G21*G84+H21*H84+I21*I84+J21*J84+K21*K84+L21*L84+AT21*AT85+AU85*AU21+M21*M84+N21*N84+O21*O84+P21*P84+Q21*Q84+R21*R84+S21*S84+T21*T84+U21*U84+V21*V84+W21*W84+X21*X84+Y21*Y84+Z21*Z84+AA21*AA84+AB21*AB84+AC21*AC84+AD21*AD84+AE21*AE84+AF21*AF84+AG21*AG84+AH21*AH84+AI21*AI84+AJ21*AJ84+AK21*AK84+AL21*AL84+AM21*AM84+AN21*AN84+AO21*AO84+AP21*AP84+AQ21*AQ84+AR21*AR84+AS21*AS84+AT21*AT84+AU21*AU84</s:f>
        <s:v>0</s:v>
      </s:c>
    </s:row>
    <s:row r="22" ht="18.75">
      <s:c r="A22" s="31" t="s">
        <s:v>52</s:v>
      </s:c>
      <s:c r="B22" s="27"/>
      <s:c r="C22" s="27"/>
      <s:c r="D22" s="27"/>
      <s:c r="E22" s="27"/>
      <s:c r="F22" s="27"/>
      <s:c r="G22" s="27"/>
      <s:c r="H22" s="27"/>
      <s:c r="I22" s="27"/>
      <s:c r="J22" s="27"/>
      <s:c r="K22" s="27"/>
      <s:c r="L22" s="27"/>
      <s:c r="M22" s="22"/>
      <s:c r="N22" s="22"/>
      <s:c r="O22" s="22"/>
      <s:c r="P22" s="22"/>
      <s:c r="Q22" s="22"/>
      <s:c r="R22" s="22"/>
      <s:c r="S22" s="22"/>
      <s:c r="T22" s="22"/>
      <s:c r="U22" s="22"/>
      <s:c r="V22" s="22"/>
      <s:c r="W22" s="22"/>
      <s:c r="X22" s="22"/>
      <s:c r="Y22" s="22"/>
      <s:c r="Z22" s="22"/>
      <s:c r="AA22" s="22"/>
      <s:c r="AB22" s="22"/>
      <s:c r="AC22" s="22"/>
      <s:c r="AD22" s="22"/>
      <s:c r="AE22" s="22"/>
      <s:c r="AF22" s="22"/>
      <s:c r="AG22" s="23"/>
      <s:c r="AH22" s="24"/>
      <s:c r="AI22" s="24"/>
      <s:c r="AJ22" s="24"/>
      <s:c r="AK22" s="24"/>
      <s:c r="AL22" s="25"/>
      <s:c r="AM22" s="26"/>
      <s:c r="AN22" s="26"/>
      <s:c r="AO22" s="26"/>
      <s:c r="AP22" s="26"/>
      <s:c r="AQ22" s="26"/>
      <s:c r="AR22" s="26"/>
      <s:c r="AS22" s="26"/>
      <s:c r="AT22" s="26"/>
      <s:c r="AU22" s="26"/>
      <s:c r="AV22" s="52">
        <s:f>B22*B85+C22*C85+D22*D85+E22*E85+F22*F85+G22*G85+H22*H85+I22*I85+J22*J85+K22*K85+L22*L85+AT22*AT86+AU86*AU22+M22*M85+N22*N85+O22*O85+P22*P85+Q22*Q85+R22*R85+S22*S85+T22*T85+U22*U85+V22*V85+W22*W85+X22*X85+Y22*Y85+Z22*Z85+AA22*AA85+AB22*AB85+AC22*AC85+AD22*AD85+AE22*AE85+AF22*AF85+AG22*AG85+AH22*AH85+AI22*AI85+AJ22*AJ85+AK22*AK85+AL22*AL85+AM22*AM85+AN22*AN85+AO22*AO85+AP22*AP85+AQ22*AQ85+AR22*AR85+AS22*AS85+AT22*AT85+AU22*AU85</s:f>
        <s:v>0</s:v>
      </s:c>
    </s:row>
    <s:row r="23" ht="18.75">
      <s:c r="A23" s="31" t="s">
        <s:v>61</s:v>
      </s:c>
      <s:c r="B23" s="49"/>
      <s:c r="C23" s="49"/>
      <s:c r="D23" s="27">
        <s:v>10</s:v>
      </s:c>
      <s:c r="E23" s="49"/>
      <s:c r="F23" s="49"/>
      <s:c r="G23" s="49"/>
      <s:c r="H23" s="49"/>
      <s:c r="I23" s="49"/>
      <s:c r="J23" s="49"/>
      <s:c r="K23" s="49"/>
      <s:c r="L23" s="49"/>
      <s:c r="M23" s="22"/>
      <s:c r="N23" s="22"/>
      <s:c r="O23" s="22"/>
      <s:c r="P23" s="22"/>
      <s:c r="Q23" s="22"/>
      <s:c r="R23" s="22"/>
      <s:c r="S23" s="22"/>
      <s:c r="T23" s="22">
        <s:v>5.6</s:v>
      </s:c>
      <s:c r="U23" s="22"/>
      <s:c r="V23" s="22"/>
      <s:c r="W23" s="22"/>
      <s:c r="X23" s="22">
        <s:v>2.16</s:v>
      </s:c>
      <s:c r="Y23" s="22">
        <s:v>3</s:v>
      </s:c>
      <s:c r="Z23" s="22">
        <s:v>2</s:v>
      </s:c>
      <s:c r="AA23" s="22"/>
      <s:c r="AB23" s="22"/>
      <s:c r="AC23" s="22"/>
      <s:c r="AD23" s="22"/>
      <s:c r="AE23" s="22"/>
      <s:c r="AF23" s="22"/>
      <s:c r="AG23" s="23"/>
      <s:c r="AH23" s="24"/>
      <s:c r="AI23" s="24"/>
      <s:c r="AJ23" s="24"/>
      <s:c r="AK23" s="24">
        <s:v>6.4</s:v>
      </s:c>
      <s:c r="AL23" s="50">
        <s:v>3</s:v>
      </s:c>
      <s:c r="AM23" s="51"/>
      <s:c r="AN23" s="51"/>
      <s:c r="AO23" s="51"/>
      <s:c r="AP23" s="51"/>
      <s:c r="AQ23" s="51"/>
      <s:c r="AR23" s="51"/>
      <s:c r="AS23" s="51"/>
      <s:c r="AT23" s="51">
        <s:v>6.4</s:v>
      </s:c>
      <s:c r="AU23" s="51"/>
      <s:c r="AV23" s="52">
        <s:f>B23*B86+C23*C86+D23*D86+E23*E86+F23*F86+G23*G86+H23*H86+I23*I86+J23*J86+K23*K86+L23*L86+AT23*AT87+AU87*AU23+M23*M86+N23*N86+O23*O86+P23*P86+Q23*Q86+R23*R86+S23*S86+T23*T86+U23*U86+V23*V86+W23*W86+X23*X86+Y23*Y86+Z23*Z86+AA23*AA86+AB23*AB86+AC23*AC86+AD23*AD86+AE23*AE86+AF23*AF86+AG23*AG86+AH23*AH86+AI23*AI86+AJ23*AJ86+AK23*AK86+AL23*AL86+AM23*AM86+AN23*AN86+AO23*AO86+AP23*AP86+AQ23*AQ86+AR23*AR86+AS23*AS86+AT23*AT86+AU23*AU86</s:f>
        <s:v>4824200</s:v>
      </s:c>
    </s:row>
    <s:row r="24" ht="18.75">
      <s:c r="A24" s="31" t="s">
        <s:v>16</s:v>
      </s:c>
      <s:c r="B24" s="27"/>
      <s:c r="C24" s="27"/>
      <s:c r="D24" s="27"/>
      <s:c r="E24" s="27"/>
      <s:c r="F24" s="27"/>
      <s:c r="G24" s="27"/>
      <s:c r="H24" s="27"/>
      <s:c r="I24" s="27"/>
      <s:c r="J24" s="27"/>
      <s:c r="K24" s="27"/>
      <s:c r="L24" s="27"/>
      <s:c r="M24" s="22"/>
      <s:c r="N24" s="22"/>
      <s:c r="O24" s="22"/>
      <s:c r="P24" s="22"/>
      <s:c r="Q24" s="22"/>
      <s:c r="R24" s="22"/>
      <s:c r="S24" s="22"/>
      <s:c r="T24" s="22"/>
      <s:c r="U24" s="22"/>
      <s:c r="V24" s="22"/>
      <s:c r="W24" s="22"/>
      <s:c r="X24" s="22"/>
      <s:c r="Y24" s="22"/>
      <s:c r="Z24" s="22"/>
      <s:c r="AA24" s="22"/>
      <s:c r="AB24" s="22"/>
      <s:c r="AC24" s="22"/>
      <s:c r="AD24" s="22"/>
      <s:c r="AE24" s="22"/>
      <s:c r="AF24" s="22"/>
      <s:c r="AG24" s="23"/>
      <s:c r="AH24" s="24"/>
      <s:c r="AI24" s="24"/>
      <s:c r="AJ24" s="24"/>
      <s:c r="AK24" s="24"/>
      <s:c r="AL24" s="25"/>
      <s:c r="AM24" s="26"/>
      <s:c r="AN24" s="26"/>
      <s:c r="AO24" s="26"/>
      <s:c r="AP24" s="26"/>
      <s:c r="AQ24" s="26"/>
      <s:c r="AR24" s="26"/>
      <s:c r="AS24" s="26"/>
      <s:c r="AT24" s="26"/>
      <s:c r="AU24" s="26"/>
      <s:c r="AV24" s="52">
        <s:f>B24*B87+C24*C87+D24*D87+E24*E87+F24*F87+G24*G87+H24*H87+I24*I87+J24*J87+K24*K87+L24*L87+AT24*AT88+AU88*AU24+M24*M87+N24*N87+O24*O87+P24*P87+Q24*Q87+R24*R87+S24*S87+T24*T87+U24*U87+V24*V87+W24*W87+X24*X87+Y24*Y87+Z24*Z87+AA24*AA87+AB24*AB87+AC24*AC87+AD24*AD87+AE24*AE87+AF24*AF87+AG24*AG87+AH24*AH87+AI24*AI87+AJ24*AJ87+AK24*AK87+AL24*AL87+AM24*AM87+AN24*AN87+AO24*AO87+AP24*AP87+AQ24*AQ87+AR24*AR87+AS24*AS87+AT24*AT87+AU24*AU87</s:f>
        <s:v>0</s:v>
      </s:c>
    </s:row>
    <s:row r="25" ht="18.75">
      <s:c r="A25" s="31" t="s">
        <s:v>69</s:v>
      </s:c>
      <s:c r="B25" s="49"/>
      <s:c r="C25" s="49"/>
      <s:c r="D25" s="49"/>
      <s:c r="E25" s="49"/>
      <s:c r="F25" s="49"/>
      <s:c r="G25" s="49"/>
      <s:c r="H25" s="49"/>
      <s:c r="I25" s="49"/>
      <s:c r="J25" s="49"/>
      <s:c r="K25" s="49"/>
      <s:c r="L25" s="49"/>
      <s:c r="M25" s="22"/>
      <s:c r="N25" s="22"/>
      <s:c r="O25" s="22"/>
      <s:c r="P25" s="22"/>
      <s:c r="Q25" s="22"/>
      <s:c r="R25" s="22"/>
      <s:c r="S25" s="22"/>
      <s:c r="T25" s="22"/>
      <s:c r="U25" s="22"/>
      <s:c r="V25" s="22"/>
      <s:c r="W25" s="22"/>
      <s:c r="X25" s="22"/>
      <s:c r="Y25" s="22"/>
      <s:c r="Z25" s="22"/>
      <s:c r="AA25" s="22"/>
      <s:c r="AB25" s="22"/>
      <s:c r="AC25" s="22"/>
      <s:c r="AD25" s="22"/>
      <s:c r="AE25" s="22"/>
      <s:c r="AF25" s="22"/>
      <s:c r="AG25" s="23"/>
      <s:c r="AH25" s="24"/>
      <s:c r="AI25" s="24"/>
      <s:c r="AJ25" s="24"/>
      <s:c r="AK25" s="24"/>
      <s:c r="AL25" s="50"/>
      <s:c r="AM25" s="51"/>
      <s:c r="AN25" s="51"/>
      <s:c r="AO25" s="51"/>
      <s:c r="AP25" s="51"/>
      <s:c r="AQ25" s="51"/>
      <s:c r="AR25" s="51"/>
      <s:c r="AS25" s="51"/>
      <s:c r="AT25" s="51"/>
      <s:c r="AU25" s="51"/>
      <s:c r="AV25" s="52">
        <s:f>B25*B88+C25*C88+D25*D88+E25*E88+F25*F88+G25*G88+H25*H88+I25*I88+J25*J88+K25*K88+L25*L88+AT25*AT89+AU89*AU25+M25*M88+N25*N88+O25*O88+P25*P88+Q25*Q88+R25*R88+S25*S88+T25*T88+U25*U88+V25*V88+W25*W88+X25*X88+Y25*Y88+Z25*Z88+AA25*AA88+AB25*AB88+AC25*AC88+AD25*AD88+AE25*AE88+AF25*AF88+AG25*AG88+AH25*AH88+AI25*AI88+AJ25*AJ88+AK25*AK88+AL25*AL88+AM25*AM88+AN25*AN88+AO25*AO88+AP25*AP88+AQ25*AQ88+AR25*AR88+AS25*AS88+AT25*AT88+AU25*AU88</s:f>
        <s:v>0</s:v>
      </s:c>
    </s:row>
    <s:row r="26" ht="18.75">
      <s:c r="A26" s="31" t="s">
        <s:v>77</s:v>
      </s:c>
      <s:c r="B26" s="49"/>
      <s:c r="C26" s="49"/>
      <s:c r="D26" s="49"/>
      <s:c r="E26" s="49"/>
      <s:c r="F26" s="49"/>
      <s:c r="G26" s="49"/>
      <s:c r="H26" s="49"/>
      <s:c r="I26" s="49"/>
      <s:c r="J26" s="49"/>
      <s:c r="K26" s="49"/>
      <s:c r="L26" s="49"/>
      <s:c r="M26" s="22"/>
      <s:c r="N26" s="22"/>
      <s:c r="O26" s="22"/>
      <s:c r="P26" s="22"/>
      <s:c r="Q26" s="22"/>
      <s:c r="R26" s="22"/>
      <s:c r="S26" s="22"/>
      <s:c r="T26" s="22"/>
      <s:c r="U26" s="22"/>
      <s:c r="V26" s="22"/>
      <s:c r="W26" s="22"/>
      <s:c r="X26" s="22"/>
      <s:c r="Y26" s="22"/>
      <s:c r="Z26" s="22"/>
      <s:c r="AA26" s="22"/>
      <s:c r="AB26" s="22"/>
      <s:c r="AC26" s="22"/>
      <s:c r="AD26" s="22"/>
      <s:c r="AE26" s="22"/>
      <s:c r="AF26" s="22"/>
      <s:c r="AG26" s="23"/>
      <s:c r="AH26" s="24"/>
      <s:c r="AI26" s="24"/>
      <s:c r="AJ26" s="24"/>
      <s:c r="AK26" s="24"/>
      <s:c r="AL26" s="50"/>
      <s:c r="AM26" s="51"/>
      <s:c r="AN26" s="51"/>
      <s:c r="AO26" s="51"/>
      <s:c r="AP26" s="51"/>
      <s:c r="AQ26" s="51"/>
      <s:c r="AR26" s="51"/>
      <s:c r="AS26" s="51"/>
      <s:c r="AT26" s="51"/>
      <s:c r="AU26" s="51"/>
      <s:c r="AV26" s="52">
        <s:f>B26*B89+C26*C89+D26*D89+E26*E89+F26*F89+G26*G89+H26*H89+I26*I89+J26*J89+K26*K89+L26*L89+AT26*AT90+AU90*AU26+M26*M89+N26*N89+O26*O89+P26*P89+Q26*Q89+R26*R89+S26*S89+T26*T89+U26*U89+V26*V89+W26*W89+X26*X89+Y26*Y89+Z26*Z89+AA26*AA89+AB26*AB89+AC26*AC89+AD26*AD89+AE26*AE89+AF26*AF89+AG26*AG89+AH26*AH89+AI26*AI89+AJ26*AJ89+AK26*AK89+AL26*AL89+AM26*AM89+AN26*AN89+AO26*AO89+AP26*AP89+AQ26*AQ89+AR26*AR89+AS26*AS89+AT26*AT89+AU26*AU89</s:f>
        <s:v>0</s:v>
      </s:c>
    </s:row>
    <s:row r="27" ht="18.75">
      <s:c r="A27" s="31" t="s">
        <s:v>75</s:v>
      </s:c>
      <s:c r="B27" s="49"/>
      <s:c r="C27" s="49"/>
      <s:c r="D27" s="49"/>
      <s:c r="E27" s="49"/>
      <s:c r="F27" s="49"/>
      <s:c r="G27" s="49"/>
      <s:c r="H27" s="49"/>
      <s:c r="I27" s="49"/>
      <s:c r="J27" s="49"/>
      <s:c r="K27" s="49"/>
      <s:c r="L27" s="49"/>
      <s:c r="M27" s="22"/>
      <s:c r="N27" s="22"/>
      <s:c r="O27" s="22"/>
      <s:c r="P27" s="22"/>
      <s:c r="Q27" s="22"/>
      <s:c r="R27" s="22"/>
      <s:c r="S27" s="22"/>
      <s:c r="T27" s="22"/>
      <s:c r="U27" s="22"/>
      <s:c r="V27" s="22"/>
      <s:c r="W27" s="22"/>
      <s:c r="X27" s="22"/>
      <s:c r="Y27" s="22"/>
      <s:c r="Z27" s="22"/>
      <s:c r="AA27" s="22"/>
      <s:c r="AB27" s="22"/>
      <s:c r="AC27" s="22"/>
      <s:c r="AD27" s="22"/>
      <s:c r="AE27" s="22"/>
      <s:c r="AF27" s="22"/>
      <s:c r="AG27" s="23"/>
      <s:c r="AH27" s="24"/>
      <s:c r="AI27" s="24"/>
      <s:c r="AJ27" s="24"/>
      <s:c r="AK27" s="24"/>
      <s:c r="AL27" s="50"/>
      <s:c r="AM27" s="51"/>
      <s:c r="AN27" s="51"/>
      <s:c r="AO27" s="51"/>
      <s:c r="AP27" s="51"/>
      <s:c r="AQ27" s="51"/>
      <s:c r="AR27" s="51"/>
      <s:c r="AS27" s="51"/>
      <s:c r="AT27" s="51"/>
      <s:c r="AU27" s="51"/>
      <s:c r="AV27" s="52">
        <s:f>B27*B90+C27*C90+D27*D90+E27*E90+F27*F90+G27*G90+H27*H90+I27*I90+J27*J90+K27*K90+L27*L90+AT27*AT91+AU91*AU27+M27*M90+N27*N90+O27*O90+P27*P90+Q27*Q90+R27*R90+S27*S90+T27*T90+U27*U90+V27*V90+W27*W90+X27*X90+Y27*Y90+Z27*Z90+AA27*AA90+AB27*AB90+AC27*AC90+AD27*AD90+AE27*AE90+AF27*AF90+AG27*AG90+AH27*AH90+AI27*AI90+AJ27*AJ90+AK27*AK90+AL27*AL90+AM27*AM90+AN27*AN90+AO27*AO90+AP27*AP90+AQ27*AQ90+AR27*AR90+AS27*AS90+AT27*AT90+AU27*AU90</s:f>
        <s:v>0</s:v>
      </s:c>
    </s:row>
    <s:row r="28" ht="18.75">
      <s:c r="A28" s="31" t="s">
        <s:v>7</s:v>
      </s:c>
      <s:c r="B28" s="27"/>
      <s:c r="C28" s="27"/>
      <s:c r="D28" s="27">
        <s:v>90</s:v>
      </s:c>
      <s:c r="E28" s="27"/>
      <s:c r="F28" s="27"/>
      <s:c r="G28" s="27"/>
      <s:c r="H28" s="27"/>
      <s:c r="I28" s="27"/>
      <s:c r="J28" s="27"/>
      <s:c r="K28" s="27"/>
      <s:c r="L28" s="27"/>
      <s:c r="M28" s="22"/>
      <s:c r="N28" s="22"/>
      <s:c r="O28" s="22"/>
      <s:c r="P28" s="22"/>
      <s:c r="Q28" s="22"/>
      <s:c r="R28" s="22"/>
      <s:c r="S28" s="22"/>
      <s:c r="T28" s="22"/>
      <s:c r="U28" s="22"/>
      <s:c r="V28" s="22"/>
      <s:c r="W28" s="22"/>
      <s:c r="X28" s="22"/>
      <s:c r="Y28" s="22"/>
      <s:c r="Z28" s="22"/>
      <s:c r="AA28" s="22"/>
      <s:c r="AB28" s="22">
        <s:v>10</s:v>
      </s:c>
      <s:c r="AC28" s="22"/>
      <s:c r="AD28" s="22"/>
      <s:c r="AE28" s="22"/>
      <s:c r="AF28" s="22"/>
      <s:c r="AG28" s="23"/>
      <s:c r="AH28" s="24"/>
      <s:c r="AI28" s="24"/>
      <s:c r="AJ28" s="24"/>
      <s:c r="AK28" s="24"/>
      <s:c r="AL28" s="25"/>
      <s:c r="AM28" s="26"/>
      <s:c r="AN28" s="26"/>
      <s:c r="AO28" s="26"/>
      <s:c r="AP28" s="26"/>
      <s:c r="AQ28" s="26"/>
      <s:c r="AR28" s="26"/>
      <s:c r="AS28" s="26"/>
      <s:c r="AT28" s="26"/>
      <s:c r="AU28" s="26"/>
      <s:c r="AV28" s="52">
        <s:f>B28*B91+C28*C91+D28*D91+E28*E91+F28*F91+G28*G91+H28*H91+I28*I91+J28*J91+K28*K91+L28*L91+AT28*AT92+AU92*AU28+M28*M91+N28*N91+O28*O91+P28*P91+Q28*Q91+R28*R91+S28*S91+T28*T91+U28*U91+V28*V91+W28*W91+X28*X91+Y28*Y91+Z28*Z91+AA28*AA91+AB28*AB91+AC28*AC91+AD28*AD91+AE28*AE91+AF28*AF91+AG28*AG91+AH28*AH91+AI28*AI91+AJ28*AJ91+AK28*AK91+AL28*AL91+AM28*AM91+AN28*AN91+AO28*AO91+AP28*AP91+AQ28*AQ91+AR28*AR91+AS28*AS91+AT28*AT91+AU28*AU91</s:f>
        <s:v>6505000</s:v>
      </s:c>
      <s:c r="AW28" t="s">
        <s:v>113</s:v>
      </s:c>
    </s:row>
    <s:row r="29" ht="18.75">
      <s:c r="A29" s="31" t="s">
        <s:v>80</s:v>
      </s:c>
      <s:c r="B29" s="49"/>
      <s:c r="C29" s="49"/>
      <s:c r="D29" s="49"/>
      <s:c r="E29" s="49"/>
      <s:c r="F29" s="49"/>
      <s:c r="G29" s="49"/>
      <s:c r="H29" s="49"/>
      <s:c r="I29" s="49"/>
      <s:c r="J29" s="49"/>
      <s:c r="K29" s="49"/>
      <s:c r="L29" s="49"/>
      <s:c r="M29" s="22"/>
      <s:c r="N29" s="22"/>
      <s:c r="O29" s="22"/>
      <s:c r="P29" s="22"/>
      <s:c r="Q29" s="22"/>
      <s:c r="R29" s="22"/>
      <s:c r="S29" s="22"/>
      <s:c r="T29" s="22"/>
      <s:c r="U29" s="22"/>
      <s:c r="V29" s="22"/>
      <s:c r="W29" s="22"/>
      <s:c r="X29" s="22"/>
      <s:c r="Y29" s="22"/>
      <s:c r="Z29" s="22"/>
      <s:c r="AA29" s="22"/>
      <s:c r="AB29" s="22"/>
      <s:c r="AC29" s="22"/>
      <s:c r="AD29" s="22"/>
      <s:c r="AE29" s="22"/>
      <s:c r="AF29" s="22"/>
      <s:c r="AG29" s="23"/>
      <s:c r="AH29" s="24"/>
      <s:c r="AI29" s="24"/>
      <s:c r="AJ29" s="24"/>
      <s:c r="AK29" s="24"/>
      <s:c r="AL29" s="50"/>
      <s:c r="AM29" s="51"/>
      <s:c r="AN29" s="51"/>
      <s:c r="AO29" s="51"/>
      <s:c r="AP29" s="51"/>
      <s:c r="AQ29" s="51"/>
      <s:c r="AR29" s="51"/>
      <s:c r="AS29" s="51"/>
      <s:c r="AT29" s="51"/>
      <s:c r="AU29" s="51"/>
      <s:c r="AV29" s="52">
        <s:f>B29*B92+C29*C92+D29*D92+E29*E92+F29*F92+G29*G92+H29*H92+I29*I92+J29*J92+K29*K92+L29*L92+AT29*AT93+AU93*AU29+M29*M92+N29*N92+O29*O92+P29*P92+Q29*Q92+R29*R92+S29*S92+T29*T92+U29*U92+V29*V92+W29*W92+X29*X92+Y29*Y92+Z29*Z92+AA29*AA92+AB29*AB92+AC29*AC92+AD29*AD92+AE29*AE92+AF29*AF92+AG29*AG92+AH29*AH92+AI29*AI92+AJ29*AJ92+AK29*AK92+AL29*AL92+AM29*AM92+AN29*AN92+AO29*AO92+AP29*AP92+AQ29*AQ92+AR29*AR92+AS29*AS92+AT29*AT92+AU29*AU92</s:f>
        <s:v>0</s:v>
      </s:c>
    </s:row>
    <s:row r="30" ht="18.75">
      <s:c r="A30" s="31" t="s">
        <s:v>111</s:v>
      </s:c>
      <s:c r="B30" s="49"/>
      <s:c r="C30" s="49"/>
      <s:c r="D30" s="49"/>
      <s:c r="E30" s="49"/>
      <s:c r="F30" s="49"/>
      <s:c r="G30" s="49"/>
      <s:c r="H30" s="49"/>
      <s:c r="I30" s="49"/>
      <s:c r="J30" s="49"/>
      <s:c r="K30" s="49"/>
      <s:c r="L30" s="49"/>
      <s:c r="M30" s="22"/>
      <s:c r="N30" s="22"/>
      <s:c r="O30" s="22"/>
      <s:c r="P30" s="22"/>
      <s:c r="Q30" s="22"/>
      <s:c r="R30" s="22"/>
      <s:c r="S30" s="22"/>
      <s:c r="T30" s="22"/>
      <s:c r="U30" s="22"/>
      <s:c r="V30" s="22"/>
      <s:c r="W30" s="22"/>
      <s:c r="X30" s="22"/>
      <s:c r="Y30" s="22"/>
      <s:c r="Z30" s="22"/>
      <s:c r="AA30" s="22"/>
      <s:c r="AB30" s="22"/>
      <s:c r="AC30" s="22"/>
      <s:c r="AD30" s="22"/>
      <s:c r="AE30" s="22"/>
      <s:c r="AF30" s="22"/>
      <s:c r="AG30" s="23"/>
      <s:c r="AH30" s="24"/>
      <s:c r="AI30" s="24"/>
      <s:c r="AJ30" s="24"/>
      <s:c r="AK30" s="24"/>
      <s:c r="AL30" s="50"/>
      <s:c r="AM30" s="51"/>
      <s:c r="AN30" s="51"/>
      <s:c r="AO30" s="51"/>
      <s:c r="AP30" s="51"/>
      <s:c r="AQ30" s="51"/>
      <s:c r="AR30" s="51"/>
      <s:c r="AS30" s="51"/>
      <s:c r="AT30" s="51"/>
      <s:c r="AU30" s="51"/>
      <s:c r="AV30" s="52">
        <s:f>B30*B93+C30*C93+D30*D93+E30*E93+F30*F93+G30*G93+H30*H93+I30*I93+J30*J93+K30*K93+L30*L93+AT30*AT94+AU94*AU30+M30*M93+N30*N93+O30*O93+P30*P93+Q30*Q93+R30*R93+S30*S93+T30*T93+U30*U93+V30*V93+W30*W93+X30*X93+Y30*Y93+Z30*Z93+AA30*AA93+AB30*AB93+AC30*AC93+AD30*AD93+AE30*AE93+AF30*AF93+AG30*AG93+AH30*AH93+AI30*AI93+AJ30*AJ93+AK30*AK93+AL30*AL93+AM30*AM93+AN30*AN93+AO30*AO93+AP30*AP93+AQ30*AQ93+AR30*AR93+AS30*AS93+AT30*AT93+AU30*AU93</s:f>
        <s:v>0</s:v>
      </s:c>
      <s:c r="AW30" t="s">
        <s:v>113</s:v>
      </s:c>
    </s:row>
    <s:row r="31" ht="18.75">
      <s:c r="A31" s="31" t="s">
        <s:v>54</s:v>
      </s:c>
      <s:c r="B31" s="49"/>
      <s:c r="C31" s="49"/>
      <s:c r="D31" s="49"/>
      <s:c r="E31" s="49"/>
      <s:c r="F31" s="49"/>
      <s:c r="G31" s="49"/>
      <s:c r="H31" s="49"/>
      <s:c r="I31" s="49"/>
      <s:c r="J31" s="49"/>
      <s:c r="K31" s="49"/>
      <s:c r="L31" s="49"/>
      <s:c r="M31" s="22"/>
      <s:c r="N31" s="22"/>
      <s:c r="O31" s="22"/>
      <s:c r="P31" s="22"/>
      <s:c r="Q31" s="22"/>
      <s:c r="R31" s="22"/>
      <s:c r="S31" s="22"/>
      <s:c r="T31" s="22"/>
      <s:c r="U31" s="22"/>
      <s:c r="V31" s="22"/>
      <s:c r="W31" s="22"/>
      <s:c r="X31" s="22"/>
      <s:c r="Y31" s="22"/>
      <s:c r="Z31" s="22"/>
      <s:c r="AA31" s="22"/>
      <s:c r="AB31" s="22"/>
      <s:c r="AC31" s="22"/>
      <s:c r="AD31" s="22"/>
      <s:c r="AE31" s="22"/>
      <s:c r="AF31" s="22"/>
      <s:c r="AG31" s="23"/>
      <s:c r="AH31" s="24"/>
      <s:c r="AI31" s="24"/>
      <s:c r="AJ31" s="24"/>
      <s:c r="AK31" s="24"/>
      <s:c r="AL31" s="81"/>
      <s:c r="AM31" s="51"/>
      <s:c r="AN31" s="51"/>
      <s:c r="AO31" s="51"/>
      <s:c r="AP31" s="51"/>
      <s:c r="AQ31" s="26"/>
      <s:c r="AR31" s="26"/>
      <s:c r="AS31" s="26"/>
      <s:c r="AT31" s="26"/>
      <s:c r="AU31" s="51"/>
      <s:c r="AV31" s="52">
        <s:f>B31*B94+C31*C94+D31*D94+E31*E94+F31*F94+G31*G94+H31*H94+I31*I94+J31*J94+K31*K94+L31*L94+AT31*AT95+AU95*AU31+M31*M94+N31*N94+O31*O94+P31*P94+Q31*Q94+R31*R94+S31*S94+T31*T94+U31*U94+V31*V94+W31*W94+X31*X94+Y31*Y94+Z31*Z94+AA31*AA94+AB31*AB94+AC31*AC94+AD31*AD94+AE31*AE94+AF31*AF94+AG31*AG94+AH31*AH94+AI31*AI94+AJ31*AJ94+AK31*AK94+AL31*AL94+AM31*AM94+AN31*AN94+AO31*AO94+AP31*AP94+AQ31*AQ94+AR31*AR94+AS31*AS94+AT31*AT94+AU31*AU94</s:f>
        <s:v>0</s:v>
      </s:c>
    </s:row>
    <s:row r="32" ht="18.75">
      <s:c r="A32" s="31" t="s">
        <s:v>68</s:v>
      </s:c>
      <s:c r="B32" s="49"/>
      <s:c r="C32" s="49"/>
      <s:c r="D32" s="49"/>
      <s:c r="E32" s="49"/>
      <s:c r="F32" s="49"/>
      <s:c r="G32" s="49"/>
      <s:c r="H32" s="49"/>
      <s:c r="I32" s="49"/>
      <s:c r="J32" s="49"/>
      <s:c r="K32" s="49"/>
      <s:c r="L32" s="49"/>
      <s:c r="M32" s="22"/>
      <s:c r="N32" s="22"/>
      <s:c r="O32" s="22"/>
      <s:c r="P32" s="22"/>
      <s:c r="Q32" s="22"/>
      <s:c r="R32" s="22"/>
      <s:c r="S32" s="22"/>
      <s:c r="T32" s="22"/>
      <s:c r="U32" s="22"/>
      <s:c r="V32" s="22"/>
      <s:c r="W32" s="22"/>
      <s:c r="X32" s="22"/>
      <s:c r="Y32" s="22"/>
      <s:c r="Z32" s="22"/>
      <s:c r="AA32" s="22"/>
      <s:c r="AB32" s="22"/>
      <s:c r="AC32" s="22"/>
      <s:c r="AD32" s="22"/>
      <s:c r="AE32" s="22"/>
      <s:c r="AF32" s="22"/>
      <s:c r="AG32" s="23"/>
      <s:c r="AH32" s="24"/>
      <s:c r="AI32" s="24"/>
      <s:c r="AJ32" s="24"/>
      <s:c r="AK32" s="24"/>
      <s:c r="AL32" s="50"/>
      <s:c r="AM32" s="51"/>
      <s:c r="AN32" s="51"/>
      <s:c r="AO32" s="51"/>
      <s:c r="AP32" s="51"/>
      <s:c r="AQ32" s="51"/>
      <s:c r="AR32" s="51"/>
      <s:c r="AS32" s="51"/>
      <s:c r="AT32" s="51"/>
      <s:c r="AU32" s="51"/>
      <s:c r="AV32" s="52">
        <s:f>B32*B95+C32*C95+D32*D95+E32*E95+F32*F95+G32*G95+H32*H95+I32*I95+J32*J95+K32*K95+L32*L95+AT32*AT96+AU96*AU32+M32*M95+N32*N95+O32*O95+P32*P95+Q32*Q95+R32*R95+S32*S95+T32*T95+U32*U95+V32*V95+W32*W95+X32*X95+Y32*Y95+Z32*Z95+AA32*AA95+AB32*AB95+AC32*AC95+AD32*AD95+AE32*AE95+AF32*AF95+AG32*AG95+AH32*AH95+AI32*AI95+AJ32*AJ95+AK32*AK95+AL32*AL95+AM32*AM95+AN32*AN95+AO32*AO95+AP32*AP95+AQ32*AQ95+AR32*AR95+AS32*AS95+AT32*AT95+AU32*AU95</s:f>
        <s:v>0</s:v>
      </s:c>
    </s:row>
    <s:row r="33" ht="18.75">
      <s:c r="A33" s="31" t="s">
        <s:v>2</s:v>
      </s:c>
      <s:c r="B33" s="27"/>
      <s:c r="C33" s="27"/>
      <s:c r="D33" s="27"/>
      <s:c r="E33" s="27"/>
      <s:c r="F33" s="27"/>
      <s:c r="G33" s="27"/>
      <s:c r="H33" s="27"/>
      <s:c r="I33" s="27"/>
      <s:c r="J33" s="27"/>
      <s:c r="K33" s="27"/>
      <s:c r="L33" s="27"/>
      <s:c r="M33" s="22"/>
      <s:c r="N33" s="22"/>
      <s:c r="O33" s="22"/>
      <s:c r="P33" s="22"/>
      <s:c r="Q33" s="22"/>
      <s:c r="R33" s="22"/>
      <s:c r="S33" s="22"/>
      <s:c r="T33" s="22"/>
      <s:c r="U33" s="22"/>
      <s:c r="V33" s="22"/>
      <s:c r="W33" s="22"/>
      <s:c r="X33" s="22"/>
      <s:c r="Y33" s="22"/>
      <s:c r="Z33" s="22"/>
      <s:c r="AA33" s="22"/>
      <s:c r="AB33" s="22"/>
      <s:c r="AC33" s="22"/>
      <s:c r="AD33" s="22"/>
      <s:c r="AE33" s="22"/>
      <s:c r="AF33" s="22"/>
      <s:c r="AG33" s="23"/>
      <s:c r="AH33" s="24"/>
      <s:c r="AI33" s="24"/>
      <s:c r="AJ33" s="24"/>
      <s:c r="AK33" s="24"/>
      <s:c r="AL33" s="25"/>
      <s:c r="AM33" s="26"/>
      <s:c r="AN33" s="26"/>
      <s:c r="AO33" s="26"/>
      <s:c r="AP33" s="26"/>
      <s:c r="AQ33" s="26"/>
      <s:c r="AR33" s="26"/>
      <s:c r="AS33" s="26"/>
      <s:c r="AT33" s="26"/>
      <s:c r="AU33" s="26"/>
      <s:c r="AV33" s="52">
        <s:f>B33*B96+C33*C96+D33*D96+E33*E96+F33*F96+G33*G96+H33*H96+I33*I96+J33*J96+K33*K96+L33*L96+AT33*AT97+AU97*AU33+M33*M96+N33*N96+O33*O96+P33*P96+Q33*Q96+R33*R96+S33*S96+T33*T96+U33*U96+V33*V96+W33*W96+X33*X96+Y33*Y96+Z33*Z96+AA33*AA96+AB33*AB96+AC33*AC96+AD33*AD96+AE33*AE96+AF33*AF96+AG33*AG96+AH33*AH96+AI33*AI96+AJ33*AJ96+AK33*AK96+AL33*AL96+AM33*AM96+AN33*AN96+AO33*AO96+AP33*AP96+AQ33*AQ96+AR33*AR96+AS33*AS96+AT33*AT96+AU33*AU96</s:f>
        <s:v>0</s:v>
      </s:c>
    </s:row>
    <s:row r="34" ht="18.75">
      <s:c r="A34" s="31" t="s">
        <s:v>71</s:v>
      </s:c>
      <s:c r="B34" s="49"/>
      <s:c r="C34" s="49"/>
      <s:c r="D34" s="49"/>
      <s:c r="E34" s="49"/>
      <s:c r="F34" s="49"/>
      <s:c r="G34" s="49"/>
      <s:c r="H34" s="49"/>
      <s:c r="I34" s="49"/>
      <s:c r="J34" s="49"/>
      <s:c r="K34" s="49"/>
      <s:c r="L34" s="49"/>
      <s:c r="M34" s="22"/>
      <s:c r="N34" s="22"/>
      <s:c r="O34" s="22"/>
      <s:c r="P34" s="22"/>
      <s:c r="Q34" s="22"/>
      <s:c r="R34" s="22"/>
      <s:c r="S34" s="22"/>
      <s:c r="T34" s="22"/>
      <s:c r="U34" s="22"/>
      <s:c r="V34" s="22"/>
      <s:c r="W34" s="22"/>
      <s:c r="X34" s="22"/>
      <s:c r="Y34" s="22"/>
      <s:c r="Z34" s="22"/>
      <s:c r="AA34" s="22"/>
      <s:c r="AB34" s="22"/>
      <s:c r="AC34" s="22"/>
      <s:c r="AD34" s="22"/>
      <s:c r="AE34" s="22"/>
      <s:c r="AF34" s="22"/>
      <s:c r="AG34" s="23"/>
      <s:c r="AH34" s="24"/>
      <s:c r="AI34" s="24"/>
      <s:c r="AJ34" s="24"/>
      <s:c r="AK34" s="24"/>
      <s:c r="AL34" s="50"/>
      <s:c r="AM34" s="51"/>
      <s:c r="AN34" s="51"/>
      <s:c r="AO34" s="51"/>
      <s:c r="AP34" s="51"/>
      <s:c r="AQ34" s="51"/>
      <s:c r="AR34" s="51"/>
      <s:c r="AS34" s="51"/>
      <s:c r="AT34" s="51"/>
      <s:c r="AU34" s="51"/>
      <s:c r="AV34" s="52">
        <s:f>B34*B97+C34*C97+D34*D97+E34*E97+F34*F97+G34*G97+H34*H97+I34*I97+J34*J97+K34*K97+L34*L97+AT34*AT98+AU98*AU34+M34*M97+N34*N97+O34*O97+P34*P97+Q34*Q97+R34*R97+S34*S97+T34*T97+U34*U97+V34*V97+W34*W97+X34*X97+Y34*Y97+Z34*Z97+AA34*AA97+AB34*AB97+AC34*AC97+AD34*AD97+AE34*AE97+AF34*AF97+AG34*AG97+AH34*AH97+AI34*AI97+AJ34*AJ97+AK34*AK97+AL34*AL97+AM34*AM97+AN34*AN97+AO34*AO97+AP34*AP97+AQ34*AQ97+AR34*AR97+AS34*AS97+AT34*AT97+AU34*AU97</s:f>
        <s:v>0</s:v>
      </s:c>
    </s:row>
    <s:row r="35" ht="18.75">
      <s:c r="A35" s="31" t="s">
        <s:v>64</s:v>
      </s:c>
      <s:c r="B35" s="27"/>
      <s:c r="C35" s="27"/>
      <s:c r="D35" s="27"/>
      <s:c r="E35" s="27"/>
      <s:c r="F35" s="27"/>
      <s:c r="G35" s="27"/>
      <s:c r="H35" s="27"/>
      <s:c r="I35" s="27"/>
      <s:c r="J35" s="27"/>
      <s:c r="K35" s="27"/>
      <s:c r="L35" s="27"/>
      <s:c r="M35" s="22"/>
      <s:c r="N35" s="22"/>
      <s:c r="O35" s="22"/>
      <s:c r="P35" s="22"/>
      <s:c r="Q35" s="22"/>
      <s:c r="R35" s="22"/>
      <s:c r="S35" s="22"/>
      <s:c r="T35" s="22"/>
      <s:c r="U35" s="22"/>
      <s:c r="V35" s="22"/>
      <s:c r="W35" s="22"/>
      <s:c r="X35" s="22"/>
      <s:c r="Y35" s="22"/>
      <s:c r="Z35" s="22"/>
      <s:c r="AA35" s="22"/>
      <s:c r="AB35" s="22"/>
      <s:c r="AC35" s="22"/>
      <s:c r="AD35" s="22"/>
      <s:c r="AE35" s="22"/>
      <s:c r="AF35" s="22"/>
      <s:c r="AG35" s="23"/>
      <s:c r="AH35" s="24"/>
      <s:c r="AI35" s="24"/>
      <s:c r="AJ35" s="24"/>
      <s:c r="AK35" s="24"/>
      <s:c r="AL35" s="25"/>
      <s:c r="AM35" s="26"/>
      <s:c r="AN35" s="26"/>
      <s:c r="AO35" s="26"/>
      <s:c r="AP35" s="26"/>
      <s:c r="AQ35" s="26"/>
      <s:c r="AR35" s="26"/>
      <s:c r="AS35" s="26"/>
      <s:c r="AT35" s="26"/>
      <s:c r="AU35" s="26"/>
      <s:c r="AV35" s="52">
        <s:f>B35*B98+C35*C98+D35*D98+E35*E98+F35*F98+G35*G98+H35*H98+I35*I98+J35*J98+K35*K98+L35*L98+AT35*AT99+AU99*AU35+M35*M98+N35*N98+O35*O98+P35*P98+Q35*Q98+R35*R98+S35*S98+T35*T98+U35*U98+V35*V98+W35*W98+X35*X98+Y35*Y98+Z35*Z98+AA35*AA98+AB35*AB98+AC35*AC98+AD35*AD98+AE35*AE98+AF35*AF98+AG35*AG98+AH35*AH98+AI35*AI98+AJ35*AJ98+AK35*AK98+AL35*AL98+AM35*AM98+AN35*AN98+AO35*AO98+AP35*AP98+AQ35*AQ98+AR35*AR98+AS35*AS98+AT35*AT98+AU35*AU98</s:f>
        <s:v>0</s:v>
      </s:c>
    </s:row>
    <s:row r="36" ht="18.75">
      <s:c r="A36" s="31" t="s">
        <s:v>42</s:v>
      </s:c>
      <s:c r="B36" s="27"/>
      <s:c r="C36" s="27"/>
      <s:c r="D36" s="27"/>
      <s:c r="E36" s="27"/>
      <s:c r="F36" s="27"/>
      <s:c r="G36" s="27"/>
      <s:c r="H36" s="27"/>
      <s:c r="I36" s="27"/>
      <s:c r="J36" s="27"/>
      <s:c r="K36" s="27"/>
      <s:c r="L36" s="27"/>
      <s:c r="M36" s="22"/>
      <s:c r="N36" s="22"/>
      <s:c r="O36" s="22"/>
      <s:c r="P36" s="22"/>
      <s:c r="Q36" s="22"/>
      <s:c r="R36" s="22"/>
      <s:c r="S36" s="22"/>
      <s:c r="T36" s="22"/>
      <s:c r="U36" s="22"/>
      <s:c r="V36" s="22"/>
      <s:c r="W36" s="22"/>
      <s:c r="X36" s="22"/>
      <s:c r="Y36" s="22"/>
      <s:c r="Z36" s="22"/>
      <s:c r="AA36" s="22"/>
      <s:c r="AB36" s="22"/>
      <s:c r="AC36" s="22"/>
      <s:c r="AD36" s="22"/>
      <s:c r="AE36" s="22"/>
      <s:c r="AF36" s="22"/>
      <s:c r="AG36" s="23"/>
      <s:c r="AH36" s="24"/>
      <s:c r="AI36" s="24"/>
      <s:c r="AJ36" s="24"/>
      <s:c r="AK36" s="24"/>
      <s:c r="AL36" s="25"/>
      <s:c r="AM36" s="26"/>
      <s:c r="AN36" s="26"/>
      <s:c r="AO36" s="26"/>
      <s:c r="AP36" s="26"/>
      <s:c r="AQ36" s="26"/>
      <s:c r="AR36" s="26"/>
      <s:c r="AS36" s="26"/>
      <s:c r="AT36" s="26"/>
      <s:c r="AU36" s="26"/>
      <s:c r="AV36" s="52">
        <s:f>B36*B99+C36*C99+D36*D99+E36*E99+F36*F99+G36*G99+H36*H99+I36*I99+J36*J99+K36*K99+L36*L99+AT36*AT100+AU100*AU36+M36*M99+N36*N99+O36*O99+P36*P99+Q36*Q99+R36*R99+S36*S99+T36*T99+U36*U99+V36*V99+W36*W99+X36*X99+Y36*Y99+Z36*Z99+AA36*AA99+AB36*AB99+AC36*AC99+AD36*AD99+AE36*AE99+AF36*AF99+AG36*AG99+AH36*AH99+AI36*AI99+AJ36*AJ99+AK36*AK99+AL36*AL99+AM36*AM99+AN36*AN99+AO36*AO99+AP36*AP99+AQ36*AQ99+AR36*AR99+AS36*AS99+AT36*AT99+AU36*AU99</s:f>
        <s:v>0</s:v>
      </s:c>
    </s:row>
    <s:row r="37" ht="18.75">
      <s:c r="A37" s="31" t="s">
        <s:v>45</s:v>
      </s:c>
      <s:c r="B37" s="27"/>
      <s:c r="C37" s="27"/>
      <s:c r="D37" s="27"/>
      <s:c r="E37" s="27"/>
      <s:c r="F37" s="27"/>
      <s:c r="G37" s="27"/>
      <s:c r="H37" s="27"/>
      <s:c r="I37" s="27"/>
      <s:c r="J37" s="27"/>
      <s:c r="K37" s="27"/>
      <s:c r="L37" s="27"/>
      <s:c r="M37" s="22"/>
      <s:c r="N37" s="22"/>
      <s:c r="O37" s="22"/>
      <s:c r="P37" s="22"/>
      <s:c r="Q37" s="22"/>
      <s:c r="R37" s="22"/>
      <s:c r="S37" s="22"/>
      <s:c r="T37" s="22"/>
      <s:c r="U37" s="22"/>
      <s:c r="V37" s="22"/>
      <s:c r="W37" s="22"/>
      <s:c r="X37" s="22"/>
      <s:c r="Y37" s="22"/>
      <s:c r="Z37" s="22"/>
      <s:c r="AA37" s="22"/>
      <s:c r="AB37" s="22"/>
      <s:c r="AC37" s="22"/>
      <s:c r="AD37" s="22"/>
      <s:c r="AE37" s="22"/>
      <s:c r="AF37" s="22"/>
      <s:c r="AG37" s="23"/>
      <s:c r="AH37" s="24"/>
      <s:c r="AI37" s="24"/>
      <s:c r="AJ37" s="24"/>
      <s:c r="AK37" s="24"/>
      <s:c r="AL37" s="25"/>
      <s:c r="AM37" s="26"/>
      <s:c r="AN37" s="26"/>
      <s:c r="AO37" s="26"/>
      <s:c r="AP37" s="26"/>
      <s:c r="AQ37" s="26"/>
      <s:c r="AR37" s="26"/>
      <s:c r="AS37" s="26"/>
      <s:c r="AT37" s="26"/>
      <s:c r="AU37" s="26"/>
      <s:c r="AV37" s="52">
        <s:f>B37*B100+C37*C100+D37*D100+E37*E100+F37*F100+G37*G100+H37*H100+I37*I100+J37*J100+K37*K100+L37*L100+AT37*AT101+AU101*AU37+M37*M100+N37*N100+O37*O100+P37*P100+Q37*Q100+R37*R100+S37*S100+T37*T100+U37*U100+V37*V100+W37*W100+X37*X100+Y37*Y100+Z37*Z100+AA37*AA100+AB37*AB100+AC37*AC100+AD37*AD100+AE37*AE100+AF37*AF100+AG37*AG100+AH37*AH100+AI37*AI100+AJ37*AJ100+AK37*AK100+AL37*AL100+AM37*AM100+AN37*AN100+AO37*AO100+AP37*AP100+AQ37*AQ100+AR37*AR100+AS37*AS100+AT37*AT100+AU37*AU100</s:f>
        <s:v>0</s:v>
      </s:c>
    </s:row>
    <s:row r="38" ht="18.75">
      <s:c r="A38" s="31" t="s">
        <s:v>99</s:v>
      </s:c>
      <s:c r="B38" s="27"/>
      <s:c r="C38" s="27"/>
      <s:c r="D38" s="27"/>
      <s:c r="E38" s="27"/>
      <s:c r="F38" s="27"/>
      <s:c r="G38" s="27"/>
      <s:c r="H38" s="27"/>
      <s:c r="I38" s="27"/>
      <s:c r="J38" s="27"/>
      <s:c r="K38" s="27"/>
      <s:c r="L38" s="27"/>
      <s:c r="M38" s="22"/>
      <s:c r="N38" s="22"/>
      <s:c r="O38" s="22">
        <s:v>52.8</s:v>
      </s:c>
      <s:c r="P38" s="22"/>
      <s:c r="Q38" s="22"/>
      <s:c r="R38" s="22">
        <s:v>35.200000000000003</s:v>
      </s:c>
      <s:c r="S38" s="22"/>
      <s:c r="T38" s="22"/>
      <s:c r="U38" s="22"/>
      <s:c r="V38" s="22"/>
      <s:c r="W38" s="22"/>
      <s:c r="X38" s="22"/>
      <s:c r="Y38" s="22"/>
      <s:c r="Z38" s="22"/>
      <s:c r="AA38" s="22"/>
      <s:c r="AB38" s="22"/>
      <s:c r="AC38" s="22"/>
      <s:c r="AD38" s="22"/>
      <s:c r="AE38" s="22"/>
      <s:c r="AF38" s="22"/>
      <s:c r="AG38" s="23"/>
      <s:c r="AH38" s="24"/>
      <s:c r="AI38" s="24"/>
      <s:c r="AJ38" s="24"/>
      <s:c r="AK38" s="24"/>
      <s:c r="AL38" s="25"/>
      <s:c r="AM38" s="26"/>
      <s:c r="AN38" s="26"/>
      <s:c r="AO38" s="26"/>
      <s:c r="AP38" s="26"/>
      <s:c r="AQ38" s="26"/>
      <s:c r="AR38" s="26"/>
      <s:c r="AS38" s="26"/>
      <s:c r="AT38" s="26"/>
      <s:c r="AU38" s="26"/>
      <s:c r="AV38" s="52">
        <s:f>B38*B101+C38*C101+D38*D101+E38*E101+F38*F101+G38*G101+H38*H101+I38*I101+J38*J101+K38*K101+L38*L101+AT38*AT102+AU102*AU38+M38*M101+N38*N101+O38*O101+P38*P101+Q38*Q101+R38*R101+S38*S101+T38*T101+U38*U101+V38*V101+W38*W101+X38*X101+Y38*Y101+Z38*Z101+AA38*AA101+AB38*AB101+AC38*AC101+AD38*AD101+AE38*AE101+AF38*AF101+AG38*AG101+AH38*AH101+AI38*AI101+AJ38*AJ101+AK38*AK101+AL38*AL101+AM38*AM101+AN38*AN101+AO38*AO101+AP38*AP101+AQ38*AQ101+AR38*AR101+AS38*AS101+AT38*AT101+AU38*AU101</s:f>
        <s:v>0</s:v>
      </s:c>
    </s:row>
    <s:row r="39" ht="18.75">
      <s:c r="A39" s="31" t="s">
        <s:v>67</s:v>
      </s:c>
      <s:c r="B39" s="49"/>
      <s:c r="C39" s="49"/>
      <s:c r="D39" s="49"/>
      <s:c r="E39" s="49"/>
      <s:c r="F39" s="49"/>
      <s:c r="G39" s="49"/>
      <s:c r="H39" s="49"/>
      <s:c r="I39" s="49"/>
      <s:c r="J39" s="49"/>
      <s:c r="K39" s="49"/>
      <s:c r="L39" s="49"/>
      <s:c r="M39" s="22"/>
      <s:c r="N39" s="22"/>
      <s:c r="O39" s="22"/>
      <s:c r="P39" s="22"/>
      <s:c r="Q39" s="22"/>
      <s:c r="R39" s="22"/>
      <s:c r="S39" s="22"/>
      <s:c r="T39" s="22"/>
      <s:c r="U39" s="22"/>
      <s:c r="V39" s="22"/>
      <s:c r="W39" s="22"/>
      <s:c r="X39" s="22"/>
      <s:c r="Y39" s="22"/>
      <s:c r="Z39" s="22"/>
      <s:c r="AA39" s="22"/>
      <s:c r="AB39" s="22"/>
      <s:c r="AC39" s="22"/>
      <s:c r="AD39" s="22"/>
      <s:c r="AE39" s="22"/>
      <s:c r="AF39" s="22"/>
      <s:c r="AG39" s="23"/>
      <s:c r="AH39" s="24"/>
      <s:c r="AI39" s="24"/>
      <s:c r="AJ39" s="24"/>
      <s:c r="AK39" s="24"/>
      <s:c r="AL39" s="50"/>
      <s:c r="AM39" s="51"/>
      <s:c r="AN39" s="51"/>
      <s:c r="AO39" s="51"/>
      <s:c r="AP39" s="51"/>
      <s:c r="AQ39" s="51"/>
      <s:c r="AR39" s="51"/>
      <s:c r="AS39" s="51"/>
      <s:c r="AT39" s="51"/>
      <s:c r="AU39" s="51"/>
      <s:c r="AV39" s="52">
        <s:f>B39*B102+C39*C102+D39*D102+E39*E102+F39*F102+G39*G102+H39*H102+I39*I102+J39*J102+K39*K102+L39*L102+AT39*AT103+AU103*AU39+M39*M102+N39*N102+O39*O102+P39*P102+Q39*Q102+R39*R102+S39*S102+T39*T102+U39*U102+V39*V102+W39*W102+X39*X102+Y39*Y102+Z39*Z102+AA39*AA102+AB39*AB102+AC39*AC102+AD39*AD102+AE39*AE102+AF39*AF102+AG39*AG102+AH39*AH102+AI39*AI102+AJ39*AJ102+AK39*AK102+AL39*AL102+AM39*AM102+AN39*AN102+AO39*AO102+AP39*AP102+AQ39*AQ102+AR39*AR102+AS39*AS102+AT39*AT102+AU39*AU102</s:f>
        <s:v>0</s:v>
      </s:c>
    </s:row>
    <s:row r="40" ht="18.75">
      <s:c r="A40" s="31" t="s">
        <s:v>104</s:v>
      </s:c>
      <s:c r="B40" s="27"/>
      <s:c r="C40" s="27"/>
      <s:c r="D40" s="27"/>
      <s:c r="E40" s="27"/>
      <s:c r="F40" s="27"/>
      <s:c r="G40" s="27"/>
      <s:c r="H40" s="27"/>
      <s:c r="I40" s="27"/>
      <s:c r="J40" s="27"/>
      <s:c r="K40" s="27"/>
      <s:c r="L40" s="27"/>
      <s:c r="M40" s="22"/>
      <s:c r="N40" s="22"/>
      <s:c r="O40" s="22"/>
      <s:c r="P40" s="22"/>
      <s:c r="Q40" s="22"/>
      <s:c r="R40" s="22"/>
      <s:c r="S40" s="22"/>
      <s:c r="T40" s="22"/>
      <s:c r="U40" s="22"/>
      <s:c r="V40" s="22"/>
      <s:c r="W40" s="22"/>
      <s:c r="X40" s="22"/>
      <s:c r="Y40" s="22"/>
      <s:c r="Z40" s="22"/>
      <s:c r="AA40" s="22"/>
      <s:c r="AB40" s="22"/>
      <s:c r="AC40" s="22"/>
      <s:c r="AD40" s="22"/>
      <s:c r="AE40" s="22"/>
      <s:c r="AF40" s="22"/>
      <s:c r="AG40" s="23"/>
      <s:c r="AH40" s="24"/>
      <s:c r="AI40" s="24"/>
      <s:c r="AJ40" s="24"/>
      <s:c r="AK40" s="24"/>
      <s:c r="AL40" s="25"/>
      <s:c r="AM40" s="26"/>
      <s:c r="AN40" s="26"/>
      <s:c r="AO40" s="26"/>
      <s:c r="AP40" s="26"/>
      <s:c r="AQ40" s="26"/>
      <s:c r="AR40" s="26"/>
      <s:c r="AS40" s="26"/>
      <s:c r="AT40" s="26"/>
      <s:c r="AU40" s="26"/>
      <s:c r="AV40" s="52">
        <s:f>B40*B103+C40*C103+D40*D103+E40*E103+F40*F103+G40*G103+H40*H103+I40*I103+J40*J103+K40*K103+L40*L103+AT40*AT104+AU104*AU40+M40*M103+N40*N103+O40*O103+P40*P103+Q40*Q103+R40*R103+S40*S103+T40*T103+U40*U103+V40*V103+W40*W103+X40*X103+Y40*Y103+Z40*Z103+AA40*AA103+AB40*AB103+AC40*AC103+AD40*AD103+AE40*AE103+AF40*AF103+AG40*AG103+AH40*AH103+AI40*AI103+AJ40*AJ103+AK40*AK103+AL40*AL103+AM40*AM103+AN40*AN103+AO40*AO103+AP40*AP103+AQ40*AQ103+AR40*AR103+AS40*AS103+AT40*AT103+AU40*AU103</s:f>
        <s:v>0</s:v>
      </s:c>
    </s:row>
    <s:row r="41" ht="18.75">
      <s:c r="A41" s="31" t="s">
        <s:v>43</s:v>
      </s:c>
      <s:c r="B41" s="27"/>
      <s:c r="C41" s="27"/>
      <s:c r="D41" s="27"/>
      <s:c r="E41" s="27"/>
      <s:c r="F41" s="27"/>
      <s:c r="G41" s="27"/>
      <s:c r="H41" s="27"/>
      <s:c r="I41" s="27"/>
      <s:c r="J41" s="27"/>
      <s:c r="K41" s="27"/>
      <s:c r="L41" s="27"/>
      <s:c r="M41" s="22"/>
      <s:c r="N41" s="22"/>
      <s:c r="O41" s="22"/>
      <s:c r="P41" s="22"/>
      <s:c r="Q41" s="22"/>
      <s:c r="R41" s="22"/>
      <s:c r="S41" s="22"/>
      <s:c r="T41" s="22"/>
      <s:c r="U41" s="22"/>
      <s:c r="V41" s="22"/>
      <s:c r="W41" s="22"/>
      <s:c r="X41" s="22"/>
      <s:c r="Y41" s="22"/>
      <s:c r="Z41" s="22"/>
      <s:c r="AA41" s="22"/>
      <s:c r="AB41" s="22"/>
      <s:c r="AC41" s="22"/>
      <s:c r="AD41" s="22"/>
      <s:c r="AE41" s="22"/>
      <s:c r="AF41" s="22"/>
      <s:c r="AG41" s="23"/>
      <s:c r="AH41" s="24"/>
      <s:c r="AI41" s="24"/>
      <s:c r="AJ41" s="24"/>
      <s:c r="AK41" s="24"/>
      <s:c r="AL41" s="25"/>
      <s:c r="AM41" s="26"/>
      <s:c r="AN41" s="26"/>
      <s:c r="AO41" s="26"/>
      <s:c r="AP41" s="26"/>
      <s:c r="AQ41" s="26"/>
      <s:c r="AR41" s="26"/>
      <s:c r="AS41" s="26"/>
      <s:c r="AT41" s="26"/>
      <s:c r="AU41" s="26"/>
      <s:c r="AV41" s="52">
        <s:f>B41*B104+C41*C104+D41*D104+E41*E104+F41*F104+G41*G104+H41*H104+I41*I104+J41*J104+K41*K104+L41*L104+AT41*AT105+AU105*AU41+M41*M104+N41*N104+O41*O104+P41*P104+Q41*Q104+R41*R104+S41*S104+T41*T104+U41*U104+V41*V104+W41*W104+X41*X104+Y41*Y104+Z41*Z104+AA41*AA104+AB41*AB104+AC41*AC104+AD41*AD104+AE41*AE104+AF41*AF104+AG41*AG104+AH41*AH104+AI41*AI104+AJ41*AJ104+AK41*AK104+AL41*AL104+AM41*AM104+AN41*AN104+AO41*AO104+AP41*AP104+AQ41*AQ104+AR41*AR104+AS41*AS104+AT41*AT104+AU41*AU104</s:f>
        <s:v>0</s:v>
      </s:c>
    </s:row>
    <s:row r="42" ht="18.75">
      <s:c r="A42" s="31" t="s">
        <s:v>112</s:v>
      </s:c>
      <s:c r="B42" s="27"/>
      <s:c r="C42" s="27">
        <s:v>40</s:v>
      </s:c>
      <s:c r="D42" s="27"/>
      <s:c r="E42" s="27"/>
      <s:c r="F42" s="27"/>
      <s:c r="G42" s="27"/>
      <s:c r="H42" s="27"/>
      <s:c r="I42" s="27"/>
      <s:c r="J42" s="27"/>
      <s:c r="K42" s="27"/>
      <s:c r="L42" s="27"/>
      <s:c r="M42" s="22"/>
      <s:c r="N42" s="22"/>
      <s:c r="O42" s="22"/>
      <s:c r="P42" s="22"/>
      <s:c r="Q42" s="22"/>
      <s:c r="R42" s="22"/>
      <s:c r="S42" s="22"/>
      <s:c r="T42" s="22"/>
      <s:c r="U42" s="22"/>
      <s:c r="V42" s="22"/>
      <s:c r="W42" s="22"/>
      <s:c r="X42" s="22"/>
      <s:c r="Y42" s="22"/>
      <s:c r="Z42" s="22"/>
      <s:c r="AA42" s="22"/>
      <s:c r="AB42" s="22"/>
      <s:c r="AC42" s="22"/>
      <s:c r="AD42" s="22"/>
      <s:c r="AE42" s="22"/>
      <s:c r="AF42" s="22"/>
      <s:c r="AG42" s="23"/>
      <s:c r="AH42" s="24"/>
      <s:c r="AI42" s="24"/>
      <s:c r="AJ42" s="24"/>
      <s:c r="AK42" s="24"/>
      <s:c r="AL42" s="25"/>
      <s:c r="AM42" s="26"/>
      <s:c r="AN42" s="26"/>
      <s:c r="AO42" s="26"/>
      <s:c r="AP42" s="26"/>
      <s:c r="AQ42" s="26"/>
      <s:c r="AR42" s="26"/>
      <s:c r="AS42" s="26"/>
      <s:c r="AT42" s="26"/>
      <s:c r="AU42" s="26"/>
      <s:c r="AV42" s="52">
        <s:f>B42*B105+C42*C105+D42*D105+E42*E105+F42*F105+G42*G105+H42*H105+I42*I105+J42*J105+K42*K105+L42*L105+AT42*AT106+AU106*AU42+M42*M105+N42*N105+O42*O105+P42*P105+Q42*Q105+R42*R105+S42*S105+T42*T105+U42*U105+V42*V105+W42*W105+X42*X105+Y42*Y105+Z42*Z105+AA42*AA105+AB42*AB105+AC42*AC105+AD42*AD105+AE42*AE105+AF42*AF105+AG42*AG105+AH42*AH105+AI42*AI105+AJ42*AJ105+AK42*AK105+AL42*AL105+AM42*AM105+AN42*AN105+AO42*AO105+AP42*AP105+AQ42*AQ105+AR42*AR105+AS42*AS105+AT42*AT105+AU42*AU105</s:f>
        <s:v>1740000</s:v>
      </s:c>
    </s:row>
    <s:row r="43" ht="18.75">
      <s:c r="A43" s="31" t="s">
        <s:v>0</s:v>
      </s:c>
      <s:c r="B43" s="27"/>
      <s:c r="C43" s="27"/>
      <s:c r="D43" s="27"/>
      <s:c r="E43" s="27"/>
      <s:c r="F43" s="27"/>
      <s:c r="G43" s="27"/>
      <s:c r="H43" s="27"/>
      <s:c r="I43" s="27"/>
      <s:c r="J43" s="27"/>
      <s:c r="K43" s="27"/>
      <s:c r="L43" s="27"/>
      <s:c r="M43" s="22"/>
      <s:c r="N43" s="22"/>
      <s:c r="O43" s="22"/>
      <s:c r="P43" s="22"/>
      <s:c r="Q43" s="22"/>
      <s:c r="R43" s="22"/>
      <s:c r="S43" s="22"/>
      <s:c r="T43" s="22"/>
      <s:c r="U43" s="22"/>
      <s:c r="V43" s="22"/>
      <s:c r="W43" s="22"/>
      <s:c r="X43" s="22"/>
      <s:c r="Y43" s="22"/>
      <s:c r="Z43" s="22"/>
      <s:c r="AA43" s="22"/>
      <s:c r="AB43" s="22"/>
      <s:c r="AC43" s="22"/>
      <s:c r="AD43" s="22"/>
      <s:c r="AE43" s="22"/>
      <s:c r="AF43" s="22"/>
      <s:c r="AG43" s="23"/>
      <s:c r="AH43" s="24"/>
      <s:c r="AI43" s="24"/>
      <s:c r="AJ43" s="24"/>
      <s:c r="AK43" s="24"/>
      <s:c r="AL43" s="25"/>
      <s:c r="AM43" s="26"/>
      <s:c r="AN43" s="26"/>
      <s:c r="AO43" s="26"/>
      <s:c r="AP43" s="26"/>
      <s:c r="AQ43" s="26"/>
      <s:c r="AR43" s="26"/>
      <s:c r="AS43" s="26"/>
      <s:c r="AT43" s="26"/>
      <s:c r="AU43" s="26"/>
      <s:c r="AV43" s="52">
        <s:f>B43*B106+C43*C106+D43*D106+E43*E106+F43*F106+G43*G106+H43*H106+I43*I106+J43*J106+K43*K106+L43*L106+AT43*AT107+AU107*AU43+M43*M106+N43*N106+O43*O106+P43*P106+Q43*Q106+R43*R106+S43*S106+T43*T106+U43*U106+V43*V106+W43*W106+X43*X106+Y43*Y106+Z43*Z106+AA43*AA106+AB43*AB106+AC43*AC106+AD43*AD106+AE43*AE106+AF43*AF106+AG43*AG106+AH43*AH106+AI43*AI106+AJ43*AJ106+AK43*AK106+AL43*AL106+AM43*AM106+AN43*AN106+AO43*AO106+AP43*AP106+AQ43*AQ106+AR43*AR106+AS43*AS106+AT43*AT106+AU43*AU106</s:f>
        <s:v>0</s:v>
      </s:c>
    </s:row>
    <s:row r="44" ht="18.75">
      <s:c r="A44" s="31" t="s">
        <s:v>58</s:v>
      </s:c>
      <s:c r="B44" s="49"/>
      <s:c r="C44" s="49"/>
      <s:c r="D44" s="49"/>
      <s:c r="E44" s="49"/>
      <s:c r="F44" s="49"/>
      <s:c r="G44" s="49"/>
      <s:c r="H44" s="49"/>
      <s:c r="I44" s="49"/>
      <s:c r="J44" s="49"/>
      <s:c r="K44" s="49"/>
      <s:c r="L44" s="49"/>
      <s:c r="M44" s="22"/>
      <s:c r="N44" s="22"/>
      <s:c r="O44" s="22"/>
      <s:c r="P44" s="22"/>
      <s:c r="Q44" s="22"/>
      <s:c r="R44" s="22"/>
      <s:c r="S44" s="22"/>
      <s:c r="T44" s="22"/>
      <s:c r="U44" s="22"/>
      <s:c r="V44" s="22"/>
      <s:c r="W44" s="22"/>
      <s:c r="X44" s="22"/>
      <s:c r="Y44" s="22"/>
      <s:c r="Z44" s="22"/>
      <s:c r="AA44" s="22"/>
      <s:c r="AB44" s="22"/>
      <s:c r="AC44" s="22"/>
      <s:c r="AD44" s="22"/>
      <s:c r="AE44" s="22"/>
      <s:c r="AF44" s="22"/>
      <s:c r="AG44" s="23"/>
      <s:c r="AH44" s="24"/>
      <s:c r="AI44" s="24"/>
      <s:c r="AJ44" s="24"/>
      <s:c r="AK44" s="24"/>
      <s:c r="AL44" s="50"/>
      <s:c r="AM44" s="51"/>
      <s:c r="AN44" s="51"/>
      <s:c r="AO44" s="51"/>
      <s:c r="AP44" s="51"/>
      <s:c r="AQ44" s="51"/>
      <s:c r="AR44" s="51"/>
      <s:c r="AS44" s="51"/>
      <s:c r="AT44" s="51"/>
      <s:c r="AU44" s="51"/>
      <s:c r="AV44" s="52">
        <s:f>B44*B107+C44*C107+D44*D107+E44*E107+F44*F107+G44*G107+H44*H107+I44*I107+J44*J107+K44*K107+L44*L107+AT44*AT108+AU108*AU44+M44*M107+N44*N107+O44*O107+P44*P107+Q44*Q107+R44*R107+S44*S107+T44*T107+U44*U107+V44*V107+W44*W107+X44*X107+Y44*Y107+Z44*Z107+AA44*AA107+AB44*AB107+AC44*AC107+AD44*AD107+AE44*AE107+AF44*AF107+AG44*AG107+AH44*AH107+AI44*AI107+AJ44*AJ107+AK44*AK107+AL44*AL107+AM44*AM107+AN44*AN107+AO44*AO107+AP44*AP107+AQ44*AQ107+AR44*AR107+AS44*AS107+AT44*AT107+AU44*AU107</s:f>
        <s:v>0</s:v>
      </s:c>
    </s:row>
    <s:row r="45" ht="18.75">
      <s:c r="A45" s="31" t="s">
        <s:v>39</s:v>
      </s:c>
      <s:c r="B45" s="27"/>
      <s:c r="C45" s="27"/>
      <s:c r="D45" s="27"/>
      <s:c r="E45" s="27"/>
      <s:c r="F45" s="27"/>
      <s:c r="G45" s="27"/>
      <s:c r="H45" s="27"/>
      <s:c r="I45" s="27"/>
      <s:c r="J45" s="27"/>
      <s:c r="K45" s="27"/>
      <s:c r="L45" s="27"/>
      <s:c r="M45" s="22"/>
      <s:c r="N45" s="22"/>
      <s:c r="O45" s="22"/>
      <s:c r="P45" s="22"/>
      <s:c r="Q45" s="22"/>
      <s:c r="R45" s="22"/>
      <s:c r="S45" s="22"/>
      <s:c r="T45" s="22"/>
      <s:c r="U45" s="22"/>
      <s:c r="V45" s="22"/>
      <s:c r="W45" s="22"/>
      <s:c r="X45" s="22"/>
      <s:c r="Y45" s="22"/>
      <s:c r="Z45" s="22"/>
      <s:c r="AA45" s="22"/>
      <s:c r="AB45" s="22"/>
      <s:c r="AC45" s="22"/>
      <s:c r="AD45" s="22"/>
      <s:c r="AE45" s="22"/>
      <s:c r="AF45" s="22"/>
      <s:c r="AG45" s="23"/>
      <s:c r="AH45" s="24"/>
      <s:c r="AI45" s="24"/>
      <s:c r="AJ45" s="24"/>
      <s:c r="AK45" s="24"/>
      <s:c r="AL45" s="25"/>
      <s:c r="AM45" s="26"/>
      <s:c r="AN45" s="26"/>
      <s:c r="AO45" s="26"/>
      <s:c r="AP45" s="26"/>
      <s:c r="AQ45" s="26"/>
      <s:c r="AR45" s="26"/>
      <s:c r="AS45" s="26"/>
      <s:c r="AT45" s="26"/>
      <s:c r="AU45" s="26"/>
      <s:c r="AV45" s="52">
        <s:f>B45*B108+C45*C108+D45*D108+E45*E108+F45*F108+G45*G108+H45*H108+I45*I108+J45*J108+K45*K108+L45*L108+AT45*AT109+AU109*AU45+M45*M108+N45*N108+O45*O108+P45*P108+Q45*Q108+R45*R108+S45*S108+T45*T108+U45*U108+V45*V108+W45*W108+X45*X108+Y45*Y108+Z45*Z108+AA45*AA108+AB45*AB108+AC45*AC108+AD45*AD108+AE45*AE108+AF45*AF108+AG45*AG108+AH45*AH108+AI45*AI108+AJ45*AJ108+AK45*AK108+AL45*AL108+AM45*AM108+AN45*AN108+AO45*AO108+AP45*AP108+AQ45*AQ108+AR45*AR108+AS45*AS108+AT45*AT108+AU45*AU108</s:f>
        <s:v>0</s:v>
      </s:c>
    </s:row>
    <s:row r="46" ht="18.75">
      <s:c r="A46" s="31" t="s">
        <s:v>53</s:v>
      </s:c>
      <s:c r="B46" s="49"/>
      <s:c r="C46" s="49"/>
      <s:c r="D46" s="49"/>
      <s:c r="E46" s="49"/>
      <s:c r="F46" s="49"/>
      <s:c r="G46" s="49"/>
      <s:c r="H46" s="49"/>
      <s:c r="I46" s="49"/>
      <s:c r="J46" s="49"/>
      <s:c r="K46" s="49"/>
      <s:c r="L46" s="49"/>
      <s:c r="M46" s="22"/>
      <s:c r="N46" s="22"/>
      <s:c r="O46" s="22"/>
      <s:c r="P46" s="22"/>
      <s:c r="Q46" s="22"/>
      <s:c r="R46" s="22"/>
      <s:c r="S46" s="22"/>
      <s:c r="T46" s="22"/>
      <s:c r="U46" s="22"/>
      <s:c r="V46" s="22"/>
      <s:c r="W46" s="22"/>
      <s:c r="X46" s="22"/>
      <s:c r="Y46" s="22"/>
      <s:c r="Z46" s="22"/>
      <s:c r="AA46" s="22"/>
      <s:c r="AB46" s="22"/>
      <s:c r="AC46" s="22"/>
      <s:c r="AD46" s="22"/>
      <s:c r="AE46" s="22"/>
      <s:c r="AF46" s="22"/>
      <s:c r="AG46" s="23"/>
      <s:c r="AH46" s="24"/>
      <s:c r="AI46" s="24"/>
      <s:c r="AJ46" s="24"/>
      <s:c r="AK46" s="24"/>
      <s:c r="AL46" s="50"/>
      <s:c r="AM46" s="51"/>
      <s:c r="AN46" s="51"/>
      <s:c r="AO46" s="51"/>
      <s:c r="AP46" s="51"/>
      <s:c r="AQ46" s="51"/>
      <s:c r="AR46" s="51"/>
      <s:c r="AS46" s="51"/>
      <s:c r="AT46" s="51"/>
      <s:c r="AU46" s="51"/>
      <s:c r="AV46" s="52">
        <s:f>B46*B109+C46*C109+D46*D109+E46*E109+F46*F109+G46*G109+H46*H109+I46*I109+J46*J109+K46*K109+L46*L109+AT46*AT110+AU110*AU46+M46*M109+N46*N109+O46*O109+P46*P109+Q46*Q109+R46*R109+S46*S109+T46*T109+U46*U109+V46*V109+W46*W109+X46*X109+Y46*Y109+Z46*Z109+AA46*AA109+AB46*AB109+AC46*AC109+AD46*AD109+AE46*AE109+AF46*AF109+AG46*AG109+AH46*AH109+AI46*AI109+AJ46*AJ109+AK46*AK109+AL46*AL109+AM46*AM109+AN46*AN109+AO46*AO109+AP46*AP109+AQ46*AQ109+AR46*AR109+AS46*AS109+AT46*AT109+AU46*AU109</s:f>
        <s:v>0</s:v>
      </s:c>
    </s:row>
    <s:row r="47" ht="18.75">
      <s:c r="A47" s="31" t="s">
        <s:v>85</s:v>
      </s:c>
      <s:c r="B47" s="27"/>
      <s:c r="C47" s="27"/>
      <s:c r="D47" s="27"/>
      <s:c r="E47" s="27"/>
      <s:c r="F47" s="27"/>
      <s:c r="G47" s="27"/>
      <s:c r="H47" s="27"/>
      <s:c r="I47" s="27"/>
      <s:c r="J47" s="27"/>
      <s:c r="K47" s="27"/>
      <s:c r="L47" s="27"/>
      <s:c r="M47" s="22"/>
      <s:c r="N47" s="22"/>
      <s:c r="O47" s="22"/>
      <s:c r="P47" s="75"/>
      <s:c r="Q47" s="22"/>
      <s:c r="R47" s="22"/>
      <s:c r="S47" s="22"/>
      <s:c r="T47" s="22"/>
      <s:c r="U47" s="22"/>
      <s:c r="V47" s="22"/>
      <s:c r="W47" s="22"/>
      <s:c r="X47" s="22"/>
      <s:c r="Y47" s="22"/>
      <s:c r="Z47" s="22"/>
      <s:c r="AA47" s="22"/>
      <s:c r="AB47" s="28"/>
      <s:c r="AC47" s="22"/>
      <s:c r="AD47" s="22"/>
      <s:c r="AE47" s="22"/>
      <s:c r="AF47" s="22"/>
      <s:c r="AG47" s="23"/>
      <s:c r="AH47" s="24"/>
      <s:c r="AI47" s="24"/>
      <s:c r="AJ47" s="24"/>
      <s:c r="AK47" s="24"/>
      <s:c r="AL47" s="25"/>
      <s:c r="AM47" s="26"/>
      <s:c r="AN47" s="26"/>
      <s:c r="AO47" s="26"/>
      <s:c r="AP47" s="26"/>
      <s:c r="AQ47" s="26"/>
      <s:c r="AR47" s="26"/>
      <s:c r="AS47" s="26"/>
      <s:c r="AT47" s="26"/>
      <s:c r="AU47" s="26"/>
      <s:c r="AV47" s="52">
        <s:f>B47*B110+C47*C110+D47*D110+E47*E110+F47*F110+G47*G110+H47*H110+I47*I110+J47*J110+K47*K110+L47*L110+AT47*AT111+AU111*AU47+M47*M110+N47*N110+O47*O110+P47*P110+Q47*Q110+R47*R110+S47*S110+T47*T110+U47*U110+V47*V110+W47*W110+X47*X110+Y47*Y110+Z47*Z110+AA47*AA110+AB47*AB110+AC47*AC110+AD47*AD110+AE47*AE110+AF47*AF110+AG47*AG110+AH47*AH110+AI47*AI110+AJ47*AJ110+AK47*AK110+AL47*AL110+AM47*AM110+AN47*AN110+AO47*AO110+AP47*AP110+AQ47*AQ110+AR47*AR110+AS47*AS110+AT47*AT110+AU47*AU110</s:f>
        <s:v>0</s:v>
      </s:c>
      <s:c r="AW47" t="s">
        <s:v>113</s:v>
      </s:c>
    </s:row>
    <s:row r="48" ht="18.75">
      <s:c r="A48" s="31" t="s">
        <s:v>74</s:v>
      </s:c>
      <s:c r="B48" s="27"/>
      <s:c r="C48" s="27"/>
      <s:c r="D48" s="27"/>
      <s:c r="E48" s="27"/>
      <s:c r="F48" s="27"/>
      <s:c r="G48" s="27"/>
      <s:c r="H48" s="27"/>
      <s:c r="I48" s="27"/>
      <s:c r="J48" s="27"/>
      <s:c r="K48" s="27"/>
      <s:c r="L48" s="27"/>
      <s:c r="M48" s="22"/>
      <s:c r="N48" s="22"/>
      <s:c r="O48" s="22"/>
      <s:c r="P48" s="22"/>
      <s:c r="Q48" s="22"/>
      <s:c r="R48" s="22"/>
      <s:c r="S48" s="22"/>
      <s:c r="T48" s="22"/>
      <s:c r="U48" s="22"/>
      <s:c r="V48" s="22"/>
      <s:c r="W48" s="22"/>
      <s:c r="X48" s="22"/>
      <s:c r="Y48" s="22"/>
      <s:c r="Z48" s="22"/>
      <s:c r="AA48" s="22"/>
      <s:c r="AB48" s="22"/>
      <s:c r="AC48" s="22"/>
      <s:c r="AD48" s="22"/>
      <s:c r="AE48" s="22"/>
      <s:c r="AF48" s="22"/>
      <s:c r="AG48" s="23"/>
      <s:c r="AH48" s="24"/>
      <s:c r="AI48" s="24"/>
      <s:c r="AJ48" s="24"/>
      <s:c r="AK48" s="24"/>
      <s:c r="AL48" s="25"/>
      <s:c r="AM48" s="26"/>
      <s:c r="AN48" s="26"/>
      <s:c r="AO48" s="26"/>
      <s:c r="AP48" s="26"/>
      <s:c r="AQ48" s="26"/>
      <s:c r="AR48" s="26"/>
      <s:c r="AS48" s="26"/>
      <s:c r="AT48" s="26"/>
      <s:c r="AU48" s="26"/>
      <s:c r="AV48" s="52">
        <s:f>B48*B111+C48*C111+D48*D111+E48*E111+F48*F111+G48*G111+H48*H111+I48*I111+J48*J111+K48*K111+L48*L111+AT48*AT112+AU112*AU48+M48*M111+N48*N111+O48*O111+P48*P111+Q48*Q111+R48*R111+S48*S111+T48*T111+U48*U111+V48*V111+W48*W111+X48*X111+Y48*Y111+Z48*Z111+AA48*AA111+AB48*AB111+AC48*AC111+AD48*AD111+AE48*AE111+AF48*AF111+AG48*AG111+AH48*AH111+AI48*AI111+AJ48*AJ111+AK48*AK111+AL48*AL111+AM48*AM111+AN48*AN111+AO48*AO111+AP48*AP111+AQ48*AQ111+AR48*AR111+AS48*AS111+AT48*AT111+AU48*AU111</s:f>
        <s:v>0</s:v>
      </s:c>
    </s:row>
    <s:row r="49" ht="18.75">
      <s:c r="A49" s="31" t="s">
        <s:v>63</s:v>
      </s:c>
      <s:c r="B49" s="27"/>
      <s:c r="C49" s="27"/>
      <s:c r="D49" s="27"/>
      <s:c r="E49" s="27"/>
      <s:c r="F49" s="27"/>
      <s:c r="G49" s="27"/>
      <s:c r="H49" s="27"/>
      <s:c r="I49" s="27"/>
      <s:c r="J49" s="27"/>
      <s:c r="K49" s="27"/>
      <s:c r="L49" s="27"/>
      <s:c r="M49" s="22"/>
      <s:c r="N49" s="22"/>
      <s:c r="O49" s="22"/>
      <s:c r="P49" s="22"/>
      <s:c r="Q49" s="22"/>
      <s:c r="R49" s="22"/>
      <s:c r="S49" s="22"/>
      <s:c r="T49" s="22"/>
      <s:c r="U49" s="22"/>
      <s:c r="V49" s="22"/>
      <s:c r="W49" s="22"/>
      <s:c r="X49" s="22"/>
      <s:c r="Y49" s="22"/>
      <s:c r="Z49" s="22"/>
      <s:c r="AA49" s="22"/>
      <s:c r="AB49" s="22"/>
      <s:c r="AC49" s="22"/>
      <s:c r="AD49" s="22"/>
      <s:c r="AE49" s="22"/>
      <s:c r="AF49" s="22"/>
      <s:c r="AG49" s="23"/>
      <s:c r="AH49" s="24"/>
      <s:c r="AI49" s="24"/>
      <s:c r="AJ49" s="24"/>
      <s:c r="AK49" s="24"/>
      <s:c r="AL49" s="25"/>
      <s:c r="AM49" s="26"/>
      <s:c r="AN49" s="26"/>
      <s:c r="AO49" s="26"/>
      <s:c r="AP49" s="26"/>
      <s:c r="AQ49" s="26"/>
      <s:c r="AR49" s="26"/>
      <s:c r="AS49" s="26"/>
      <s:c r="AT49" s="26"/>
      <s:c r="AU49" s="26"/>
      <s:c r="AV49" s="52">
        <s:f>B49*B112+C49*C112+D49*D112+E49*E112+F49*F112+G49*G112+H49*H112+I49*I112+J49*J112+K49*K112+L49*L112+AT49*AT113+AU113*AU49+M49*M112+N49*N112+O49*O112+P49*P112+Q49*Q112+R49*R112+S49*S112+T49*T112+U49*U112+V49*V112+W49*W112+X49*X112+Y49*Y112+Z49*Z112+AA49*AA112+AB49*AB112+AC49*AC112+AD49*AD112+AE49*AE112+AF49*AF112+AG49*AG112+AH49*AH112+AI49*AI112+AJ49*AJ112+AK49*AK112+AL49*AL112+AM49*AM112+AN49*AN112+AO49*AO112+AP49*AP112+AQ49*AQ112+AR49*AR112+AS49*AS112+AT49*AT112+AU49*AU112</s:f>
        <s:v>0</s:v>
      </s:c>
    </s:row>
    <s:row r="50" ht="18.75">
      <s:c r="A50" s="31" t="s">
        <s:v>87</s:v>
      </s:c>
      <s:c r="B50" s="49"/>
      <s:c r="C50" s="27"/>
      <s:c r="D50" s="49"/>
      <s:c r="E50" s="49"/>
      <s:c r="F50" s="49"/>
      <s:c r="G50" s="49"/>
      <s:c r="H50" s="49"/>
      <s:c r="I50" s="49"/>
      <s:c r="J50" s="49"/>
      <s:c r="K50" s="49"/>
      <s:c r="L50" s="49"/>
      <s:c r="M50" s="22"/>
      <s:c r="N50" s="22"/>
      <s:c r="O50" s="22"/>
      <s:c r="P50" s="22"/>
      <s:c r="Q50" s="22"/>
      <s:c r="R50" s="22"/>
      <s:c r="S50" s="22"/>
      <s:c r="T50" s="22"/>
      <s:c r="U50" s="22"/>
      <s:c r="V50" s="22"/>
      <s:c r="W50" s="22"/>
      <s:c r="X50" s="22"/>
      <s:c r="Y50" s="22"/>
      <s:c r="Z50" s="22"/>
      <s:c r="AA50" s="22"/>
      <s:c r="AB50" s="22"/>
      <s:c r="AC50" s="22"/>
      <s:c r="AD50" s="22"/>
      <s:c r="AE50" s="22"/>
      <s:c r="AF50" s="22"/>
      <s:c r="AG50" s="23"/>
      <s:c r="AH50" s="24"/>
      <s:c r="AI50" s="24"/>
      <s:c r="AJ50" s="24"/>
      <s:c r="AK50" s="24"/>
      <s:c r="AL50" s="50"/>
      <s:c r="AM50" s="51"/>
      <s:c r="AN50" s="51"/>
      <s:c r="AO50" s="51"/>
      <s:c r="AP50" s="51"/>
      <s:c r="AQ50" s="51"/>
      <s:c r="AR50" s="51"/>
      <s:c r="AS50" s="51"/>
      <s:c r="AT50" s="51"/>
      <s:c r="AU50" s="51"/>
      <s:c r="AV50" s="52">
        <s:f>B50*B113+C50*C113+D50*D113+E50*E113+F50*F113+G50*G113+H50*H113+I50*I113+J50*J113+K50*K113+L50*L113+AT50*AT114+AU114*AU50+M50*M113+N50*N113+O50*O113+P50*P113+Q50*Q113+R50*R113+S50*S113+T50*T113+U50*U113+V50*V113+W50*W113+X50*X113+Y50*Y113+Z50*Z113+AA50*AA113+AB50*AB113+AC50*AC113+AD50*AD113+AE50*AE113+AF50*AF113+AG50*AG113+AH50*AH113+AI50*AI113+AJ50*AJ113+AK50*AK113+AL50*AL113+AM50*AM113+AN50*AN113+AO50*AO113+AP50*AP113+AQ50*AQ113+AR50*AR113+AS50*AS113+AT50*AT113+AU50*AU113</s:f>
        <s:v>0</s:v>
      </s:c>
    </s:row>
    <s:row r="51" ht="18.75">
      <s:c r="A51" s="31" t="s">
        <s:v>48</s:v>
      </s:c>
      <s:c r="B51" s="27"/>
      <s:c r="C51" s="27"/>
      <s:c r="D51" s="27"/>
      <s:c r="E51" s="27"/>
      <s:c r="F51" s="27"/>
      <s:c r="G51" s="27"/>
      <s:c r="H51" s="27"/>
      <s:c r="I51" s="27"/>
      <s:c r="J51" s="27"/>
      <s:c r="K51" s="27"/>
      <s:c r="L51" s="27"/>
      <s:c r="M51" s="22"/>
      <s:c r="N51" s="22"/>
      <s:c r="O51" s="22"/>
      <s:c r="P51" s="22"/>
      <s:c r="Q51" s="22"/>
      <s:c r="R51" s="22"/>
      <s:c r="S51" s="22"/>
      <s:c r="T51" s="22"/>
      <s:c r="U51" s="22"/>
      <s:c r="V51" s="22"/>
      <s:c r="W51" s="22"/>
      <s:c r="X51" s="22"/>
      <s:c r="Y51" s="22"/>
      <s:c r="Z51" s="22"/>
      <s:c r="AA51" s="22"/>
      <s:c r="AB51" s="22"/>
      <s:c r="AC51" s="22"/>
      <s:c r="AD51" s="22"/>
      <s:c r="AE51" s="22"/>
      <s:c r="AF51" s="22"/>
      <s:c r="AG51" s="23"/>
      <s:c r="AH51" s="24"/>
      <s:c r="AI51" s="24"/>
      <s:c r="AJ51" s="24"/>
      <s:c r="AK51" s="24"/>
      <s:c r="AL51" s="25"/>
      <s:c r="AM51" s="26"/>
      <s:c r="AN51" s="26"/>
      <s:c r="AO51" s="26"/>
      <s:c r="AP51" s="26"/>
      <s:c r="AQ51" s="26"/>
      <s:c r="AR51" s="26"/>
      <s:c r="AS51" s="26"/>
      <s:c r="AT51" s="26"/>
      <s:c r="AU51" s="26"/>
      <s:c r="AV51" s="52">
        <s:f>B51*B114+C51*C114+D51*D114+E51*E114+F51*F114+G51*G114+H51*H114+I51*I114+J51*J114+K51*K114+L51*L114+AT51*AT115+AU115*AU51+M51*M114+N51*N114+O51*O114+P51*P114+Q51*Q114+R51*R114+S51*S114+T51*T114+U51*U114+V51*V114+W51*W114+X51*X114+Y51*Y114+Z51*Z114+AA51*AA114+AB51*AB114+AC51*AC114+AD51*AD114+AE51*AE114+AF51*AF114+AG51*AG114+AH51*AH114+AI51*AI114+AJ51*AJ114+AK51*AK114+AL51*AL114+AM51*AM114+AN51*AN114+AO51*AO114+AP51*AP114+AQ51*AQ114+AR51*AR114+AS51*AS114+AT51*AT114+AU51*AU114</s:f>
        <s:v>0</s:v>
      </s:c>
    </s:row>
    <s:row r="52" ht="18.75">
      <s:c r="A52" s="31" t="s">
        <s:v>57</s:v>
      </s:c>
      <s:c r="B52" s="49"/>
      <s:c r="C52" s="49"/>
      <s:c r="D52" s="49"/>
      <s:c r="E52" s="49"/>
      <s:c r="F52" s="49"/>
      <s:c r="G52" s="49"/>
      <s:c r="H52" s="49"/>
      <s:c r="I52" s="49"/>
      <s:c r="J52" s="49"/>
      <s:c r="K52" s="49"/>
      <s:c r="L52" s="49"/>
      <s:c r="M52" s="22"/>
      <s:c r="N52" s="22"/>
      <s:c r="O52" s="22"/>
      <s:c r="P52" s="22"/>
      <s:c r="Q52" s="22"/>
      <s:c r="R52" s="22"/>
      <s:c r="S52" s="22"/>
      <s:c r="T52" s="22"/>
      <s:c r="U52" s="22"/>
      <s:c r="V52" s="22"/>
      <s:c r="W52" s="22"/>
      <s:c r="X52" s="22"/>
      <s:c r="Y52" s="22"/>
      <s:c r="Z52" s="22"/>
      <s:c r="AA52" s="22"/>
      <s:c r="AB52" s="22"/>
      <s:c r="AC52" s="22"/>
      <s:c r="AD52" s="22"/>
      <s:c r="AE52" s="22"/>
      <s:c r="AF52" s="22"/>
      <s:c r="AG52" s="23"/>
      <s:c r="AH52" s="24"/>
      <s:c r="AI52" s="24"/>
      <s:c r="AJ52" s="24"/>
      <s:c r="AK52" s="24"/>
      <s:c r="AL52" s="50"/>
      <s:c r="AM52" s="51"/>
      <s:c r="AN52" s="51"/>
      <s:c r="AO52" s="51"/>
      <s:c r="AP52" s="51"/>
      <s:c r="AQ52" s="51"/>
      <s:c r="AR52" s="51"/>
      <s:c r="AS52" s="51"/>
      <s:c r="AT52" s="51"/>
      <s:c r="AU52" s="51"/>
      <s:c r="AV52" s="52">
        <s:f>B52*B115+C52*C115+D52*D115+E52*E115+F52*F115+G52*G115+H52*H115+I52*I115+J52*J115+K52*K115+L52*L115+AT52*AT116+AU116*AU52+M52*M115+N52*N115+O52*O115+P52*P115+Q52*Q115+R52*R115+S52*S115+T52*T115+U52*U115+V52*V115+W52*W115+X52*X115+Y52*Y115+Z52*Z115+AA52*AA115+AB52*AB115+AC52*AC115+AD52*AD115+AE52*AE115+AF52*AF115+AG52*AG115+AH52*AH115+AI52*AI115+AJ52*AJ115+AK52*AK115+AL52*AL115+AM52*AM115+AN52*AN115+AO52*AO115+AP52*AP115+AQ52*AQ115+AR52*AR115+AS52*AS115+AT52*AT115+AU52*AU115</s:f>
        <s:v>0</s:v>
      </s:c>
    </s:row>
    <s:row r="53" ht="18.75">
      <s:c r="A53" s="31" t="s">
        <s:v>51</s:v>
      </s:c>
      <s:c r="B53" s="27"/>
      <s:c r="C53" s="27"/>
      <s:c r="D53" s="27"/>
      <s:c r="E53" s="27"/>
      <s:c r="F53" s="27"/>
      <s:c r="G53" s="27"/>
      <s:c r="H53" s="27"/>
      <s:c r="I53" s="27"/>
      <s:c r="J53" s="27"/>
      <s:c r="K53" s="27"/>
      <s:c r="L53" s="27"/>
      <s:c r="M53" s="22"/>
      <s:c r="N53" s="22"/>
      <s:c r="O53" s="22"/>
      <s:c r="P53" s="22"/>
      <s:c r="Q53" s="22"/>
      <s:c r="R53" s="22"/>
      <s:c r="S53" s="22"/>
      <s:c r="T53" s="22"/>
      <s:c r="U53" s="22"/>
      <s:c r="V53" s="22"/>
      <s:c r="W53" s="22"/>
      <s:c r="X53" s="22"/>
      <s:c r="Y53" s="22"/>
      <s:c r="Z53" s="22"/>
      <s:c r="AA53" s="22"/>
      <s:c r="AB53" s="22"/>
      <s:c r="AC53" s="22"/>
      <s:c r="AD53" s="22"/>
      <s:c r="AE53" s="22"/>
      <s:c r="AF53" s="22"/>
      <s:c r="AG53" s="23"/>
      <s:c r="AH53" s="24"/>
      <s:c r="AI53" s="24"/>
      <s:c r="AJ53" s="24"/>
      <s:c r="AK53" s="24"/>
      <s:c r="AL53" s="25"/>
      <s:c r="AM53" s="26"/>
      <s:c r="AN53" s="26"/>
      <s:c r="AO53" s="26"/>
      <s:c r="AP53" s="26"/>
      <s:c r="AQ53" s="26"/>
      <s:c r="AR53" s="26"/>
      <s:c r="AS53" s="26"/>
      <s:c r="AT53" s="26"/>
      <s:c r="AU53" s="26"/>
      <s:c r="AV53" s="52">
        <s:f>B53*B116+C53*C116+D53*D116+E53*E116+F53*F116+G53*G116+H53*H116+I53*I116+J53*J116+K53*K116+L53*L116+AT53*AT117+AU117*AU53+M53*M116+N53*N116+O53*O116+P53*P116+Q53*Q116+R53*R116+S53*S116+T53*T116+U53*U116+V53*V116+W53*W116+X53*X116+Y53*Y116+Z53*Z116+AA53*AA116+AB53*AB116+AC53*AC116+AD53*AD116+AE53*AE116+AF53*AF116+AG53*AG116+AH53*AH116+AI53*AI116+AJ53*AJ116+AK53*AK116+AL53*AL116+AM53*AM116+AN53*AN116+AO53*AO116+AP53*AP116+AQ53*AQ116+AR53*AR116+AS53*AS116+AT53*AT116+AU53*AU116</s:f>
        <s:v>0</s:v>
      </s:c>
    </s:row>
    <s:row r="54" ht="18.75">
      <s:c r="A54" s="31" t="s">
        <s:v>49</s:v>
      </s:c>
      <s:c r="B54" s="27"/>
      <s:c r="C54" s="27"/>
      <s:c r="D54" s="27"/>
      <s:c r="E54" s="27"/>
      <s:c r="F54" s="27"/>
      <s:c r="G54" s="27"/>
      <s:c r="H54" s="27"/>
      <s:c r="I54" s="27"/>
      <s:c r="J54" s="27"/>
      <s:c r="K54" s="27"/>
      <s:c r="L54" s="27"/>
      <s:c r="M54" s="22"/>
      <s:c r="N54" s="22"/>
      <s:c r="O54" s="22"/>
      <s:c r="P54" s="22"/>
      <s:c r="Q54" s="22"/>
      <s:c r="R54" s="22"/>
      <s:c r="S54" s="22"/>
      <s:c r="T54" s="22"/>
      <s:c r="U54" s="22"/>
      <s:c r="V54" s="22"/>
      <s:c r="W54" s="22"/>
      <s:c r="X54" s="22"/>
      <s:c r="Y54" s="22"/>
      <s:c r="Z54" s="22"/>
      <s:c r="AA54" s="22"/>
      <s:c r="AB54" s="22"/>
      <s:c r="AC54" s="22"/>
      <s:c r="AD54" s="22"/>
      <s:c r="AE54" s="22"/>
      <s:c r="AF54" s="22"/>
      <s:c r="AG54" s="23"/>
      <s:c r="AH54" s="24"/>
      <s:c r="AI54" s="24"/>
      <s:c r="AJ54" s="24"/>
      <s:c r="AK54" s="24"/>
      <s:c r="AL54" s="25"/>
      <s:c r="AM54" s="26"/>
      <s:c r="AN54" s="26"/>
      <s:c r="AO54" s="26"/>
      <s:c r="AP54" s="26"/>
      <s:c r="AQ54" s="26"/>
      <s:c r="AR54" s="26"/>
      <s:c r="AS54" s="26"/>
      <s:c r="AT54" s="26"/>
      <s:c r="AU54" s="26"/>
      <s:c r="AV54" s="52">
        <s:f>B54*B117+C54*C117+D54*D117+E54*E117+F54*F117+G54*G117+H54*H117+I54*I117+J54*J117+K54*K117+L54*L117+AT54*AT118+AU118*AU54+M54*M117+N54*N117+O54*O117+P54*P117+Q54*Q117+R54*R117+S54*S117+T54*T117+U54*U117+V54*V117+W54*W117+X54*X117+Y54*Y117+Z54*Z117+AA54*AA117+AB54*AB117+AC54*AC117+AD54*AD117+AE54*AE117+AF54*AF117+AG54*AG117+AH54*AH117+AI54*AI117+AJ54*AJ117+AK54*AK117+AL54*AL117+AM54*AM117+AN54*AN117+AO54*AO117+AP54*AP117+AQ54*AQ117+AR54*AR117+AS54*AS117+AT54*AT117+AU54*AU117</s:f>
        <s:v>0</s:v>
      </s:c>
    </s:row>
    <s:row r="55" ht="18.75">
      <s:c r="A55" s="31" t="s">
        <s:v>94</s:v>
      </s:c>
      <s:c r="B55" s="49"/>
      <s:c r="C55" s="49"/>
      <s:c r="D55" s="49"/>
      <s:c r="E55" s="49"/>
      <s:c r="F55" s="49"/>
      <s:c r="G55" s="49"/>
      <s:c r="H55" s="49"/>
      <s:c r="I55" s="49"/>
      <s:c r="J55" s="49"/>
      <s:c r="K55" s="49"/>
      <s:c r="L55" s="49"/>
      <s:c r="M55" s="22"/>
      <s:c r="N55" s="22"/>
      <s:c r="O55" s="22"/>
      <s:c r="P55" s="22"/>
      <s:c r="Q55" s="22"/>
      <s:c r="R55" s="22"/>
      <s:c r="S55" s="22"/>
      <s:c r="T55" s="22"/>
      <s:c r="U55" s="22"/>
      <s:c r="V55" s="22"/>
      <s:c r="W55" s="22"/>
      <s:c r="X55" s="22"/>
      <s:c r="Y55" s="22"/>
      <s:c r="Z55" s="22"/>
      <s:c r="AA55" s="22"/>
      <s:c r="AB55" s="22"/>
      <s:c r="AC55" s="22"/>
      <s:c r="AD55" s="22"/>
      <s:c r="AE55" s="22"/>
      <s:c r="AF55" s="22"/>
      <s:c r="AG55" s="23"/>
      <s:c r="AH55" s="24"/>
      <s:c r="AI55" s="24"/>
      <s:c r="AJ55" s="24"/>
      <s:c r="AK55" s="24"/>
      <s:c r="AL55" s="50"/>
      <s:c r="AM55" s="51"/>
      <s:c r="AN55" s="51"/>
      <s:c r="AO55" s="51"/>
      <s:c r="AP55" s="51"/>
      <s:c r="AQ55" s="51"/>
      <s:c r="AR55" s="51"/>
      <s:c r="AS55" s="51"/>
      <s:c r="AT55" s="51"/>
      <s:c r="AU55" s="51"/>
      <s:c r="AV55" s="52">
        <s:f>B55*B118+C55*C118+D55*D118+E55*E118+F55*F118+G55*G118+H55*H118+I55*I118+J55*J118+K55*K118+L55*L118+AT55*AT119+AU119*AU55+M55*M118+N55*N118+O55*O118+P55*P118+Q55*Q118+R55*R118+S55*S118+T55*T118+U55*U118+V55*V118+W55*W118+X55*X118+Y55*Y118+Z55*Z118+AA55*AA118+AB55*AB118+AC55*AC118+AD55*AD118+AE55*AE118+AF55*AF118+AG55*AG118+AH55*AH118+AI55*AI118+AJ55*AJ118+AK55*AK118+AL55*AL118+AM55*AM118+AN55*AN118+AO55*AO118+AP55*AP118+AQ55*AQ118+AR55*AR118+AS55*AS118+AT55*AT118+AU55*AU118</s:f>
        <s:v>0</s:v>
      </s:c>
    </s:row>
    <s:row r="56" ht="18.75">
      <s:c r="A56" s="31" t="s">
        <s:v>114</s:v>
      </s:c>
      <s:c r="B56" s="49"/>
      <s:c r="C56" s="49"/>
      <s:c r="D56" s="49"/>
      <s:c r="E56" s="49"/>
      <s:c r="F56" s="49"/>
      <s:c r="G56" s="49"/>
      <s:c r="H56" s="49"/>
      <s:c r="I56" s="49"/>
      <s:c r="J56" s="49"/>
      <s:c r="K56" s="49"/>
      <s:c r="L56" s="49"/>
      <s:c r="M56" s="22"/>
      <s:c r="N56" s="22"/>
      <s:c r="O56" s="22"/>
      <s:c r="P56" s="22"/>
      <s:c r="Q56" s="22"/>
      <s:c r="R56" s="22"/>
      <s:c r="S56" s="22"/>
      <s:c r="T56" s="22"/>
      <s:c r="U56" s="22"/>
      <s:c r="V56" s="22"/>
      <s:c r="W56" s="22"/>
      <s:c r="X56" s="22"/>
      <s:c r="Y56" s="22"/>
      <s:c r="Z56" s="22"/>
      <s:c r="AA56" s="22"/>
      <s:c r="AB56" s="22"/>
      <s:c r="AC56" s="22"/>
      <s:c r="AD56" s="22"/>
      <s:c r="AE56" s="22"/>
      <s:c r="AF56" s="22"/>
      <s:c r="AG56" s="23"/>
      <s:c r="AH56" s="24"/>
      <s:c r="AI56" s="24"/>
      <s:c r="AJ56" s="24"/>
      <s:c r="AK56" s="24"/>
      <s:c r="AL56" s="50"/>
      <s:c r="AM56" s="51"/>
      <s:c r="AN56" s="51"/>
      <s:c r="AO56" s="51"/>
      <s:c r="AP56" s="51"/>
      <s:c r="AQ56" s="51"/>
      <s:c r="AR56" s="51"/>
      <s:c r="AS56" s="51"/>
      <s:c r="AT56" s="51"/>
      <s:c r="AU56" s="51"/>
      <s:c r="AV56" s="52">
        <s:f>B56*B119+C56*C119+D56*D119+E56*E119+F56*F119+G56*G119+H56*H119+I56*I119+J56*J119+K56*K119+L56*L119+AT56*AT120+AU120*AU56+M56*M119+N56*N119+O56*O119+P56*P119+Q56*Q119+R56*R119+S56*S119+T56*T119+U56*U119+V56*V119+W56*W119+X56*X119+Y56*Y119+Z56*Z119+AA56*AA119+AB56*AB119+AC56*AC119+AD56*AD119+AE56*AE119+AF56*AF119+AG56*AG119+AH56*AH119+AI56*AI119+AJ56*AJ119+AK56*AK119+AL56*AL119+AM56*AM119+AN56*AN119+AO56*AO119+AP56*AP119+AQ56*AQ119+AR56*AR119+AS56*AS119+AT56*AT119+AU56*AU119</s:f>
        <s:v>0</s:v>
      </s:c>
    </s:row>
    <s:row r="57" ht="18.75">
      <s:c r="A57" s="31" t="s">
        <s:v>115</s:v>
      </s:c>
      <s:c r="B57" s="49"/>
      <s:c r="C57" s="49"/>
      <s:c r="D57" s="49"/>
      <s:c r="E57" s="49"/>
      <s:c r="F57" s="49"/>
      <s:c r="G57" s="49"/>
      <s:c r="H57" s="49"/>
      <s:c r="I57" s="49"/>
      <s:c r="J57" s="49"/>
      <s:c r="K57" s="49"/>
      <s:c r="L57" s="49"/>
      <s:c r="M57" s="22"/>
      <s:c r="N57" s="22"/>
      <s:c r="O57" s="22"/>
      <s:c r="P57" s="22"/>
      <s:c r="Q57" s="22"/>
      <s:c r="R57" s="22"/>
      <s:c r="S57" s="22"/>
      <s:c r="T57" s="22"/>
      <s:c r="U57" s="22"/>
      <s:c r="V57" s="22"/>
      <s:c r="W57" s="22"/>
      <s:c r="X57" s="22"/>
      <s:c r="Y57" s="22"/>
      <s:c r="Z57" s="22"/>
      <s:c r="AA57" s="22"/>
      <s:c r="AB57" s="22"/>
      <s:c r="AC57" s="22"/>
      <s:c r="AD57" s="22"/>
      <s:c r="AE57" s="22"/>
      <s:c r="AF57" s="22"/>
      <s:c r="AG57" s="23"/>
      <s:c r="AH57" s="24"/>
      <s:c r="AI57" s="24"/>
      <s:c r="AJ57" s="24"/>
      <s:c r="AK57" s="24"/>
      <s:c r="AL57" s="50"/>
      <s:c r="AM57" s="51"/>
      <s:c r="AN57" s="51"/>
      <s:c r="AO57" s="51"/>
      <s:c r="AP57" s="51"/>
      <s:c r="AQ57" s="51"/>
      <s:c r="AR57" s="51"/>
      <s:c r="AS57" s="51"/>
      <s:c r="AT57" s="51"/>
      <s:c r="AU57" s="51"/>
      <s:c r="AV57" s="52">
        <s:f>B57*B120+C57*C120+D57*D120+E57*E120+F57*F120+G57*G120+H57*H120+I57*I120+J57*J120+K57*K120+L57*L120+AT57*AT121+AU121*AU57+M57*M120+N57*N120+O57*O120+P57*P120+Q57*Q120+R57*R120+S57*S120+T57*T120+U57*U120+V57*V120+W57*W120+X57*X120+Y57*Y120+Z57*Z120+AA57*AA120+AB57*AB120+AC57*AC120+AD57*AD120+AE57*AE120+AF57*AF120+AG57*AG120+AH57*AH120+AI57*AI120+AJ57*AJ120+AK57*AK120+AL57*AL120+AM57*AM120+AN57*AN120+AO57*AO120+AP57*AP120+AQ57*AQ120+AR57*AR120+AS57*AS120+AT57*AT120+AU57*AU120</s:f>
        <s:v>0</s:v>
      </s:c>
    </s:row>
    <s:row r="58" ht="18.75">
      <s:c r="A58" s="31" t="s">
        <s:v>92</s:v>
      </s:c>
      <s:c r="B58" s="49"/>
      <s:c r="C58" s="49"/>
      <s:c r="D58" s="49"/>
      <s:c r="E58" s="49"/>
      <s:c r="F58" s="49"/>
      <s:c r="G58" s="49"/>
      <s:c r="H58" s="49"/>
      <s:c r="I58" s="49"/>
      <s:c r="J58" s="49"/>
      <s:c r="K58" s="49"/>
      <s:c r="L58" s="49"/>
      <s:c r="M58" s="22"/>
      <s:c r="N58" s="22"/>
      <s:c r="O58" s="22"/>
      <s:c r="P58" s="22"/>
      <s:c r="Q58" s="22"/>
      <s:c r="R58" s="22"/>
      <s:c r="S58" s="22"/>
      <s:c r="T58" s="22"/>
      <s:c r="U58" s="22"/>
      <s:c r="V58" s="22"/>
      <s:c r="W58" s="22"/>
      <s:c r="X58" s="22"/>
      <s:c r="Y58" s="22"/>
      <s:c r="Z58" s="22"/>
      <s:c r="AA58" s="22"/>
      <s:c r="AB58" s="22"/>
      <s:c r="AC58" s="22"/>
      <s:c r="AD58" s="22"/>
      <s:c r="AE58" s="22"/>
      <s:c r="AF58" s="22"/>
      <s:c r="AG58" s="23"/>
      <s:c r="AH58" s="24"/>
      <s:c r="AI58" s="24"/>
      <s:c r="AJ58" s="24"/>
      <s:c r="AK58" s="24"/>
      <s:c r="AL58" s="50"/>
      <s:c r="AM58" s="51"/>
      <s:c r="AN58" s="51"/>
      <s:c r="AO58" s="51"/>
      <s:c r="AP58" s="51"/>
      <s:c r="AQ58" s="51"/>
      <s:c r="AR58" s="51"/>
      <s:c r="AS58" s="51"/>
      <s:c r="AT58" s="51"/>
      <s:c r="AU58" s="51"/>
      <s:c r="AV58" s="52">
        <s:f>B58*B121+C58*C121+D58*D121+E58*E121+F58*F121+G58*G121+H58*H121+I58*I121+J58*J121+K58*K121+L58*L121+AT58*AT122+AU122*AU58+M58*M121+N58*N121+O58*O121+P58*P121+Q58*Q121+R58*R121+S58*S121+T58*T121+U58*U121+V58*V121+W58*W121+X58*X121+Y58*Y121+Z58*Z121+AA58*AA121+AB58*AB121+AC58*AC121+AD58*AD121+AE58*AE121+AF58*AF121+AG58*AG121+AH58*AH121+AI58*AI121+AJ58*AJ121+AK58*AK121+AL58*AL121+AM58*AM121+AN58*AN121+AO58*AO121+AP58*AP121+AQ58*AQ121+AR58*AR121+AS58*AS121+AT58*AT121+AU58*AU121</s:f>
        <s:v>0</s:v>
      </s:c>
    </s:row>
    <s:row r="59" ht="18.75">
      <s:c r="A59" s="53" t="s">
        <s:v>93</s:v>
      </s:c>
      <s:c r="B59" s="54"/>
      <s:c r="C59" s="54"/>
      <s:c r="D59" s="54"/>
      <s:c r="E59" s="54"/>
      <s:c r="F59" s="54"/>
      <s:c r="G59" s="54"/>
      <s:c r="H59" s="54"/>
      <s:c r="I59" s="54"/>
      <s:c r="J59" s="54"/>
      <s:c r="K59" s="54"/>
      <s:c r="L59" s="54"/>
      <s:c r="M59" s="55"/>
      <s:c r="N59" s="55"/>
      <s:c r="O59" s="55"/>
      <s:c r="P59" s="55"/>
      <s:c r="Q59" s="55"/>
      <s:c r="R59" s="55"/>
      <s:c r="S59" s="55"/>
      <s:c r="T59" s="55"/>
      <s:c r="U59" s="55"/>
      <s:c r="V59" s="55"/>
      <s:c r="W59" s="55"/>
      <s:c r="X59" s="55"/>
      <s:c r="Y59" s="55"/>
      <s:c r="Z59" s="55"/>
      <s:c r="AA59" s="55"/>
      <s:c r="AB59" s="55"/>
      <s:c r="AC59" s="55"/>
      <s:c r="AD59" s="55"/>
      <s:c r="AE59" s="55"/>
      <s:c r="AF59" s="55"/>
      <s:c r="AG59" s="23"/>
      <s:c r="AH59" s="24"/>
      <s:c r="AI59" s="24"/>
      <s:c r="AJ59" s="24"/>
      <s:c r="AK59" s="24"/>
      <s:c r="AL59" s="50"/>
      <s:c r="AM59" s="51"/>
      <s:c r="AN59" s="51"/>
      <s:c r="AO59" s="51"/>
      <s:c r="AP59" s="51"/>
      <s:c r="AQ59" s="51"/>
      <s:c r="AR59" s="51"/>
      <s:c r="AS59" s="51"/>
      <s:c r="AT59" s="51"/>
      <s:c r="AU59" s="51"/>
      <s:c r="AV59" s="52">
        <s:f>B59*B122+C59*C122+D59*D122+E59*E122+F59*F122+G59*G122+H59*H122+I59*I122+J59*J122+K59*K122+L59*L122+AT59*AT123+AU123*AU59+M59*M122+N59*N122+O59*O122+P59*P122+Q59*Q122+R59*R122+S59*S122+T59*T122+U59*U122+V59*V122+W59*W122+X59*X122+Y59*Y122+Z59*Z122+AA59*AA122+AB59*AB122+AC59*AC122+AD59*AD122+AE59*AE122+AF59*AF122+AG59*AG122+AH59*AH122+AI59*AI122+AJ59*AJ122+AK59*AK122+AL59*AL122+AM59*AM122+AN59*AN122+AO59*AO122+AP59*AP122+AQ59*AQ122+AR59*AR122+AS59*AS122+AT59*AT122+AU59*AU122</s:f>
        <s:v>0</s:v>
      </s:c>
    </s:row>
    <s:row r="60" ht="18.75">
      <s:c r="A60" s="53" t="s">
        <s:v>97</s:v>
      </s:c>
      <s:c r="B60" s="54"/>
      <s:c r="C60" s="54"/>
      <s:c r="D60" s="54"/>
      <s:c r="E60" s="54"/>
      <s:c r="F60" s="54"/>
      <s:c r="G60" s="54"/>
      <s:c r="H60" s="54"/>
      <s:c r="I60" s="54"/>
      <s:c r="J60" s="54"/>
      <s:c r="K60" s="54"/>
      <s:c r="L60" s="54"/>
      <s:c r="M60" s="55"/>
      <s:c r="N60" s="55"/>
      <s:c r="O60" s="55"/>
      <s:c r="P60" s="55"/>
      <s:c r="Q60" s="55"/>
      <s:c r="R60" s="55"/>
      <s:c r="S60" s="55"/>
      <s:c r="T60" s="55"/>
      <s:c r="U60" s="55"/>
      <s:c r="V60" s="55"/>
      <s:c r="W60" s="55"/>
      <s:c r="X60" s="55"/>
      <s:c r="Y60" s="55"/>
      <s:c r="Z60" s="55"/>
      <s:c r="AA60" s="55"/>
      <s:c r="AB60" s="55"/>
      <s:c r="AC60" s="55"/>
      <s:c r="AD60" s="55"/>
      <s:c r="AE60" s="55"/>
      <s:c r="AF60" s="55"/>
      <s:c r="AG60" s="23"/>
      <s:c r="AH60" s="24"/>
      <s:c r="AI60" s="24"/>
      <s:c r="AJ60" s="24"/>
      <s:c r="AK60" s="24"/>
      <s:c r="AL60" s="50"/>
      <s:c r="AM60" s="51"/>
      <s:c r="AN60" s="51"/>
      <s:c r="AO60" s="51"/>
      <s:c r="AP60" s="51"/>
      <s:c r="AQ60" s="51"/>
      <s:c r="AR60" s="51"/>
      <s:c r="AS60" s="51"/>
      <s:c r="AT60" s="51"/>
      <s:c r="AU60" s="51"/>
      <s:c r="AV60" s="52">
        <s:f>B60*B123+C60*C123+D60*D123+E60*E123+F60*F123+G60*G123+H60*H123+I60*I123+J60*J123+K60*K123+L60*L123+AT60*AT124+AU124*AU60+M60*M123+N60*N123+O60*O123+P60*P123+Q60*Q123+R60*R123+S60*S123+T60*T123+U60*U123+V60*V123+W60*W123+X60*X123+Y60*Y123+Z60*Z123+AA60*AA123+AB60*AB123+AC60*AC123+AD60*AD123+AE60*AE123+AF60*AF123+AG60*AG123+AH60*AH123+AI60*AI123+AJ60*AJ123+AK60*AK123+AL60*AL123+AM60*AM123+AN60*AN123+AO60*AO123+AP60*AP123+AQ60*AQ123+AR60*AR123+AS60*AS123+AT60*AT123+AU60*AU123</s:f>
        <s:v>0</s:v>
      </s:c>
    </s:row>
    <s:row r="61" ht="19.5">
      <s:c r="A61" s="56" t="s">
        <s:v>102</s:v>
      </s:c>
      <s:c r="B61" s="57"/>
      <s:c r="C61" s="57"/>
      <s:c r="D61" s="57"/>
      <s:c r="E61" s="57"/>
      <s:c r="F61" s="57"/>
      <s:c r="G61" s="57"/>
      <s:c r="H61" s="57"/>
      <s:c r="I61" s="57"/>
      <s:c r="J61" s="57"/>
      <s:c r="K61" s="57"/>
      <s:c r="L61" s="57"/>
      <s:c r="M61" s="58"/>
      <s:c r="N61" s="58"/>
      <s:c r="O61" s="58"/>
      <s:c r="P61" s="58"/>
      <s:c r="Q61" s="58"/>
      <s:c r="R61" s="58"/>
      <s:c r="S61" s="58"/>
      <s:c r="T61" s="58"/>
      <s:c r="U61" s="58"/>
      <s:c r="V61" s="58"/>
      <s:c r="W61" s="58"/>
      <s:c r="X61" s="58"/>
      <s:c r="Y61" s="58"/>
      <s:c r="Z61" s="58"/>
      <s:c r="AA61" s="58"/>
      <s:c r="AB61" s="58"/>
      <s:c r="AC61" s="58"/>
      <s:c r="AD61" s="58"/>
      <s:c r="AE61" s="58"/>
      <s:c r="AF61" s="58"/>
      <s:c r="AG61" s="59"/>
      <s:c r="AH61" s="60"/>
      <s:c r="AI61" s="60"/>
      <s:c r="AJ61" s="60"/>
      <s:c r="AK61" s="60"/>
      <s:c r="AL61" s="61"/>
      <s:c r="AM61" s="62"/>
      <s:c r="AN61" s="62"/>
      <s:c r="AO61" s="62"/>
      <s:c r="AP61" s="62"/>
      <s:c r="AQ61" s="62"/>
      <s:c r="AR61" s="62"/>
      <s:c r="AS61" s="62"/>
      <s:c r="AT61" s="62"/>
      <s:c r="AU61" s="62"/>
      <s:c r="AV61" s="52">
        <s:f>B61*B124+C61*C124+D61*D124+E61*E124+F61*F124+G61*G124+H61*H124+I61*I124+J61*J124+K61*K124+L61*L124+AT61*AT125+AU125*AU61+M61*M124+N61*N124+O61*O124+P61*P124+Q61*Q124+R61*R124+S61*S124+T61*T124+U61*U124+V61*V124+W61*W124+X61*X124+Y61*Y124+Z61*Z124+AA61*AA124+AB61*AB124+AC61*AC124+AD61*AD124+AE61*AE124+AF61*AF124+AG61*AG124+AH61*AH124+AI61*AI124+AJ61*AJ124+AK61*AK124+AL61*AL124+AM61*AM124+AN61*AN124+AO61*AO124+AP61*AP124+AQ61*AQ124+AR61*AR124+AS61*AS124+AT61*AT124+AU61*AU124</s:f>
        <s:v>0</s:v>
      </s:c>
      <s:c r="AW61" t="s">
        <s:v>113</s:v>
      </s:c>
    </s:row>
    <s:row x14ac:dyDescent="0.35" r="62" spans="1:49" ht="27.75" customHeight="1" thickBot="1">
      <s:c r="A62" s="63"/>
      <s:c r="B62" s="78">
        <s:f>B5*B68+B6*B69+B7*B70+B8*B71+B9*B72+B10*B73+B11*B74+B12*B75+B13*B76+B14*B77+B15*B78+B16*B79+B17*B80+B18*B81+B19*B82+B20*B83+B21*B84+B22*B85+B23*B86+B24*B87+B25*B88+B26*B89+B27*B90+B28*B91+B29*B92+B31*B94+B32*B95+B33*B96+B34*B97+B35*B98+B36*B99+B37*B100+B38*B102+B39*B103+B40*B104+B41*B105+B43*B106+B44*B107+B45*B108+B46*B109+B47*B110+B48*B111+B49*B112+B50*B113+B51*B114+B52*B115+B53*B116+B54*B117+B55*B118+B56*B119+B57*B120+B58*B121+B59*B122+B60*B123+B61*B124</s:f>
        <s:v>0</s:v>
      </s:c>
      <s:c r="C62" s="19">
        <s:f>C42*C105+C5*C68+C6*C69+C7*C70+C8*C71+C9*C72+C10*C73+C11*C74+C12*C75+C13*C76+C14*C77+C15*C78+C16*C79+C17*C80+C18*C81+C19*C82+C20*C83+C21*C84+C22*C85+C23*C86+C24*C87+C25*C88+C26*C89+C27*C90+C28*C91+C29*C92+C31*C94+C32*C95+C33*C96+C34*C97+C35*C98+C36*C99+C37*C100+C38*C102+C39*C103+C40*C104+C41*C105+C43*C106+C44*C107+C45*C108+C46*C109+C47*C110+C48*C111+C49*C112+C50*C113+C51*C114+C52*C115+C53*C116+C54*C117+C55*C118+C56*C119+C57*C120+C58*C121+C59*C122+C60*C123+C61*C124</s:f>
        <s:v>1740000</s:v>
      </s:c>
      <s:c r="D62" s="19">
        <s:f>D5*D68+D6*D69+D7*D70+D8*D71+D9*D72+D10*D73+D11*D74+D12*D75+D13*D76+D14*D77+D15*D78+D16*D79+D17*D80+D18*D81+D19*D82+D20*D83+D21*D84+D22*D85+D23*D86+D24*D87+D25*D88+D26*D89+D27*D90+D28*D91+D29*D92+D31*D94+D32*D95+D33*D96+D34*D97+D35*D98+D36*D99+D37*D100+D38*D102+D39*D103+D40*D104+D41*D105+D43*D106+D44*D107+D45*D108+D46*D109+D47*D110+D48*D111+D49*D112+D50*D113+D51*D114+D52*D115+D53*D116+D54*D117+D55*D118+D56*D119+D57*D120+D58*D121+D59*D122+D60*D123+D61*D124</s:f>
        <s:v>5336000</s:v>
      </s:c>
      <s:c r="E62" s="78">
        <s:f>E5*E68+E6*E69+E7*E70+E8*E71+E9*E72+E10*E73+E11*E74+E12*E75+E13*E76+E14*E77+E15*E78+E16*E79+E17*E80+E18*E81+E19*E82+E20*E83+E21*E84+E22*E85+E23*E86+E24*E87+E25*E88+E26*E89+E27*E90+E28*E91+E29*E92+E31*E94+E32*E95+E33*E96+E34*E97+E35*E98+E36*E99+E37*E100+E38*E102+E39*E103+E40*E104+E41*E105+E43*E106+E44*E107+E45*E108+E46*E109+E47*E110+E48*E111+E49*E112+E50*E113+E51*E114+E52*E115+E53*E116+E54*E117+E55*E118+E56*E119+E57*E120+E58*E121+E59*E122+E60*E123+E61*E124</s:f>
        <s:v>0</s:v>
      </s:c>
      <s:c r="F62" s="19">
        <s:f>F5*F68+F6*F69+F7*F70+F8*F71+F9*F72+F10*F73+F11*F74+F12*F75+F13*F76+F14*F77+F15*F78+F16*F79+F17*F80+F18*F81+F19*F82+F20*F83+F21*F84+F22*F85+F23*F86+F24*F87+F25*F88+F26*F89+F27*F90+F28*F91+F29*F92+F31*F94+F32*F95+F33*F96+F34*F97+F35*F98+F36*F99+F37*F100+F38*F102+F39*F103+F40*F104+F41*F105+F43*F106+F44*F107+F45*F108+F46*F109+F47*F110+F48*F111+F49*F112+F50*F113+F51*F114+F52*F115+F53*F116+F54*F117+F55*F118+F56*F119+F57*F120+F58*F121+F59*F122+F60*F123+F61*F124</s:f>
        <s:v>0</s:v>
      </s:c>
      <s:c r="G62" s="19">
        <s:f>G5*G68+G6*G69+G7*G70+G8*G71+G9*G72+G10*G73+G11*G74+G12*G75+G13*G76+G14*G77+G15*G78+G16*G79+G17*G80+G18*G81+G19*G82+G20*G83+G21*G84+G22*G85+G23*G86+G24*G87+G25*G88+G26*G89+G27*G90+G28*G91+G29*G92+G31*G94+G32*G95+G33*G96+G34*G97+G35*G98+G36*G99+G37*G100+G38*G102+G39*G103+G40*G104+G41*G105+G43*G106+G44*G107+G45*G108+G46*G109+G47*G110+G48*G111+G49*G112+G50*G113+G51*G114+G52*G115+G53*G116+G54*G117+G55*G118+G56*G119+G57*G120+G58*G121+G59*G122+G60*G123+G61*G124</s:f>
        <s:v>0</s:v>
      </s:c>
      <s:c r="H62" s="19">
        <s:f>H5*H68+H6*H69+H7*H70+H8*H71+H9*H72+H10*H73+H11*H74+H12*H75+H13*H76+H14*H77+H15*H78+H16*H79+H17*H80+H18*H81+H19*H82+H20*H83+H21*H84+H22*H85+H23*H86+H24*H87+H25*H88+H26*H89+H27*H90+H28*H91+H29*H92+H31*H94+H32*H95+H33*H96+H34*H97+H35*H98+H36*H99+H37*H100+H38*H102+H39*H103+H40*H104+H41*H105+H43*H106+H44*H107+H45*H108+H46*H109+H47*H110+H48*H111+H49*H112+H50*H113+H51*H114+H52*H115+H53*H116+H54*H117+H55*H118+H56*H119+H57*H120+H58*H121+H59*H122+H60*H123+H61*H124</s:f>
        <s:v>0</s:v>
      </s:c>
      <s:c r="I62" s="19">
        <s:f>I5*I68+I6*I69+I7*I70+I8*I71+I9*I72+I10*I73+I11*I74+I12*I75+I13*I76+I14*I77+I15*I78+I16*I79+I17*I80+I18*I81+I19*I82+I20*I83+I21*I84+I22*I85+I23*I86+I24*I87+I25*I88+I26*I89+I27*I90+I28*I91+I29*I92+I31*I94+I32*I95+I33*I96+I34*I97+I35*I98+I36*I99+I37*I100+I38*I102+I39*I103+I40*I104+I41*I105+I43*I106+I44*I107+I45*I108+I46*I109+I47*I110+I48*I111+I49*I112+I50*I113+I51*I114+I52*I115+I53*I116+I54*I117+I55*I118+I56*I119+I57*I120+I58*I121+I59*I122+I60*I123+I61*I124</s:f>
        <s:v>0</s:v>
      </s:c>
      <s:c r="J62" s="19">
        <s:f>J5*J68+J6*J69+J7*J70+J8*J71+J9*J72+J10*J73+J11*J74+J12*J75+J13*J76+J14*J77+J15*J78+J16*J79+J17*J80+J18*J81+J19*J82+J20*J83+J21*J84+J22*J85+J23*J86+J24*J87+J25*J88+J26*J89+J27*J90+J28*J91+J29*J92+J31*J94+J32*J95+J33*J96+J34*J97+J35*J98+J36*J99+J37*J100+J38*J102+J39*J103+J40*J104+J41*J105+J43*J106+J44*J107+J45*J108+J46*J109+J47*J110+J48*J111+J49*J112+J50*J113+J51*J114+J52*J115+J53*J116+J54*J117+J55*J118+J56*J119+J57*J120+J58*J121+J59*J122+J60*J123+J61*J124</s:f>
        <s:v>0</s:v>
      </s:c>
      <s:c r="K62" s="19">
        <s:f>K5*K68+K6*K69+K7*K70+K8*K71+K9*K72+K10*K73+K11*K74+K12*K75+K13*K76+K14*K77+K15*K78+K16*K79+K17*K80+K18*K81+K19*K82+K20*K83+K21*K84+K22*K85+K23*K86+K24*K87+K25*K88+K26*K89+K27*K90+K28*K91+K29*K92+K31*K94+K32*K95+K33*K96+K34*K97+K35*K98+K36*K99+K37*K100+K38*K102+K39*K103+K40*K104+K41*K105+K43*K106+K44*K107+K45*K108+K46*K109+K47*K110+K48*K111+K49*K112+K50*K113+K51*K114+K52*K115+K53*K116+K54*K117+K55*K118+K56*K119+K57*K120+K58*K121+K59*K122+K60*K123+K61*K124</s:f>
        <s:v>0</s:v>
      </s:c>
      <s:c r="L62" s="19">
        <s:f>L5*L68+L6*L69+L7*L70+L8*L71+L9*L72+L10*L73+L11*L74+L12*L75+L13*L76+L14*L77+L15*L78+L16*L79+L17*L80+L18*L81+L19*L82+L20*L83+L21*L84+L22*L85+L23*L86+L24*L87+L25*L88+L26*L89+L27*L90+L28*L91+L29*L92+L31*L94+L32*L95+L33*L96+L34*L97+L35*L98+L36*L99+L37*L100+L38*L102+L39*L103+L40*L104+L41*L105+L43*L106+L44*L107+L45*L108+L46*L109+L47*L110+L48*L111+L49*L112+L50*L113+L51*L114+L52*L115+L53*L116+L54*L117+L55*L118+L56*L119+L57*L120+L58*L121+L59*L122+L60*L123+L61*L124</s:f>
        <s:v>0</s:v>
      </s:c>
      <s:c r="M62" s="19">
        <s:f>M5*M68+M6*M69+M7*M70+M8*M71+M9*M72+M10*M73+M11*M74+M12*M75+M13*M76+M14*M77+M15*M78+M16*M79+M17*M80+M18*M81+M19*M82+M20*M83+M21*M84+M22*M85+M23*M86+M24*M87+M25*M88+M26*M89+M27*M90+M28*M91+M29*M92+M31*M94+M32*M95+M33*M96+M34*M97+M35*M98+M36*M99+M37*M100+M38*M102+M39*M103+M40*M104+M41*M105+M43*M106+M44*M107+M45*M108+M46*M109+M47*M110+M48*M111+M49*M112+M50*M113+M51*M114+M52*M115+M53*M116+M54*M117+M55*M118+M56*M119+M57*M120+M58*M121+M59*M122+M60*M123+M61*M124</s:f>
        <s:v>0</s:v>
      </s:c>
      <s:c r="N62" s="19">
        <s:f>N5*N68+N6*N69+N7*N70+N8*N71+N9*N72+N10*N73+N11*N74+N12*N75+N13*N76+N14*N77+N15*N78+N16*N79+N17*N80+N18*N81+N19*N82+N20*N83+N21*N84+N22*N85+N23*N86+N24*N87+N25*N88+N26*N89+N27*N90+N28*N91+N29*N92+N31*N94+N32*N95+N33*N96+N34*N97+N35*N98+N36*N99+N37*N100+N38*N102+N39*N103+N40*N104+N41*N105+N43*N106+N44*N107+N45*N108+N46*N109+N47*N110+N48*N111+N49*N112+N50*N113+N51*N114+N52*N115+N53*N116+N54*N117+N55*N118+N56*N119+N57*N120+N58*N121+N59*N122+N60*N123+N61*N124</s:f>
        <s:v>0</s:v>
      </s:c>
      <s:c r="O62" s="19">
        <s:f>O5*O68+O6*O69+O7*O70+O8*O71+O9*O72+O10*O73+O11*O74+O12*O75+O13*O76+O14*O77+O15*O78+O16*O79+O17*O80+O18*O81+O19*O82+O20*O83+O21*O84+O22*O85+O23*O86+O24*O87+O25*O88+O26*O89+O27*O90+O28*O91+O29*O92+O31*O94+O32*O95+O33*O96+O34*O97+O35*O98+O36*O99+O37*O100+O38*O102+O39*O103+O40*O104+O41*O105+O43*O106+O44*O107+O45*O108+O46*O109+O47*O110+O48*O111+O49*O112+O50*O113+O51*O114+O52*O115+O53*O116+O54*O117+O55*O118+O56*O119+O57*O120+O58*O121+O59*O122+O60*O123+O61*O124</s:f>
        <s:v>7400800</s:v>
      </s:c>
      <s:c r="P62" s="19">
        <s:f>P5*P68+P6*P69+P7*P70+P8*P71+P9*P72+P10*P73+P11*P74+P12*P75+P13*P76+P14*P77+P15*P78+P16*P79+P17*P80+P18*P81+P19*P82+P20*P83+P21*P84+P22*P85+P23*P86+P24*P87+P25*P88+P26*P89+P27*P90+P28*P91+P29*P92+P31*P94+P32*P95+P33*P96+P34*P97+P35*P98+P36*P99+P37*P100+P38*P102+P39*P103+P40*P104+P41*P105+P43*P106+P44*P107+P45*P108+P46*P109+P47*P110+P48*P111+P49*P112+P50*P113+P51*P114+P52*P115+P53*P116+P54*P117+P55*P118+P56*P119+P57*P120+P58*P121+P59*P122+P60*P123+P61*P124</s:f>
        <s:v>0</s:v>
      </s:c>
      <s:c r="Q62" s="19">
        <s:f>Q5*Q68+Q6*Q69+Q7*Q70+Q8*Q71+Q9*Q72+Q10*Q73+Q11*Q74+Q12*Q75+Q13*Q76+Q14*Q77+Q15*Q78+Q16*Q79+Q17*Q80+Q18*Q81+Q19*Q82+Q20*Q83+Q21*Q84+Q22*Q85+Q23*Q86+Q24*Q87+Q25*Q88+Q26*Q89+Q27*Q90+Q28*Q91+Q29*Q92+Q31*Q94+Q32*Q95+Q33*Q96+Q34*Q97+Q35*Q98+Q36*Q99+Q37*Q100+Q38*Q102+Q39*Q103+Q40*Q104+Q41*Q105+Q43*Q106+Q44*Q107+Q45*Q108+Q46*Q109+Q47*Q110+Q48*Q111+Q49*Q112+Q50*Q113+Q51*Q114+Q52*Q115+Q53*Q116+Q54*Q117+Q55*Q118+Q56*Q119+Q57*Q120+Q58*Q121+Q59*Q122+Q60*Q123+Q61*Q124</s:f>
        <s:v>0</s:v>
      </s:c>
      <s:c r="R62" s="78">
        <s:f>R5*R68+R6*R69+R7*R70+R30*R93+R8*R71+R9*R72+R10*R73+R11*R74+R12*R75+R13*R76+R14*R77+R15*R78+R16*R79+R17*R80+R18*R81+R19*R82+R20*R83+R21*R84+R22*R85+R23*R86+R24*R87+R25*R88+R26*R89+R27*R90+R28*R91+R29*R92+R31*R94+R32*R95+R33*R96+R34*R97+R35*R98+R36*R99+R37*R100+R38*R102+R39*R103+R40*R104+R41*R105+R43*R106+R44*R107+R45*R108+R46*R109+R47*R110+R48*R111+R49*R112+R50*R113+R51*R114+R52*R115+R53*R116+R54*R117+R55*R118+R56*R119+R57*R120+R58*R121+R59*R122+R60*R123+R61*R124</s:f>
        <s:v>3326400.0000000005</s:v>
      </s:c>
      <s:c r="S62" s="19">
        <s:f>S5*S68+S6*S69+S7*S70+S8*S71+S9*S72+S10*S73+S11*S74+S12*S75+S13*S76+S14*S77+S15*S78+S16*S79+S17*S80+S18*S81+S19*S82+S20*S83+S21*S84+S22*S85+S23*S86+S24*S87+S25*S88+S26*S89+S27*S90+S28*S91+S29*S92+S31*S94+S32*S95+S33*S96+S34*S97+S35*S98+S36*S99+S37*S100+S38*S102+S39*S103+S40*S104+S41*S105+S43*S106+S44*S107+S45*S108+S46*S109+S47*S110+S48*S111+S49*S112+S50*S113+S51*S114+S52*S115+S53*S116+S54*S117+S55*S118+S56*S119+S57*S120+S58*S121+S59*S122+S60*S123+S61*S124</s:f>
        <s:v>0</s:v>
      </s:c>
      <s:c r="T62" s="19">
        <s:f>T5*T68+T6*T69+T7*T70+T8*T71+T9*T72+T10*T73+T11*T74+T12*T75+T13*T76+T14*T77+T15*T78+T16*T79+T17*T80+T18*T81+T19*T82+T20*T83+T21*T84+T22*T85+T23*T86+T24*T87+T25*T88+T26*T89+T27*T90+T28*T91+T29*T92+T31*T94+T32*T95+T33*T96+T34*T97+T35*T98+T36*T99+T37*T100+T38*T102+T39*T103+T40*T104+T41*T105+T43*T106+T44*T107+T45*T108+T46*T109+T47*T110+T48*T111+T49*T112+T50*T113+T51*T114+T52*T115+T53*T116+T54*T117+T55*T118+T56*T119+T57*T120+T58*T121+T59*T122+T60*T123+T61*T124</s:f>
        <s:v>3008800</s:v>
      </s:c>
      <s:c r="U62" s="19">
        <s:f>U5*U68+U6*U69+U7*U70+U8*U71+U9*U72+U10*U73+U11*U74+U12*U75+U13*U76+U14*U77+U15*U78+U16*U79+U17*U80+U18*U81+U19*U82+U20*U83+U21*U84+U22*U85+U23*U86+U24*U87+U25*U88+U26*U89+U27*U90+U28*U91+U29*U92+U31*U94+U32*U95+U33*U96+U34*U97+U35*U98+U36*U99+U37*U100+U38*U102+U39*U103+U40*U104+U41*U105+U43*U106+U44*U107+U45*U108+U46*U109+U47*U110+U48*U111+U49*U112+U50*U113+U51*U114+U52*U115+U53*U116+U54*U117+U55*U118+U56*U119+U57*U120+U58*U121+U59*U122+U60*U123+U61*U124</s:f>
        <s:v>0</s:v>
      </s:c>
      <s:c r="V62" s="19">
        <s:f>V5*V68+V6*V69+V7*V70+V8*V71+V9*V72+V10*V73+V11*V74+V12*V75+V13*V76+V14*V77+V15*V78+V16*V79+V17*V80+V18*V81+V19*V82+V20*V83+V21*V84+V22*V85+V23*V86+V24*V87+V25*V88+V26*V89+V27*V90+V28*V91+V29*V92+V31*V94+V32*V95+V33*V96+V34*V97+V35*V98+V36*V99+V37*V100+V38*V102+V39*V103+V40*V104+V41*V105+V43*V106+V44*V107+V45*V108+V46*V109+V47*V110+V48*V111+V49*V112+V50*V113+V51*V114+V52*V115+V53*V116+V54*V117+V55*V118+V56*V119+V57*V120+V58*V121+V59*V122+V60*V123+V61*V124</s:f>
        <s:v>0</s:v>
      </s:c>
      <s:c r="W62" s="19">
        <s:f>W5*W68+W6*W69+W7*W70+W8*W71+W9*W72+W10*W73+W11*W74+W12*W75+W13*W76+W14*W77+W15*W78+W16*W79+W17*W80+W18*W81+W19*W82+W20*W83+W21*W84+W22*W85+W23*W86+W24*W87+W25*W88+W26*W89+W27*W90+W28*W91+W29*W92+W31*W94+W32*W95+W33*W96+W34*W97+W35*W98+W36*W99+W37*W100+W38*W102+W39*W103+W40*W104+W41*W105+W43*W106+W44*W107+W45*W108+W46*W109+W47*W110+W48*W111+W49*W112+W50*W113+W51*W114+W52*W115+W53*W116+W54*W117+W55*W118+W56*W119+W57*W120+W58*W121+W59*W122+W60*W123+W61*W124</s:f>
        <s:v>0</s:v>
      </s:c>
      <s:c r="X62" s="19">
        <s:f>X5*X68+X6*X69+X7*X70+X8*X71+X9*X72+X10*X73+X11*X74+X12*X75+X13*X76+X14*X77+X15*X78+X16*X79+X17*X80+X18*X81+X19*X82+X20*X83+X21*X84+X22*X85+X23*X86+X24*X87+X25*X88+X26*X89+X27*X90+X28*X91+X29*X92+X31*X94+X32*X95+X33*X96+X34*X97+X35*X98+X36*X99+X37*X100+X38*X102+X39*X103+X40*X104+X41*X105+X43*X106+X44*X107+X45*X108+X46*X109+X47*X110+X48*X111+X49*X112+X50*X113+X51*X114+X52*X115+X53*X116+X54*X117+X55*X118+X56*X119+X57*X120+X58*X121+X59*X122+X60*X123+X61*X124</s:f>
        <s:v>669600</s:v>
      </s:c>
      <s:c r="Y62" s="19">
        <s:f>Y5*Y68+Y6*Y69+Y7*Y70+Y8*Y71+Y9*Y72+Y10*Y73+Y11*Y74+Y12*Y75+Y13*Y76+Y14*Y77+Y15*Y78+Y16*Y79+Y17*Y80+Y18*Y81+Y19*Y82+Y20*Y83+Y21*Y84+Y22*Y85+Y23*Y86+Y24*Y87+Y25*Y88+Y26*Y89+Y27*Y90+Y28*Y91+Y29*Y92+Y31*Y94+Y32*Y95+Y33*Y96+Y34*Y97+Y35*Y98+Y36*Y99+Y37*Y100+Y38*Y102+Y39*Y103+Y40*Y104+Y41*Y105+Y43*Y106+Y44*Y107+Y45*Y108+Y46*Y109+Y47*Y110+Y48*Y111+Y49*Y112+Y50*Y113+Y51*Y114+Y52*Y115+Y53*Y116+Y54*Y117+Y55*Y118+Y56*Y119+Y57*Y120+Y58*Y121+Y59*Y122+Y60*Y123+Y61*Y124</s:f>
        <s:v>210000</s:v>
      </s:c>
      <s:c r="Z62" s="78">
        <s:f>Z5*Z68+Z6*Z69+Z7*Z70+Z8*Z71+Z9*Z72+Z10*Z73+Z11*Z74+Z12*Z75+Z13*Z76+Z14*Z77+Z15*Z78+Z16*Z79+Z17*Z80+Z18*Z81+Z19*Z82+Z20*Z83+Z21*Z84+Z22*Z85+Z23*Z86+Z24*Z87+Z25*Z88+Z26*Z89+Z27*Z90+Z28*Z91+Z29*Z92+Z31*Z94+Z32*Z95+Z33*Z96+Z34*Z97+Z35*Z98+Z36*Z99+Z37*Z100+Z38*Z102+Z39*Z103+Z40*Z104+Z41*Z105+Z43*Z106+Z44*Z107+Z45*Z108+Z46*Z109+Z47*Z110+Z48*Z111+Z49*Z112+Z50*Z113+Z51*Z114+Z52*Z115+Z53*Z116+Z54*Z117+Z55*Z118+Z56*Z119+Z57*Z120+Z58*Z121+Z59*Z122+Z60*Z123+Z61*Z124</s:f>
        <s:v>500000</s:v>
      </s:c>
      <s:c r="AA62" s="19">
        <s:f>AA5*AA68+AA6*AA69+AA7*AA70+AA8*AA71+AA9*AA72+AA10*AA73+AA11*AA74+AA12*AA75+AA13*AA76+AA14*AA77+AA15*AA78+AA16*AA79+AA17*AA80+AA18*AA81+AA19*AA82+AA20*AA83+AA21*AA84+AA22*AA85+AA23*AA86+AA24*AA87+AA25*AA88+AA26*AA89+AA27*AA90+AA28*AA91+AA29*AA92+AA31*AA94+AA32*AA95+AA33*AA96+AA34*AA97+AA35*AA98+AA36*AA99+AA37*AA100+AA38*AA102+AA39*AA103+AA40*AA104+AA41*AA105+AA43*AA106+AA44*AA107+AA45*AA108+AA46*AA109+AA47*AA110+AA48*AA111+AA49*AA112+AA50*AA113+AA51*AA114+AA52*AA115+AA53*AA116+AA54*AA117+AA55*AA118+AA56*AA119+AA57*AA120+AA58*AA121+AA59*AA122+AA60*AA123+AA61*AA124</s:f>
        <s:v>0</s:v>
      </s:c>
      <s:c r="AB62" s="19">
        <s:f>AB5*AB68+AB6*AB69+AB7*AB70+AB8*AB71+AB9*AB72+AB10*AB73+AB11*AB74+AB12*AB75+AB13*AB76+AB14*AB77+AB15*AB78+AB16*AB79+AB17*AB80+AB18*AB81+AB19*AB82+AB20*AB83+AB21*AB84+AB22*AB85+AB23*AB86+AB24*AB87+AB25*AB88+AB26*AB89+AB27*AB90+AB28*AB91+AB29*AB92+AB31*AB94+AB32*AB95+AB33*AB96+AB34*AB97+AB35*AB98+AB36*AB99+AB37*AB100+AB38*AB102+AB39*AB103+AB40*AB104+AB41*AB105+AB43*AB106+AB44*AB107+AB45*AB108+AB46*AB109+AB47*AB110+AB48*AB111+AB49*AB112+AB50*AB113+AB51*AB114+AB52*AB115+AB53*AB116+AB54*AB117+AB55*AB118+AB56*AB119+AB57*AB120+AB58*AB121+AB59*AB122+AB60*AB123+AB61*AB124</s:f>
        <s:v>2500000</s:v>
      </s:c>
      <s:c r="AC62" s="19">
        <s:f>AC5*AC68+AC6*AC69+AC7*AC70+AC8*AC71+AC9*AC72+AC10*AC73+AC11*AC74+AC12*AC75+AC13*AC76+AC14*AC77+AC15*AC78+AC16*AC79+AC17*AC80+AC18*AC81+AC19*AC82+AC20*AC83+AC21*AC84+AC22*AC85+AC23*AC86+AC24*AC87+AC25*AC88+AC26*AC89+AC27*AC90+AC28*AC91+AC29*AC92+AC31*AC94+AC32*AC95+AC33*AC96+AC34*AC97+AC35*AC98+AC36*AC99+AC37*AC100+AC38*AC102+AC39*AC103+AC40*AC104+AC41*AC105+AC43*AC106+AC44*AC107+AC45*AC108+AC46*AC109+AC47*AC110+AC48*AC111+AC49*AC112+AC50*AC113+AC51*AC114+AC52*AC115+AC53*AC116+AC54*AC117+AC55*AC118+AC56*AC119+AC57*AC120+AC58*AC121+AC59*AC122+AC60*AC123+AC61*AC124</s:f>
        <s:v>0</s:v>
      </s:c>
      <s:c r="AD62" s="19">
        <s:f>AD5*AD68+AD6*AD69+AD7*AD70+AD8*AD71+AD9*AD72+AD10*AD73+AD11*AD74+AD12*AD75+AD13*AD76+AD14*AD77+AD15*AD78+AD16*AD79+AD17*AD80+AD18*AD81+AD19*AD82+AD20*AD83+AD21*AD84+AD22*AD85+AD23*AD86+AD24*AD87+AD25*AD88+AD26*AD89+AD27*AD90+AD28*AD91+AD29*AD92+AD31*AD94+AD32*AD95+AD33*AD96+AD34*AD97+AD35*AD98+AD36*AD99+AD37*AD100+AD38*AD102+AD39*AD103+AD40*AD104+AD41*AD105+AD43*AD106+AD44*AD107+AD45*AD108+AD46*AD109+AD47*AD110+AD48*AD111+AD49*AD112+AD50*AD113+AD51*AD114+AD52*AD115+AD53*AD116+AD54*AD117+AD55*AD118+AD56*AD119+AD57*AD120+AD58*AD121+AD59*AD122+AD60*AD123+AD61*AD124</s:f>
        <s:v>0</s:v>
      </s:c>
      <s:c r="AE62" s="78">
        <s:f>AE5*AE68+AE6*AE69+AE7*AE70+AE8*AE71+AE9*AE72+AE10*AE73+AE11*AE74+AE12*AE75+AE13*AE76+AE14*AE77+AE15*AE78+AE16*AE79+AE17*AE80+AE18*AE81+AE19*AE82+AE20*AE83+AE21*AE84+AE22*AE85+AE23*AE86+AE24*AE87+AE25*AE88+AE26*AE89+AE27*AE90+AE28*AE91+AE29*AE92+AE31*AE94+AE32*AE95+AE33*AE96+AE34*AE97+AE35*AE98+AE36*AE99+AE37*AE100+AE38*AE102+AE39*AE103+AE40*AE104+AE41*AE105+AE43*AE106+AE44*AE107+AE45*AE108+AE46*AE109+AE47*AE110+AE48*AE111+AE49*AE112+AE50*AE113+AE51*AE114+AE52*AE115+AE53*AE116+AE54*AE117+AE55*AE118+AE56*AE119+AE57*AE120+AE58*AE121+AE59*AE122+AE60*AE123+AE61*AE124</s:f>
        <s:v>0</s:v>
      </s:c>
      <s:c r="AF62" s="19">
        <s:f>AF5*AF68+AF6*AF69+AF7*AF70+AF8*AF71+AF9*AF72+AF10*AF73+AF11*AF74+AF12*AF75+AF13*AF76+AF14*AF77+AF15*AF78+AF16*AF79+AF17*AF80+AF18*AF81+AF19*AF82+AF20*AF83+AF21*AF84+AF22*AF85+AF23*AF86+AF24*AF87+AF25*AF88+AF26*AF89+AF27*AF90+AF28*AF91+AF29*AF92+AF31*AF94+AF32*AF95+AF33*AF96+AF34*AF97+AF35*AF98+AF36*AF99+AF37*AF100+AF38*AF102+AF39*AF103+AF40*AF104+AF41*AF105+AF43*AF106+AF44*AF107+AF45*AF108+AF46*AF109+AF47*AF110+AF48*AF111+AF49*AF112+AF50*AF113+AF51*AF114+AF52*AF115+AF53*AF116+AF54*AF117+AF55*AF118+AF56*AF119+AF57*AF120+AF58*AF121+AF59*AF122+AF60*AF123+AF61*AF124</s:f>
        <s:v>0</s:v>
      </s:c>
      <s:c r="AG62" s="19">
        <s:f>AG5*AG68+AG6*AG69+AG7*AG70+AG8*AG71+AG9*AG72+AG10*AG73+AG11*AG74+AG12*AG75+AG13*AG76+AG14*AG77+AG15*AG78+AG16*AG79+AG17*AG80+AG18*AG81+AG19*AG82+AG20*AG83+AG21*AG84+AG22*AG85+AG23*AG86+AG24*AG87+AG25*AG88+AG26*AG89+AG27*AG90+AG28*AG91+AG29*AG92+AG31*AG94+AG32*AG95+AG33*AG96+AG34*AG97+AG35*AG98+AG36*AG99+AG37*AG100+AG38*AG102+AG39*AG103+AG40*AG104+AG41*AG105+AG43*AG106+AG44*AG107+AG45*AG108+AG46*AG109+AG47*AG110+AG48*AG111+AG49*AG112+AG50*AG113+AG51*AG114+AG52*AG115+AG53*AG116+AG54*AG117+AG55*AG118+AG56*AG119+AG57*AG120+AG58*AG121+AG59*AG122+AG60*AG123+AG61*AG124</s:f>
        <s:v>0</s:v>
      </s:c>
      <s:c r="AH62" s="78">
        <s:f>AH5*AH68+AH6*AH69+AH7*AH70+AH8*AH71+AH9*AH72+AH10*AH73+AH11*AH74+AH12*AH75+AH13*AH76+AH14*AH77+AH15*AH78+AH16*AH79+AH17*AH80+AH18*AH81+AH19*AH82+AH20*AH83+AH21*AH84+AH22*AH85+AH23*AH86+AH24*AH87+AH25*AH88+AH26*AH89+AH27*AH90+AH28*AH91+AH29*AH92+AH31*AH94+AH32*AH95+AH33*AH96+AH34*AH97+AH35*AH98+AH36*AH99+AH37*AH100+AH38*AH102+AH39*AH103+AH40*AH104+AH41*AH105+AH43*AH106+AH44*AH107+AH45*AH108+AH46*AH109+AH47*AH110+AH48*AH111+AH49*AH112+AH50*AH113+AH51*AH114+AH52*AH115+AH53*AH116+AH54*AH117+AH55*AH118+AH56*AH119+AH57*AH120+AH58*AH121+AH59*AH122+AH60*AH123+AH61*AH124</s:f>
        <s:v>0</s:v>
      </s:c>
      <s:c r="AI62" s="78">
        <s:f>AI5*AI68+AI6*AI69+AI7*AI70+AI8*AI71+AI9*AI72+AI10*AI73+AI11*AI74+AI12*AI75+AI13*AI76+AI14*AI77+AI15*AI78+AI16*AI79+AI17*AI80+AI18*AI81+AI19*AI82+AI20*AI83+AI21*AI84+AI22*AI85+AI23*AI86+AI24*AI87+AI25*AI88+AI26*AI89+AI27*AI90+AI28*AI91+AI29*AI92+AI31*AI94+AI32*AI95+AI33*AI96+AI34*AI97+AI35*AI98+AI36*AI99+AI37*AI100+AI38*AI102+AI39*AI103+AI40*AI104+AI41*AI105+AI43*AI106+AI44*AI107+AI45*AI108+AI46*AI109+AI47*AI110+AI48*AI111+AI49*AI112+AI50*AI113+AI51*AI114+AI52*AI115+AI53*AI116+AI54*AI117+AI55*AI118+AI56*AI119+AI57*AI120+AI58*AI121+AI59*AI122+AI60*AI123+AI61*AI124</s:f>
        <s:v>0</s:v>
      </s:c>
      <s:c r="AJ62" s="19">
        <s:f>AJ5*AJ68+AJ6*AJ69+AJ7*AJ70+AJ8*AJ71+AJ9*AJ72+AJ10*AJ73+AJ11*AJ74+AJ12*AJ75+AJ13*AJ76+AJ14*AJ77+AJ15*AJ78+AJ16*AJ79+AJ17*AJ80+AJ18*AJ81+AJ19*AJ82+AJ20*AJ83+AJ21*AJ84+AJ22*AJ85+AJ23*AJ86+AJ24*AJ87+AJ25*AJ88+AJ26*AJ89+AJ27*AJ90+AJ28*AJ91+AJ29*AJ92+AJ31*AJ94+AJ32*AJ95+AJ33*AJ96+AJ34*AJ97+AJ35*AJ98+AJ36*AJ99+AJ37*AJ100+AJ38*AJ102+AJ39*AJ103+AJ40*AJ104+AJ41*AJ105+AJ43*AJ106+AJ44*AJ107+AJ45*AJ108+AJ46*AJ109+AJ47*AJ110+AJ48*AJ111+AJ49*AJ112+AJ50*AJ113+AJ51*AJ114+AJ52*AJ115+AJ53*AJ116+AJ54*AJ117+AJ55*AJ118+AJ56*AJ119+AJ57*AJ120+AJ58*AJ121+AJ59*AJ122+AJ60*AJ123+AJ61*AJ124</s:f>
        <s:v>0</s:v>
      </s:c>
      <s:c r="AK62" s="78">
        <s:f>AK5*AK68+AK6*AK69+AK7*AK70+AK8*AK71+AK9*AK72+AK10*AK73+AK11*AK74+AK12*AK75+AK13*AK76+AK14*AK77+AK15*AK78+AK16*AK79+AK17*AK80+AK18*AK81+AK19*AK82+AK20*AK83+AK21*AK84+AK22*AK85+AK23*AK86+AK24*AK87+AK25*AK88+AK26*AK89+AK27*AK90+AK28*AK91+AK29*AK92+AK31*AK94+AK32*AK95+AK33*AK96+AK34*AK97+AK35*AK98+AK36*AK99+AK37*AK100+AK38*AK102+AK39*AK103+AK40*AK104+AK41*AK105+AK43*AK106+AK44*AK107+AK45*AK108+AK46*AK109+AK47*AK110+AK48*AK111+AK49*AK112+AK50*AK113+AK51*AK114+AK52*AK115+AK53*AK116+AK54*AK117+AK55*AK118+AK56*AK119+AK57*AK120+AK58*AK121+AK59*AK122+AK60*AK123+AK61*AK124</s:f>
        <s:v>620800</s:v>
      </s:c>
      <s:c r="AL62" s="19">
        <s:f>AL5*AL68+AL6*AL69+AL7*AL70+AL8*AL71+AL9*AL72+AL10*AL73+AL11*AL74+AL12*AL75+AL13*AL76+AL14*AL77+AL15*AL78+AL16*AL79+AL17*AL80+AL18*AL81+AL19*AL82+AL20*AL83+AL21*AL84+AL22*AL85+AL23*AL86+AL24*AL87+AL25*AL88+AL26*AL89+AL27*AL90+AL28*AL91+AL29*AL92+AL31*AL94+AL32*AL95+AL33*AL96+AL34*AL97+AL35*AL98+AL36*AL99+AL37*AL100+AL38*AL102+AL39*AL103+AL40*AL104+AL41*AL105+AL43*AL106+AL44*AL107+AL45*AL108+AL46*AL109+AL47*AL110+AL48*AL111+AL49*AL112+AL50*AL113+AL51*AL114+AL52*AL115+AL53*AL116+AL54*AL117+AL55*AL118+AL56*AL119+AL57*AL120+AL58*AL121+AL59*AL122+AL60*AL123+AL61*AL124</s:f>
        <s:v>810000</s:v>
      </s:c>
      <s:c r="AM62" s="19">
        <s:f>AM5*AM68+AM6*AM69+AM7*AM70+AM8*AM71+AM9*AM72+AM10*AM73+AM11*AM74+AM12*AM75+AM13*AM76+AM14*AM77+AM15*AM78+AM16*AM79+AM17*AM80+AM18*AM81+AM19*AM82+AM20*AM83+AM21*AM84+AM22*AM85+AM23*AM86+AM24*AM87+AM25*AM88+AM26*AM89+AM27*AM90+AM28*AM91+AM29*AM92+AM31*AM94+AM32*AM95+AM33*AM96+AM34*AM97+AM35*AM98+AM36*AM99+AM37*AM100+AM38*AM102+AM39*AM103+AM40*AM104+AM41*AM105+AM43*AM106+AM44*AM107+AM45*AM108+AM46*AM109+AM47*AM110+AM48*AM111+AM49*AM112+AM50*AM113+AM51*AM114+AM52*AM115+AM53*AM116+AM54*AM117+AM55*AM118+AM56*AM119+AM57*AM120+AM58*AM121+AM59*AM122+AM60*AM123+AM61*AM124</s:f>
        <s:v>0</s:v>
      </s:c>
      <s:c r="AN62" s="19">
        <s:f>AN5*AN68+AN6*AN69+AN7*AN70+AN8*AN71+AN9*AN72+AN10*AN73+AN11*AN74+AN12*AN75+AN13*AN76+AN14*AN77+AN15*AN78+AN16*AN79+AN17*AN80+AN18*AN81+AN19*AN82+AN20*AN83+AN21*AN84+AN22*AN85+AN23*AN86+AN24*AN87+AN25*AN88+AN26*AN89+AN27*AN90+AN28*AN91+AN29*AN92+AN31*AN94+AN32*AN95+AN33*AN96+AN34*AN97+AN35*AN98+AN36*AN99+AN37*AN100+AN38*AN102+AN39*AN103+AN40*AN104+AN41*AN105+AN43*AN106+AN44*AN107+AN45*AN108+AN46*AN109+AN47*AN110+AN48*AN111+AN49*AN112+AN50*AN113+AN51*AN114+AN52*AN115+AN53*AN116+AN54*AN117+AN55*AN118+AN56*AN119+AN57*AN120+AN58*AN121+AN59*AN122+AN60*AN123+AN61*AN124</s:f>
        <s:v>0</s:v>
      </s:c>
      <s:c r="AO62" s="19">
        <s:f>AO5*AO68+AO6*AO69+AO7*AO70+AO8*AO71+AO9*AO72+AO10*AO73+AO11*AO74+AO12*AO75+AO13*AO76+AO14*AO77+AO15*AO78+AO16*AO79+AO17*AO80+AO18*AO81+AO19*AO82+AO20*AO83+AO21*AO84+AO22*AO85+AO23*AO86+AO24*AO87+AO25*AO88+AO26*AO89+AO27*AO90+AO28*AO91+AO29*AO92+AO31*AO94+AO32*AO95+AO33*AO96+AO34*AO97+AO35*AO98+AO36*AO99+AO37*AO100+AO38*AO102+AO39*AO103+AO40*AO104+AO41*AO105+AO43*AO106+AO44*AO107+AO45*AO108+AO46*AO109+AO47*AO110+AO48*AO111+AO49*AO112+AO50*AO113+AO51*AO114+AO52*AO115+AO53*AO116+AO54*AO117+AO55*AO118+AO56*AO119+AO57*AO120+AO58*AO121+AO59*AO122+AO60*AO123+AO61*AO124</s:f>
        <s:v>0</s:v>
      </s:c>
      <s:c r="AP62" s="19">
        <s:f>AP5*AP68+AP6*AP69+AP7*AP70+AP8*AP71+AP9*AP72+AP93*AP30+AP10*AP73+AP11*AP74+AP12*AP75+AP13*AP76+AP14*AP77+AP15*AP78+AP16*AP79+AP17*AP80+AP18*AP81+AP19*AP82+AP20*AP83+AP21*AP84+AP22*AP85+AP23*AP86+AP24*AP87+AP25*AP88+AP26*AP89+AP27*AP90+AP28*AP91+AP29*AP92+AP31*AP94+AP32*AP95+AP33*AP96+AP34*AP97+AP35*AP98+AP36*AP99+AP37*AP100+AP38*AP102+AP39*AP103+AP40*AP104+AP41*AP105+AP43*AP106+AP44*AP107+AP45*AP108+AP46*AP109+AP47*AP110+AP48*AP111+AP49*AP112+AP50*AP113+AP51*AP114+AP52*AP115+AP53*AP116+AP54*AP117+AP55*AP118+AP56*AP119+AP57*AP120+AP58*AP121+AP59*AP122+AP60*AP123+AP61*AP124</s:f>
        <s:v>0</s:v>
      </s:c>
      <s:c r="AQ62" s="19">
        <s:f>AQ5*AQ68+AQ6*AQ69+AQ7*AQ70+AQ8*AQ71+AQ9*AQ72+AQ10*AQ73+AQ11*AQ74+AQ12*AQ75+AQ13*AQ76+AQ14*AQ77+AQ15*AQ78+AQ16*AQ79+AQ17*AQ80+AQ18*AQ81+AQ19*AQ82+AQ20*AQ83+AQ21*AQ84+AQ22*AQ85+AQ23*AQ86+AQ24*AQ87+AQ25*AQ88+AQ26*AQ89+AQ27*AQ90+AQ28*AQ91+AQ29*AQ92+AQ31*AQ94+AQ32*AQ95+AQ33*AQ96+AQ34*AQ97+AQ35*AQ98+AQ36*AQ99+AQ37*AQ100+AQ38*AQ102+AQ39*AQ103+AQ40*AQ104+AQ41*AQ105+AQ43*AQ106+AQ44*AQ107+AQ45*AQ108+AQ46*AQ109+AQ47*AQ110+AQ48*AQ111+AQ49*AQ112+AQ50*AQ113+AQ51*AQ114+AQ52*AQ115+AQ53*AQ116+AQ54*AQ117+AQ55*AQ118+AQ56*AQ119+AQ57*AQ120+AQ58*AQ121+AQ59*AQ122+AQ60*AQ123+AQ61*AQ124</s:f>
        <s:v>0</s:v>
      </s:c>
      <s:c r="AR62" s="19">
        <s:f>AR5*AR68+AR6*AR69+AR7*AR70+AR8*AR71+AR9*AR72+AR10*AR73+AR11*AR74+AR12*AR75+AR13*AR76+AR14*AR77+AR15*AR78+AR16*AR79+AR17*AR80+AR18*AR81+AR19*AR82+AR20*AR83+AR21*AR84+AR22*AR85+AR23*AR86+AR24*AR87+AR25*AR88+AR26*AR89+AR27*AR90+AR28*AR91+AR29*AR92+AR31*AR94+AR32*AR95+AR33*AR96+AR34*AR97+AR35*AR98+AR36*AR99+AR37*AR100+AR38*AR102+AR39*AR103+AR40*AR104+AR41*AR105+AR43*AR106+AR44*AR107+AR45*AR108+AR46*AR109+AR47*AR110+AR48*AR111+AR49*AR112+AR50*AR113+AR51*AR114+AR52*AR115+AR53*AR116+AR54*AR117+AR55*AR118+AR56*AR119+AR57*AR120+AR58*AR121+AR59*AR122+AR60*AR123+AR61*AR124</s:f>
        <s:v>0</s:v>
      </s:c>
      <s:c r="AS62" s="19">
        <s:f>AS5*AS68+AS6*AS69+AS7*AS70+AS8*AS71+AS9*AS72+AS10*AS73+AS11*AS74+AS12*AS75+AS13*AS76+AS14*AS77+AS15*AS78+AS16*AS79+AS17*AS80+AS18*AS81+AS19*AS82+AS20*AS83+AS21*AS84+AS22*AS85+AS23*AS86+AS24*AS87+AS25*AS88+AS26*AS89+AS27*AS90+AS28*AS91+AS29*AS92+AS31*AS94+AS32*AS95+AS33*AS96+AS34*AS97+AS35*AS98+AS36*AS99+AS37*AS100+AS38*AS102+AS39*AS103+AS40*AS104+AS41*AS105+AS43*AS106+AS44*AS107+AS45*AS108+AS46*AS109+AS47*AS110+AS48*AS111+AS49*AS112+AS50*AS113+AS51*AS114+AS52*AS115+AS53*AS116+AS54*AS117+AS55*AS118+AS56*AS119+AS57*AS120+AS58*AS121+AS59*AS122+AS60*AS123+AS61*AS124</s:f>
        <s:v>0</s:v>
      </s:c>
      <s:c r="AT62" s="19">
        <s:f>AT5*AT68+AT6*AT69+AT7*AT70+AT8*AT71+AT9*AT72+AT10*AT73+AT11*AT74+AT12*AT75+AT13*AT76+AT14*AT77+AT15*AT78+AT16*AT79+AT17*AT80+AT18*AT81+AT19*AT82+AT20*AT83+AT21*AT84+AT22*AT85+AT23*AT86+AT24*AT87+AT25*AT88+AT26*AT89+AT27*AT90+AT28*AT91+AT29*AT92+AT31*AT94+AT32*AT95+AT33*AT96+AT34*AT97+AT35*AT98+AT36*AT99+AT37*AT100+AT38*AT102+AT39*AT103+AT40*AT104+AT41*AT105+AT43*AT106+AT44*AT107+AT45*AT108+AT46*AT109+AT47*AT110+AT48*AT111+AT49*AT112+AT50*AT113+AT51*AT114+AT52*AT115+AT53*AT116+AT54*AT117+AT55*AT118+AT56*AT119+AT57*AT120+AT58*AT121+AT59*AT122+AT60*AT123+AT61*AT124</s:f>
        <s:v>812800</s:v>
      </s:c>
      <s:c r="AU62" s="19">
        <s:f>AU5*AU68+AU6*AU69+AU7*AU70+AU8*AU71+AU9*AU72+AU10*AU73+AU11*AU74+AU12*AU75+AU13*AU76+AU14*AU77+AU15*AU78+AU16*AU79+AU17*AU80+AU18*AU81+AU19*AU82+AU20*AU83+AU21*AU84+AU22*AU85+AU23*AU86+AU24*AU87+AU25*AU88+AU26*AU89+AU27*AU90+AU28*AU91+AU29*AU92+AU31*AU94+AU32*AU95+AU33*AU96+AU34*AU97+AU35*AU98+AU36*AU99+AU37*AU100+AU38*AU102+AU39*AU103+AU40*AU104+AU41*AU105+AU43*AU106+AU44*AU107+AU45*AU108+AU46*AU109+AU47*AU110+AU48*AU111+AU49*AU112+AU50*AU113+AU51*AU114+AU52*AU115+AU53*AU116+AU54*AU117+AU55*AU118+AU56*AU119+AU57*AU120+AU58*AU121+AU59*AU122+AU60*AU123+AU61*AU124</s:f>
        <s:v>0</s:v>
      </s:c>
      <s:c r="AV62" s="64">
        <s:f>SUM(A62:AU62)</s:f>
        <s:v>26935200</s:v>
      </s:c>
    </s:row>
    <s:row r="63" ht="19.5">
      <s:c r="A63" s="65"/>
      <s:c r="B63" s="66">
        <s:f>SUM(B5:B61)</s:f>
        <s:v>0</s:v>
      </s:c>
      <s:c r="C63" s="66">
        <s:f>SUM(C5:C61)</s:f>
        <s:v>40</s:v>
      </s:c>
      <s:c r="D63" s="66">
        <s:f>SUM(D5:D61)</s:f>
        <s:v>120</s:v>
      </s:c>
      <s:c r="E63" s="66">
        <s:f>SUM(E5:E61)</s:f>
        <s:v>0</s:v>
      </s:c>
      <s:c r="F63" s="66">
        <s:f>SUM(F5:F61)</s:f>
        <s:v>0</s:v>
      </s:c>
      <s:c r="G63" s="66">
        <s:f>SUM(G5:G61)</s:f>
        <s:v>0</s:v>
      </s:c>
      <s:c r="H63" s="66">
        <s:f>SUM(H5:H61)</s:f>
        <s:v>0</s:v>
      </s:c>
      <s:c r="I63" s="66">
        <s:f>SUM(I5:I61)</s:f>
        <s:v>0</s:v>
      </s:c>
      <s:c r="J63" s="66">
        <s:f>SUM(J5:J61)</s:f>
        <s:v>0</s:v>
      </s:c>
      <s:c r="K63" s="66">
        <s:f>SUM(K5:K61)</s:f>
        <s:v>0</s:v>
      </s:c>
      <s:c r="L63" s="66">
        <s:f>SUM(L5:L61)</s:f>
        <s:v>0</s:v>
      </s:c>
      <s:c r="M63" s="66">
        <s:f>SUM(M5:M61)</s:f>
        <s:v>0</s:v>
      </s:c>
      <s:c r="N63" s="66">
        <s:f>SUM(N5:N61)</s:f>
        <s:v>0</s:v>
      </s:c>
      <s:c r="O63" s="66">
        <s:f>SUM(O5:O61)</s:f>
        <s:v>88</s:v>
      </s:c>
      <s:c r="P63" s="66">
        <s:f>SUM(P5:P61)</s:f>
        <s:v>0</s:v>
      </s:c>
      <s:c r="Q63" s="66">
        <s:f>SUM(Q5:Q61)</s:f>
        <s:v>0</s:v>
      </s:c>
      <s:c r="R63" s="66">
        <s:f>SUM(R5:R61)</s:f>
        <s:v>35.200000000000003</s:v>
      </s:c>
      <s:c r="S63" s="66">
        <s:f>SUM(S5:S61)</s:f>
        <s:v>0</s:v>
      </s:c>
      <s:c r="T63" s="66">
        <s:f>SUM(T5:T61)</s:f>
        <s:v>23.200000000000003</s:v>
      </s:c>
      <s:c r="U63" s="66">
        <s:f>SUM(U5:U61)</s:f>
        <s:v>0</s:v>
      </s:c>
      <s:c r="V63" s="66">
        <s:f>SUM(V5:V61)</s:f>
        <s:v>0</s:v>
      </s:c>
      <s:c r="W63" s="66">
        <s:f>SUM(W5:W61)</s:f>
        <s:v>0</s:v>
      </s:c>
      <s:c r="X63" s="66">
        <s:f>SUM(X5:X61)</s:f>
        <s:v>2.16</s:v>
      </s:c>
      <s:c r="Y63" s="66">
        <s:f>SUM(Y5:Y61)</s:f>
        <s:v>3</s:v>
      </s:c>
      <s:c r="Z63" s="66">
        <s:f>SUM(Z5:Z61)</s:f>
        <s:v>2</s:v>
      </s:c>
      <s:c r="AA63" s="66">
        <s:f>SUM(AA5:AA61)</s:f>
        <s:v>0</s:v>
      </s:c>
      <s:c r="AB63" s="66">
        <s:f>SUM(AB5:AB61)</s:f>
        <s:v>10</s:v>
      </s:c>
      <s:c r="AC63" s="66">
        <s:f>SUM(AC5:AC61)</s:f>
        <s:v>0</s:v>
      </s:c>
      <s:c r="AD63" s="66">
        <s:f>SUM(AD5:AD61)</s:f>
        <s:v>0</s:v>
      </s:c>
      <s:c r="AE63" s="66">
        <s:f>SUM(AE5:AE61)</s:f>
        <s:v>0</s:v>
      </s:c>
      <s:c r="AF63" s="66">
        <s:f>SUM(AF5:AF61)</s:f>
        <s:v>0</s:v>
      </s:c>
      <s:c r="AG63" s="66">
        <s:f>SUM(AG5:AG61)</s:f>
        <s:v>0</s:v>
      </s:c>
      <s:c r="AH63" s="66">
        <s:f>SUM(AH5:AH61)</s:f>
        <s:v>0</s:v>
      </s:c>
      <s:c r="AI63" s="66">
        <s:f>SUM(AI5:AI61)</s:f>
        <s:v>0</s:v>
      </s:c>
      <s:c r="AJ63" s="66">
        <s:f>SUM(AJ5:AJ61)</s:f>
        <s:v>0</s:v>
      </s:c>
      <s:c r="AK63" s="66">
        <s:f>SUM(AK5:AK61)</s:f>
        <s:v>6.4</s:v>
      </s:c>
      <s:c r="AL63" s="66">
        <s:f>SUM(AL5:AL61)</s:f>
        <s:v>3</s:v>
      </s:c>
      <s:c r="AM63" s="66">
        <s:f>SUM(AM5:AM61)</s:f>
        <s:v>0</s:v>
      </s:c>
      <s:c r="AN63" s="66">
        <s:f>SUM(AN5:AN61)</s:f>
        <s:v>0</s:v>
      </s:c>
      <s:c r="AO63" s="66">
        <s:f>SUM(AO5:AO61)</s:f>
        <s:v>0</s:v>
      </s:c>
      <s:c r="AP63" s="66">
        <s:f>SUM(AP5:AP61)</s:f>
        <s:v>0</s:v>
      </s:c>
      <s:c r="AQ63" s="66">
        <s:f>SUM(AQ5:AQ61)</s:f>
        <s:v>0</s:v>
      </s:c>
      <s:c r="AR63" s="66">
        <s:f>SUM(AR5:AR61)</s:f>
        <s:v>0</s:v>
      </s:c>
      <s:c r="AS63" s="66">
        <s:f>SUM(AS5:AS61)</s:f>
        <s:v>0</s:v>
      </s:c>
      <s:c r="AT63" s="66">
        <s:f>SUM(AT5:AT61)</s:f>
        <s:v>6.4</s:v>
      </s:c>
      <s:c r="AU63" s="66">
        <s:f>SUM(AU5:AU61)</s:f>
        <s:v>0</s:v>
      </s:c>
      <s:c r="AV63" s="76">
        <s:f>SUM(B63:AU63)</s:f>
        <s:v>339.35999999999996</s:v>
      </s:c>
    </s:row>
    <s:row r="64" ht="19.5">
      <s:c r="A64" s="67"/>
      <s:c r="B64" s="68"/>
      <s:c r="C64" s="69"/>
      <s:c r="D64" s="69"/>
      <s:c r="E64" s="69"/>
      <s:c r="F64" s="69"/>
      <s:c r="G64" s="77">
        <s:f>SUM(B63:L63)</s:f>
        <s:v>160</s:v>
      </s:c>
      <s:c r="H64" s="69"/>
      <s:c r="I64" s="69"/>
      <s:c r="J64" s="69"/>
      <s:c r="K64" s="69"/>
      <s:c r="L64" s="70"/>
      <s:c r="M64" s="68"/>
      <s:c r="N64" s="69"/>
      <s:c r="O64" s="69"/>
      <s:c r="P64" s="69"/>
      <s:c r="Q64" s="69"/>
      <s:c r="R64" s="69"/>
      <s:c r="S64" s="69"/>
      <s:c r="T64" s="69"/>
      <s:c r="U64" s="69"/>
      <s:c r="V64" s="69"/>
      <s:c r="W64" s="69"/>
      <s:c r="X64" s="69"/>
      <s:c r="Y64" s="69"/>
      <s:c r="Z64" s="69"/>
      <s:c r="AA64" s="69"/>
      <s:c r="AB64" s="69"/>
      <s:c r="AC64" s="69"/>
      <s:c r="AD64" s="69"/>
      <s:c r="AE64" s="69"/>
      <s:c r="AF64" s="69"/>
      <s:c r="AG64" s="69"/>
      <s:c r="AH64" s="69"/>
      <s:c r="AI64" s="69"/>
      <s:c r="AJ64" s="69"/>
      <s:c r="AK64" s="69"/>
      <s:c r="AL64" s="69"/>
      <s:c r="AM64" s="69"/>
      <s:c r="AN64" s="69"/>
      <s:c r="AO64" s="69"/>
      <s:c r="AP64" s="69"/>
      <s:c r="AQ64" s="69"/>
      <s:c r="AR64" s="69"/>
      <s:c r="AS64" s="69"/>
      <s:c r="AT64" s="69"/>
      <s:c r="AU64" s="71">
        <s:f>SUM(M63:AU63)</s:f>
        <s:v>179.36</s:v>
      </s:c>
      <s:c r="AV64" s="72"/>
    </s:row>
    <s:row r="65">
      <s:c r="A65" s="1"/>
      <s:c r="B65" s="1"/>
      <s:c r="C65" s="1"/>
      <s:c r="D65" s="1"/>
      <s:c r="E65" s="1"/>
      <s:c r="F65" s="1"/>
      <s:c r="G65" s="1"/>
      <s:c r="H65" s="1"/>
      <s:c r="I65" s="1"/>
      <s:c r="J65" s="1"/>
      <s:c r="K65" s="1"/>
      <s:c r="L65" s="1"/>
      <s:c r="M65" s="1"/>
      <s:c r="N65" s="1"/>
      <s:c r="O65" s="1"/>
      <s:c r="P65" s="1"/>
      <s:c r="Q65" s="1"/>
      <s:c r="R65" s="1"/>
      <s:c r="S65" s="1"/>
      <s:c r="T65" s="1"/>
      <s:c r="U65" s="1"/>
      <s:c r="V65" s="1"/>
      <s:c r="W65" s="1"/>
      <s:c r="X65" s="1"/>
      <s:c r="Y65" s="1"/>
      <s:c r="Z65" s="1"/>
      <s:c r="AA65" s="1"/>
      <s:c r="AB65" s="1"/>
      <s:c r="AC65" s="1"/>
      <s:c r="AD65" s="1"/>
      <s:c r="AE65" s="1"/>
      <s:c r="AF65" s="1"/>
      <s:c r="AG65" s="1"/>
      <s:c r="AH65" s="1"/>
      <s:c r="AI65" s="1"/>
      <s:c r="AJ65" s="1"/>
      <s:c r="AK65" s="1"/>
      <s:c r="AL65" s="1"/>
      <s:c r="AM65" s="1"/>
      <s:c r="AN65" s="1"/>
      <s:c r="AO65" s="1"/>
      <s:c r="AP65" s="1"/>
      <s:c r="AQ65" s="1"/>
      <s:c r="AR65" s="1"/>
      <s:c r="AS65" s="1"/>
      <s:c r="AT65" s="1"/>
      <s:c r="AU65" s="1"/>
      <s:c r="AV65" s="1"/>
    </s:row>
    <s:row r="66" ht="18.75">
      <s:c r="A66" s="4" t="s">
        <s:v>5</s:v>
      </s:c>
      <s:c r="B66" s="4"/>
      <s:c r="C66" s="4"/>
      <s:c r="D66" s="4"/>
      <s:c r="E66" s="4"/>
      <s:c r="F66" s="4"/>
      <s:c r="G66" s="4"/>
      <s:c r="H66" s="4"/>
      <s:c r="I66" s="4"/>
      <s:c r="J66" s="4"/>
      <s:c r="K66" s="4"/>
      <s:c r="L66" s="4"/>
      <s:c r="M66" s="5"/>
      <s:c r="N66" s="5"/>
      <s:c r="O66" s="5"/>
      <s:c r="P66" s="5"/>
      <s:c r="Q66" s="5"/>
      <s:c r="R66" s="5"/>
      <s:c r="S66" s="5"/>
      <s:c r="T66" s="5"/>
      <s:c r="U66" s="5"/>
      <s:c r="V66" s="5"/>
      <s:c r="W66" s="5"/>
      <s:c r="X66" s="5"/>
      <s:c r="Y66" s="5"/>
      <s:c r="Z66" s="5"/>
      <s:c r="AA66" s="5"/>
      <s:c r="AB66" s="5"/>
      <s:c r="AC66" s="5"/>
      <s:c r="AD66" s="5"/>
      <s:c r="AE66" s="5"/>
      <s:c r="AF66" s="5"/>
      <s:c r="AG66" s="5"/>
      <s:c r="AH66" s="5"/>
      <s:c r="AI66" s="5"/>
      <s:c r="AJ66" s="5"/>
      <s:c r="AK66" s="5"/>
      <s:c r="AL66" s="5"/>
      <s:c r="AM66" s="5"/>
      <s:c r="AN66" s="5"/>
      <s:c r="AO66" s="5"/>
      <s:c r="AP66" s="5"/>
      <s:c r="AQ66" s="5"/>
      <s:c r="AR66" s="5"/>
      <s:c r="AS66" s="5"/>
      <s:c r="AT66" s="5"/>
      <s:c r="AU66" s="5"/>
      <s:c r="AV66" s="1"/>
    </s:row>
    <s:row x14ac:dyDescent="0.25" r="67" spans="1:48" ht="52.5" customHeight="1">
      <s:c r="A67" s="12" t="s">
        <s:v>8</s:v>
      </s:c>
      <s:c r="B67" s="40" t="s">
        <s:v>18</s:v>
      </s:c>
      <s:c r="C67" s="40" t="s">
        <s:v>38</s:v>
      </s:c>
      <s:c r="D67" s="40" t="s">
        <s:v>83</s:v>
      </s:c>
      <s:c r="E67" s="40" t="s">
        <s:v>19</s:v>
      </s:c>
      <s:c r="F67" s="40" t="s">
        <s:v>60</s:v>
      </s:c>
      <s:c r="G67" s="40" t="s">
        <s:v>6</s:v>
      </s:c>
      <s:c r="H67" s="40" t="s">
        <s:v>20</s:v>
      </s:c>
      <s:c r="I67" s="40" t="s">
        <s:v>21</s:v>
      </s:c>
      <s:c r="J67" s="40" t="s">
        <s:v>22</s:v>
      </s:c>
      <s:c r="K67" s="40" t="s">
        <s:v>23</s:v>
      </s:c>
      <s:c r="L67" s="40" t="s">
        <s:v>24</s:v>
      </s:c>
      <s:c r="M67" s="40" t="s">
        <s:v>37</s:v>
      </s:c>
      <s:c r="N67" s="40" t="s">
        <s:v>13</s:v>
      </s:c>
      <s:c r="O67" s="40" t="s">
        <s:v>17</s:v>
      </s:c>
      <s:c r="P67" s="40" t="s">
        <s:v>25</s:v>
      </s:c>
      <s:c r="Q67" s="40" t="s">
        <s:v>41</s:v>
      </s:c>
      <s:c r="R67" s="40" t="s">
        <s:v>26</s:v>
      </s:c>
      <s:c r="S67" s="40" t="s">
        <s:v>86</s:v>
      </s:c>
      <s:c r="T67" s="40" t="s">
        <s:v>84</s:v>
      </s:c>
      <s:c r="U67" s="40" t="s">
        <s:v>27</s:v>
      </s:c>
      <s:c r="V67" s="40" t="s">
        <s:v>28</s:v>
      </s:c>
      <s:c r="W67" s="40" t="s">
        <s:v>29</s:v>
      </s:c>
      <s:c r="X67" s="40" t="s">
        <s:v>30</s:v>
      </s:c>
      <s:c r="Y67" s="40" t="s">
        <s:v>31</s:v>
      </s:c>
      <s:c r="Z67" s="73" t="s">
        <s:v>47</s:v>
      </s:c>
      <s:c r="AA67" s="40" t="s">
        <s:v>50</s:v>
      </s:c>
      <s:c r="AB67" s="41" t="s">
        <s:v>32</s:v>
      </s:c>
      <s:c r="AC67" s="40" t="s">
        <s:v>107</s:v>
      </s:c>
      <s:c r="AD67" s="40" t="s">
        <s:v>108</s:v>
      </s:c>
      <s:c r="AE67" s="42" t="s">
        <s:v>109</s:v>
      </s:c>
      <s:c r="AF67" s="40" t="s">
        <s:v>110</s:v>
      </s:c>
      <s:c r="AG67" s="43" t="s">
        <s:v>105</s:v>
      </s:c>
      <s:c r="AH67" s="40" t="s">
        <s:v>33</s:v>
      </s:c>
      <s:c r="AI67" s="44" t="s">
        <s:v>34</s:v>
      </s:c>
      <s:c r="AJ67" s="45" t="s">
        <s:v>106</s:v>
      </s:c>
      <s:c r="AK67" s="44" t="s">
        <s:v>35</s:v>
      </s:c>
      <s:c r="AL67" s="44" t="s">
        <s:v>100</s:v>
      </s:c>
      <s:c r="AM67" s="46" t="s">
        <s:v>66</s:v>
      </s:c>
      <s:c r="AN67" s="46" t="s">
        <s:v>36</s:v>
      </s:c>
      <s:c r="AO67" s="46" t="s">
        <s:v>116</s:v>
      </s:c>
      <s:c r="AP67" s="46" t="s">
        <s:v>117</s:v>
      </s:c>
      <s:c r="AQ67" s="46" t="s">
        <s:v>55</s:v>
      </s:c>
      <s:c r="AR67" s="46" t="s">
        <s:v>95</s:v>
      </s:c>
      <s:c r="AS67" s="46" t="str">
        <s:f>AS4</s:f>
        <s:v>Веллбонд</s:v>
      </s:c>
      <s:c r="AT67" s="46" t="s">
        <s:v>78</s:v>
      </s:c>
      <s:c r="AU67" s="46" t="s">
        <s:v>101</s:v>
      </s:c>
    </s:row>
    <s:row r="68" ht="18.75">
      <s:c r="A68" s="29" t="s">
        <s:v>103</s:v>
      </s:c>
      <s:c r="B68" s="14"/>
      <s:c r="C68" s="14"/>
      <s:c r="D68" s="14"/>
      <s:c r="E68" s="14"/>
      <s:c r="F68" s="14"/>
      <s:c r="G68" s="14"/>
      <s:c r="H68" s="14"/>
      <s:c r="I68" s="14"/>
      <s:c r="J68" s="14"/>
      <s:c r="K68" s="14"/>
      <s:c r="L68" s="14"/>
      <s:c r="M68" s="14"/>
      <s:c r="N68" s="14"/>
      <s:c r="O68" s="14"/>
      <s:c r="P68" s="14"/>
      <s:c r="Q68" s="14"/>
      <s:c r="R68" s="14"/>
      <s:c r="S68" s="14"/>
      <s:c r="T68" s="14">
        <s:v>127500</s:v>
      </s:c>
      <s:c r="U68" s="14"/>
      <s:c r="V68" s="14"/>
      <s:c r="W68" s="14"/>
      <s:c r="X68" s="14"/>
      <s:c r="Y68" s="14"/>
      <s:c r="Z68" s="74"/>
      <s:c r="AA68" s="14">
        <s:v>146500</s:v>
      </s:c>
      <s:c r="AB68" s="14"/>
      <s:c r="AC68" s="14"/>
      <s:c r="AD68" s="14"/>
      <s:c r="AE68" s="14"/>
      <s:c r="AF68" s="14"/>
      <s:c r="AG68" s="15"/>
      <s:c r="AH68" s="16"/>
      <s:c r="AI68" s="16"/>
      <s:c r="AJ68" s="16"/>
      <s:c r="AK68" s="16"/>
      <s:c r="AL68" s="17"/>
      <s:c r="AM68" s="18"/>
      <s:c r="AN68" s="18"/>
      <s:c r="AO68" s="18"/>
      <s:c r="AP68" s="18"/>
      <s:c r="AQ68" s="18"/>
      <s:c r="AR68" s="18"/>
      <s:c r="AS68" s="18"/>
      <s:c r="AT68" s="18"/>
      <s:c r="AU68" s="18"/>
    </s:row>
    <s:row r="69" ht="18.75">
      <s:c r="A69" s="29" t="s">
        <s:v>62</s:v>
      </s:c>
      <s:c r="B69" s="14"/>
      <s:c r="C69" s="14"/>
      <s:c r="D69" s="14"/>
      <s:c r="E69" s="14"/>
      <s:c r="F69" s="14"/>
      <s:c r="G69" s="14"/>
      <s:c r="H69" s="14"/>
      <s:c r="I69" s="14"/>
      <s:c r="J69" s="14"/>
      <s:c r="K69" s="14"/>
      <s:c r="L69" s="14"/>
      <s:c r="M69" s="14"/>
      <s:c r="N69" s="14"/>
      <s:c r="O69" s="14"/>
      <s:c r="P69" s="14"/>
      <s:c r="Q69" s="14"/>
      <s:c r="R69" s="14"/>
      <s:c r="S69" s="14"/>
      <s:c r="T69" s="14"/>
      <s:c r="U69" s="14"/>
      <s:c r="V69" s="14"/>
      <s:c r="W69" s="14"/>
      <s:c r="X69" s="14"/>
      <s:c r="Y69" s="14"/>
      <s:c r="Z69" s="74"/>
      <s:c r="AA69" s="14"/>
      <s:c r="AB69" s="14"/>
      <s:c r="AC69" s="14"/>
      <s:c r="AD69" s="14"/>
      <s:c r="AE69" s="14"/>
      <s:c r="AF69" s="14"/>
      <s:c r="AG69" s="15"/>
      <s:c r="AH69" s="16"/>
      <s:c r="AI69" s="16"/>
      <s:c r="AJ69" s="16"/>
      <s:c r="AK69" s="16"/>
      <s:c r="AL69" s="17"/>
      <s:c r="AM69" s="18"/>
      <s:c r="AN69" s="18"/>
      <s:c r="AO69" s="18"/>
      <s:c r="AP69" s="18"/>
      <s:c r="AQ69" s="18"/>
      <s:c r="AR69" s="18"/>
      <s:c r="AS69" s="18"/>
      <s:c r="AT69" s="18"/>
      <s:c r="AU69" s="18"/>
      <s:c r="AV69" s="79">
        <s:f>AU69+AT69</s:f>
        <s:v>0</s:v>
      </s:c>
    </s:row>
    <s:row r="70" ht="18.75">
      <s:c r="A70" s="29" t="s">
        <s:v>56</s:v>
      </s:c>
      <s:c r="B70" s="14"/>
      <s:c r="C70" s="14">
        <s:v>45500</s:v>
      </s:c>
      <s:c r="D70" s="14"/>
      <s:c r="E70" s="14"/>
      <s:c r="F70" s="14"/>
      <s:c r="G70" s="14"/>
      <s:c r="H70" s="14"/>
      <s:c r="I70" s="14"/>
      <s:c r="J70" s="14"/>
      <s:c r="K70" s="14"/>
      <s:c r="L70" s="14"/>
      <s:c r="M70" s="14"/>
      <s:c r="N70" s="14"/>
      <s:c r="O70" s="14">
        <s:v>82000</s:v>
      </s:c>
      <s:c r="P70" s="14"/>
      <s:c r="Q70" s="14"/>
      <s:c r="R70" s="14"/>
      <s:c r="S70" s="14"/>
      <s:c r="T70" s="14"/>
      <s:c r="U70" s="14"/>
      <s:c r="V70" s="14"/>
      <s:c r="W70" s="14"/>
      <s:c r="X70" s="14"/>
      <s:c r="Y70" s="14"/>
      <s:c r="Z70" s="74"/>
      <s:c r="AA70" s="14"/>
      <s:c r="AB70" s="14"/>
      <s:c r="AC70" s="14"/>
      <s:c r="AD70" s="14"/>
      <s:c r="AE70" s="14"/>
      <s:c r="AF70" s="14"/>
      <s:c r="AG70" s="15"/>
      <s:c r="AH70" s="16"/>
      <s:c r="AI70" s="16"/>
      <s:c r="AJ70" s="16"/>
      <s:c r="AK70" s="16"/>
      <s:c r="AL70" s="17"/>
      <s:c r="AM70" s="18"/>
      <s:c r="AN70" s="18"/>
      <s:c r="AO70" s="18"/>
      <s:c r="AP70" s="18"/>
      <s:c r="AQ70" s="18"/>
      <s:c r="AR70" s="18"/>
      <s:c r="AS70" s="18"/>
      <s:c r="AT70" s="18"/>
      <s:c r="AU70" s="18"/>
    </s:row>
    <s:row r="71" ht="18.75">
      <s:c r="A71" s="13" t="s">
        <s:v>81</s:v>
      </s:c>
      <s:c r="B71" s="14"/>
      <s:c r="C71" s="14"/>
      <s:c r="D71" s="14"/>
      <s:c r="E71" s="14"/>
      <s:c r="F71" s="14"/>
      <s:c r="G71" s="14"/>
      <s:c r="H71" s="14"/>
      <s:c r="I71" s="14"/>
      <s:c r="J71" s="14"/>
      <s:c r="K71" s="14"/>
      <s:c r="L71" s="14"/>
      <s:c r="M71" s="14"/>
      <s:c r="N71" s="14"/>
      <s:c r="O71" s="14"/>
      <s:c r="P71" s="14"/>
      <s:c r="Q71" s="14"/>
      <s:c r="R71" s="14"/>
      <s:c r="S71" s="14"/>
      <s:c r="T71" s="14"/>
      <s:c r="U71" s="14"/>
      <s:c r="V71" s="14"/>
      <s:c r="W71" s="14"/>
      <s:c r="X71" s="14"/>
      <s:c r="Y71" s="14"/>
      <s:c r="Z71" s="74"/>
      <s:c r="AA71" s="14"/>
      <s:c r="AB71" s="14"/>
      <s:c r="AC71" s="14"/>
      <s:c r="AD71" s="14"/>
      <s:c r="AE71" s="14"/>
      <s:c r="AF71" s="14"/>
      <s:c r="AG71" s="15"/>
      <s:c r="AH71" s="16"/>
      <s:c r="AI71" s="16"/>
      <s:c r="AJ71" s="16"/>
      <s:c r="AK71" s="16"/>
      <s:c r="AL71" s="17"/>
      <s:c r="AM71" s="18"/>
      <s:c r="AN71" s="18"/>
      <s:c r="AO71" s="18"/>
      <s:c r="AP71" s="18"/>
      <s:c r="AQ71" s="18"/>
      <s:c r="AR71" s="18"/>
      <s:c r="AS71" s="18"/>
      <s:c r="AT71" s="18"/>
      <s:c r="AU71" s="18"/>
    </s:row>
    <s:row r="72" ht="18.75">
      <s:c r="A72" s="29" t="s">
        <s:v>1</s:v>
      </s:c>
      <s:c r="B72" s="14"/>
      <s:c r="C72" s="14"/>
      <s:c r="D72" s="14"/>
      <s:c r="E72" s="14"/>
      <s:c r="F72" s="14"/>
      <s:c r="G72" s="14"/>
      <s:c r="H72" s="14"/>
      <s:c r="I72" s="14"/>
      <s:c r="J72" s="14"/>
      <s:c r="K72" s="14"/>
      <s:c r="L72" s="14"/>
      <s:c r="M72" s="14"/>
      <s:c r="N72" s="14"/>
      <s:c r="O72" s="14"/>
      <s:c r="P72" s="14"/>
      <s:c r="Q72" s="14"/>
      <s:c r="R72" s="14">
        <s:v>93000</s:v>
      </s:c>
      <s:c r="S72" s="14"/>
      <s:c r="T72" s="14"/>
      <s:c r="U72" s="14"/>
      <s:c r="V72" s="14"/>
      <s:c r="W72" s="14"/>
      <s:c r="X72" s="14"/>
      <s:c r="Y72" s="14"/>
      <s:c r="Z72" s="74"/>
      <s:c r="AA72" s="14"/>
      <s:c r="AB72" s="14"/>
      <s:c r="AC72" s="14"/>
      <s:c r="AD72" s="14"/>
      <s:c r="AE72" s="14"/>
      <s:c r="AF72" s="14"/>
      <s:c r="AG72" s="15"/>
      <s:c r="AH72" s="16">
        <s:v>369000</s:v>
      </s:c>
      <s:c r="AI72" s="16"/>
      <s:c r="AJ72" s="16"/>
      <s:c r="AK72" s="16"/>
      <s:c r="AL72" s="17"/>
      <s:c r="AM72" s="18"/>
      <s:c r="AN72" s="18"/>
      <s:c r="AO72" s="18"/>
      <s:c r="AP72" s="18"/>
      <s:c r="AQ72" s="18"/>
      <s:c r="AR72" s="18"/>
      <s:c r="AS72" s="18"/>
      <s:c r="AT72" s="18"/>
      <s:c r="AU72" s="18"/>
    </s:row>
    <s:row r="73" ht="18.75">
      <s:c r="A73" s="29" t="s">
        <s:v>91</s:v>
      </s:c>
      <s:c r="B73" s="14"/>
      <s:c r="C73" s="14"/>
      <s:c r="D73" s="14"/>
      <s:c r="E73" s="14"/>
      <s:c r="F73" s="14"/>
      <s:c r="G73" s="14"/>
      <s:c r="H73" s="14"/>
      <s:c r="I73" s="14"/>
      <s:c r="J73" s="14"/>
      <s:c r="K73" s="14"/>
      <s:c r="L73" s="14"/>
      <s:c r="M73" s="14"/>
      <s:c r="N73" s="14"/>
      <s:c r="O73" s="14"/>
      <s:c r="P73" s="14"/>
      <s:c r="Q73" s="14"/>
      <s:c r="R73" s="14"/>
      <s:c r="S73" s="14"/>
      <s:c r="T73" s="14"/>
      <s:c r="U73" s="14"/>
      <s:c r="V73" s="14"/>
      <s:c r="W73" s="14"/>
      <s:c r="X73" s="14"/>
      <s:c r="Y73" s="14"/>
      <s:c r="Z73" s="74"/>
      <s:c r="AA73" s="14"/>
      <s:c r="AB73" s="14"/>
      <s:c r="AC73" s="14"/>
      <s:c r="AD73" s="14"/>
      <s:c r="AE73" s="14"/>
      <s:c r="AF73" s="14"/>
      <s:c r="AG73" s="15"/>
      <s:c r="AH73" s="16"/>
      <s:c r="AI73" s="16"/>
      <s:c r="AJ73" s="16"/>
      <s:c r="AK73" s="16"/>
      <s:c r="AL73" s="17"/>
      <s:c r="AM73" s="18"/>
      <s:c r="AN73" s="18"/>
      <s:c r="AO73" s="18"/>
      <s:c r="AP73" s="18"/>
      <s:c r="AQ73" s="18"/>
      <s:c r="AR73" s="18"/>
      <s:c r="AS73" s="18"/>
      <s:c r="AT73" s="18"/>
      <s:c r="AU73" s="18"/>
    </s:row>
    <s:row r="74" ht="18.75">
      <s:c r="A74" s="30" t="s">
        <s:v>74</s:v>
      </s:c>
      <s:c r="B74" s="14"/>
      <s:c r="C74" s="14"/>
      <s:c r="D74" s="14"/>
      <s:c r="E74" s="14"/>
      <s:c r="F74" s="14"/>
      <s:c r="G74" s="14"/>
      <s:c r="H74" s="14"/>
      <s:c r="I74" s="14"/>
      <s:c r="J74" s="14"/>
      <s:c r="K74" s="14"/>
      <s:c r="L74" s="14"/>
      <s:c r="M74" s="14"/>
      <s:c r="N74" s="14"/>
      <s:c r="O74" s="14"/>
      <s:c r="P74" s="14"/>
      <s:c r="Q74" s="14"/>
      <s:c r="R74" s="14"/>
      <s:c r="S74" s="14"/>
      <s:c r="T74" s="14"/>
      <s:c r="U74" s="14"/>
      <s:c r="V74" s="14"/>
      <s:c r="W74" s="14"/>
      <s:c r="X74" s="14"/>
      <s:c r="Y74" s="14"/>
      <s:c r="Z74" s="74"/>
      <s:c r="AA74" s="14"/>
      <s:c r="AB74" s="14"/>
      <s:c r="AC74" s="14"/>
      <s:c r="AD74" s="14"/>
      <s:c r="AE74" s="14"/>
      <s:c r="AF74" s="14"/>
      <s:c r="AG74" s="15"/>
      <s:c r="AH74" s="16"/>
      <s:c r="AI74" s="16"/>
      <s:c r="AJ74" s="16"/>
      <s:c r="AK74" s="16"/>
      <s:c r="AL74" s="17"/>
      <s:c r="AM74" s="18"/>
      <s:c r="AN74" s="18"/>
      <s:c r="AO74" s="18"/>
      <s:c r="AP74" s="18"/>
      <s:c r="AQ74" s="18"/>
      <s:c r="AR74" s="18"/>
      <s:c r="AS74" s="18"/>
      <s:c r="AT74" s="18"/>
      <s:c r="AU74" s="18"/>
    </s:row>
    <s:row r="75" ht="18.75">
      <s:c r="A75" s="29" t="s">
        <s:v>4</s:v>
      </s:c>
      <s:c r="B75" s="14"/>
      <s:c r="C75" s="14"/>
      <s:c r="D75" s="14"/>
      <s:c r="E75" s="14"/>
      <s:c r="F75" s="14"/>
      <s:c r="G75" s="14"/>
      <s:c r="H75" s="14"/>
      <s:c r="I75" s="14"/>
      <s:c r="J75" s="14"/>
      <s:c r="K75" s="14"/>
      <s:c r="L75" s="14"/>
      <s:c r="M75" s="14"/>
      <s:c r="N75" s="14"/>
      <s:c r="O75" s="14"/>
      <s:c r="P75" s="14"/>
      <s:c r="Q75" s="14"/>
      <s:c r="R75" s="14"/>
      <s:c r="S75" s="14"/>
      <s:c r="T75" s="14"/>
      <s:c r="U75" s="14"/>
      <s:c r="V75" s="14"/>
      <s:c r="W75" s="14"/>
      <s:c r="X75" s="14"/>
      <s:c r="Y75" s="14"/>
      <s:c r="Z75" s="74"/>
      <s:c r="AA75" s="14"/>
      <s:c r="AB75" s="14"/>
      <s:c r="AC75" s="14"/>
      <s:c r="AD75" s="14"/>
      <s:c r="AE75" s="14"/>
      <s:c r="AF75" s="14"/>
      <s:c r="AG75" s="15"/>
      <s:c r="AH75" s="16"/>
      <s:c r="AI75" s="16"/>
      <s:c r="AJ75" s="16"/>
      <s:c r="AK75" s="16"/>
      <s:c r="AL75" s="17"/>
      <s:c r="AM75" s="18"/>
      <s:c r="AN75" s="18"/>
      <s:c r="AO75" s="18"/>
      <s:c r="AP75" s="18"/>
      <s:c r="AQ75" s="18"/>
      <s:c r="AR75" s="18"/>
      <s:c r="AS75" s="18"/>
      <s:c r="AT75" s="18"/>
      <s:c r="AU75" s="18"/>
    </s:row>
    <s:row r="76" ht="18.75">
      <s:c r="A76" s="29" t="s">
        <s:v>3</s:v>
      </s:c>
      <s:c r="B76" s="14"/>
      <s:c r="C76" s="14"/>
      <s:c r="D76" s="14">
        <s:v>41500</s:v>
      </s:c>
      <s:c r="E76" s="14"/>
      <s:c r="F76" s="14"/>
      <s:c r="G76" s="14"/>
      <s:c r="H76" s="14"/>
      <s:c r="I76" s="14"/>
      <s:c r="J76" s="14"/>
      <s:c r="K76" s="14"/>
      <s:c r="L76" s="14"/>
      <s:c r="M76" s="14"/>
      <s:c r="N76" s="14"/>
      <s:c r="O76" s="14"/>
      <s:c r="P76" s="14"/>
      <s:c r="Q76" s="14"/>
      <s:c r="R76" s="14"/>
      <s:c r="S76" s="14"/>
      <s:c r="T76" s="14"/>
      <s:c r="U76" s="14"/>
      <s:c r="V76" s="14"/>
      <s:c r="W76" s="14"/>
      <s:c r="X76" s="14"/>
      <s:c r="Y76" s="14"/>
      <s:c r="Z76" s="74"/>
      <s:c r="AA76" s="14"/>
      <s:c r="AB76" s="14"/>
      <s:c r="AC76" s="14"/>
      <s:c r="AD76" s="14"/>
      <s:c r="AE76" s="14"/>
      <s:c r="AF76" s="14"/>
      <s:c r="AG76" s="15"/>
      <s:c r="AH76" s="16"/>
      <s:c r="AI76" s="16"/>
      <s:c r="AJ76" s="16"/>
      <s:c r="AK76" s="16"/>
      <s:c r="AL76" s="17"/>
      <s:c r="AM76" s="18"/>
      <s:c r="AN76" s="18"/>
      <s:c r="AO76" s="18"/>
      <s:c r="AP76" s="18"/>
      <s:c r="AQ76" s="18"/>
      <s:c r="AR76" s="18"/>
      <s:c r="AS76" s="18"/>
      <s:c r="AT76" s="18"/>
      <s:c r="AU76" s="18"/>
    </s:row>
    <s:row r="77" ht="18.75">
      <s:c r="A77" s="29" t="s">
        <s:v>44</s:v>
      </s:c>
      <s:c r="B77" s="14"/>
      <s:c r="C77" s="14"/>
      <s:c r="D77" s="14"/>
      <s:c r="E77" s="14"/>
      <s:c r="F77" s="14"/>
      <s:c r="G77" s="14"/>
      <s:c r="H77" s="14"/>
      <s:c r="I77" s="14"/>
      <s:c r="J77" s="14"/>
      <s:c r="K77" s="14"/>
      <s:c r="L77" s="14"/>
      <s:c r="M77" s="14"/>
      <s:c r="N77" s="14"/>
      <s:c r="O77" s="14"/>
      <s:c r="P77" s="14"/>
      <s:c r="Q77" s="14"/>
      <s:c r="R77" s="14"/>
      <s:c r="S77" s="14"/>
      <s:c r="T77" s="14"/>
      <s:c r="U77" s="14"/>
      <s:c r="V77" s="14"/>
      <s:c r="W77" s="14"/>
      <s:c r="X77" s="14"/>
      <s:c r="Y77" s="14"/>
      <s:c r="Z77" s="74"/>
      <s:c r="AA77" s="14"/>
      <s:c r="AB77" s="14"/>
      <s:c r="AC77" s="14"/>
      <s:c r="AD77" s="14"/>
      <s:c r="AE77" s="14"/>
      <s:c r="AF77" s="14"/>
      <s:c r="AG77" s="15"/>
      <s:c r="AH77" s="16"/>
      <s:c r="AI77" s="16"/>
      <s:c r="AJ77" s="16"/>
      <s:c r="AK77" s="16"/>
      <s:c r="AL77" s="17"/>
      <s:c r="AM77" s="18"/>
      <s:c r="AN77" s="18"/>
      <s:c r="AO77" s="18"/>
      <s:c r="AP77" s="18"/>
      <s:c r="AQ77" s="18"/>
      <s:c r="AR77" s="18"/>
      <s:c r="AS77" s="18"/>
      <s:c r="AT77" s="18"/>
      <s:c r="AU77" s="18"/>
    </s:row>
    <s:row r="78" ht="18.75">
      <s:c r="A78" s="29" t="s">
        <s:v>46</s:v>
      </s:c>
      <s:c r="B78" s="14"/>
      <s:c r="C78" s="14"/>
      <s:c r="D78" s="14"/>
      <s:c r="E78" s="14"/>
      <s:c r="F78" s="14"/>
      <s:c r="G78" s="14"/>
      <s:c r="H78" s="14"/>
      <s:c r="I78" s="14"/>
      <s:c r="J78" s="14"/>
      <s:c r="K78" s="14"/>
      <s:c r="L78" s="14"/>
      <s:c r="M78" s="14"/>
      <s:c r="N78" s="14"/>
      <s:c r="O78" s="14"/>
      <s:c r="P78" s="14"/>
      <s:c r="Q78" s="14"/>
      <s:c r="R78" s="14"/>
      <s:c r="S78" s="14"/>
      <s:c r="T78" s="14"/>
      <s:c r="U78" s="14"/>
      <s:c r="V78" s="14"/>
      <s:c r="W78" s="14"/>
      <s:c r="X78" s="14"/>
      <s:c r="Y78" s="14"/>
      <s:c r="Z78" s="74"/>
      <s:c r="AA78" s="14"/>
      <s:c r="AB78" s="14"/>
      <s:c r="AC78" s="14"/>
      <s:c r="AD78" s="14"/>
      <s:c r="AE78" s="14"/>
      <s:c r="AF78" s="14"/>
      <s:c r="AG78" s="15"/>
      <s:c r="AH78" s="16"/>
      <s:c r="AI78" s="16"/>
      <s:c r="AJ78" s="16"/>
      <s:c r="AK78" s="16"/>
      <s:c r="AL78" s="17"/>
      <s:c r="AM78" s="18"/>
      <s:c r="AN78" s="18"/>
      <s:c r="AO78" s="18"/>
      <s:c r="AP78" s="18"/>
      <s:c r="AQ78" s="18"/>
      <s:c r="AR78" s="18"/>
      <s:c r="AS78" s="18"/>
      <s:c r="AT78" s="18"/>
      <s:c r="AU78" s="18"/>
    </s:row>
    <s:row r="79" ht="18.75">
      <s:c r="A79" s="13" t="s">
        <s:v>79</s:v>
      </s:c>
      <s:c r="B79" s="14"/>
      <s:c r="C79" s="14"/>
      <s:c r="D79" s="14"/>
      <s:c r="E79" s="14"/>
      <s:c r="F79" s="14"/>
      <s:c r="G79" s="14"/>
      <s:c r="H79" s="14"/>
      <s:c r="I79" s="14"/>
      <s:c r="J79" s="14"/>
      <s:c r="K79" s="14"/>
      <s:c r="L79" s="14"/>
      <s:c r="M79" s="14"/>
      <s:c r="N79" s="14"/>
      <s:c r="O79" s="14"/>
      <s:c r="P79" s="14"/>
      <s:c r="Q79" s="14"/>
      <s:c r="R79" s="14"/>
      <s:c r="S79" s="14"/>
      <s:c r="T79" s="14"/>
      <s:c r="U79" s="14"/>
      <s:c r="V79" s="14"/>
      <s:c r="W79" s="14"/>
      <s:c r="X79" s="14"/>
      <s:c r="Y79" s="14"/>
      <s:c r="Z79" s="74"/>
      <s:c r="AA79" s="14"/>
      <s:c r="AB79" s="14"/>
      <s:c r="AC79" s="14"/>
      <s:c r="AD79" s="14"/>
      <s:c r="AE79" s="14"/>
      <s:c r="AF79" s="14"/>
      <s:c r="AG79" s="15"/>
      <s:c r="AH79" s="16"/>
      <s:c r="AI79" s="16"/>
      <s:c r="AJ79" s="16"/>
      <s:c r="AK79" s="16"/>
      <s:c r="AL79" s="17"/>
      <s:c r="AM79" s="18"/>
      <s:c r="AN79" s="18"/>
      <s:c r="AO79" s="18"/>
      <s:c r="AP79" s="18"/>
      <s:c r="AQ79" s="18"/>
      <s:c r="AR79" s="18"/>
      <s:c r="AS79" s="18"/>
      <s:c r="AT79" s="18"/>
      <s:c r="AU79" s="18"/>
    </s:row>
    <s:row r="80" ht="18.75">
      <s:c r="A80" s="29" t="s">
        <s:v>72</s:v>
      </s:c>
      <s:c r="B80" s="14"/>
      <s:c r="C80" s="14">
        <s:v>45000</s:v>
      </s:c>
      <s:c r="D80" s="14">
        <s:v>44300</s:v>
      </s:c>
      <s:c r="E80" s="14"/>
      <s:c r="F80" s="14"/>
      <s:c r="G80" s="14"/>
      <s:c r="H80" s="14"/>
      <s:c r="I80" s="14"/>
      <s:c r="J80" s="14"/>
      <s:c r="K80" s="14"/>
      <s:c r="L80" s="14"/>
      <s:c r="M80" s="14"/>
      <s:c r="N80" s="14"/>
      <s:c r="O80" s="14"/>
      <s:c r="P80" s="14"/>
      <s:c r="Q80" s="14"/>
      <s:c r="R80" s="14"/>
      <s:c r="S80" s="14"/>
      <s:c r="T80" s="14">
        <s:v>128000</s:v>
      </s:c>
      <s:c r="U80" s="14"/>
      <s:c r="V80" s="14"/>
      <s:c r="W80" s="14"/>
      <s:c r="X80" s="14"/>
      <s:c r="Y80" s="14"/>
      <s:c r="Z80" s="74"/>
      <s:c r="AA80" s="14">
        <s:v>167500</s:v>
      </s:c>
      <s:c r="AB80" s="14"/>
      <s:c r="AC80" s="14"/>
      <s:c r="AD80" s="14"/>
      <s:c r="AE80" s="14"/>
      <s:c r="AF80" s="14"/>
      <s:c r="AG80" s="15"/>
      <s:c r="AH80" s="16"/>
      <s:c r="AI80" s="16"/>
      <s:c r="AJ80" s="16"/>
      <s:c r="AK80" s="16"/>
      <s:c r="AL80" s="17"/>
      <s:c r="AM80" s="18"/>
      <s:c r="AN80" s="18"/>
      <s:c r="AO80" s="18"/>
      <s:c r="AP80" s="18"/>
      <s:c r="AQ80" s="18"/>
      <s:c r="AR80" s="18"/>
      <s:c r="AS80" s="18"/>
      <s:c r="AT80" s="18"/>
      <s:c r="AU80" s="18"/>
    </s:row>
    <s:row r="81" ht="18.75">
      <s:c r="A81" s="29" t="s">
        <s:v>98</s:v>
      </s:c>
      <s:c r="B81" s="14"/>
      <s:c r="C81" s="14">
        <s:v>39000</s:v>
      </s:c>
      <s:c r="D81" s="14"/>
      <s:c r="E81" s="14"/>
      <s:c r="F81" s="14"/>
      <s:c r="G81" s="14"/>
      <s:c r="H81" s="14"/>
      <s:c r="I81" s="14"/>
      <s:c r="J81" s="14"/>
      <s:c r="K81" s="14"/>
      <s:c r="L81" s="14"/>
      <s:c r="M81" s="14"/>
      <s:c r="N81" s="14"/>
      <s:c r="O81" s="14"/>
      <s:c r="P81" s="14"/>
      <s:c r="Q81" s="14"/>
      <s:c r="R81" s="14"/>
      <s:c r="S81" s="14"/>
      <s:c r="T81" s="14"/>
      <s:c r="U81" s="14"/>
      <s:c r="V81" s="14"/>
      <s:c r="W81" s="14"/>
      <s:c r="X81" s="14"/>
      <s:c r="Y81" s="14"/>
      <s:c r="Z81" s="74"/>
      <s:c r="AA81" s="14"/>
      <s:c r="AB81" s="14"/>
      <s:c r="AC81" s="14"/>
      <s:c r="AD81" s="14"/>
      <s:c r="AE81" s="14"/>
      <s:c r="AF81" s="14"/>
      <s:c r="AG81" s="15"/>
      <s:c r="AH81" s="16"/>
      <s:c r="AI81" s="16"/>
      <s:c r="AJ81" s="16"/>
      <s:c r="AK81" s="16"/>
      <s:c r="AL81" s="17"/>
      <s:c r="AM81" s="18"/>
      <s:c r="AN81" s="18"/>
      <s:c r="AO81" s="18"/>
      <s:c r="AP81" s="18"/>
      <s:c r="AQ81" s="18"/>
      <s:c r="AR81" s="18"/>
      <s:c r="AS81" s="18"/>
      <s:c r="AT81" s="18"/>
      <s:c r="AU81" s="18"/>
    </s:row>
    <s:row r="82" ht="18.75">
      <s:c r="A82" s="29" t="s">
        <s:v>119</s:v>
      </s:c>
      <s:c r="B82" s="14"/>
      <s:c r="C82" s="14"/>
      <s:c r="D82" s="14"/>
      <s:c r="E82" s="14"/>
      <s:c r="F82" s="14"/>
      <s:c r="G82" s="14"/>
      <s:c r="H82" s="14"/>
      <s:c r="I82" s="14"/>
      <s:c r="J82" s="14"/>
      <s:c r="K82" s="14"/>
      <s:c r="L82" s="14"/>
      <s:c r="M82" s="14"/>
      <s:c r="N82" s="14"/>
      <s:c r="O82" s="14"/>
      <s:c r="P82" s="14"/>
      <s:c r="Q82" s="14"/>
      <s:c r="R82" s="14"/>
      <s:c r="S82" s="14"/>
      <s:c r="T82" s="14"/>
      <s:c r="U82" s="14"/>
      <s:c r="V82" s="14"/>
      <s:c r="W82" s="14"/>
      <s:c r="X82" s="14"/>
      <s:c r="Y82" s="14"/>
      <s:c r="Z82" s="74"/>
      <s:c r="AA82" s="14"/>
      <s:c r="AB82" s="14"/>
      <s:c r="AC82" s="14"/>
      <s:c r="AD82" s="14"/>
      <s:c r="AE82" s="14"/>
      <s:c r="AF82" s="14"/>
      <s:c r="AG82" s="15"/>
      <s:c r="AH82" s="16"/>
      <s:c r="AI82" s="16"/>
      <s:c r="AJ82" s="16"/>
      <s:c r="AK82" s="16"/>
      <s:c r="AL82" s="17"/>
      <s:c r="AM82" s="18"/>
      <s:c r="AN82" s="18"/>
      <s:c r="AO82" s="18"/>
      <s:c r="AP82" s="18">
        <s:v>280000</s:v>
      </s:c>
      <s:c r="AQ82" s="18"/>
      <s:c r="AR82" s="18"/>
      <s:c r="AS82" s="18"/>
      <s:c r="AT82" s="18"/>
      <s:c r="AU82" s="18"/>
    </s:row>
    <s:row r="83" ht="18.75">
      <s:c r="A83" s="29" t="s">
        <s:v>73</s:v>
      </s:c>
      <s:c r="B83" s="14"/>
      <s:c r="C83" s="14"/>
      <s:c r="D83" s="14"/>
      <s:c r="E83" s="14"/>
      <s:c r="F83" s="14"/>
      <s:c r="G83" s="14"/>
      <s:c r="H83" s="14"/>
      <s:c r="I83" s="14"/>
      <s:c r="J83" s="14"/>
      <s:c r="K83" s="14"/>
      <s:c r="L83" s="14"/>
      <s:c r="M83" s="14"/>
      <s:c r="N83" s="14"/>
      <s:c r="O83" s="14"/>
      <s:c r="P83" s="14"/>
      <s:c r="Q83" s="14"/>
      <s:c r="R83" s="14"/>
      <s:c r="S83" s="14"/>
      <s:c r="T83" s="14"/>
      <s:c r="U83" s="14"/>
      <s:c r="V83" s="14"/>
      <s:c r="W83" s="14"/>
      <s:c r="X83" s="14"/>
      <s:c r="Y83" s="14"/>
      <s:c r="Z83" s="74"/>
      <s:c r="AA83" s="14"/>
      <s:c r="AB83" s="14"/>
      <s:c r="AC83" s="14"/>
      <s:c r="AD83" s="14"/>
      <s:c r="AE83" s="14"/>
      <s:c r="AF83" s="14"/>
      <s:c r="AG83" s="15"/>
      <s:c r="AH83" s="16"/>
      <s:c r="AI83" s="16"/>
      <s:c r="AJ83" s="16"/>
      <s:c r="AK83" s="16"/>
      <s:c r="AL83" s="17"/>
      <s:c r="AM83" s="18"/>
      <s:c r="AN83" s="18"/>
      <s:c r="AO83" s="18"/>
      <s:c r="AP83" s="18"/>
      <s:c r="AQ83" s="18"/>
      <s:c r="AR83" s="18"/>
      <s:c r="AS83" s="18"/>
      <s:c r="AT83" s="18"/>
      <s:c r="AU83" s="18"/>
    </s:row>
    <s:row r="84" ht="18.75">
      <s:c r="A84" s="29" t="s">
        <s:v>65</s:v>
      </s:c>
      <s:c r="B84" s="14"/>
      <s:c r="C84" s="14"/>
      <s:c r="D84" s="14"/>
      <s:c r="E84" s="14"/>
      <s:c r="F84" s="14"/>
      <s:c r="G84" s="14"/>
      <s:c r="H84" s="14"/>
      <s:c r="I84" s="14"/>
      <s:c r="J84" s="14"/>
      <s:c r="K84" s="14"/>
      <s:c r="L84" s="14"/>
      <s:c r="M84" s="14"/>
      <s:c r="N84" s="14"/>
      <s:c r="O84" s="14"/>
      <s:c r="P84" s="14"/>
      <s:c r="Q84" s="14"/>
      <s:c r="R84" s="14"/>
      <s:c r="S84" s="14"/>
      <s:c r="T84" s="14"/>
      <s:c r="U84" s="14"/>
      <s:c r="V84" s="14"/>
      <s:c r="W84" s="14"/>
      <s:c r="X84" s="14"/>
      <s:c r="Y84" s="14"/>
      <s:c r="Z84" s="74"/>
      <s:c r="AA84" s="14"/>
      <s:c r="AB84" s="14"/>
      <s:c r="AC84" s="14"/>
      <s:c r="AD84" s="14"/>
      <s:c r="AE84" s="14"/>
      <s:c r="AF84" s="14"/>
      <s:c r="AG84" s="15"/>
      <s:c r="AH84" s="16"/>
      <s:c r="AI84" s="16"/>
      <s:c r="AJ84" s="16"/>
      <s:c r="AK84" s="16"/>
      <s:c r="AL84" s="17"/>
      <s:c r="AM84" s="18"/>
      <s:c r="AN84" s="18"/>
      <s:c r="AO84" s="18"/>
      <s:c r="AP84" s="18"/>
      <s:c r="AQ84" s="18"/>
      <s:c r="AR84" s="18"/>
      <s:c r="AS84" s="18"/>
      <s:c r="AT84" s="18"/>
      <s:c r="AU84" s="18"/>
    </s:row>
    <s:row r="85" ht="18.75">
      <s:c r="A85" s="29" t="s">
        <s:v>52</s:v>
      </s:c>
      <s:c r="B85" s="14"/>
      <s:c r="C85" s="14"/>
      <s:c r="D85" s="14"/>
      <s:c r="E85" s="14"/>
      <s:c r="F85" s="14"/>
      <s:c r="G85" s="14"/>
      <s:c r="H85" s="14"/>
      <s:c r="I85" s="14"/>
      <s:c r="J85" s="14"/>
      <s:c r="K85" s="14"/>
      <s:c r="L85" s="14"/>
      <s:c r="M85" s="14"/>
      <s:c r="N85" s="14"/>
      <s:c r="O85" s="14"/>
      <s:c r="P85" s="14"/>
      <s:c r="Q85" s="14"/>
      <s:c r="R85" s="14"/>
      <s:c r="S85" s="14"/>
      <s:c r="T85" s="14"/>
      <s:c r="U85" s="14"/>
      <s:c r="V85" s="14"/>
      <s:c r="W85" s="14"/>
      <s:c r="X85" s="14"/>
      <s:c r="Y85" s="14"/>
      <s:c r="Z85" s="74"/>
      <s:c r="AA85" s="14"/>
      <s:c r="AB85" s="14"/>
      <s:c r="AC85" s="14"/>
      <s:c r="AD85" s="14"/>
      <s:c r="AE85" s="14"/>
      <s:c r="AF85" s="14"/>
      <s:c r="AG85" s="15"/>
      <s:c r="AH85" s="16"/>
      <s:c r="AI85" s="16"/>
      <s:c r="AJ85" s="16"/>
      <s:c r="AK85" s="16"/>
      <s:c r="AL85" s="17"/>
      <s:c r="AM85" s="18"/>
      <s:c r="AN85" s="18"/>
      <s:c r="AO85" s="18"/>
      <s:c r="AP85" s="18"/>
      <s:c r="AQ85" s="18"/>
      <s:c r="AR85" s="18"/>
      <s:c r="AS85" s="18"/>
      <s:c r="AT85" s="18"/>
      <s:c r="AU85" s="18"/>
    </s:row>
    <s:row r="86" ht="18.75">
      <s:c r="A86" s="30" t="s">
        <s:v>61</s:v>
      </s:c>
      <s:c r="B86" s="14"/>
      <s:c r="C86" s="14">
        <s:v>43500</s:v>
      </s:c>
      <s:c r="D86" s="14">
        <s:v>44500</s:v>
      </s:c>
      <s:c r="E86" s="14"/>
      <s:c r="F86" s="14"/>
      <s:c r="G86" s="14"/>
      <s:c r="H86" s="14"/>
      <s:c r="I86" s="14"/>
      <s:c r="J86" s="14"/>
      <s:c r="K86" s="14"/>
      <s:c r="L86" s="14"/>
      <s:c r="M86" s="14">
        <s:v>87000</s:v>
      </s:c>
      <s:c r="N86" s="14"/>
      <s:c r="O86" s="14"/>
      <s:c r="P86" s="14"/>
      <s:c r="Q86" s="14">
        <s:v>105000</s:v>
      </s:c>
      <s:c r="R86" s="14">
        <s:v>89000</s:v>
      </s:c>
      <s:c r="S86" s="14"/>
      <s:c r="T86" s="14">
        <s:v>135000</s:v>
      </s:c>
      <s:c r="U86" s="14"/>
      <s:c r="V86" s="14"/>
      <s:c r="W86" s="14"/>
      <s:c r="X86" s="80">
        <s:v>310000</s:v>
      </s:c>
      <s:c r="Y86" s="14">
        <s:v>70000</s:v>
      </s:c>
      <s:c r="Z86" s="74">
        <s:v>250000</s:v>
      </s:c>
      <s:c r="AA86" s="14"/>
      <s:c r="AB86" s="14">
        <s:v>250000</s:v>
      </s:c>
      <s:c r="AC86" s="14"/>
      <s:c r="AD86" s="14"/>
      <s:c r="AE86" s="14"/>
      <s:c r="AF86" s="14"/>
      <s:c r="AG86" s="15"/>
      <s:c r="AH86" s="16"/>
      <s:c r="AI86" s="16"/>
      <s:c r="AJ86" s="16"/>
      <s:c r="AK86" s="16">
        <s:v>97000</s:v>
      </s:c>
      <s:c r="AL86" s="17">
        <s:v>270000</s:v>
      </s:c>
      <s:c r="AM86" s="18"/>
      <s:c r="AN86" s="18"/>
      <s:c r="AO86" s="18"/>
      <s:c r="AP86" s="18"/>
      <s:c r="AQ86" s="18"/>
      <s:c r="AR86" s="18"/>
      <s:c r="AS86" s="18"/>
      <s:c r="AT86" s="18">
        <s:v>127000</s:v>
      </s:c>
      <s:c r="AU86" s="18"/>
    </s:row>
    <s:row r="87" ht="18.75">
      <s:c r="A87" s="29" t="s">
        <s:v>16</s:v>
      </s:c>
      <s:c r="B87" s="14"/>
      <s:c r="C87" s="14"/>
      <s:c r="D87" s="14"/>
      <s:c r="E87" s="14"/>
      <s:c r="F87" s="14"/>
      <s:c r="G87" s="14"/>
      <s:c r="H87" s="14"/>
      <s:c r="I87" s="14"/>
      <s:c r="J87" s="14"/>
      <s:c r="K87" s="14"/>
      <s:c r="L87" s="14"/>
      <s:c r="M87" s="14"/>
      <s:c r="N87" s="14"/>
      <s:c r="O87" s="14"/>
      <s:c r="P87" s="14"/>
      <s:c r="Q87" s="14"/>
      <s:c r="R87" s="14"/>
      <s:c r="S87" s="14"/>
      <s:c r="T87" s="14"/>
      <s:c r="U87" s="14"/>
      <s:c r="V87" s="14"/>
      <s:c r="W87" s="14"/>
      <s:c r="X87" s="14"/>
      <s:c r="Y87" s="14"/>
      <s:c r="Z87" s="74"/>
      <s:c r="AA87" s="14"/>
      <s:c r="AB87" s="14"/>
      <s:c r="AC87" s="14"/>
      <s:c r="AD87" s="14"/>
      <s:c r="AE87" s="14"/>
      <s:c r="AF87" s="14"/>
      <s:c r="AG87" s="15"/>
      <s:c r="AH87" s="16"/>
      <s:c r="AI87" s="16"/>
      <s:c r="AJ87" s="16"/>
      <s:c r="AK87" s="16"/>
      <s:c r="AL87" s="17"/>
      <s:c r="AM87" s="18"/>
      <s:c r="AN87" s="18"/>
      <s:c r="AO87" s="18"/>
      <s:c r="AP87" s="18"/>
      <s:c r="AQ87" s="18"/>
      <s:c r="AR87" s="18"/>
      <s:c r="AS87" s="18"/>
      <s:c r="AT87" s="18"/>
      <s:c r="AU87" s="18"/>
    </s:row>
    <s:row r="88" ht="18.75">
      <s:c r="A88" s="30" t="s">
        <s:v>70</s:v>
      </s:c>
      <s:c r="B88" s="14"/>
      <s:c r="C88" s="14"/>
      <s:c r="D88" s="14"/>
      <s:c r="E88" s="14"/>
      <s:c r="F88" s="14"/>
      <s:c r="G88" s="14"/>
      <s:c r="H88" s="14"/>
      <s:c r="I88" s="14"/>
      <s:c r="J88" s="14"/>
      <s:c r="K88" s="14"/>
      <s:c r="L88" s="14"/>
      <s:c r="M88" s="14"/>
      <s:c r="N88" s="14"/>
      <s:c r="O88" s="14"/>
      <s:c r="P88" s="14"/>
      <s:c r="Q88" s="14"/>
      <s:c r="R88" s="14"/>
      <s:c r="S88" s="14"/>
      <s:c r="T88" s="14"/>
      <s:c r="U88" s="14"/>
      <s:c r="V88" s="14"/>
      <s:c r="W88" s="14"/>
      <s:c r="X88" s="14"/>
      <s:c r="Y88" s="14"/>
      <s:c r="Z88" s="74"/>
      <s:c r="AA88" s="14"/>
      <s:c r="AB88" s="14"/>
      <s:c r="AC88" s="14"/>
      <s:c r="AD88" s="14"/>
      <s:c r="AE88" s="14"/>
      <s:c r="AF88" s="14"/>
      <s:c r="AG88" s="15"/>
      <s:c r="AH88" s="16"/>
      <s:c r="AI88" s="16"/>
      <s:c r="AJ88" s="16"/>
      <s:c r="AK88" s="16"/>
      <s:c r="AL88" s="17"/>
      <s:c r="AM88" s="18"/>
      <s:c r="AN88" s="18"/>
      <s:c r="AO88" s="18"/>
      <s:c r="AP88" s="18"/>
      <s:c r="AQ88" s="18"/>
      <s:c r="AR88" s="18"/>
      <s:c r="AS88" s="18"/>
      <s:c r="AT88" s="18"/>
      <s:c r="AU88" s="18"/>
    </s:row>
    <s:row r="89" ht="18.75">
      <s:c r="A89" s="13" t="s">
        <s:v>77</s:v>
      </s:c>
      <s:c r="B89" s="14"/>
      <s:c r="C89" s="14"/>
      <s:c r="D89" s="14"/>
      <s:c r="E89" s="14"/>
      <s:c r="F89" s="14"/>
      <s:c r="G89" s="14"/>
      <s:c r="H89" s="14"/>
      <s:c r="I89" s="14"/>
      <s:c r="J89" s="14"/>
      <s:c r="K89" s="14"/>
      <s:c r="L89" s="14"/>
      <s:c r="M89" s="14"/>
      <s:c r="N89" s="14"/>
      <s:c r="O89" s="14"/>
      <s:c r="P89" s="14"/>
      <s:c r="Q89" s="14"/>
      <s:c r="R89" s="14"/>
      <s:c r="S89" s="14"/>
      <s:c r="T89" s="14"/>
      <s:c r="U89" s="14"/>
      <s:c r="V89" s="14"/>
      <s:c r="W89" s="14"/>
      <s:c r="X89" s="14"/>
      <s:c r="Y89" s="14"/>
      <s:c r="Z89" s="74"/>
      <s:c r="AA89" s="14"/>
      <s:c r="AB89" s="14"/>
      <s:c r="AC89" s="14"/>
      <s:c r="AD89" s="14"/>
      <s:c r="AE89" s="14"/>
      <s:c r="AF89" s="14"/>
      <s:c r="AG89" s="15"/>
      <s:c r="AH89" s="16"/>
      <s:c r="AI89" s="16"/>
      <s:c r="AJ89" s="16"/>
      <s:c r="AK89" s="16"/>
      <s:c r="AL89" s="17"/>
      <s:c r="AM89" s="18"/>
      <s:c r="AN89" s="18"/>
      <s:c r="AO89" s="18"/>
      <s:c r="AP89" s="18"/>
      <s:c r="AQ89" s="18"/>
      <s:c r="AR89" s="18"/>
      <s:c r="AS89" s="18"/>
      <s:c r="AT89" s="18"/>
      <s:c r="AU89" s="18"/>
    </s:row>
    <s:row r="90" ht="18.75">
      <s:c r="A90" s="13" t="s">
        <s:v>76</s:v>
      </s:c>
      <s:c r="B90" s="14"/>
      <s:c r="C90" s="14"/>
      <s:c r="D90" s="14"/>
      <s:c r="E90" s="14"/>
      <s:c r="F90" s="14"/>
      <s:c r="G90" s="14"/>
      <s:c r="H90" s="14"/>
      <s:c r="I90" s="14"/>
      <s:c r="J90" s="14"/>
      <s:c r="K90" s="14"/>
      <s:c r="L90" s="14"/>
      <s:c r="M90" s="14"/>
      <s:c r="N90" s="14"/>
      <s:c r="O90" s="14"/>
      <s:c r="P90" s="14"/>
      <s:c r="Q90" s="14"/>
      <s:c r="R90" s="14"/>
      <s:c r="S90" s="14"/>
      <s:c r="T90" s="14"/>
      <s:c r="U90" s="14"/>
      <s:c r="V90" s="14"/>
      <s:c r="W90" s="14"/>
      <s:c r="X90" s="14"/>
      <s:c r="Y90" s="14"/>
      <s:c r="Z90" s="74"/>
      <s:c r="AA90" s="14"/>
      <s:c r="AB90" s="14"/>
      <s:c r="AC90" s="14"/>
      <s:c r="AD90" s="14"/>
      <s:c r="AE90" s="14"/>
      <s:c r="AF90" s="14"/>
      <s:c r="AG90" s="15"/>
      <s:c r="AH90" s="16"/>
      <s:c r="AI90" s="16"/>
      <s:c r="AJ90" s="16"/>
      <s:c r="AK90" s="16"/>
      <s:c r="AL90" s="17"/>
      <s:c r="AM90" s="18"/>
      <s:c r="AN90" s="18"/>
      <s:c r="AO90" s="18"/>
      <s:c r="AP90" s="18"/>
      <s:c r="AQ90" s="18"/>
      <s:c r="AR90" s="18"/>
      <s:c r="AS90" s="18"/>
      <s:c r="AT90" s="18"/>
      <s:c r="AU90" s="18"/>
    </s:row>
    <s:row r="91" ht="18.75">
      <s:c r="A91" s="29" t="s">
        <s:v>7</s:v>
      </s:c>
      <s:c r="B91" s="14"/>
      <s:c r="C91" s="14"/>
      <s:c r="D91" s="14">
        <s:v>44500</s:v>
      </s:c>
      <s:c r="E91" s="14"/>
      <s:c r="F91" s="14"/>
      <s:c r="G91" s="14"/>
      <s:c r="H91" s="14"/>
      <s:c r="I91" s="14"/>
      <s:c r="J91" s="14"/>
      <s:c r="K91" s="14"/>
      <s:c r="L91" s="14"/>
      <s:c r="M91" s="14">
        <s:v>87000</s:v>
      </s:c>
      <s:c r="N91" s="14"/>
      <s:c r="O91" s="14"/>
      <s:c r="P91" s="14"/>
      <s:c r="Q91" s="14">
        <s:v>105000</s:v>
      </s:c>
      <s:c r="R91" s="14"/>
      <s:c r="S91" s="14"/>
      <s:c r="T91" s="14"/>
      <s:c r="U91" s="14"/>
      <s:c r="V91" s="14"/>
      <s:c r="W91" s="14"/>
      <s:c r="X91" s="14"/>
      <s:c r="Y91" s="14"/>
      <s:c r="Z91" s="74"/>
      <s:c r="AA91" s="14"/>
      <s:c r="AB91" s="14">
        <s:v>250000</s:v>
      </s:c>
      <s:c r="AC91" s="14"/>
      <s:c r="AD91" s="14"/>
      <s:c r="AE91" s="14"/>
      <s:c r="AF91" s="14"/>
      <s:c r="AG91" s="15"/>
      <s:c r="AH91" s="16"/>
      <s:c r="AI91" s="16"/>
      <s:c r="AJ91" s="16"/>
      <s:c r="AK91" s="16"/>
      <s:c r="AL91" s="17"/>
      <s:c r="AM91" s="18"/>
      <s:c r="AN91" s="18"/>
      <s:c r="AO91" s="18"/>
      <s:c r="AP91" s="18"/>
      <s:c r="AQ91" s="18"/>
      <s:c r="AR91" s="18"/>
      <s:c r="AS91" s="18"/>
      <s:c r="AT91" s="18"/>
      <s:c r="AU91" s="18"/>
    </s:row>
    <s:row r="92" ht="18.75">
      <s:c r="A92" s="13" t="s">
        <s:v>80</s:v>
      </s:c>
      <s:c r="B92" s="14"/>
      <s:c r="C92" s="14"/>
      <s:c r="D92" s="14"/>
      <s:c r="E92" s="14"/>
      <s:c r="F92" s="14"/>
      <s:c r="G92" s="14"/>
      <s:c r="H92" s="14"/>
      <s:c r="I92" s="14"/>
      <s:c r="J92" s="14"/>
      <s:c r="K92" s="14"/>
      <s:c r="L92" s="14"/>
      <s:c r="M92" s="14"/>
      <s:c r="N92" s="14"/>
      <s:c r="O92" s="14"/>
      <s:c r="P92" s="14"/>
      <s:c r="Q92" s="14"/>
      <s:c r="R92" s="14"/>
      <s:c r="S92" s="14"/>
      <s:c r="T92" s="14"/>
      <s:c r="U92" s="14"/>
      <s:c r="V92" s="14"/>
      <s:c r="W92" s="14"/>
      <s:c r="X92" s="14"/>
      <s:c r="Y92" s="14"/>
      <s:c r="Z92" s="74"/>
      <s:c r="AA92" s="14"/>
      <s:c r="AB92" s="14"/>
      <s:c r="AC92" s="14"/>
      <s:c r="AD92" s="14"/>
      <s:c r="AE92" s="14"/>
      <s:c r="AF92" s="14"/>
      <s:c r="AG92" s="15"/>
      <s:c r="AH92" s="16"/>
      <s:c r="AI92" s="16"/>
      <s:c r="AJ92" s="16"/>
      <s:c r="AK92" s="16"/>
      <s:c r="AL92" s="17"/>
      <s:c r="AM92" s="18"/>
      <s:c r="AN92" s="18"/>
      <s:c r="AO92" s="18"/>
      <s:c r="AP92" s="18"/>
      <s:c r="AQ92" s="18"/>
      <s:c r="AR92" s="18"/>
      <s:c r="AS92" s="18"/>
      <s:c r="AT92" s="18"/>
      <s:c r="AU92" s="18"/>
    </s:row>
    <s:row r="93" ht="18.75">
      <s:c r="A93" s="13" t="s">
        <s:v>111</s:v>
      </s:c>
      <s:c r="B93" s="14"/>
      <s:c r="C93" s="14"/>
      <s:c r="D93" s="14"/>
      <s:c r="E93" s="14"/>
      <s:c r="F93" s="14"/>
      <s:c r="G93" s="14"/>
      <s:c r="H93" s="14"/>
      <s:c r="I93" s="14"/>
      <s:c r="J93" s="14"/>
      <s:c r="K93" s="14"/>
      <s:c r="L93" s="14"/>
      <s:c r="M93" s="14"/>
      <s:c r="N93" s="14"/>
      <s:c r="O93" s="14"/>
      <s:c r="P93" s="14"/>
      <s:c r="Q93" s="14"/>
      <s:c r="R93" s="14">
        <s:v>89000</s:v>
      </s:c>
      <s:c r="S93" s="14"/>
      <s:c r="T93" s="14"/>
      <s:c r="U93" s="14"/>
      <s:c r="V93" s="14"/>
      <s:c r="W93" s="14"/>
      <s:c r="X93" s="14"/>
      <s:c r="Y93" s="14"/>
      <s:c r="Z93" s="74"/>
      <s:c r="AA93" s="14"/>
      <s:c r="AB93" s="14"/>
      <s:c r="AC93" s="14"/>
      <s:c r="AD93" s="14"/>
      <s:c r="AE93" s="14"/>
      <s:c r="AF93" s="14"/>
      <s:c r="AG93" s="15"/>
      <s:c r="AH93" s="16"/>
      <s:c r="AI93" s="16"/>
      <s:c r="AJ93" s="16"/>
      <s:c r="AK93" s="16"/>
      <s:c r="AL93" s="17"/>
      <s:c r="AM93" s="18"/>
      <s:c r="AN93" s="18"/>
      <s:c r="AO93" s="18"/>
      <s:c r="AP93" s="18">
        <s:v>110000</s:v>
      </s:c>
      <s:c r="AQ93" s="18"/>
      <s:c r="AR93" s="18"/>
      <s:c r="AS93" s="18"/>
      <s:c r="AT93" s="18"/>
      <s:c r="AU93" s="18"/>
    </s:row>
    <s:row r="94" ht="18.75">
      <s:c r="A94" s="30" t="s">
        <s:v>54</s:v>
      </s:c>
      <s:c r="B94" s="14"/>
      <s:c r="C94" s="14"/>
      <s:c r="D94" s="14"/>
      <s:c r="E94" s="14"/>
      <s:c r="F94" s="14"/>
      <s:c r="G94" s="14"/>
      <s:c r="H94" s="14"/>
      <s:c r="I94" s="14"/>
      <s:c r="J94" s="14"/>
      <s:c r="K94" s="14"/>
      <s:c r="L94" s="14"/>
      <s:c r="M94" s="14"/>
      <s:c r="N94" s="14"/>
      <s:c r="O94" s="14"/>
      <s:c r="P94" s="14"/>
      <s:c r="Q94" s="14"/>
      <s:c r="R94" s="14"/>
      <s:c r="S94" s="14"/>
      <s:c r="T94" s="14"/>
      <s:c r="U94" s="14"/>
      <s:c r="V94" s="14"/>
      <s:c r="W94" s="14"/>
      <s:c r="X94" s="14"/>
      <s:c r="Y94" s="14"/>
      <s:c r="Z94" s="74"/>
      <s:c r="AA94" s="14"/>
      <s:c r="AB94" s="14"/>
      <s:c r="AC94" s="14"/>
      <s:c r="AD94" s="14"/>
      <s:c r="AE94" s="14"/>
      <s:c r="AF94" s="14"/>
      <s:c r="AG94" s="15"/>
      <s:c r="AH94" s="16"/>
      <s:c r="AI94" s="16"/>
      <s:c r="AJ94" s="16"/>
      <s:c r="AK94" s="16"/>
      <s:c r="AL94" s="17">
        <s:v>316000</s:v>
      </s:c>
      <s:c r="AM94" s="18"/>
      <s:c r="AN94" s="18"/>
      <s:c r="AO94" s="18"/>
      <s:c r="AP94" s="18"/>
      <s:c r="AQ94" s="18"/>
      <s:c r="AR94" s="18"/>
      <s:c r="AS94" s="18"/>
      <s:c r="AT94" s="18"/>
      <s:c r="AU94" s="18"/>
    </s:row>
    <s:row r="95" ht="18.75">
      <s:c r="A95" s="29" t="s">
        <s:v>68</s:v>
      </s:c>
      <s:c r="B95" s="14"/>
      <s:c r="C95" s="14"/>
      <s:c r="D95" s="14"/>
      <s:c r="E95" s="14"/>
      <s:c r="F95" s="14"/>
      <s:c r="G95" s="14"/>
      <s:c r="H95" s="14"/>
      <s:c r="I95" s="14"/>
      <s:c r="J95" s="14"/>
      <s:c r="K95" s="14"/>
      <s:c r="L95" s="14"/>
      <s:c r="M95" s="14"/>
      <s:c r="N95" s="14"/>
      <s:c r="O95" s="14"/>
      <s:c r="P95" s="14"/>
      <s:c r="Q95" s="14"/>
      <s:c r="R95" s="14"/>
      <s:c r="S95" s="14"/>
      <s:c r="T95" s="14"/>
      <s:c r="U95" s="14"/>
      <s:c r="V95" s="14"/>
      <s:c r="W95" s="14"/>
      <s:c r="X95" s="14"/>
      <s:c r="Y95" s="14"/>
      <s:c r="Z95" s="74"/>
      <s:c r="AA95" s="14"/>
      <s:c r="AB95" s="14"/>
      <s:c r="AC95" s="14"/>
      <s:c r="AD95" s="14"/>
      <s:c r="AE95" s="14"/>
      <s:c r="AF95" s="14"/>
      <s:c r="AG95" s="15"/>
      <s:c r="AH95" s="16"/>
      <s:c r="AI95" s="16"/>
      <s:c r="AJ95" s="16"/>
      <s:c r="AK95" s="16"/>
      <s:c r="AL95" s="17"/>
      <s:c r="AM95" s="18"/>
      <s:c r="AN95" s="18"/>
      <s:c r="AO95" s="18"/>
      <s:c r="AP95" s="18"/>
      <s:c r="AQ95" s="18"/>
      <s:c r="AR95" s="18"/>
      <s:c r="AS95" s="18"/>
      <s:c r="AT95" s="18"/>
      <s:c r="AU95" s="18"/>
    </s:row>
    <s:row r="96" ht="18.75">
      <s:c r="A96" s="29" t="s">
        <s:v>2</s:v>
      </s:c>
      <s:c r="B96" s="14"/>
      <s:c r="C96" s="14"/>
      <s:c r="D96" s="14"/>
      <s:c r="E96" s="14"/>
      <s:c r="F96" s="14"/>
      <s:c r="G96" s="14"/>
      <s:c r="H96" s="14"/>
      <s:c r="I96" s="14"/>
      <s:c r="J96" s="14"/>
      <s:c r="K96" s="14"/>
      <s:c r="L96" s="14"/>
      <s:c r="M96" s="14"/>
      <s:c r="N96" s="14"/>
      <s:c r="O96" s="14"/>
      <s:c r="P96" s="14"/>
      <s:c r="Q96" s="14"/>
      <s:c r="R96" s="14"/>
      <s:c r="S96" s="14"/>
      <s:c r="T96" s="14"/>
      <s:c r="U96" s="14"/>
      <s:c r="V96" s="14"/>
      <s:c r="W96" s="14"/>
      <s:c r="X96" s="14"/>
      <s:c r="Y96" s="14"/>
      <s:c r="Z96" s="74"/>
      <s:c r="AA96" s="14"/>
      <s:c r="AB96" s="14"/>
      <s:c r="AC96" s="14"/>
      <s:c r="AD96" s="14"/>
      <s:c r="AE96" s="14"/>
      <s:c r="AF96" s="14"/>
      <s:c r="AG96" s="15"/>
      <s:c r="AH96" s="16"/>
      <s:c r="AI96" s="16"/>
      <s:c r="AJ96" s="16"/>
      <s:c r="AK96" s="16"/>
      <s:c r="AL96" s="17"/>
      <s:c r="AM96" s="18"/>
      <s:c r="AN96" s="18"/>
      <s:c r="AO96" s="18"/>
      <s:c r="AP96" s="18"/>
      <s:c r="AQ96" s="18"/>
      <s:c r="AR96" s="18"/>
      <s:c r="AS96" s="18"/>
      <s:c r="AT96" s="18"/>
      <s:c r="AU96" s="18"/>
    </s:row>
    <s:row r="97" ht="18.75">
      <s:c r="A97" s="29" t="s">
        <s:v>71</s:v>
      </s:c>
      <s:c r="B97" s="14"/>
      <s:c r="C97" s="14"/>
      <s:c r="D97" s="14"/>
      <s:c r="E97" s="14"/>
      <s:c r="F97" s="14"/>
      <s:c r="G97" s="14"/>
      <s:c r="H97" s="14"/>
      <s:c r="I97" s="14"/>
      <s:c r="J97" s="14"/>
      <s:c r="K97" s="14"/>
      <s:c r="L97" s="14"/>
      <s:c r="M97" s="14"/>
      <s:c r="N97" s="14"/>
      <s:c r="O97" s="14"/>
      <s:c r="P97" s="14"/>
      <s:c r="Q97" s="14"/>
      <s:c r="R97" s="14"/>
      <s:c r="S97" s="14"/>
      <s:c r="T97" s="14"/>
      <s:c r="U97" s="14"/>
      <s:c r="V97" s="14"/>
      <s:c r="W97" s="14"/>
      <s:c r="X97" s="14"/>
      <s:c r="Y97" s="14"/>
      <s:c r="Z97" s="74"/>
      <s:c r="AA97" s="14"/>
      <s:c r="AB97" s="14"/>
      <s:c r="AC97" s="14"/>
      <s:c r="AD97" s="14"/>
      <s:c r="AE97" s="14"/>
      <s:c r="AF97" s="14"/>
      <s:c r="AG97" s="15"/>
      <s:c r="AH97" s="16"/>
      <s:c r="AI97" s="16"/>
      <s:c r="AJ97" s="16"/>
      <s:c r="AK97" s="16"/>
      <s:c r="AL97" s="17"/>
      <s:c r="AM97" s="18"/>
      <s:c r="AN97" s="18"/>
      <s:c r="AO97" s="18"/>
      <s:c r="AP97" s="18"/>
      <s:c r="AQ97" s="18"/>
      <s:c r="AR97" s="18"/>
      <s:c r="AS97" s="18"/>
      <s:c r="AT97" s="18"/>
      <s:c r="AU97" s="18"/>
    </s:row>
    <s:row r="98" ht="18.75">
      <s:c r="A98" s="29" t="s">
        <s:v>64</s:v>
      </s:c>
      <s:c r="B98" s="14"/>
      <s:c r="C98" s="14"/>
      <s:c r="D98" s="14"/>
      <s:c r="E98" s="14"/>
      <s:c r="F98" s="14"/>
      <s:c r="G98" s="14"/>
      <s:c r="H98" s="14"/>
      <s:c r="I98" s="14"/>
      <s:c r="J98" s="14"/>
      <s:c r="K98" s="14"/>
      <s:c r="L98" s="14"/>
      <s:c r="M98" s="14"/>
      <s:c r="N98" s="14"/>
      <s:c r="O98" s="14"/>
      <s:c r="P98" s="14"/>
      <s:c r="Q98" s="14"/>
      <s:c r="R98" s="14"/>
      <s:c r="S98" s="14"/>
      <s:c r="T98" s="14"/>
      <s:c r="U98" s="14"/>
      <s:c r="V98" s="14"/>
      <s:c r="W98" s="14"/>
      <s:c r="X98" s="14"/>
      <s:c r="Y98" s="14"/>
      <s:c r="Z98" s="74"/>
      <s:c r="AA98" s="14"/>
      <s:c r="AB98" s="14"/>
      <s:c r="AC98" s="14"/>
      <s:c r="AD98" s="14"/>
      <s:c r="AE98" s="14"/>
      <s:c r="AF98" s="14"/>
      <s:c r="AG98" s="15"/>
      <s:c r="AH98" s="16"/>
      <s:c r="AI98" s="16"/>
      <s:c r="AJ98" s="16"/>
      <s:c r="AK98" s="16"/>
      <s:c r="AL98" s="17"/>
      <s:c r="AM98" s="18"/>
      <s:c r="AN98" s="18"/>
      <s:c r="AO98" s="18"/>
      <s:c r="AP98" s="18"/>
      <s:c r="AQ98" s="18"/>
      <s:c r="AR98" s="18"/>
      <s:c r="AS98" s="18"/>
      <s:c r="AT98" s="18"/>
      <s:c r="AU98" s="18"/>
    </s:row>
    <s:row r="99" ht="18.75">
      <s:c r="A99" s="29" t="s">
        <s:v>42</s:v>
      </s:c>
      <s:c r="B99" s="14"/>
      <s:c r="C99" s="14"/>
      <s:c r="D99" s="14"/>
      <s:c r="E99" s="14"/>
      <s:c r="F99" s="14"/>
      <s:c r="G99" s="14"/>
      <s:c r="H99" s="14"/>
      <s:c r="I99" s="14"/>
      <s:c r="J99" s="14"/>
      <s:c r="K99" s="14"/>
      <s:c r="L99" s="14"/>
      <s:c r="M99" s="14"/>
      <s:c r="N99" s="14"/>
      <s:c r="O99" s="14"/>
      <s:c r="P99" s="14"/>
      <s:c r="Q99" s="14"/>
      <s:c r="R99" s="14"/>
      <s:c r="S99" s="14"/>
      <s:c r="T99" s="14"/>
      <s:c r="U99" s="14"/>
      <s:c r="V99" s="14"/>
      <s:c r="W99" s="14"/>
      <s:c r="X99" s="14"/>
      <s:c r="Y99" s="14"/>
      <s:c r="Z99" s="74"/>
      <s:c r="AA99" s="14"/>
      <s:c r="AB99" s="14"/>
      <s:c r="AC99" s="14"/>
      <s:c r="AD99" s="14"/>
      <s:c r="AE99" s="14"/>
      <s:c r="AF99" s="14"/>
      <s:c r="AG99" s="15"/>
      <s:c r="AH99" s="16"/>
      <s:c r="AI99" s="16"/>
      <s:c r="AJ99" s="16"/>
      <s:c r="AK99" s="16"/>
      <s:c r="AL99" s="17"/>
      <s:c r="AM99" s="18"/>
      <s:c r="AN99" s="18"/>
      <s:c r="AO99" s="18"/>
      <s:c r="AP99" s="18"/>
      <s:c r="AQ99" s="18"/>
      <s:c r="AR99" s="18"/>
      <s:c r="AS99" s="18"/>
      <s:c r="AT99" s="18"/>
      <s:c r="AU99" s="18"/>
    </s:row>
    <s:row r="100" ht="18.75">
      <s:c r="A100" s="29" t="s">
        <s:v>45</s:v>
      </s:c>
      <s:c r="B100" s="14"/>
      <s:c r="C100" s="14"/>
      <s:c r="D100" s="14"/>
      <s:c r="E100" s="14"/>
      <s:c r="F100" s="14"/>
      <s:c r="G100" s="14"/>
      <s:c r="H100" s="14"/>
      <s:c r="I100" s="14"/>
      <s:c r="J100" s="14"/>
      <s:c r="K100" s="14"/>
      <s:c r="L100" s="14"/>
      <s:c r="M100" s="14"/>
      <s:c r="N100" s="14"/>
      <s:c r="O100" s="14"/>
      <s:c r="P100" s="14"/>
      <s:c r="Q100" s="14"/>
      <s:c r="R100" s="14"/>
      <s:c r="S100" s="14"/>
      <s:c r="T100" s="14"/>
      <s:c r="U100" s="14"/>
      <s:c r="V100" s="14"/>
      <s:c r="W100" s="14"/>
      <s:c r="X100" s="14"/>
      <s:c r="Y100" s="14"/>
      <s:c r="Z100" s="74"/>
      <s:c r="AA100" s="14"/>
      <s:c r="AB100" s="14"/>
      <s:c r="AC100" s="14"/>
      <s:c r="AD100" s="14"/>
      <s:c r="AE100" s="14"/>
      <s:c r="AF100" s="14"/>
      <s:c r="AG100" s="15"/>
      <s:c r="AH100" s="16"/>
      <s:c r="AI100" s="16"/>
      <s:c r="AJ100" s="16"/>
      <s:c r="AK100" s="16"/>
      <s:c r="AL100" s="17"/>
      <s:c r="AM100" s="18"/>
      <s:c r="AN100" s="18"/>
      <s:c r="AO100" s="18"/>
      <s:c r="AP100" s="18"/>
      <s:c r="AQ100" s="18"/>
      <s:c r="AR100" s="18"/>
      <s:c r="AS100" s="18"/>
      <s:c r="AT100" s="18"/>
      <s:c r="AU100" s="18"/>
    </s:row>
    <s:row r="101" ht="18.75">
      <s:c r="A101" s="29" t="s">
        <s:v>43</s:v>
      </s:c>
      <s:c r="B101" s="29"/>
      <s:c r="C101" s="14"/>
      <s:c r="D101" s="14"/>
      <s:c r="E101" s="14"/>
      <s:c r="F101" s="14"/>
      <s:c r="G101" s="14"/>
      <s:c r="H101" s="14"/>
      <s:c r="I101" s="14"/>
      <s:c r="J101" s="14"/>
      <s:c r="K101" s="14"/>
      <s:c r="L101" s="14"/>
      <s:c r="M101" s="14"/>
      <s:c r="N101" s="14"/>
      <s:c r="O101" s="14"/>
      <s:c r="P101" s="14"/>
      <s:c r="Q101" s="14"/>
      <s:c r="R101" s="14"/>
      <s:c r="S101" s="14"/>
      <s:c r="T101" s="14"/>
      <s:c r="U101" s="14"/>
      <s:c r="V101" s="14"/>
      <s:c r="W101" s="14"/>
      <s:c r="X101" s="14"/>
      <s:c r="Y101" s="14"/>
      <s:c r="Z101" s="74"/>
      <s:c r="AA101" s="14"/>
      <s:c r="AB101" s="14"/>
      <s:c r="AC101" s="14"/>
      <s:c r="AD101" s="14"/>
      <s:c r="AE101" s="14"/>
      <s:c r="AF101" s="14"/>
      <s:c r="AG101" s="15"/>
      <s:c r="AH101" s="16"/>
      <s:c r="AI101" s="16"/>
      <s:c r="AJ101" s="16"/>
      <s:c r="AK101" s="16"/>
      <s:c r="AL101" s="17"/>
      <s:c r="AM101" s="18"/>
      <s:c r="AN101" s="18"/>
      <s:c r="AO101" s="18"/>
      <s:c r="AP101" s="18"/>
      <s:c r="AQ101" s="18"/>
      <s:c r="AR101" s="18"/>
      <s:c r="AS101" s="18"/>
      <s:c r="AT101" s="18"/>
      <s:c r="AU101" s="18"/>
    </s:row>
    <s:row r="102" ht="18.75">
      <s:c r="A102" s="29" t="s">
        <s:v>99</s:v>
      </s:c>
      <s:c r="B102" s="14"/>
      <s:c r="C102" s="14"/>
      <s:c r="D102" s="14"/>
      <s:c r="E102" s="14"/>
      <s:c r="F102" s="14"/>
      <s:c r="G102" s="14"/>
      <s:c r="H102" s="14"/>
      <s:c r="I102" s="14"/>
      <s:c r="J102" s="14"/>
      <s:c r="K102" s="14"/>
      <s:c r="L102" s="14"/>
      <s:c r="M102" s="14"/>
      <s:c r="N102" s="14"/>
      <s:c r="O102" s="14">
        <s:v>85500</s:v>
      </s:c>
      <s:c r="P102" s="14"/>
      <s:c r="Q102" s="14"/>
      <s:c r="R102" s="14">
        <s:v>94500</s:v>
      </s:c>
      <s:c r="S102" s="14"/>
      <s:c r="T102" s="14"/>
      <s:c r="U102" s="14"/>
      <s:c r="V102" s="14"/>
      <s:c r="W102" s="14"/>
      <s:c r="X102" s="14"/>
      <s:c r="Y102" s="14"/>
      <s:c r="Z102" s="74"/>
      <s:c r="AA102" s="14"/>
      <s:c r="AB102" s="14"/>
      <s:c r="AC102" s="14"/>
      <s:c r="AD102" s="14"/>
      <s:c r="AE102" s="14"/>
      <s:c r="AF102" s="14"/>
      <s:c r="AG102" s="15"/>
      <s:c r="AH102" s="16"/>
      <s:c r="AI102" s="16"/>
      <s:c r="AJ102" s="16"/>
      <s:c r="AK102" s="16"/>
      <s:c r="AL102" s="17"/>
      <s:c r="AM102" s="18"/>
      <s:c r="AN102" s="18"/>
      <s:c r="AO102" s="18"/>
      <s:c r="AP102" s="18"/>
      <s:c r="AQ102" s="18"/>
      <s:c r="AR102" s="18"/>
      <s:c r="AS102" s="18"/>
      <s:c r="AT102" s="18"/>
      <s:c r="AU102" s="18"/>
    </s:row>
    <s:row r="103" ht="18.75">
      <s:c r="A103" s="29" t="s">
        <s:v>67</s:v>
      </s:c>
      <s:c r="B103" s="14"/>
      <s:c r="C103" s="14"/>
      <s:c r="D103" s="14"/>
      <s:c r="E103" s="14"/>
      <s:c r="F103" s="14"/>
      <s:c r="G103" s="14"/>
      <s:c r="H103" s="14"/>
      <s:c r="I103" s="14"/>
      <s:c r="J103" s="14"/>
      <s:c r="K103" s="14"/>
      <s:c r="L103" s="14"/>
      <s:c r="M103" s="14"/>
      <s:c r="N103" s="14"/>
      <s:c r="O103" s="14"/>
      <s:c r="P103" s="14"/>
      <s:c r="Q103" s="14"/>
      <s:c r="R103" s="14"/>
      <s:c r="S103" s="14"/>
      <s:c r="T103" s="14"/>
      <s:c r="U103" s="14"/>
      <s:c r="V103" s="14"/>
      <s:c r="W103" s="14"/>
      <s:c r="X103" s="14"/>
      <s:c r="Y103" s="14"/>
      <s:c r="Z103" s="74"/>
      <s:c r="AA103" s="14"/>
      <s:c r="AB103" s="14"/>
      <s:c r="AC103" s="14"/>
      <s:c r="AD103" s="14"/>
      <s:c r="AE103" s="14"/>
      <s:c r="AF103" s="14"/>
      <s:c r="AG103" s="15"/>
      <s:c r="AH103" s="16"/>
      <s:c r="AI103" s="16"/>
      <s:c r="AJ103" s="16"/>
      <s:c r="AK103" s="16"/>
      <s:c r="AL103" s="17"/>
      <s:c r="AM103" s="18"/>
      <s:c r="AN103" s="18"/>
      <s:c r="AO103" s="18"/>
      <s:c r="AP103" s="18"/>
      <s:c r="AQ103" s="18"/>
      <s:c r="AR103" s="18"/>
      <s:c r="AS103" s="18"/>
      <s:c r="AT103" s="18"/>
      <s:c r="AU103" s="18"/>
    </s:row>
    <s:row r="104" ht="18.75">
      <s:c r="A104" s="29" t="s">
        <s:v>104</s:v>
      </s:c>
      <s:c r="B104" s="14"/>
      <s:c r="C104" s="14"/>
      <s:c r="D104" s="14"/>
      <s:c r="E104" s="14"/>
      <s:c r="F104" s="14"/>
      <s:c r="G104" s="14"/>
      <s:c r="H104" s="14"/>
      <s:c r="I104" s="14"/>
      <s:c r="J104" s="14"/>
      <s:c r="K104" s="14"/>
      <s:c r="L104" s="14"/>
      <s:c r="M104" s="14"/>
      <s:c r="N104" s="14"/>
      <s:c r="O104" s="14"/>
      <s:c r="P104" s="14"/>
      <s:c r="Q104" s="14">
        <s:v>170000</s:v>
      </s:c>
      <s:c r="R104" s="14"/>
      <s:c r="S104" s="14"/>
      <s:c r="T104" s="14"/>
      <s:c r="U104" s="14"/>
      <s:c r="V104" s="14"/>
      <s:c r="W104" s="14"/>
      <s:c r="X104" s="14"/>
      <s:c r="Y104" s="14"/>
      <s:c r="Z104" s="14"/>
      <s:c r="AA104" s="14"/>
      <s:c r="AB104" s="14"/>
      <s:c r="AC104" s="14"/>
      <s:c r="AD104" s="14"/>
      <s:c r="AE104" s="14"/>
      <s:c r="AF104" s="14"/>
      <s:c r="AG104" s="15"/>
      <s:c r="AH104" s="16"/>
      <s:c r="AI104" s="16"/>
      <s:c r="AJ104" s="16"/>
      <s:c r="AK104" s="16"/>
      <s:c r="AL104" s="17"/>
      <s:c r="AM104" s="18"/>
      <s:c r="AN104" s="18"/>
      <s:c r="AO104" s="18"/>
      <s:c r="AP104" s="18"/>
      <s:c r="AQ104" s="18"/>
      <s:c r="AR104" s="18"/>
      <s:c r="AS104" s="18"/>
      <s:c r="AT104" s="18"/>
      <s:c r="AU104" s="18"/>
    </s:row>
    <s:row r="105" ht="18.75">
      <s:c r="A105" s="29" t="s">
        <s:v>112</s:v>
      </s:c>
      <s:c r="B105" s="14"/>
      <s:c r="C105" s="14">
        <s:v>43500</s:v>
      </s:c>
      <s:c r="D105" s="14"/>
      <s:c r="E105" s="14"/>
      <s:c r="F105" s="14"/>
      <s:c r="G105" s="14"/>
      <s:c r="H105" s="14"/>
      <s:c r="I105" s="14"/>
      <s:c r="J105" s="14"/>
      <s:c r="K105" s="14"/>
      <s:c r="L105" s="14"/>
      <s:c r="M105" s="14"/>
      <s:c r="N105" s="14"/>
      <s:c r="O105" s="14"/>
      <s:c r="P105" s="14"/>
      <s:c r="Q105" s="14"/>
      <s:c r="R105" s="14"/>
      <s:c r="S105" s="14"/>
      <s:c r="T105" s="14"/>
      <s:c r="U105" s="14"/>
      <s:c r="V105" s="14"/>
      <s:c r="W105" s="14"/>
      <s:c r="X105" s="14"/>
      <s:c r="Y105" s="14"/>
      <s:c r="Z105" s="14"/>
      <s:c r="AA105" s="14"/>
      <s:c r="AB105" s="14"/>
      <s:c r="AC105" s="14"/>
      <s:c r="AD105" s="14"/>
      <s:c r="AE105" s="14"/>
      <s:c r="AF105" s="14"/>
      <s:c r="AG105" s="15"/>
      <s:c r="AH105" s="16"/>
      <s:c r="AI105" s="16"/>
      <s:c r="AJ105" s="16"/>
      <s:c r="AK105" s="16"/>
      <s:c r="AL105" s="17"/>
      <s:c r="AM105" s="18"/>
      <s:c r="AN105" s="18"/>
      <s:c r="AO105" s="18"/>
      <s:c r="AP105" s="18"/>
      <s:c r="AQ105" s="18"/>
      <s:c r="AR105" s="18"/>
      <s:c r="AS105" s="18"/>
      <s:c r="AT105" s="18"/>
      <s:c r="AU105" s="18"/>
    </s:row>
    <s:row r="106" ht="18.75">
      <s:c r="A106" s="29" t="s">
        <s:v>0</s:v>
      </s:c>
      <s:c r="B106" s="14"/>
      <s:c r="C106" s="14"/>
      <s:c r="D106" s="14"/>
      <s:c r="E106" s="14"/>
      <s:c r="F106" s="14"/>
      <s:c r="G106" s="14"/>
      <s:c r="H106" s="14"/>
      <s:c r="I106" s="14"/>
      <s:c r="J106" s="14"/>
      <s:c r="K106" s="14"/>
      <s:c r="L106" s="14"/>
      <s:c r="M106" s="14"/>
      <s:c r="N106" s="14"/>
      <s:c r="O106" s="14"/>
      <s:c r="P106" s="14"/>
      <s:c r="Q106" s="14"/>
      <s:c r="R106" s="14"/>
      <s:c r="S106" s="14"/>
      <s:c r="T106" s="14"/>
      <s:c r="U106" s="14"/>
      <s:c r="V106" s="14"/>
      <s:c r="W106" s="14"/>
      <s:c r="X106" s="14"/>
      <s:c r="Y106" s="14"/>
      <s:c r="Z106" s="14"/>
      <s:c r="AA106" s="14"/>
      <s:c r="AB106" s="14"/>
      <s:c r="AC106" s="14"/>
      <s:c r="AD106" s="14"/>
      <s:c r="AE106" s="14"/>
      <s:c r="AF106" s="14"/>
      <s:c r="AG106" s="15"/>
      <s:c r="AH106" s="16"/>
      <s:c r="AI106" s="16"/>
      <s:c r="AJ106" s="16"/>
      <s:c r="AK106" s="16"/>
      <s:c r="AL106" s="17"/>
      <s:c r="AM106" s="18"/>
      <s:c r="AN106" s="18"/>
      <s:c r="AO106" s="18"/>
      <s:c r="AP106" s="18"/>
      <s:c r="AQ106" s="18"/>
      <s:c r="AR106" s="18"/>
      <s:c r="AS106" s="18"/>
      <s:c r="AT106" s="18"/>
      <s:c r="AU106" s="18"/>
    </s:row>
    <s:row r="107" ht="18.75">
      <s:c r="A107" s="30" t="s">
        <s:v>58</s:v>
      </s:c>
      <s:c r="B107" s="14"/>
      <s:c r="C107" s="14"/>
      <s:c r="D107" s="14"/>
      <s:c r="E107" s="14"/>
      <s:c r="F107" s="14"/>
      <s:c r="G107" s="14"/>
      <s:c r="H107" s="14"/>
      <s:c r="I107" s="14"/>
      <s:c r="J107" s="14"/>
      <s:c r="K107" s="14"/>
      <s:c r="L107" s="14"/>
      <s:c r="M107" s="14"/>
      <s:c r="N107" s="14"/>
      <s:c r="O107" s="14"/>
      <s:c r="P107" s="14"/>
      <s:c r="Q107" s="14"/>
      <s:c r="R107" s="14"/>
      <s:c r="S107" s="14"/>
      <s:c r="T107" s="14"/>
      <s:c r="U107" s="14"/>
      <s:c r="V107" s="14"/>
      <s:c r="W107" s="14"/>
      <s:c r="X107" s="14"/>
      <s:c r="Y107" s="14"/>
      <s:c r="Z107" s="14"/>
      <s:c r="AA107" s="14"/>
      <s:c r="AB107" s="14"/>
      <s:c r="AC107" s="14"/>
      <s:c r="AD107" s="14"/>
      <s:c r="AE107" s="14"/>
      <s:c r="AF107" s="14"/>
      <s:c r="AG107" s="15"/>
      <s:c r="AH107" s="16"/>
      <s:c r="AI107" s="16"/>
      <s:c r="AJ107" s="16"/>
      <s:c r="AK107" s="16"/>
      <s:c r="AL107" s="17"/>
      <s:c r="AM107" s="18"/>
      <s:c r="AN107" s="18"/>
      <s:c r="AO107" s="18"/>
      <s:c r="AP107" s="18"/>
      <s:c r="AQ107" s="18"/>
      <s:c r="AR107" s="18"/>
      <s:c r="AS107" s="18"/>
      <s:c r="AT107" s="18"/>
      <s:c r="AU107" s="18"/>
    </s:row>
    <s:row r="108" ht="18.75">
      <s:c r="A108" s="29" t="s">
        <s:v>40</s:v>
      </s:c>
      <s:c r="B108" s="14"/>
      <s:c r="C108" s="14"/>
      <s:c r="D108" s="14"/>
      <s:c r="E108" s="14"/>
      <s:c r="F108" s="14"/>
      <s:c r="G108" s="14"/>
      <s:c r="H108" s="14"/>
      <s:c r="I108" s="14"/>
      <s:c r="J108" s="14"/>
      <s:c r="K108" s="14"/>
      <s:c r="L108" s="14"/>
      <s:c r="M108" s="14"/>
      <s:c r="N108" s="14"/>
      <s:c r="O108" s="14"/>
      <s:c r="P108" s="14"/>
      <s:c r="Q108" s="14"/>
      <s:c r="R108" s="14"/>
      <s:c r="S108" s="14"/>
      <s:c r="T108" s="14"/>
      <s:c r="U108" s="14"/>
      <s:c r="V108" s="14"/>
      <s:c r="W108" s="14"/>
      <s:c r="X108" s="14"/>
      <s:c r="Y108" s="14"/>
      <s:c r="Z108" s="14"/>
      <s:c r="AA108" s="14"/>
      <s:c r="AB108" s="14"/>
      <s:c r="AC108" s="14"/>
      <s:c r="AD108" s="14"/>
      <s:c r="AE108" s="14"/>
      <s:c r="AF108" s="14"/>
      <s:c r="AG108" s="15"/>
      <s:c r="AH108" s="16"/>
      <s:c r="AI108" s="16"/>
      <s:c r="AJ108" s="16"/>
      <s:c r="AK108" s="16"/>
      <s:c r="AL108" s="17"/>
      <s:c r="AM108" s="18"/>
      <s:c r="AN108" s="18"/>
      <s:c r="AO108" s="18"/>
      <s:c r="AP108" s="18"/>
      <s:c r="AQ108" s="18">
        <s:v>317000</s:v>
      </s:c>
      <s:c r="AR108" s="18"/>
      <s:c r="AS108" s="18"/>
      <s:c r="AT108" s="18"/>
      <s:c r="AU108" s="18"/>
    </s:row>
    <s:row r="109" ht="18.75">
      <s:c r="A109" s="29" t="s">
        <s:v>53</s:v>
      </s:c>
      <s:c r="B109" s="14"/>
      <s:c r="C109" s="14"/>
      <s:c r="D109" s="14"/>
      <s:c r="E109" s="14"/>
      <s:c r="F109" s="14"/>
      <s:c r="G109" s="14"/>
      <s:c r="H109" s="14"/>
      <s:c r="I109" s="14"/>
      <s:c r="J109" s="14"/>
      <s:c r="K109" s="14"/>
      <s:c r="L109" s="14"/>
      <s:c r="M109" s="14"/>
      <s:c r="N109" s="14"/>
      <s:c r="O109" s="14"/>
      <s:c r="P109" s="14"/>
      <s:c r="Q109" s="14"/>
      <s:c r="R109" s="14"/>
      <s:c r="S109" s="14"/>
      <s:c r="T109" s="14"/>
      <s:c r="U109" s="14"/>
      <s:c r="V109" s="14"/>
      <s:c r="W109" s="14"/>
      <s:c r="X109" s="14"/>
      <s:c r="Y109" s="14"/>
      <s:c r="Z109" s="14"/>
      <s:c r="AA109" s="14"/>
      <s:c r="AB109" s="14"/>
      <s:c r="AC109" s="14"/>
      <s:c r="AD109" s="14"/>
      <s:c r="AE109" s="14"/>
      <s:c r="AF109" s="14"/>
      <s:c r="AG109" s="15"/>
      <s:c r="AH109" s="16"/>
      <s:c r="AI109" s="16"/>
      <s:c r="AJ109" s="16"/>
      <s:c r="AK109" s="16"/>
      <s:c r="AL109" s="17"/>
      <s:c r="AM109" s="18"/>
      <s:c r="AN109" s="18"/>
      <s:c r="AO109" s="18"/>
      <s:c r="AP109" s="18"/>
      <s:c r="AQ109" s="18"/>
      <s:c r="AR109" s="18"/>
      <s:c r="AS109" s="18"/>
      <s:c r="AT109" s="18"/>
      <s:c r="AU109" s="18"/>
    </s:row>
    <s:row r="110" ht="18.75">
      <s:c r="A110" s="29" t="s">
        <s:v>85</s:v>
      </s:c>
      <s:c r="B110" s="14">
        <s:v>41000</s:v>
      </s:c>
      <s:c r="C110" s="14"/>
      <s:c r="D110" s="14"/>
      <s:c r="E110" s="14"/>
      <s:c r="F110" s="14"/>
      <s:c r="G110" s="14"/>
      <s:c r="H110" s="14"/>
      <s:c r="I110" s="14"/>
      <s:c r="J110" s="14"/>
      <s:c r="K110" s="14"/>
      <s:c r="L110" s="14"/>
      <s:c r="M110" s="14"/>
      <s:c r="N110" s="14"/>
      <s:c r="O110" s="14"/>
      <s:c r="P110" s="14"/>
      <s:c r="Q110" s="14">
        <s:v>125000</s:v>
      </s:c>
      <s:c r="R110" s="14"/>
      <s:c r="S110" s="14">
        <s:v>255000</s:v>
      </s:c>
      <s:c r="T110" s="14"/>
      <s:c r="U110" s="14"/>
      <s:c r="V110" s="14"/>
      <s:c r="W110" s="14"/>
      <s:c r="X110" s="14"/>
      <s:c r="Y110" s="14"/>
      <s:c r="Z110" s="14">
        <s:v>265000</s:v>
      </s:c>
      <s:c r="AA110" s="14"/>
      <s:c r="AB110" s="14"/>
      <s:c r="AC110" s="14"/>
      <s:c r="AD110" s="14"/>
      <s:c r="AE110" s="14"/>
      <s:c r="AF110" s="14"/>
      <s:c r="AG110" s="15"/>
      <s:c r="AH110" s="16"/>
      <s:c r="AI110" s="16"/>
      <s:c r="AJ110" s="16"/>
      <s:c r="AK110" s="16"/>
      <s:c r="AL110" s="17"/>
      <s:c r="AM110" s="18"/>
      <s:c r="AN110" s="18"/>
      <s:c r="AO110" s="18"/>
      <s:c r="AP110" s="18"/>
      <s:c r="AQ110" s="18"/>
      <s:c r="AR110" s="18"/>
      <s:c r="AS110" s="18"/>
      <s:c r="AT110" s="18"/>
      <s:c r="AU110" s="18">
        <s:v>790348</s:v>
      </s:c>
    </s:row>
    <s:row r="111" ht="18.75">
      <s:c r="A111" s="29" t="s">
        <s:v>74</s:v>
      </s:c>
      <s:c r="B111" s="14"/>
      <s:c r="C111" s="14"/>
      <s:c r="D111" s="14"/>
      <s:c r="E111" s="14"/>
      <s:c r="F111" s="14"/>
      <s:c r="G111" s="14"/>
      <s:c r="H111" s="14"/>
      <s:c r="I111" s="14"/>
      <s:c r="J111" s="14"/>
      <s:c r="K111" s="14"/>
      <s:c r="L111" s="14"/>
      <s:c r="M111" s="14"/>
      <s:c r="N111" s="14"/>
      <s:c r="O111" s="14">
        <s:v>85000</s:v>
      </s:c>
      <s:c r="P111" s="14"/>
      <s:c r="Q111" s="14"/>
      <s:c r="R111" s="14">
        <s:v>97000</s:v>
      </s:c>
      <s:c r="S111" s="14">
        <s:v>235000</s:v>
      </s:c>
      <s:c r="T111" s="14"/>
      <s:c r="U111" s="14"/>
      <s:c r="V111" s="14"/>
      <s:c r="W111" s="14"/>
      <s:c r="X111" s="14"/>
      <s:c r="Y111" s="14"/>
      <s:c r="Z111" s="14"/>
      <s:c r="AA111" s="14"/>
      <s:c r="AB111" s="14"/>
      <s:c r="AC111" s="14"/>
      <s:c r="AD111" s="14"/>
      <s:c r="AE111" s="14"/>
      <s:c r="AF111" s="14"/>
      <s:c r="AG111" s="15"/>
      <s:c r="AH111" s="16"/>
      <s:c r="AI111" s="16"/>
      <s:c r="AJ111" s="16"/>
      <s:c r="AK111" s="16"/>
      <s:c r="AL111" s="17"/>
      <s:c r="AM111" s="18"/>
      <s:c r="AN111" s="18"/>
      <s:c r="AO111" s="18"/>
      <s:c r="AP111" s="18"/>
      <s:c r="AQ111" s="18"/>
      <s:c r="AR111" s="18"/>
      <s:c r="AS111" s="18"/>
      <s:c r="AT111" s="18"/>
      <s:c r="AU111" s="18"/>
    </s:row>
    <s:row r="112" ht="18.75">
      <s:c r="A112" s="29" t="s">
        <s:v>63</s:v>
      </s:c>
      <s:c r="B112" s="14"/>
      <s:c r="C112" s="14"/>
      <s:c r="D112" s="14"/>
      <s:c r="E112" s="14"/>
      <s:c r="F112" s="14"/>
      <s:c r="G112" s="14"/>
      <s:c r="H112" s="14"/>
      <s:c r="I112" s="14"/>
      <s:c r="J112" s="14"/>
      <s:c r="K112" s="14"/>
      <s:c r="L112" s="14"/>
      <s:c r="M112" s="14"/>
      <s:c r="N112" s="14"/>
      <s:c r="O112" s="14"/>
      <s:c r="P112" s="14"/>
      <s:c r="Q112" s="14"/>
      <s:c r="R112" s="14"/>
      <s:c r="S112" s="14"/>
      <s:c r="T112" s="14"/>
      <s:c r="U112" s="14"/>
      <s:c r="V112" s="14"/>
      <s:c r="W112" s="14"/>
      <s:c r="X112" s="14"/>
      <s:c r="Y112" s="14"/>
      <s:c r="Z112" s="14"/>
      <s:c r="AA112" s="14"/>
      <s:c r="AB112" s="14"/>
      <s:c r="AC112" s="14"/>
      <s:c r="AD112" s="14"/>
      <s:c r="AE112" s="14"/>
      <s:c r="AF112" s="14"/>
      <s:c r="AG112" s="15"/>
      <s:c r="AH112" s="16"/>
      <s:c r="AI112" s="16"/>
      <s:c r="AJ112" s="16"/>
      <s:c r="AK112" s="16"/>
      <s:c r="AL112" s="17"/>
      <s:c r="AM112" s="18"/>
      <s:c r="AN112" s="18"/>
      <s:c r="AO112" s="18"/>
      <s:c r="AP112" s="18"/>
      <s:c r="AQ112" s="18"/>
      <s:c r="AR112" s="18"/>
      <s:c r="AS112" s="18"/>
      <s:c r="AT112" s="18"/>
      <s:c r="AU112" s="18"/>
    </s:row>
    <s:row r="113" ht="18.75">
      <s:c r="A113" s="30" t="s">
        <s:v>87</s:v>
      </s:c>
      <s:c r="B113" s="14"/>
      <s:c r="C113" s="14"/>
      <s:c r="D113" s="14"/>
      <s:c r="E113" s="14"/>
      <s:c r="F113" s="14"/>
      <s:c r="G113" s="14"/>
      <s:c r="H113" s="14"/>
      <s:c r="I113" s="14"/>
      <s:c r="J113" s="14"/>
      <s:c r="K113" s="14"/>
      <s:c r="L113" s="14"/>
      <s:c r="M113" s="14"/>
      <s:c r="N113" s="14"/>
      <s:c r="O113" s="14"/>
      <s:c r="P113" s="14"/>
      <s:c r="Q113" s="14"/>
      <s:c r="R113" s="14"/>
      <s:c r="S113" s="14"/>
      <s:c r="T113" s="14"/>
      <s:c r="U113" s="14"/>
      <s:c r="V113" s="14"/>
      <s:c r="W113" s="14"/>
      <s:c r="X113" s="14"/>
      <s:c r="Y113" s="14"/>
      <s:c r="Z113" s="14"/>
      <s:c r="AA113" s="14"/>
      <s:c r="AB113" s="14"/>
      <s:c r="AC113" s="14"/>
      <s:c r="AD113" s="14"/>
      <s:c r="AE113" s="14"/>
      <s:c r="AF113" s="14"/>
      <s:c r="AG113" s="15"/>
      <s:c r="AH113" s="16"/>
      <s:c r="AI113" s="16"/>
      <s:c r="AJ113" s="16"/>
      <s:c r="AK113" s="16"/>
      <s:c r="AL113" s="17"/>
      <s:c r="AM113" s="18"/>
      <s:c r="AN113" s="18"/>
      <s:c r="AO113" s="18"/>
      <s:c r="AP113" s="18"/>
      <s:c r="AQ113" s="18"/>
      <s:c r="AR113" s="18"/>
      <s:c r="AS113" s="18"/>
      <s:c r="AT113" s="18"/>
      <s:c r="AU113" s="18"/>
    </s:row>
    <s:row r="114" ht="18.75">
      <s:c r="A114" s="29" t="s">
        <s:v>48</s:v>
      </s:c>
      <s:c r="B114" s="14"/>
      <s:c r="C114" s="14"/>
      <s:c r="D114" s="14"/>
      <s:c r="E114" s="14"/>
      <s:c r="F114" s="14"/>
      <s:c r="G114" s="14"/>
      <s:c r="H114" s="14"/>
      <s:c r="I114" s="14"/>
      <s:c r="J114" s="14"/>
      <s:c r="K114" s="14"/>
      <s:c r="L114" s="14"/>
      <s:c r="M114" s="14"/>
      <s:c r="N114" s="14"/>
      <s:c r="O114" s="14"/>
      <s:c r="P114" s="14"/>
      <s:c r="Q114" s="14"/>
      <s:c r="R114" s="14"/>
      <s:c r="S114" s="14"/>
      <s:c r="T114" s="14"/>
      <s:c r="U114" s="14"/>
      <s:c r="V114" s="14"/>
      <s:c r="W114" s="14"/>
      <s:c r="X114" s="14"/>
      <s:c r="Y114" s="14"/>
      <s:c r="Z114" s="14"/>
      <s:c r="AA114" s="14"/>
      <s:c r="AB114" s="14"/>
      <s:c r="AC114" s="14"/>
      <s:c r="AD114" s="14"/>
      <s:c r="AE114" s="14"/>
      <s:c r="AF114" s="14"/>
      <s:c r="AG114" s="15"/>
      <s:c r="AH114" s="16"/>
      <s:c r="AI114" s="16"/>
      <s:c r="AJ114" s="16"/>
      <s:c r="AK114" s="16"/>
      <s:c r="AL114" s="17"/>
      <s:c r="AM114" s="18"/>
      <s:c r="AN114" s="18"/>
      <s:c r="AO114" s="18"/>
      <s:c r="AP114" s="18"/>
      <s:c r="AQ114" s="18"/>
      <s:c r="AR114" s="18"/>
      <s:c r="AS114" s="18"/>
      <s:c r="AT114" s="18"/>
      <s:c r="AU114" s="18"/>
    </s:row>
    <s:row r="115" ht="18.75">
      <s:c r="A115" s="29" t="s">
        <s:v>57</s:v>
      </s:c>
      <s:c r="B115" s="14"/>
      <s:c r="C115" s="14"/>
      <s:c r="D115" s="14"/>
      <s:c r="E115" s="14"/>
      <s:c r="F115" s="14"/>
      <s:c r="G115" s="14"/>
      <s:c r="H115" s="14"/>
      <s:c r="I115" s="14"/>
      <s:c r="J115" s="14"/>
      <s:c r="K115" s="14"/>
      <s:c r="L115" s="14"/>
      <s:c r="M115" s="14"/>
      <s:c r="N115" s="14"/>
      <s:c r="O115" s="14"/>
      <s:c r="P115" s="14"/>
      <s:c r="Q115" s="14"/>
      <s:c r="R115" s="14"/>
      <s:c r="S115" s="14"/>
      <s:c r="T115" s="14"/>
      <s:c r="U115" s="14"/>
      <s:c r="V115" s="14"/>
      <s:c r="W115" s="14"/>
      <s:c r="X115" s="14"/>
      <s:c r="Y115" s="14"/>
      <s:c r="Z115" s="14"/>
      <s:c r="AA115" s="14"/>
      <s:c r="AB115" s="14"/>
      <s:c r="AC115" s="14"/>
      <s:c r="AD115" s="14"/>
      <s:c r="AE115" s="14"/>
      <s:c r="AF115" s="14"/>
      <s:c r="AG115" s="15"/>
      <s:c r="AH115" s="16"/>
      <s:c r="AI115" s="16"/>
      <s:c r="AJ115" s="16"/>
      <s:c r="AK115" s="16"/>
      <s:c r="AL115" s="17"/>
      <s:c r="AM115" s="18"/>
      <s:c r="AN115" s="18"/>
      <s:c r="AO115" s="18"/>
      <s:c r="AP115" s="18"/>
      <s:c r="AQ115" s="18"/>
      <s:c r="AR115" s="18"/>
      <s:c r="AS115" s="18"/>
      <s:c r="AT115" s="18"/>
      <s:c r="AU115" s="18"/>
    </s:row>
    <s:row r="116" ht="18.75">
      <s:c r="A116" s="29" t="s">
        <s:v>51</s:v>
      </s:c>
      <s:c r="B116" s="14"/>
      <s:c r="C116" s="14">
        <s:v>45800</s:v>
      </s:c>
      <s:c r="D116" s="14"/>
      <s:c r="E116" s="14"/>
      <s:c r="F116" s="14"/>
      <s:c r="G116" s="14"/>
      <s:c r="H116" s="14"/>
      <s:c r="I116" s="14"/>
      <s:c r="J116" s="14"/>
      <s:c r="K116" s="14"/>
      <s:c r="L116" s="14"/>
      <s:c r="M116" s="14"/>
      <s:c r="N116" s="14"/>
      <s:c r="O116" s="14"/>
      <s:c r="P116" s="14"/>
      <s:c r="Q116" s="14"/>
      <s:c r="R116" s="14">
        <s:v>89900</s:v>
      </s:c>
      <s:c r="S116" s="14"/>
      <s:c r="T116" s="14"/>
      <s:c r="U116" s="14"/>
      <s:c r="V116" s="14"/>
      <s:c r="W116" s="14"/>
      <s:c r="X116" s="14"/>
      <s:c r="Y116" s="14"/>
      <s:c r="Z116" s="14"/>
      <s:c r="AA116" s="14"/>
      <s:c r="AB116" s="14"/>
      <s:c r="AC116" s="14"/>
      <s:c r="AD116" s="14"/>
      <s:c r="AE116" s="14"/>
      <s:c r="AF116" s="14"/>
      <s:c r="AG116" s="15"/>
      <s:c r="AH116" s="16"/>
      <s:c r="AI116" s="16"/>
      <s:c r="AJ116" s="16"/>
      <s:c r="AK116" s="16"/>
      <s:c r="AL116" s="17"/>
      <s:c r="AM116" s="18"/>
      <s:c r="AN116" s="18"/>
      <s:c r="AO116" s="18"/>
      <s:c r="AP116" s="18"/>
      <s:c r="AQ116" s="18"/>
      <s:c r="AR116" s="18"/>
      <s:c r="AS116" s="18"/>
      <s:c r="AT116" s="18"/>
      <s:c r="AU116" s="18"/>
    </s:row>
    <s:row r="117" ht="18.75">
      <s:c r="A117" s="29" t="s">
        <s:v>49</s:v>
      </s:c>
      <s:c r="B117" s="14"/>
      <s:c r="C117" s="14"/>
      <s:c r="D117" s="14"/>
      <s:c r="E117" s="14"/>
      <s:c r="F117" s="14"/>
      <s:c r="G117" s="14"/>
      <s:c r="H117" s="14"/>
      <s:c r="I117" s="14"/>
      <s:c r="J117" s="14"/>
      <s:c r="K117" s="14"/>
      <s:c r="L117" s="14"/>
      <s:c r="M117" s="14"/>
      <s:c r="N117" s="14"/>
      <s:c r="O117" s="14"/>
      <s:c r="P117" s="14"/>
      <s:c r="Q117" s="14"/>
      <s:c r="R117" s="14"/>
      <s:c r="S117" s="14"/>
      <s:c r="T117" s="14"/>
      <s:c r="U117" s="14"/>
      <s:c r="V117" s="14"/>
      <s:c r="W117" s="14"/>
      <s:c r="X117" s="14"/>
      <s:c r="Y117" s="14"/>
      <s:c r="Z117" s="14"/>
      <s:c r="AA117" s="14"/>
      <s:c r="AB117" s="14"/>
      <s:c r="AC117" s="14"/>
      <s:c r="AD117" s="14"/>
      <s:c r="AE117" s="14"/>
      <s:c r="AF117" s="14"/>
      <s:c r="AG117" s="15"/>
      <s:c r="AH117" s="16"/>
      <s:c r="AI117" s="16"/>
      <s:c r="AJ117" s="16"/>
      <s:c r="AK117" s="16"/>
      <s:c r="AL117" s="17"/>
      <s:c r="AM117" s="18"/>
      <s:c r="AN117" s="18"/>
      <s:c r="AO117" s="18"/>
      <s:c r="AP117" s="18"/>
      <s:c r="AQ117" s="18"/>
      <s:c r="AR117" s="18"/>
      <s:c r="AS117" s="18"/>
      <s:c r="AT117" s="18"/>
      <s:c r="AU117" s="18"/>
    </s:row>
    <s:row r="118" ht="18.75">
      <s:c r="A118" s="29" t="str">
        <s:f>$A$55</s:f>
        <s:v>SANEG</s:v>
      </s:c>
      <s:c r="B118" s="14"/>
      <s:c r="C118" s="14"/>
      <s:c r="D118" s="14"/>
      <s:c r="E118" s="14"/>
      <s:c r="F118" s="14"/>
      <s:c r="G118" s="14"/>
      <s:c r="H118" s="14"/>
      <s:c r="I118" s="14"/>
      <s:c r="J118" s="14"/>
      <s:c r="K118" s="14"/>
      <s:c r="L118" s="14"/>
      <s:c r="M118" s="14"/>
      <s:c r="N118" s="14"/>
      <s:c r="O118" s="14"/>
      <s:c r="P118" s="14"/>
      <s:c r="Q118" s="14"/>
      <s:c r="R118" s="14"/>
      <s:c r="S118" s="14"/>
      <s:c r="T118" s="14"/>
      <s:c r="U118" s="14"/>
      <s:c r="V118" s="14"/>
      <s:c r="W118" s="14"/>
      <s:c r="X118" s="14"/>
      <s:c r="Y118" s="14"/>
      <s:c r="Z118" s="14"/>
      <s:c r="AA118" s="14"/>
      <s:c r="AB118" s="14"/>
      <s:c r="AC118" s="14"/>
      <s:c r="AD118" s="14"/>
      <s:c r="AE118" s="14"/>
      <s:c r="AF118" s="14"/>
      <s:c r="AG118" s="15"/>
      <s:c r="AH118" s="16"/>
      <s:c r="AI118" s="16"/>
      <s:c r="AJ118" s="16"/>
      <s:c r="AK118" s="16"/>
      <s:c r="AL118" s="17"/>
      <s:c r="AM118" s="18"/>
      <s:c r="AN118" s="18"/>
      <s:c r="AO118" s="18"/>
      <s:c r="AP118" s="18"/>
      <s:c r="AQ118" s="18"/>
      <s:c r="AR118" s="18"/>
      <s:c r="AS118" s="18"/>
      <s:c r="AT118" s="18"/>
      <s:c r="AU118" s="18"/>
    </s:row>
    <s:row r="119" ht="18.75">
      <s:c r="A119" s="29" t="s">
        <s:v>114</s:v>
      </s:c>
      <s:c r="B119" s="14"/>
      <s:c r="C119" s="14"/>
      <s:c r="D119" s="14"/>
      <s:c r="E119" s="14"/>
      <s:c r="F119" s="14"/>
      <s:c r="G119" s="14"/>
      <s:c r="H119" s="14"/>
      <s:c r="I119" s="14"/>
      <s:c r="J119" s="14"/>
      <s:c r="K119" s="14"/>
      <s:c r="L119" s="14"/>
      <s:c r="M119" s="14"/>
      <s:c r="N119" s="14"/>
      <s:c r="O119" s="14"/>
      <s:c r="P119" s="14"/>
      <s:c r="Q119" s="14"/>
      <s:c r="R119" s="14">
        <s:v>111000</s:v>
      </s:c>
      <s:c r="S119" s="14"/>
      <s:c r="T119" s="14"/>
      <s:c r="U119" s="14"/>
      <s:c r="V119" s="14"/>
      <s:c r="W119" s="14"/>
      <s:c r="X119" s="14"/>
      <s:c r="Y119" s="14"/>
      <s:c r="Z119" s="14"/>
      <s:c r="AA119" s="14"/>
      <s:c r="AB119" s="14"/>
      <s:c r="AC119" s="14"/>
      <s:c r="AD119" s="14"/>
      <s:c r="AE119" s="14"/>
      <s:c r="AF119" s="14"/>
      <s:c r="AG119" s="15"/>
      <s:c r="AH119" s="16"/>
      <s:c r="AI119" s="16"/>
      <s:c r="AJ119" s="16"/>
      <s:c r="AK119" s="16"/>
      <s:c r="AL119" s="17"/>
      <s:c r="AM119" s="18"/>
      <s:c r="AN119" s="18"/>
      <s:c r="AO119" s="18"/>
      <s:c r="AP119" s="18"/>
      <s:c r="AQ119" s="18"/>
      <s:c r="AR119" s="18"/>
      <s:c r="AS119" s="18"/>
      <s:c r="AT119" s="18"/>
      <s:c r="AU119" s="18"/>
    </s:row>
    <s:row r="120" ht="18.75">
      <s:c r="A120" s="29" t="s">
        <s:v>115</s:v>
      </s:c>
      <s:c r="B120" s="14"/>
      <s:c r="C120" s="14"/>
      <s:c r="D120" s="14"/>
      <s:c r="E120" s="14"/>
      <s:c r="F120" s="14"/>
      <s:c r="G120" s="14"/>
      <s:c r="H120" s="14"/>
      <s:c r="I120" s="14"/>
      <s:c r="J120" s="14"/>
      <s:c r="K120" s="14"/>
      <s:c r="L120" s="14"/>
      <s:c r="M120" s="14"/>
      <s:c r="N120" s="14"/>
      <s:c r="O120" s="14"/>
      <s:c r="P120" s="14"/>
      <s:c r="Q120" s="14"/>
      <s:c r="R120" s="14"/>
      <s:c r="S120" s="14"/>
      <s:c r="T120" s="14"/>
      <s:c r="U120" s="14"/>
      <s:c r="V120" s="14"/>
      <s:c r="W120" s="14"/>
      <s:c r="X120" s="14"/>
      <s:c r="Y120" s="14"/>
      <s:c r="Z120" s="14"/>
      <s:c r="AA120" s="14"/>
      <s:c r="AB120" s="14"/>
      <s:c r="AC120" s="14"/>
      <s:c r="AD120" s="14"/>
      <s:c r="AE120" s="14"/>
      <s:c r="AF120" s="14"/>
      <s:c r="AG120" s="15"/>
      <s:c r="AH120" s="16"/>
      <s:c r="AI120" s="16"/>
      <s:c r="AJ120" s="16"/>
      <s:c r="AK120" s="16"/>
      <s:c r="AL120" s="17"/>
      <s:c r="AM120" s="18"/>
      <s:c r="AN120" s="18"/>
      <s:c r="AO120" s="18">
        <s:v>190000</s:v>
      </s:c>
      <s:c r="AP120" s="18"/>
      <s:c r="AQ120" s="18"/>
      <s:c r="AR120" s="18"/>
      <s:c r="AS120" s="18"/>
      <s:c r="AT120" s="18"/>
      <s:c r="AU120" s="18"/>
    </s:row>
    <s:row r="121" ht="18.75">
      <s:c r="A121" s="13" t="s">
        <s:v>92</s:v>
      </s:c>
      <s:c r="B121" s="14"/>
      <s:c r="C121" s="14"/>
      <s:c r="D121" s="14"/>
      <s:c r="E121" s="14"/>
      <s:c r="F121" s="14"/>
      <s:c r="G121" s="14"/>
      <s:c r="H121" s="14"/>
      <s:c r="I121" s="14"/>
      <s:c r="J121" s="14"/>
      <s:c r="K121" s="14"/>
      <s:c r="L121" s="14"/>
      <s:c r="M121" s="14"/>
      <s:c r="N121" s="14"/>
      <s:c r="O121" s="14"/>
      <s:c r="P121" s="14"/>
      <s:c r="Q121" s="14"/>
      <s:c r="R121" s="14"/>
      <s:c r="S121" s="14"/>
      <s:c r="T121" s="14"/>
      <s:c r="U121" s="14"/>
      <s:c r="V121" s="14"/>
      <s:c r="W121" s="14"/>
      <s:c r="X121" s="14"/>
      <s:c r="Y121" s="14"/>
      <s:c r="Z121" s="14"/>
      <s:c r="AA121" s="14"/>
      <s:c r="AB121" s="14"/>
      <s:c r="AC121" s="14"/>
      <s:c r="AD121" s="14"/>
      <s:c r="AE121" s="14"/>
      <s:c r="AF121" s="14"/>
      <s:c r="AG121" s="15"/>
      <s:c r="AH121" s="16"/>
      <s:c r="AI121" s="16"/>
      <s:c r="AJ121" s="16"/>
      <s:c r="AK121" s="16"/>
      <s:c r="AL121" s="17"/>
      <s:c r="AM121" s="18"/>
      <s:c r="AN121" s="18"/>
      <s:c r="AO121" s="18"/>
      <s:c r="AP121" s="18"/>
      <s:c r="AQ121" s="18"/>
      <s:c r="AR121" s="18">
        <s:v>330000</s:v>
      </s:c>
      <s:c r="AS121" s="18"/>
      <s:c r="AT121" s="18"/>
      <s:c r="AU121" s="18"/>
    </s:row>
    <s:row r="122" ht="18.75">
      <s:c r="A122" s="13" t="s">
        <s:v>93</s:v>
      </s:c>
      <s:c r="B122" s="14"/>
      <s:c r="C122" s="14"/>
      <s:c r="D122" s="14"/>
      <s:c r="E122" s="14"/>
      <s:c r="F122" s="14"/>
      <s:c r="G122" s="14"/>
      <s:c r="H122" s="14"/>
      <s:c r="I122" s="14"/>
      <s:c r="J122" s="14"/>
      <s:c r="K122" s="14"/>
      <s:c r="L122" s="14"/>
      <s:c r="M122" s="14"/>
      <s:c r="N122" s="14"/>
      <s:c r="O122" s="14"/>
      <s:c r="P122" s="14"/>
      <s:c r="Q122" s="14"/>
      <s:c r="R122" s="14"/>
      <s:c r="S122" s="14"/>
      <s:c r="T122" s="14"/>
      <s:c r="U122" s="14"/>
      <s:c r="V122" s="14"/>
      <s:c r="W122" s="14"/>
      <s:c r="X122" s="14"/>
      <s:c r="Y122" s="14"/>
      <s:c r="Z122" s="14"/>
      <s:c r="AA122" s="14"/>
      <s:c r="AB122" s="14"/>
      <s:c r="AC122" s="14"/>
      <s:c r="AD122" s="14"/>
      <s:c r="AE122" s="14"/>
      <s:c r="AF122" s="14"/>
      <s:c r="AG122" s="15"/>
      <s:c r="AH122" s="16"/>
      <s:c r="AI122" s="16"/>
      <s:c r="AJ122" s="16"/>
      <s:c r="AK122" s="16"/>
      <s:c r="AL122" s="17"/>
      <s:c r="AM122" s="18"/>
      <s:c r="AN122" s="18"/>
      <s:c r="AO122" s="18"/>
      <s:c r="AP122" s="18">
        <s:v>39000</s:v>
      </s:c>
      <s:c r="AQ122" s="18"/>
      <s:c r="AR122" s="18"/>
      <s:c r="AS122" s="18"/>
      <s:c r="AT122" s="18"/>
      <s:c r="AU122" s="18"/>
    </s:row>
    <s:row r="123" ht="18.75">
      <s:c r="A123" s="13" t="s">
        <s:v>97</s:v>
      </s:c>
      <s:c r="B123" s="14"/>
      <s:c r="C123" s="14"/>
      <s:c r="D123" s="14"/>
      <s:c r="E123" s="14"/>
      <s:c r="F123" s="14"/>
      <s:c r="G123" s="14"/>
      <s:c r="H123" s="14"/>
      <s:c r="I123" s="14"/>
      <s:c r="J123" s="14"/>
      <s:c r="K123" s="14"/>
      <s:c r="L123" s="14"/>
      <s:c r="M123" s="14"/>
      <s:c r="N123" s="14"/>
      <s:c r="O123" s="14"/>
      <s:c r="P123" s="14"/>
      <s:c r="Q123" s="14"/>
      <s:c r="R123" s="14"/>
      <s:c r="S123" s="14"/>
      <s:c r="T123" s="14"/>
      <s:c r="U123" s="14"/>
      <s:c r="V123" s="14"/>
      <s:c r="W123" s="14"/>
      <s:c r="X123" s="14"/>
      <s:c r="Y123" s="14"/>
      <s:c r="Z123" s="14"/>
      <s:c r="AA123" s="14"/>
      <s:c r="AB123" s="14"/>
      <s:c r="AC123" s="14"/>
      <s:c r="AD123" s="14"/>
      <s:c r="AE123" s="14"/>
      <s:c r="AF123" s="14"/>
      <s:c r="AG123" s="15"/>
      <s:c r="AH123" s="16"/>
      <s:c r="AI123" s="16"/>
      <s:c r="AJ123" s="16"/>
      <s:c r="AK123" s="16"/>
      <s:c r="AL123" s="17"/>
      <s:c r="AM123" s="18"/>
      <s:c r="AN123" s="18"/>
      <s:c r="AO123" s="18"/>
      <s:c r="AP123" s="18"/>
      <s:c r="AQ123" s="18"/>
      <s:c r="AR123" s="18"/>
      <s:c r="AS123" s="18"/>
      <s:c r="AT123" s="18"/>
      <s:c r="AU123" s="18"/>
    </s:row>
    <s:row r="124" ht="18.75">
      <s:c r="A124" s="13" t="s">
        <s:v>102</s:v>
      </s:c>
      <s:c r="B124" s="14"/>
      <s:c r="C124" s="14"/>
      <s:c r="D124" s="14"/>
      <s:c r="E124" s="14"/>
      <s:c r="F124" s="14"/>
      <s:c r="G124" s="14"/>
      <s:c r="H124" s="14"/>
      <s:c r="I124" s="14"/>
      <s:c r="J124" s="14"/>
      <s:c r="K124" s="14"/>
      <s:c r="L124" s="14"/>
      <s:c r="M124" s="14"/>
      <s:c r="N124" s="14"/>
      <s:c r="O124" s="14"/>
      <s:c r="P124" s="14"/>
      <s:c r="Q124" s="14"/>
      <s:c r="R124" s="14">
        <s:v>111000</s:v>
      </s:c>
      <s:c r="S124" s="14"/>
      <s:c r="T124" s="14"/>
      <s:c r="U124" s="14"/>
      <s:c r="V124" s="14"/>
      <s:c r="W124" s="14"/>
      <s:c r="X124" s="14"/>
      <s:c r="Y124" s="14"/>
      <s:c r="Z124" s="14"/>
      <s:c r="AA124" s="14"/>
      <s:c r="AB124" s="14"/>
      <s:c r="AC124" s="14"/>
      <s:c r="AD124" s="14"/>
      <s:c r="AE124" s="14"/>
      <s:c r="AF124" s="14"/>
      <s:c r="AG124" s="15"/>
      <s:c r="AH124" s="16"/>
      <s:c r="AI124" s="16"/>
      <s:c r="AJ124" s="16"/>
      <s:c r="AK124" s="16"/>
      <s:c r="AL124" s="17"/>
      <s:c r="AM124" s="18"/>
      <s:c r="AN124" s="18"/>
      <s:c r="AO124" s="18"/>
      <s:c r="AP124" s="18"/>
      <s:c r="AQ124" s="18"/>
      <s:c r="AR124" s="18"/>
      <s:c r="AS124" s="18"/>
      <s:c r="AT124" s="18"/>
      <s:c r="AU124" s="18"/>
    </s:row>
  </s:sheetData>
  <s:pageMargins left="0.7" right="0.7" top="0.75" bottom="0.75" header="0.3" footer="0.3"/>
  <s:pageSetup paperSize="9" orientation="portrait" r:id="rId1"/>
  <s:headerFooter>
    <s:oddHeader>&amp;CAT</s:oddHeader>
  </s:headerFooter>
</s:worksheet>
</file>

<file path=xl/worksheets/sheet4.xml><?xml version="1.0" encoding="utf-8"?>
<s:worksheet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xmlns:xr="http://schemas.microsoft.com/office/spreadsheetml/2014/revision" mc:Ignorable="x14ac xr xr2 xr3" xr:uid="{00000000-0001-0000-0700-000000000000}">
  <s:sheetPr>
    <s:tabColor theme="9" tint="0.4"/>
  </s:sheetPr>
  <s:dimension ref="B1:C14"/>
  <s:sheetViews>
    <s:sheetView tabSelected="0" zoomScale="70" zoomScaleNormal="70" workbookViewId="0">
      <s:selection activeCell="E28" sqref="E28"/>
    </s:sheetView>
  </s:sheetViews>
  <s:sheetFormatPr x14ac:dyDescent="0.25" defaultColWidth="10" defaultRowHeight="15"/>
  <s:cols>
    <s:col min="2" max="2" width="21.711" customWidth="1"/>
    <s:col min="3" max="3" width="36.57" customWidth="1"/>
  </s:cols>
  <s:sheetData>
    <s:row x14ac:dyDescent="0.3" r="1" spans="2:3" ht="44.45" customHeight="1">
      <s:c r="B1" s="7" t="s">
        <s:v>14</s:v>
      </s:c>
      <s:c r="C1" s="7" t="s">
        <s:v>15</s:v>
      </s:c>
    </s:row>
    <s:row x14ac:dyDescent="0.3" r="2" spans="2:3" ht="20.25">
      <s:c r="B2" s="6">
        <s:v>46023</s:v>
      </s:c>
      <s:c r="C2" s="8">
        <s:v>26935200</s:v>
      </s:c>
    </s:row>
    <s:row x14ac:dyDescent="0.3" r="3" spans="2:3" ht="20.25">
      <s:c r="B3" s="6">
        <s:v>46054</s:v>
      </s:c>
      <s:c r="C3" s="8">
        <s:v>39591660</s:v>
      </s:c>
    </s:row>
    <s:row x14ac:dyDescent="0.3" r="4" spans="2:3" ht="20.25">
      <s:c r="B4" s="6">
        <s:v>46082</s:v>
      </s:c>
      <s:c r="C4" s="8">
        <s:v>46585005</s:v>
      </s:c>
    </s:row>
    <s:row x14ac:dyDescent="0.3" r="5" spans="2:3" ht="20.25">
      <s:c r="B5" s="6">
        <s:v>46113</s:v>
      </s:c>
      <s:c r="C5" s="8"/>
    </s:row>
    <s:row x14ac:dyDescent="0.3" r="6" spans="2:3" ht="20.25">
      <s:c r="B6" s="6">
        <s:v>46143</s:v>
      </s:c>
      <s:c r="C6" s="8"/>
    </s:row>
    <s:row x14ac:dyDescent="0.3" r="7" spans="2:3" ht="20.25">
      <s:c r="B7" s="6">
        <s:v>46174</s:v>
      </s:c>
      <s:c r="C7" s="8"/>
    </s:row>
    <s:row x14ac:dyDescent="0.3" r="8" spans="2:3" ht="20.25">
      <s:c r="B8" s="6">
        <s:v>46204</s:v>
      </s:c>
      <s:c r="C8" s="8"/>
    </s:row>
    <s:row x14ac:dyDescent="0.3" r="9" spans="2:3" ht="20.25">
      <s:c r="B9" s="6">
        <s:v>46235</s:v>
      </s:c>
      <s:c r="C9" s="8"/>
    </s:row>
    <s:row x14ac:dyDescent="0.3" r="10" spans="2:3" ht="20.25">
      <s:c r="B10" s="6">
        <s:v>46266</s:v>
      </s:c>
      <s:c r="C10" s="8"/>
    </s:row>
    <s:row x14ac:dyDescent="0.3" r="11" spans="2:3" ht="20.25">
      <s:c r="B11" s="6">
        <s:v>46296</s:v>
      </s:c>
      <s:c r="C11" s="8"/>
    </s:row>
    <s:row x14ac:dyDescent="0.3" r="12" spans="2:3" ht="20.25">
      <s:c r="B12" s="6">
        <s:v>46327</s:v>
      </s:c>
      <s:c r="C12" s="8"/>
    </s:row>
    <s:row x14ac:dyDescent="0.3" r="13" spans="2:3" ht="20.25">
      <s:c r="B13" s="6">
        <s:v>46357</s:v>
      </s:c>
      <s:c r="C13" s="8"/>
    </s:row>
    <s:row x14ac:dyDescent="0.3" r="14" spans="2:3" ht="20.25">
      <s:c r="B14" s="9" t="s">
        <s:v>11</s:v>
      </s:c>
      <s:c r="C14" s="10">
        <s:f>SUM(C2:C12)</s:f>
        <s:v>113111865</s:v>
      </s:c>
    </s:row>
  </s:sheetData>
  <s:pageMargins left="0.7" right="0.7" top="0.75" bottom="0.75" header="0.3" footer="0.3"/>
  <s:pageSetup paperSize="9" orientation="portrait" verticalDpi="0" r:id="rId1"/>
  <s:drawing r:id="rId2"/>
</s:worksheet>
</file>

<file path=xl/worksheets/sheet5.xml><?xml version="1.0" encoding="utf-8"?>
<s:worksheet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mc:Ignorable="x14ac xr xr2 xr3" xr:uid="{00000000-0001-0000-0800-000000000000}">
  <s:dimension ref="A1"/>
  <s:sheetViews>
    <s:sheetView tabSelected="0" workbookViewId="0">
      <s:selection activeCell="C13" sqref="C13"/>
    </s:sheetView>
  </s:sheetViews>
  <s:sheetFormatPr x14ac:dyDescent="0.25" defaultColWidth="10" defaultRowHeight="15"/>
  <s:sheetData/>
  <s:pageMargins left="0.7" right="0.7" top="0.75" bottom="0.75" header="0.3" footer="0.3"/>
</s:worksheet>
</file>

<file path=xl/worksheets/sheet6.xml><?xml version="1.0" encoding="utf-8"?>
<s:worksheet xmlns:x14ac="http://schemas.microsoft.com/office/spreadsheetml/2009/9/ac" xmlns:xr="http://schemas.microsoft.com/office/spreadsheetml/2014/revision" xmlns:s="http://schemas.openxmlformats.org/spreadsheetml/2006/main" xmlns:xr2="http://schemas.microsoft.com/office/spreadsheetml/2015/revision2" xmlns:xr3="http://schemas.microsoft.com/office/spreadsheetml/2016/revision3" xmlns:mc="http://schemas.openxmlformats.org/markup-compatibility/2006" mc:Ignorable="x14ac xr xr2 xr3" xr:uid="{00000000-0001-0000-0900-000000000000}">
  <s:dimension ref="A1"/>
  <s:sheetViews>
    <s:sheetView tabSelected="0" workbookViewId="0"/>
  </s:sheetViews>
  <s:sheetFormatPr x14ac:dyDescent="0.25" defaultColWidth="10" defaultRowHeight="15"/>
  <s:sheetData/>
  <s:pageMargins left="0.7" right="0.7" top="0.75" bottom="0.75" header="0.3" footer="0.3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6</vt:i4>
      </vt:variant>
    </vt:vector>
  </ep:HeadingPairs>
  <ep:TitlesOfParts>
    <vt:vector size="6" baseType="lpstr">
      <vt:lpstr>март 2026</vt:lpstr>
      <vt:lpstr>февраль 2026</vt:lpstr>
      <vt:lpstr>январь 2026 </vt:lpstr>
      <vt:lpstr>СВОДКА</vt:lpstr>
      <vt:lpstr>Лист2</vt:lpstr>
      <vt:lpstr>Лист3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terms="http://purl.org/dc/terms/" xmlns:cp="http://schemas.openxmlformats.org/package/2006/metadata/core-properties" xmlns:xsi="http://www.w3.org/2001/XMLSchema-instance" xmlns:dc="http://purl.org/dc/elements/1.1/">
  <dc:creator/>
  <cp:lastModifiedBy/>
  <dcterms:created xsi:type="dcterms:W3CDTF">2006-09-16T00:00:00Z</dcterms:created>
  <dcterms:modified xsi:type="dcterms:W3CDTF">2026-04-01T05:11:27Z</dcterms:modified>
</cp:coreProperties>
</file>