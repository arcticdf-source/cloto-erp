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fileSharing readOnlyRecommended="1"/>
  <workbookPr filterPrivacy="1" codeName="ЭтаКнига"/>
  <bookViews>
    <workbookView xWindow="0" yWindow="0" windowWidth="23040" windowHeight="10824" tabRatio="700" firstSheet="1" activeTab="3"/>
  </bookViews>
  <sheets>
    <sheet name="апрель 2026" sheetId="203" r:id="rId1"/>
    <sheet name="март 2026" sheetId="202" r:id="rId2"/>
    <sheet name="февраль 2026" sheetId="199" r:id="rId3"/>
    <sheet name="январь 2026" sheetId="196" r:id="rId4"/>
    <sheet name="промеж.06" sheetId="36" state="hidden" r:id="rId5"/>
    <sheet name="промеж." sheetId="34" state="hidden" r:id="rId6"/>
  </sheets>
  <externalReferences>
    <externalReference r:id="rId7"/>
  </externalReferences>
  <definedNames>
    <definedName name="_xlnm._FilterDatabase" localSheetId="0" hidden="1">'апрель 2026'!$D$1:$D$118</definedName>
    <definedName name="_xlnm._FilterDatabase" localSheetId="1" hidden="1">'март 2026'!$D$1:$D$63</definedName>
    <definedName name="_xlnm._FilterDatabase" localSheetId="2" hidden="1">'февраль 2026'!$D$1:$D$64</definedName>
    <definedName name="_xlnm._FilterDatabase" localSheetId="3" hidden="1">'январь 2026'!$D$1:$D$52</definedName>
    <definedName name="_xlnm.Print_Area" localSheetId="0">'апрель 2026'!$A$1:$R$112</definedName>
    <definedName name="_xlnm.Print_Area" localSheetId="1">'март 2026'!$A$1:$R$57</definedName>
    <definedName name="_xlnm.Print_Area" localSheetId="2">'февраль 2026'!$A$1:$R$58</definedName>
    <definedName name="_xlnm.Print_Area" localSheetId="3">'январь 2026'!$A$1:$R$46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70" i="203" l="1"/>
  <c r="T38" i="203" l="1"/>
  <c r="T39" i="203"/>
  <c r="T40" i="203"/>
  <c r="T41" i="203"/>
  <c r="T42" i="203"/>
  <c r="T37" i="203"/>
  <c r="T30" i="203"/>
  <c r="T31" i="203"/>
  <c r="T32" i="203"/>
  <c r="T33" i="203"/>
  <c r="T34" i="203"/>
  <c r="T35" i="203"/>
  <c r="T36" i="203"/>
  <c r="T43" i="203"/>
  <c r="T44" i="203"/>
  <c r="T45" i="203"/>
  <c r="T46" i="203"/>
  <c r="T47" i="203"/>
  <c r="T48" i="203"/>
  <c r="T49" i="203"/>
  <c r="T50" i="203"/>
  <c r="T51" i="203"/>
  <c r="T52" i="203"/>
  <c r="T53" i="203"/>
  <c r="T54" i="203"/>
  <c r="T55" i="203"/>
  <c r="T56" i="203"/>
  <c r="T57" i="203"/>
  <c r="T58" i="203"/>
  <c r="T59" i="203"/>
  <c r="T60" i="203"/>
  <c r="T61" i="203"/>
  <c r="T29" i="203" l="1"/>
  <c r="T26" i="203"/>
  <c r="T27" i="203"/>
  <c r="T28" i="203"/>
  <c r="T21" i="203" l="1"/>
  <c r="T67" i="203"/>
  <c r="T63" i="203"/>
  <c r="T64" i="203"/>
  <c r="T62" i="203"/>
  <c r="T65" i="203"/>
  <c r="T66" i="203"/>
  <c r="T68" i="203"/>
  <c r="T69" i="203"/>
  <c r="T71" i="203"/>
  <c r="T72" i="203"/>
  <c r="T73" i="203"/>
  <c r="T74" i="203"/>
  <c r="T75" i="203"/>
  <c r="T22" i="203" l="1"/>
  <c r="T23" i="203"/>
  <c r="T24" i="203"/>
  <c r="T25" i="203"/>
  <c r="T76" i="203"/>
  <c r="T77" i="203"/>
  <c r="T78" i="203"/>
  <c r="T79" i="203"/>
  <c r="T80" i="203"/>
  <c r="T13" i="203" l="1"/>
  <c r="T14" i="203"/>
  <c r="T15" i="203"/>
  <c r="T16" i="203"/>
  <c r="T17" i="203"/>
  <c r="T18" i="203"/>
  <c r="T19" i="203"/>
  <c r="T20" i="203"/>
  <c r="T81" i="203" l="1"/>
  <c r="T82" i="203"/>
  <c r="T83" i="203"/>
  <c r="T84" i="203"/>
  <c r="T85" i="203"/>
  <c r="T86" i="203"/>
  <c r="T10" i="203" l="1"/>
  <c r="T11" i="203"/>
  <c r="T12" i="203"/>
  <c r="T9" i="203" l="1"/>
  <c r="T6" i="203"/>
  <c r="T7" i="203"/>
  <c r="T8" i="203"/>
  <c r="T87" i="203"/>
  <c r="T88" i="203"/>
  <c r="T89" i="203"/>
  <c r="T90" i="203"/>
  <c r="T91" i="203"/>
  <c r="T92" i="203"/>
  <c r="T93" i="203"/>
  <c r="T94" i="203"/>
  <c r="T95" i="203"/>
  <c r="T96" i="203"/>
  <c r="T97" i="203"/>
  <c r="T98" i="203"/>
  <c r="T99" i="203"/>
  <c r="T100" i="203"/>
  <c r="T101" i="203"/>
  <c r="T102" i="203"/>
  <c r="T103" i="203"/>
  <c r="T104" i="203"/>
  <c r="T105" i="203"/>
  <c r="T106" i="203"/>
  <c r="T107" i="203"/>
  <c r="T108" i="203"/>
  <c r="T109" i="203"/>
  <c r="T110" i="203"/>
  <c r="T111" i="203"/>
  <c r="T112" i="203"/>
  <c r="T46" i="202" l="1"/>
  <c r="T47" i="202"/>
  <c r="T48" i="202"/>
  <c r="T49" i="202"/>
  <c r="T50" i="202"/>
  <c r="T51" i="202"/>
  <c r="T52" i="202"/>
  <c r="T53" i="202"/>
  <c r="T54" i="202"/>
  <c r="T55" i="202"/>
  <c r="T56" i="202"/>
  <c r="B117" i="203" l="1"/>
  <c r="B116" i="203"/>
  <c r="B115" i="203"/>
  <c r="B113" i="203"/>
  <c r="T5" i="203"/>
  <c r="T113" i="203" l="1"/>
  <c r="B114" i="203"/>
  <c r="B118" i="203" s="1"/>
  <c r="T45" i="202" l="1"/>
  <c r="T43" i="202" l="1"/>
  <c r="T44" i="202"/>
  <c r="T42" i="202"/>
  <c r="T39" i="202" l="1"/>
  <c r="T40" i="202"/>
  <c r="T36" i="202"/>
  <c r="T37" i="202"/>
  <c r="T38" i="202"/>
  <c r="T35" i="202"/>
  <c r="T41" i="202"/>
  <c r="T25" i="202" l="1"/>
  <c r="T24" i="202"/>
  <c r="T26" i="202"/>
  <c r="T27" i="202"/>
  <c r="T28" i="202"/>
  <c r="T29" i="202"/>
  <c r="T30" i="202"/>
  <c r="T31" i="202"/>
  <c r="T32" i="202"/>
  <c r="T33" i="202" l="1"/>
  <c r="T34" i="202"/>
  <c r="T11" i="202" l="1"/>
  <c r="T12" i="202"/>
  <c r="T13" i="202"/>
  <c r="T14" i="202"/>
  <c r="T15" i="202"/>
  <c r="T16" i="202"/>
  <c r="T17" i="202"/>
  <c r="T18" i="202"/>
  <c r="T19" i="202"/>
  <c r="T20" i="202"/>
  <c r="T21" i="202"/>
  <c r="T22" i="202"/>
  <c r="T23" i="202" l="1"/>
  <c r="T6" i="202" l="1"/>
  <c r="T7" i="202"/>
  <c r="T8" i="202"/>
  <c r="T9" i="202"/>
  <c r="T10" i="202"/>
  <c r="T57" i="202" l="1"/>
  <c r="T5" i="202"/>
  <c r="B62" i="202"/>
  <c r="B61" i="202"/>
  <c r="B60" i="202"/>
  <c r="B58" i="202"/>
  <c r="B59" i="202" l="1"/>
  <c r="B63" i="202" s="1"/>
  <c r="T55" i="199" l="1"/>
  <c r="T56" i="199"/>
  <c r="T57" i="199"/>
  <c r="T52" i="199" l="1"/>
  <c r="T53" i="199"/>
  <c r="T54" i="199"/>
  <c r="T51" i="199"/>
  <c r="T47" i="199"/>
  <c r="T50" i="199"/>
  <c r="T48" i="199" l="1"/>
  <c r="T49" i="199"/>
  <c r="T44" i="199" l="1"/>
  <c r="T45" i="199"/>
  <c r="T46" i="199"/>
  <c r="T37" i="199" l="1"/>
  <c r="T38" i="199"/>
  <c r="T39" i="199"/>
  <c r="T40" i="199"/>
  <c r="T41" i="199"/>
  <c r="T42" i="199"/>
  <c r="T43" i="199"/>
  <c r="T36" i="199" l="1"/>
  <c r="T34" i="199" l="1"/>
  <c r="T33" i="199" l="1"/>
  <c r="T35" i="199"/>
  <c r="T29" i="199" l="1"/>
  <c r="T30" i="199"/>
  <c r="T31" i="199"/>
  <c r="T32" i="199"/>
  <c r="T22" i="199" l="1"/>
  <c r="T23" i="199"/>
  <c r="T18" i="199"/>
  <c r="T19" i="199"/>
  <c r="T20" i="199"/>
  <c r="T21" i="199"/>
  <c r="T24" i="199"/>
  <c r="T25" i="199" l="1"/>
  <c r="T26" i="199"/>
  <c r="T27" i="199"/>
  <c r="T28" i="199"/>
  <c r="T17" i="199" l="1"/>
  <c r="T12" i="199" l="1"/>
  <c r="T13" i="199"/>
  <c r="T14" i="199"/>
  <c r="T15" i="199"/>
  <c r="T16" i="199"/>
  <c r="T10" i="199" l="1"/>
  <c r="T11" i="199"/>
  <c r="T9" i="199" l="1"/>
  <c r="Q43" i="196" l="1"/>
  <c r="Q44" i="196"/>
  <c r="Q42" i="196"/>
  <c r="P46" i="196"/>
  <c r="B50" i="196" s="1"/>
  <c r="O45" i="196"/>
  <c r="B49" i="196" s="1"/>
  <c r="B47" i="196"/>
  <c r="B63" i="199"/>
  <c r="B62" i="199"/>
  <c r="B61" i="199"/>
  <c r="B59" i="199"/>
  <c r="T8" i="199"/>
  <c r="T7" i="199"/>
  <c r="T6" i="199"/>
  <c r="T5" i="199"/>
  <c r="B60" i="199" l="1"/>
  <c r="B64" i="199" s="1"/>
  <c r="T58" i="199"/>
  <c r="B51" i="196"/>
  <c r="B48" i="196" s="1"/>
  <c r="B52" i="196" s="1"/>
  <c r="T46" i="196" l="1"/>
  <c r="T45" i="196"/>
  <c r="T37" i="196" l="1"/>
  <c r="T38" i="196"/>
  <c r="T39" i="196"/>
  <c r="T40" i="196"/>
  <c r="T42" i="196"/>
  <c r="T43" i="196"/>
  <c r="T44" i="196"/>
  <c r="T22" i="196" l="1"/>
  <c r="T23" i="196"/>
  <c r="T24" i="196"/>
  <c r="T25" i="196"/>
  <c r="T26" i="196"/>
  <c r="T27" i="196"/>
  <c r="T28" i="196"/>
  <c r="T29" i="196"/>
  <c r="T30" i="196"/>
  <c r="T31" i="196"/>
  <c r="T32" i="196"/>
  <c r="T20" i="196" l="1"/>
  <c r="T21" i="196"/>
  <c r="T33" i="196" l="1"/>
  <c r="T34" i="196"/>
  <c r="T35" i="196"/>
  <c r="T36" i="196"/>
  <c r="T41" i="196"/>
  <c r="T19" i="196" l="1"/>
  <c r="T17" i="196" l="1"/>
  <c r="T18" i="196"/>
  <c r="T13" i="196" l="1"/>
  <c r="T14" i="196"/>
  <c r="T15" i="196"/>
  <c r="T16" i="196"/>
  <c r="T9" i="196"/>
  <c r="T10" i="196"/>
  <c r="T11" i="196"/>
  <c r="T12" i="196"/>
  <c r="T8" i="196" l="1"/>
  <c r="T5" i="196" l="1"/>
  <c r="T6" i="196"/>
  <c r="T7" i="196"/>
  <c r="T47" i="196" l="1"/>
  <c r="AH26" i="36" l="1"/>
  <c r="AG26" i="36"/>
  <c r="AF26" i="36"/>
  <c r="AE26" i="36"/>
  <c r="AD26" i="36"/>
  <c r="AC26" i="36"/>
  <c r="AB26" i="36"/>
  <c r="AA26" i="36"/>
  <c r="Z26" i="36"/>
  <c r="Y26" i="36"/>
  <c r="X26" i="36"/>
  <c r="W26" i="36"/>
  <c r="V26" i="36"/>
  <c r="U26" i="36"/>
  <c r="T26" i="36"/>
  <c r="S26" i="36"/>
  <c r="R26" i="36"/>
  <c r="Q26" i="36"/>
  <c r="P26" i="36"/>
  <c r="O26" i="36"/>
  <c r="N26" i="36"/>
  <c r="M26" i="36"/>
  <c r="L26" i="36"/>
  <c r="K26" i="36"/>
  <c r="J26" i="36"/>
  <c r="I26" i="36"/>
  <c r="H26" i="36"/>
  <c r="G26" i="36"/>
  <c r="F26" i="36"/>
  <c r="E26" i="36"/>
  <c r="D26" i="36"/>
  <c r="AH25" i="36"/>
  <c r="AG25" i="36"/>
  <c r="AF25" i="36"/>
  <c r="AE25" i="36"/>
  <c r="AD25" i="36"/>
  <c r="AC25" i="36"/>
  <c r="AB25" i="36"/>
  <c r="AA25" i="36"/>
  <c r="Z25" i="36"/>
  <c r="Y25" i="36"/>
  <c r="X25" i="36"/>
  <c r="W25" i="36"/>
  <c r="V25" i="36"/>
  <c r="U25" i="36"/>
  <c r="T25" i="36"/>
  <c r="S25" i="36"/>
  <c r="R25" i="36"/>
  <c r="Q25" i="36"/>
  <c r="P25" i="36"/>
  <c r="O25" i="36"/>
  <c r="N25" i="36"/>
  <c r="M25" i="36"/>
  <c r="L25" i="36"/>
  <c r="K25" i="36"/>
  <c r="J25" i="36"/>
  <c r="I25" i="36"/>
  <c r="H25" i="36"/>
  <c r="G25" i="36"/>
  <c r="F25" i="36"/>
  <c r="E25" i="36"/>
  <c r="D25" i="36"/>
  <c r="AH24" i="36"/>
  <c r="AG24" i="36"/>
  <c r="AF24" i="36"/>
  <c r="AE24" i="36"/>
  <c r="AD24" i="36"/>
  <c r="AC24" i="36"/>
  <c r="AB24" i="36"/>
  <c r="AA24" i="36"/>
  <c r="Z24" i="36"/>
  <c r="Y24" i="36"/>
  <c r="X24" i="36"/>
  <c r="W24" i="36"/>
  <c r="V24" i="36"/>
  <c r="U24" i="36"/>
  <c r="T24" i="36"/>
  <c r="S24" i="36"/>
  <c r="R24" i="36"/>
  <c r="Q24" i="36"/>
  <c r="P24" i="36"/>
  <c r="O24" i="36"/>
  <c r="N24" i="36"/>
  <c r="M24" i="36"/>
  <c r="L24" i="36"/>
  <c r="K24" i="36"/>
  <c r="J24" i="36"/>
  <c r="I24" i="36"/>
  <c r="H24" i="36"/>
  <c r="G24" i="36"/>
  <c r="F24" i="36"/>
  <c r="E24" i="36"/>
  <c r="D24" i="36"/>
  <c r="AH23" i="36"/>
  <c r="AG23" i="36"/>
  <c r="AF23" i="36"/>
  <c r="AE23" i="36"/>
  <c r="AD23" i="36"/>
  <c r="AC23" i="36"/>
  <c r="AB23" i="36"/>
  <c r="AA23" i="36"/>
  <c r="Z23" i="36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AH22" i="36"/>
  <c r="AG22" i="36"/>
  <c r="AF22" i="36"/>
  <c r="AE22" i="36"/>
  <c r="AD22" i="36"/>
  <c r="AC22" i="36"/>
  <c r="AB22" i="36"/>
  <c r="AA22" i="36"/>
  <c r="Z22" i="36"/>
  <c r="Y22" i="36"/>
  <c r="X22" i="36"/>
  <c r="W22" i="36"/>
  <c r="V22" i="36"/>
  <c r="U22" i="36"/>
  <c r="T22" i="36"/>
  <c r="S22" i="36"/>
  <c r="R22" i="36"/>
  <c r="Q22" i="36"/>
  <c r="P22" i="36"/>
  <c r="O22" i="36"/>
  <c r="N22" i="36"/>
  <c r="M22" i="36"/>
  <c r="L22" i="36"/>
  <c r="K22" i="36"/>
  <c r="J22" i="36"/>
  <c r="I22" i="36"/>
  <c r="H22" i="36"/>
  <c r="G22" i="36"/>
  <c r="F22" i="36"/>
  <c r="E22" i="36"/>
  <c r="D22" i="36"/>
  <c r="AH21" i="36"/>
  <c r="AG21" i="36"/>
  <c r="AF21" i="36"/>
  <c r="AE21" i="36"/>
  <c r="AD21" i="36"/>
  <c r="AC21" i="36"/>
  <c r="AB21" i="36"/>
  <c r="AA21" i="36"/>
  <c r="Z21" i="36"/>
  <c r="Y21" i="36"/>
  <c r="X21" i="36"/>
  <c r="W21" i="36"/>
  <c r="V21" i="36"/>
  <c r="U21" i="36"/>
  <c r="T21" i="36"/>
  <c r="S21" i="36"/>
  <c r="R21" i="36"/>
  <c r="Q21" i="36"/>
  <c r="P21" i="36"/>
  <c r="O21" i="36"/>
  <c r="N21" i="36"/>
  <c r="M21" i="36"/>
  <c r="L21" i="36"/>
  <c r="K21" i="36"/>
  <c r="J21" i="36"/>
  <c r="I21" i="36"/>
  <c r="H21" i="36"/>
  <c r="G21" i="36"/>
  <c r="F21" i="36"/>
  <c r="E21" i="36"/>
  <c r="D21" i="36"/>
  <c r="AH20" i="36"/>
  <c r="AG20" i="36"/>
  <c r="AF20" i="36"/>
  <c r="AE20" i="36"/>
  <c r="AD20" i="36"/>
  <c r="AC20" i="36"/>
  <c r="AB20" i="36"/>
  <c r="AA20" i="36"/>
  <c r="Z20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AH19" i="36"/>
  <c r="AG19" i="36"/>
  <c r="AF19" i="36"/>
  <c r="AE19" i="36"/>
  <c r="AD19" i="36"/>
  <c r="AC19" i="36"/>
  <c r="AB19" i="36"/>
  <c r="AA19" i="36"/>
  <c r="Z19" i="36"/>
  <c r="Y19" i="36"/>
  <c r="X19" i="36"/>
  <c r="W19" i="36"/>
  <c r="V19" i="36"/>
  <c r="U19" i="36"/>
  <c r="T19" i="36"/>
  <c r="S19" i="36"/>
  <c r="R19" i="36"/>
  <c r="Q19" i="36"/>
  <c r="P19" i="36"/>
  <c r="O19" i="36"/>
  <c r="N19" i="36"/>
  <c r="M19" i="36"/>
  <c r="L19" i="36"/>
  <c r="K19" i="36"/>
  <c r="J19" i="36"/>
  <c r="I19" i="36"/>
  <c r="H19" i="36"/>
  <c r="G19" i="36"/>
  <c r="F19" i="36"/>
  <c r="E19" i="36"/>
  <c r="D19" i="36"/>
  <c r="AH18" i="36"/>
  <c r="AG18" i="36"/>
  <c r="AF18" i="36"/>
  <c r="AE18" i="36"/>
  <c r="AD18" i="36"/>
  <c r="AC18" i="36"/>
  <c r="AB18" i="36"/>
  <c r="AA18" i="36"/>
  <c r="Z18" i="36"/>
  <c r="Y18" i="36"/>
  <c r="X18" i="36"/>
  <c r="W18" i="36"/>
  <c r="V18" i="36"/>
  <c r="U18" i="36"/>
  <c r="T18" i="36"/>
  <c r="S18" i="36"/>
  <c r="R18" i="36"/>
  <c r="Q18" i="36"/>
  <c r="P18" i="36"/>
  <c r="O18" i="36"/>
  <c r="N18" i="36"/>
  <c r="M18" i="36"/>
  <c r="L18" i="36"/>
  <c r="K18" i="36"/>
  <c r="J18" i="36"/>
  <c r="I18" i="36"/>
  <c r="H18" i="36"/>
  <c r="G18" i="36"/>
  <c r="F18" i="36"/>
  <c r="E18" i="36"/>
  <c r="D18" i="36"/>
  <c r="AH17" i="36"/>
  <c r="AG17" i="36"/>
  <c r="AF17" i="36"/>
  <c r="AE17" i="36"/>
  <c r="AD17" i="36"/>
  <c r="AC17" i="36"/>
  <c r="AB17" i="36"/>
  <c r="AA17" i="36"/>
  <c r="Z17" i="36"/>
  <c r="Y17" i="36"/>
  <c r="X17" i="36"/>
  <c r="W17" i="36"/>
  <c r="V17" i="36"/>
  <c r="U17" i="36"/>
  <c r="T17" i="36"/>
  <c r="S17" i="36"/>
  <c r="R17" i="36"/>
  <c r="Q17" i="36"/>
  <c r="P17" i="36"/>
  <c r="O17" i="36"/>
  <c r="N17" i="36"/>
  <c r="M17" i="36"/>
  <c r="L17" i="36"/>
  <c r="K17" i="36"/>
  <c r="J17" i="36"/>
  <c r="I17" i="36"/>
  <c r="H17" i="36"/>
  <c r="G17" i="36"/>
  <c r="F17" i="36"/>
  <c r="E17" i="36"/>
  <c r="D17" i="36"/>
  <c r="AH16" i="36"/>
  <c r="AG16" i="36"/>
  <c r="AF16" i="36"/>
  <c r="AE16" i="36"/>
  <c r="AD16" i="36"/>
  <c r="AC16" i="36"/>
  <c r="AB16" i="36"/>
  <c r="AA16" i="36"/>
  <c r="Z16" i="36"/>
  <c r="Y16" i="36"/>
  <c r="X16" i="36"/>
  <c r="W16" i="36"/>
  <c r="V16" i="36"/>
  <c r="U16" i="36"/>
  <c r="T16" i="36"/>
  <c r="S16" i="36"/>
  <c r="R16" i="36"/>
  <c r="Q16" i="36"/>
  <c r="P16" i="36"/>
  <c r="O16" i="36"/>
  <c r="N16" i="36"/>
  <c r="M16" i="36"/>
  <c r="L16" i="36"/>
  <c r="K16" i="36"/>
  <c r="J16" i="36"/>
  <c r="I16" i="36"/>
  <c r="H16" i="36"/>
  <c r="G16" i="36"/>
  <c r="F16" i="36"/>
  <c r="E16" i="36"/>
  <c r="D16" i="36"/>
  <c r="AH15" i="36"/>
  <c r="AG15" i="36"/>
  <c r="AF15" i="36"/>
  <c r="AE15" i="36"/>
  <c r="AD15" i="36"/>
  <c r="AC15" i="36"/>
  <c r="AB15" i="36"/>
  <c r="AA15" i="36"/>
  <c r="Z15" i="36"/>
  <c r="Y15" i="36"/>
  <c r="X15" i="36"/>
  <c r="W15" i="36"/>
  <c r="V15" i="36"/>
  <c r="U15" i="36"/>
  <c r="T15" i="36"/>
  <c r="S15" i="36"/>
  <c r="R15" i="36"/>
  <c r="Q15" i="36"/>
  <c r="P15" i="36"/>
  <c r="O15" i="36"/>
  <c r="N15" i="36"/>
  <c r="M15" i="36"/>
  <c r="L15" i="36"/>
  <c r="K15" i="36"/>
  <c r="J15" i="36"/>
  <c r="I15" i="36"/>
  <c r="H15" i="36"/>
  <c r="G15" i="36"/>
  <c r="F15" i="36"/>
  <c r="E15" i="36"/>
  <c r="D15" i="36"/>
  <c r="AH14" i="36"/>
  <c r="AG14" i="36"/>
  <c r="AF14" i="36"/>
  <c r="AE14" i="36"/>
  <c r="AD14" i="36"/>
  <c r="AC14" i="36"/>
  <c r="AB14" i="36"/>
  <c r="AA14" i="36"/>
  <c r="Z14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AH13" i="36"/>
  <c r="AG13" i="36"/>
  <c r="AF13" i="36"/>
  <c r="AE13" i="36"/>
  <c r="AD13" i="36"/>
  <c r="AC13" i="36"/>
  <c r="AB13" i="36"/>
  <c r="AA13" i="36"/>
  <c r="Z13" i="36"/>
  <c r="Y13" i="36"/>
  <c r="X13" i="36"/>
  <c r="W13" i="36"/>
  <c r="V13" i="36"/>
  <c r="U13" i="36"/>
  <c r="T13" i="36"/>
  <c r="S13" i="36"/>
  <c r="R13" i="36"/>
  <c r="Q13" i="36"/>
  <c r="P13" i="36"/>
  <c r="O13" i="36"/>
  <c r="N13" i="36"/>
  <c r="M13" i="36"/>
  <c r="L13" i="36"/>
  <c r="K13" i="36"/>
  <c r="J13" i="36"/>
  <c r="I13" i="36"/>
  <c r="H13" i="36"/>
  <c r="G13" i="36"/>
  <c r="F13" i="36"/>
  <c r="E13" i="36"/>
  <c r="D13" i="36"/>
  <c r="AH12" i="36"/>
  <c r="AG12" i="36"/>
  <c r="AF12" i="36"/>
  <c r="AE12" i="36"/>
  <c r="AD12" i="36"/>
  <c r="AC12" i="36"/>
  <c r="AB12" i="36"/>
  <c r="AA12" i="36"/>
  <c r="Z12" i="36"/>
  <c r="Y12" i="36"/>
  <c r="X12" i="36"/>
  <c r="W12" i="36"/>
  <c r="V12" i="36"/>
  <c r="U12" i="36"/>
  <c r="T12" i="36"/>
  <c r="S12" i="36"/>
  <c r="R12" i="36"/>
  <c r="Q12" i="36"/>
  <c r="P12" i="36"/>
  <c r="O12" i="36"/>
  <c r="N12" i="36"/>
  <c r="M12" i="36"/>
  <c r="L12" i="36"/>
  <c r="K12" i="36"/>
  <c r="J12" i="36"/>
  <c r="I12" i="36"/>
  <c r="H12" i="36"/>
  <c r="G12" i="36"/>
  <c r="F12" i="36"/>
  <c r="E12" i="36"/>
  <c r="D12" i="36"/>
  <c r="AH10" i="36"/>
  <c r="AG10" i="36"/>
  <c r="AF10" i="36"/>
  <c r="AE10" i="36"/>
  <c r="AD10" i="36"/>
  <c r="AC10" i="36"/>
  <c r="AB10" i="36"/>
  <c r="AA10" i="36"/>
  <c r="Z10" i="36"/>
  <c r="Y10" i="36"/>
  <c r="X10" i="36"/>
  <c r="W10" i="36"/>
  <c r="V10" i="36"/>
  <c r="U10" i="36"/>
  <c r="T10" i="36"/>
  <c r="S10" i="36"/>
  <c r="R10" i="36"/>
  <c r="Q10" i="36"/>
  <c r="P10" i="36"/>
  <c r="O10" i="36"/>
  <c r="N10" i="36"/>
  <c r="M10" i="36"/>
  <c r="L10" i="36"/>
  <c r="K10" i="36"/>
  <c r="J10" i="36"/>
  <c r="I10" i="36"/>
  <c r="H10" i="36"/>
  <c r="G10" i="36"/>
  <c r="F10" i="36"/>
  <c r="E10" i="36"/>
  <c r="D10" i="36"/>
  <c r="AH9" i="36"/>
  <c r="AG9" i="36"/>
  <c r="AF9" i="36"/>
  <c r="AE9" i="36"/>
  <c r="AD9" i="36"/>
  <c r="AC9" i="36"/>
  <c r="AB9" i="36"/>
  <c r="AA9" i="36"/>
  <c r="Z9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AH8" i="36"/>
  <c r="AG8" i="36"/>
  <c r="AF8" i="36"/>
  <c r="AE8" i="36"/>
  <c r="AD8" i="36"/>
  <c r="AC8" i="36"/>
  <c r="AB8" i="36"/>
  <c r="AA8" i="36"/>
  <c r="Z8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AH7" i="36"/>
  <c r="AG7" i="36"/>
  <c r="AF7" i="36"/>
  <c r="AE7" i="36"/>
  <c r="AD7" i="36"/>
  <c r="AC7" i="36"/>
  <c r="AB7" i="36"/>
  <c r="AA7" i="36"/>
  <c r="Z7" i="36"/>
  <c r="Y7" i="36"/>
  <c r="X7" i="36"/>
  <c r="W7" i="36"/>
  <c r="V7" i="36"/>
  <c r="U7" i="36"/>
  <c r="T7" i="36"/>
  <c r="S7" i="36"/>
  <c r="R7" i="36"/>
  <c r="Q7" i="36"/>
  <c r="P7" i="36"/>
  <c r="O7" i="36"/>
  <c r="N7" i="36"/>
  <c r="M7" i="36"/>
  <c r="L7" i="36"/>
  <c r="K7" i="36"/>
  <c r="J7" i="36"/>
  <c r="I7" i="36"/>
  <c r="H7" i="36"/>
  <c r="G7" i="36"/>
  <c r="F7" i="36"/>
  <c r="E7" i="36"/>
  <c r="D7" i="36"/>
  <c r="AH6" i="36"/>
  <c r="AG6" i="36"/>
  <c r="AF6" i="36"/>
  <c r="AE6" i="36"/>
  <c r="AD6" i="36"/>
  <c r="AC6" i="36"/>
  <c r="AB6" i="36"/>
  <c r="AA6" i="36"/>
  <c r="Z6" i="36"/>
  <c r="Y6" i="36"/>
  <c r="X6" i="36"/>
  <c r="W6" i="36"/>
  <c r="V6" i="36"/>
  <c r="U6" i="36"/>
  <c r="T6" i="36"/>
  <c r="S6" i="36"/>
  <c r="R6" i="36"/>
  <c r="Q6" i="36"/>
  <c r="P6" i="36"/>
  <c r="O6" i="36"/>
  <c r="N6" i="36"/>
  <c r="M6" i="36"/>
  <c r="L6" i="36"/>
  <c r="K6" i="36"/>
  <c r="J6" i="36"/>
  <c r="I6" i="36"/>
  <c r="H6" i="36"/>
  <c r="G6" i="36"/>
  <c r="F6" i="36"/>
  <c r="E6" i="36"/>
  <c r="D6" i="36"/>
  <c r="AH5" i="36"/>
  <c r="AG5" i="36"/>
  <c r="AF5" i="36"/>
  <c r="AE5" i="36"/>
  <c r="AD5" i="36"/>
  <c r="AC5" i="36"/>
  <c r="AB5" i="36"/>
  <c r="AA5" i="36"/>
  <c r="Z5" i="36"/>
  <c r="Y5" i="36"/>
  <c r="X5" i="36"/>
  <c r="W5" i="36"/>
  <c r="V5" i="36"/>
  <c r="U5" i="36"/>
  <c r="T5" i="36"/>
  <c r="S5" i="36"/>
  <c r="R5" i="36"/>
  <c r="Q5" i="36"/>
  <c r="P5" i="36"/>
  <c r="O5" i="36"/>
  <c r="N5" i="36"/>
  <c r="M5" i="36"/>
  <c r="L5" i="36"/>
  <c r="K5" i="36"/>
  <c r="J5" i="36"/>
  <c r="I5" i="36"/>
  <c r="H5" i="36"/>
  <c r="G5" i="36"/>
  <c r="F5" i="36"/>
  <c r="E5" i="36"/>
  <c r="D5" i="36"/>
  <c r="AH4" i="36"/>
  <c r="AG4" i="36"/>
  <c r="AF4" i="36"/>
  <c r="AE4" i="36"/>
  <c r="AD4" i="36"/>
  <c r="AC4" i="36"/>
  <c r="AB4" i="36"/>
  <c r="AA4" i="36"/>
  <c r="Z4" i="36"/>
  <c r="Y4" i="36"/>
  <c r="X4" i="36"/>
  <c r="W4" i="36"/>
  <c r="V4" i="36"/>
  <c r="U4" i="36"/>
  <c r="T4" i="36"/>
  <c r="S4" i="36"/>
  <c r="R4" i="36"/>
  <c r="Q4" i="36"/>
  <c r="P4" i="36"/>
  <c r="O4" i="36"/>
  <c r="N4" i="36"/>
  <c r="M4" i="36"/>
  <c r="L4" i="36"/>
  <c r="K4" i="36"/>
  <c r="J4" i="36"/>
  <c r="I4" i="36"/>
  <c r="H4" i="36"/>
  <c r="G4" i="36"/>
  <c r="F4" i="36"/>
  <c r="E4" i="36"/>
  <c r="D4" i="36"/>
  <c r="AH3" i="36"/>
  <c r="AG3" i="36"/>
  <c r="AF3" i="36"/>
  <c r="AE3" i="36"/>
  <c r="AD3" i="36"/>
  <c r="AC3" i="36"/>
  <c r="AB3" i="36"/>
  <c r="AA3" i="36"/>
  <c r="Z3" i="36"/>
  <c r="Y3" i="36"/>
  <c r="X3" i="36"/>
  <c r="W3" i="36"/>
  <c r="V3" i="36"/>
  <c r="U3" i="36"/>
  <c r="T3" i="36"/>
  <c r="S3" i="36"/>
  <c r="R3" i="36"/>
  <c r="Q3" i="36"/>
  <c r="P3" i="36"/>
  <c r="O3" i="36"/>
  <c r="N3" i="36"/>
  <c r="M3" i="36"/>
  <c r="L3" i="36"/>
  <c r="K3" i="36"/>
  <c r="J3" i="36"/>
  <c r="I3" i="36"/>
  <c r="H3" i="36"/>
  <c r="G3" i="36"/>
  <c r="F3" i="36"/>
  <c r="E3" i="36"/>
  <c r="D3" i="36"/>
  <c r="AI25" i="36" l="1"/>
  <c r="AI4" i="36"/>
  <c r="AI8" i="36"/>
  <c r="AI13" i="36"/>
  <c r="AI21" i="36"/>
  <c r="AI17" i="36"/>
  <c r="AI3" i="36"/>
  <c r="AI6" i="36"/>
  <c r="AI10" i="36"/>
  <c r="AI15" i="36"/>
  <c r="AI19" i="36"/>
  <c r="AI23" i="36"/>
  <c r="AI5" i="36"/>
  <c r="AI9" i="36"/>
  <c r="AI14" i="36"/>
  <c r="AI18" i="36"/>
  <c r="AI22" i="36"/>
  <c r="AI26" i="36"/>
  <c r="AI7" i="36"/>
  <c r="AI12" i="36"/>
  <c r="AI16" i="36"/>
  <c r="AI20" i="36"/>
  <c r="AI24" i="36"/>
  <c r="D14" i="34" l="1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R14" i="34"/>
  <c r="S14" i="34"/>
  <c r="T14" i="34"/>
  <c r="U14" i="34"/>
  <c r="V14" i="34"/>
  <c r="W14" i="34"/>
  <c r="X14" i="34"/>
  <c r="Y14" i="34"/>
  <c r="Z14" i="34"/>
  <c r="AA14" i="34"/>
  <c r="AB14" i="34"/>
  <c r="AC14" i="34"/>
  <c r="AD14" i="34"/>
  <c r="AE14" i="34"/>
  <c r="AF14" i="34"/>
  <c r="AG14" i="34"/>
  <c r="AH14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R15" i="34"/>
  <c r="S15" i="34"/>
  <c r="T15" i="34"/>
  <c r="U15" i="34"/>
  <c r="V15" i="34"/>
  <c r="W15" i="34"/>
  <c r="X15" i="34"/>
  <c r="Y15" i="34"/>
  <c r="Z15" i="34"/>
  <c r="AA15" i="34"/>
  <c r="AB15" i="34"/>
  <c r="AC15" i="34"/>
  <c r="AD15" i="34"/>
  <c r="AE15" i="34"/>
  <c r="AF15" i="34"/>
  <c r="AG15" i="34"/>
  <c r="AH15" i="34"/>
  <c r="D16" i="34"/>
  <c r="E16" i="34"/>
  <c r="F16" i="34"/>
  <c r="G16" i="34"/>
  <c r="H16" i="34"/>
  <c r="I16" i="34"/>
  <c r="J16" i="34"/>
  <c r="K16" i="34"/>
  <c r="L16" i="34"/>
  <c r="M16" i="34"/>
  <c r="N16" i="34"/>
  <c r="O16" i="34"/>
  <c r="P16" i="34"/>
  <c r="Q16" i="34"/>
  <c r="R16" i="34"/>
  <c r="S16" i="34"/>
  <c r="T16" i="34"/>
  <c r="U16" i="34"/>
  <c r="V16" i="34"/>
  <c r="W16" i="34"/>
  <c r="X16" i="34"/>
  <c r="Y16" i="34"/>
  <c r="Z16" i="34"/>
  <c r="AA16" i="34"/>
  <c r="AB16" i="34"/>
  <c r="AC16" i="34"/>
  <c r="AD16" i="34"/>
  <c r="AE16" i="34"/>
  <c r="AF16" i="34"/>
  <c r="AG16" i="34"/>
  <c r="AH16" i="34"/>
  <c r="D17" i="34"/>
  <c r="E17" i="34"/>
  <c r="F17" i="34"/>
  <c r="G17" i="34"/>
  <c r="H17" i="34"/>
  <c r="I17" i="34"/>
  <c r="J17" i="34"/>
  <c r="K17" i="34"/>
  <c r="L17" i="34"/>
  <c r="M17" i="34"/>
  <c r="N17" i="34"/>
  <c r="O17" i="34"/>
  <c r="P17" i="34"/>
  <c r="Q17" i="34"/>
  <c r="R17" i="34"/>
  <c r="S17" i="34"/>
  <c r="T17" i="34"/>
  <c r="U17" i="34"/>
  <c r="V17" i="34"/>
  <c r="W17" i="34"/>
  <c r="X17" i="34"/>
  <c r="Y17" i="34"/>
  <c r="Z17" i="34"/>
  <c r="AA17" i="34"/>
  <c r="AB17" i="34"/>
  <c r="AC17" i="34"/>
  <c r="AD17" i="34"/>
  <c r="AE17" i="34"/>
  <c r="AF17" i="34"/>
  <c r="AG17" i="34"/>
  <c r="AH17" i="34"/>
  <c r="D18" i="34"/>
  <c r="E18" i="34"/>
  <c r="F18" i="34"/>
  <c r="G18" i="34"/>
  <c r="H18" i="34"/>
  <c r="I18" i="34"/>
  <c r="J18" i="34"/>
  <c r="K18" i="34"/>
  <c r="L18" i="34"/>
  <c r="M18" i="34"/>
  <c r="N18" i="34"/>
  <c r="O18" i="34"/>
  <c r="P18" i="34"/>
  <c r="Q18" i="34"/>
  <c r="R18" i="34"/>
  <c r="S18" i="34"/>
  <c r="T18" i="34"/>
  <c r="U18" i="34"/>
  <c r="V18" i="34"/>
  <c r="W18" i="34"/>
  <c r="X18" i="34"/>
  <c r="Y18" i="34"/>
  <c r="Z18" i="34"/>
  <c r="AA18" i="34"/>
  <c r="AB18" i="34"/>
  <c r="AC18" i="34"/>
  <c r="AD18" i="34"/>
  <c r="AE18" i="34"/>
  <c r="AF18" i="34"/>
  <c r="AG18" i="34"/>
  <c r="AH18" i="34"/>
  <c r="D19" i="34"/>
  <c r="E19" i="34"/>
  <c r="F19" i="34"/>
  <c r="G19" i="34"/>
  <c r="H19" i="34"/>
  <c r="I19" i="34"/>
  <c r="J19" i="34"/>
  <c r="K19" i="34"/>
  <c r="L19" i="34"/>
  <c r="M19" i="34"/>
  <c r="N19" i="34"/>
  <c r="O19" i="34"/>
  <c r="P19" i="34"/>
  <c r="Q19" i="34"/>
  <c r="R19" i="34"/>
  <c r="S19" i="34"/>
  <c r="T19" i="34"/>
  <c r="U19" i="34"/>
  <c r="V19" i="34"/>
  <c r="W19" i="34"/>
  <c r="X19" i="34"/>
  <c r="Y19" i="34"/>
  <c r="Z19" i="34"/>
  <c r="AA19" i="34"/>
  <c r="AB19" i="34"/>
  <c r="AC19" i="34"/>
  <c r="AD19" i="34"/>
  <c r="AE19" i="34"/>
  <c r="AF19" i="34"/>
  <c r="AG19" i="34"/>
  <c r="AH19" i="34"/>
  <c r="D20" i="34"/>
  <c r="E20" i="34"/>
  <c r="F20" i="34"/>
  <c r="G20" i="34"/>
  <c r="H20" i="34"/>
  <c r="I20" i="34"/>
  <c r="J20" i="34"/>
  <c r="K20" i="34"/>
  <c r="L20" i="34"/>
  <c r="M20" i="34"/>
  <c r="N20" i="34"/>
  <c r="O20" i="34"/>
  <c r="P20" i="34"/>
  <c r="Q20" i="34"/>
  <c r="R20" i="34"/>
  <c r="S20" i="34"/>
  <c r="T20" i="34"/>
  <c r="U20" i="34"/>
  <c r="V20" i="34"/>
  <c r="W20" i="34"/>
  <c r="X20" i="34"/>
  <c r="Y20" i="34"/>
  <c r="Z20" i="34"/>
  <c r="AA20" i="34"/>
  <c r="AB20" i="34"/>
  <c r="AC20" i="34"/>
  <c r="AD20" i="34"/>
  <c r="AE20" i="34"/>
  <c r="AF20" i="34"/>
  <c r="AG20" i="34"/>
  <c r="AH20" i="34"/>
  <c r="D21" i="34"/>
  <c r="E21" i="34"/>
  <c r="F21" i="34"/>
  <c r="G21" i="34"/>
  <c r="H21" i="34"/>
  <c r="I21" i="34"/>
  <c r="J21" i="34"/>
  <c r="K21" i="34"/>
  <c r="L21" i="34"/>
  <c r="M21" i="34"/>
  <c r="N21" i="34"/>
  <c r="O21" i="34"/>
  <c r="P21" i="34"/>
  <c r="Q21" i="34"/>
  <c r="R21" i="34"/>
  <c r="S21" i="34"/>
  <c r="T21" i="34"/>
  <c r="U21" i="34"/>
  <c r="V21" i="34"/>
  <c r="W21" i="34"/>
  <c r="X21" i="34"/>
  <c r="Y21" i="34"/>
  <c r="Z21" i="34"/>
  <c r="AA21" i="34"/>
  <c r="AB21" i="34"/>
  <c r="AC21" i="34"/>
  <c r="AD21" i="34"/>
  <c r="AE21" i="34"/>
  <c r="AF21" i="34"/>
  <c r="AG21" i="34"/>
  <c r="AH21" i="34"/>
  <c r="D22" i="34"/>
  <c r="E22" i="34"/>
  <c r="F22" i="34"/>
  <c r="G22" i="34"/>
  <c r="H22" i="34"/>
  <c r="I22" i="34"/>
  <c r="J22" i="34"/>
  <c r="K22" i="34"/>
  <c r="L22" i="34"/>
  <c r="M22" i="34"/>
  <c r="N22" i="34"/>
  <c r="O22" i="34"/>
  <c r="P22" i="34"/>
  <c r="Q22" i="34"/>
  <c r="R22" i="34"/>
  <c r="S22" i="34"/>
  <c r="T22" i="34"/>
  <c r="U22" i="34"/>
  <c r="V22" i="34"/>
  <c r="W22" i="34"/>
  <c r="X22" i="34"/>
  <c r="Y22" i="34"/>
  <c r="Z22" i="34"/>
  <c r="AA22" i="34"/>
  <c r="AB22" i="34"/>
  <c r="AC22" i="34"/>
  <c r="AD22" i="34"/>
  <c r="AE22" i="34"/>
  <c r="AF22" i="34"/>
  <c r="AG22" i="34"/>
  <c r="AH22" i="34"/>
  <c r="D23" i="34"/>
  <c r="E23" i="34"/>
  <c r="F23" i="34"/>
  <c r="G23" i="34"/>
  <c r="H23" i="34"/>
  <c r="I23" i="34"/>
  <c r="J23" i="34"/>
  <c r="K23" i="34"/>
  <c r="L23" i="34"/>
  <c r="M23" i="34"/>
  <c r="N23" i="34"/>
  <c r="O23" i="34"/>
  <c r="P23" i="34"/>
  <c r="Q23" i="34"/>
  <c r="R23" i="34"/>
  <c r="S23" i="34"/>
  <c r="T23" i="34"/>
  <c r="U23" i="34"/>
  <c r="V23" i="34"/>
  <c r="W23" i="34"/>
  <c r="X23" i="34"/>
  <c r="Y23" i="34"/>
  <c r="Z23" i="34"/>
  <c r="AA23" i="34"/>
  <c r="AB23" i="34"/>
  <c r="AC23" i="34"/>
  <c r="AD23" i="34"/>
  <c r="AE23" i="34"/>
  <c r="AF23" i="34"/>
  <c r="AG23" i="34"/>
  <c r="AH23" i="34"/>
  <c r="D24" i="34"/>
  <c r="E24" i="34"/>
  <c r="F24" i="34"/>
  <c r="G24" i="34"/>
  <c r="H24" i="34"/>
  <c r="I24" i="34"/>
  <c r="J24" i="34"/>
  <c r="K24" i="34"/>
  <c r="L24" i="34"/>
  <c r="M24" i="34"/>
  <c r="N24" i="34"/>
  <c r="O24" i="34"/>
  <c r="P24" i="34"/>
  <c r="Q24" i="34"/>
  <c r="R24" i="34"/>
  <c r="S24" i="34"/>
  <c r="T24" i="34"/>
  <c r="U24" i="34"/>
  <c r="V24" i="34"/>
  <c r="W24" i="34"/>
  <c r="X24" i="34"/>
  <c r="Y24" i="34"/>
  <c r="Z24" i="34"/>
  <c r="AA24" i="34"/>
  <c r="AB24" i="34"/>
  <c r="AC24" i="34"/>
  <c r="AD24" i="34"/>
  <c r="AE24" i="34"/>
  <c r="AF24" i="34"/>
  <c r="AG24" i="34"/>
  <c r="AH24" i="34"/>
  <c r="D25" i="34"/>
  <c r="E25" i="34"/>
  <c r="F25" i="34"/>
  <c r="G25" i="34"/>
  <c r="H25" i="34"/>
  <c r="I25" i="34"/>
  <c r="J25" i="34"/>
  <c r="K25" i="34"/>
  <c r="L25" i="34"/>
  <c r="M25" i="34"/>
  <c r="N25" i="34"/>
  <c r="O25" i="34"/>
  <c r="P25" i="34"/>
  <c r="Q25" i="34"/>
  <c r="R25" i="34"/>
  <c r="S25" i="34"/>
  <c r="T25" i="34"/>
  <c r="U25" i="34"/>
  <c r="V25" i="34"/>
  <c r="W25" i="34"/>
  <c r="X25" i="34"/>
  <c r="Y25" i="34"/>
  <c r="Z25" i="34"/>
  <c r="AA25" i="34"/>
  <c r="AB25" i="34"/>
  <c r="AC25" i="34"/>
  <c r="AD25" i="34"/>
  <c r="AE25" i="34"/>
  <c r="AF25" i="34"/>
  <c r="AG25" i="34"/>
  <c r="AH25" i="34"/>
  <c r="D26" i="34"/>
  <c r="E26" i="34"/>
  <c r="F26" i="34"/>
  <c r="G26" i="34"/>
  <c r="H26" i="34"/>
  <c r="I26" i="34"/>
  <c r="J26" i="34"/>
  <c r="K26" i="34"/>
  <c r="L26" i="34"/>
  <c r="M26" i="34"/>
  <c r="N26" i="34"/>
  <c r="O26" i="34"/>
  <c r="P26" i="34"/>
  <c r="Q26" i="34"/>
  <c r="R26" i="34"/>
  <c r="S26" i="34"/>
  <c r="T26" i="34"/>
  <c r="U26" i="34"/>
  <c r="V26" i="34"/>
  <c r="W26" i="34"/>
  <c r="X26" i="34"/>
  <c r="Y26" i="34"/>
  <c r="Z26" i="34"/>
  <c r="AA26" i="34"/>
  <c r="AB26" i="34"/>
  <c r="AC26" i="34"/>
  <c r="AD26" i="34"/>
  <c r="AE26" i="34"/>
  <c r="AF26" i="34"/>
  <c r="AG26" i="34"/>
  <c r="AH26" i="34"/>
  <c r="D3" i="34" l="1"/>
  <c r="D4" i="34"/>
  <c r="D5" i="34"/>
  <c r="D6" i="34"/>
  <c r="D7" i="34"/>
  <c r="D8" i="34"/>
  <c r="D9" i="34"/>
  <c r="D10" i="34"/>
  <c r="AH13" i="34"/>
  <c r="AG13" i="34"/>
  <c r="AF13" i="34"/>
  <c r="AE13" i="34"/>
  <c r="AD13" i="34"/>
  <c r="AC13" i="34"/>
  <c r="AB13" i="34"/>
  <c r="AA13" i="34"/>
  <c r="Z13" i="34"/>
  <c r="Y13" i="34"/>
  <c r="X13" i="34"/>
  <c r="W13" i="34"/>
  <c r="V13" i="34"/>
  <c r="U13" i="34"/>
  <c r="T13" i="34"/>
  <c r="S13" i="34"/>
  <c r="R13" i="34"/>
  <c r="Q13" i="34"/>
  <c r="P13" i="34"/>
  <c r="O13" i="34"/>
  <c r="N13" i="34"/>
  <c r="M13" i="34"/>
  <c r="L13" i="34"/>
  <c r="K13" i="34"/>
  <c r="J13" i="34"/>
  <c r="I13" i="34"/>
  <c r="H13" i="34"/>
  <c r="G13" i="34"/>
  <c r="F13" i="34"/>
  <c r="E13" i="34"/>
  <c r="D13" i="34"/>
  <c r="AH12" i="34"/>
  <c r="AG12" i="34"/>
  <c r="AF12" i="34"/>
  <c r="AE12" i="34"/>
  <c r="AD12" i="34"/>
  <c r="AC12" i="34"/>
  <c r="AB12" i="34"/>
  <c r="AA12" i="34"/>
  <c r="Z12" i="34"/>
  <c r="Y12" i="34"/>
  <c r="X12" i="34"/>
  <c r="W12" i="34"/>
  <c r="V12" i="34"/>
  <c r="U12" i="34"/>
  <c r="T12" i="34"/>
  <c r="S12" i="34"/>
  <c r="R12" i="34"/>
  <c r="Q12" i="34"/>
  <c r="P12" i="34"/>
  <c r="O12" i="34"/>
  <c r="N12" i="34"/>
  <c r="M12" i="34"/>
  <c r="L12" i="34"/>
  <c r="K12" i="34"/>
  <c r="J12" i="34"/>
  <c r="I12" i="34"/>
  <c r="H12" i="34"/>
  <c r="G12" i="34"/>
  <c r="F12" i="34"/>
  <c r="E12" i="34"/>
  <c r="D12" i="34"/>
  <c r="AI26" i="34"/>
  <c r="AI25" i="34"/>
  <c r="AI24" i="34"/>
  <c r="AI23" i="34"/>
  <c r="AI22" i="34"/>
  <c r="AI21" i="34"/>
  <c r="AI20" i="34"/>
  <c r="AI19" i="34"/>
  <c r="AI18" i="34"/>
  <c r="AI17" i="34"/>
  <c r="AI16" i="34"/>
  <c r="AI15" i="34"/>
  <c r="AI14" i="34"/>
  <c r="AH10" i="34"/>
  <c r="AG10" i="34"/>
  <c r="AF10" i="34"/>
  <c r="AE10" i="34"/>
  <c r="AD10" i="34"/>
  <c r="AC10" i="34"/>
  <c r="AB10" i="34"/>
  <c r="AA10" i="34"/>
  <c r="Z10" i="34"/>
  <c r="Y10" i="34"/>
  <c r="X10" i="34"/>
  <c r="W10" i="34"/>
  <c r="V10" i="34"/>
  <c r="U10" i="34"/>
  <c r="T10" i="34"/>
  <c r="S10" i="34"/>
  <c r="R10" i="34"/>
  <c r="Q10" i="34"/>
  <c r="P10" i="34"/>
  <c r="O10" i="34"/>
  <c r="N10" i="34"/>
  <c r="M10" i="34"/>
  <c r="L10" i="34"/>
  <c r="K10" i="34"/>
  <c r="J10" i="34"/>
  <c r="I10" i="34"/>
  <c r="H10" i="34"/>
  <c r="G10" i="34"/>
  <c r="F10" i="34"/>
  <c r="E10" i="34"/>
  <c r="AH9" i="34"/>
  <c r="AG9" i="34"/>
  <c r="AF9" i="34"/>
  <c r="AE9" i="34"/>
  <c r="AD9" i="34"/>
  <c r="AC9" i="34"/>
  <c r="AB9" i="34"/>
  <c r="AA9" i="34"/>
  <c r="Z9" i="34"/>
  <c r="Y9" i="34"/>
  <c r="X9" i="34"/>
  <c r="W9" i="34"/>
  <c r="V9" i="34"/>
  <c r="U9" i="34"/>
  <c r="T9" i="34"/>
  <c r="S9" i="34"/>
  <c r="R9" i="34"/>
  <c r="Q9" i="34"/>
  <c r="P9" i="34"/>
  <c r="O9" i="34"/>
  <c r="N9" i="34"/>
  <c r="M9" i="34"/>
  <c r="L9" i="34"/>
  <c r="K9" i="34"/>
  <c r="J9" i="34"/>
  <c r="I9" i="34"/>
  <c r="H9" i="34"/>
  <c r="G9" i="34"/>
  <c r="F9" i="34"/>
  <c r="E9" i="34"/>
  <c r="AH8" i="34"/>
  <c r="AG8" i="34"/>
  <c r="AF8" i="34"/>
  <c r="AE8" i="34"/>
  <c r="AD8" i="34"/>
  <c r="AC8" i="34"/>
  <c r="AB8" i="34"/>
  <c r="AA8" i="34"/>
  <c r="Z8" i="34"/>
  <c r="Y8" i="34"/>
  <c r="X8" i="34"/>
  <c r="W8" i="34"/>
  <c r="V8" i="34"/>
  <c r="U8" i="34"/>
  <c r="T8" i="34"/>
  <c r="S8" i="34"/>
  <c r="R8" i="34"/>
  <c r="Q8" i="34"/>
  <c r="P8" i="34"/>
  <c r="O8" i="34"/>
  <c r="N8" i="34"/>
  <c r="M8" i="34"/>
  <c r="L8" i="34"/>
  <c r="K8" i="34"/>
  <c r="J8" i="34"/>
  <c r="I8" i="34"/>
  <c r="H8" i="34"/>
  <c r="G8" i="34"/>
  <c r="F8" i="34"/>
  <c r="E8" i="34"/>
  <c r="AH7" i="34"/>
  <c r="AG7" i="34"/>
  <c r="AF7" i="34"/>
  <c r="AE7" i="34"/>
  <c r="AD7" i="34"/>
  <c r="AC7" i="34"/>
  <c r="AB7" i="34"/>
  <c r="AA7" i="34"/>
  <c r="Z7" i="34"/>
  <c r="Y7" i="34"/>
  <c r="X7" i="34"/>
  <c r="W7" i="34"/>
  <c r="V7" i="34"/>
  <c r="U7" i="34"/>
  <c r="T7" i="34"/>
  <c r="S7" i="34"/>
  <c r="R7" i="34"/>
  <c r="Q7" i="34"/>
  <c r="P7" i="34"/>
  <c r="O7" i="34"/>
  <c r="N7" i="34"/>
  <c r="M7" i="34"/>
  <c r="L7" i="34"/>
  <c r="K7" i="34"/>
  <c r="J7" i="34"/>
  <c r="I7" i="34"/>
  <c r="H7" i="34"/>
  <c r="G7" i="34"/>
  <c r="F7" i="34"/>
  <c r="E7" i="34"/>
  <c r="AH6" i="34"/>
  <c r="AG6" i="34"/>
  <c r="AF6" i="34"/>
  <c r="AE6" i="34"/>
  <c r="AD6" i="34"/>
  <c r="AC6" i="34"/>
  <c r="AB6" i="34"/>
  <c r="AA6" i="34"/>
  <c r="Z6" i="34"/>
  <c r="Y6" i="34"/>
  <c r="X6" i="34"/>
  <c r="W6" i="34"/>
  <c r="V6" i="34"/>
  <c r="U6" i="34"/>
  <c r="T6" i="34"/>
  <c r="S6" i="34"/>
  <c r="R6" i="34"/>
  <c r="Q6" i="34"/>
  <c r="P6" i="34"/>
  <c r="O6" i="34"/>
  <c r="N6" i="34"/>
  <c r="M6" i="34"/>
  <c r="L6" i="34"/>
  <c r="K6" i="34"/>
  <c r="J6" i="34"/>
  <c r="I6" i="34"/>
  <c r="H6" i="34"/>
  <c r="G6" i="34"/>
  <c r="F6" i="34"/>
  <c r="E6" i="34"/>
  <c r="AH5" i="34"/>
  <c r="AG5" i="34"/>
  <c r="AF5" i="34"/>
  <c r="AE5" i="34"/>
  <c r="AD5" i="34"/>
  <c r="AC5" i="34"/>
  <c r="AB5" i="34"/>
  <c r="AA5" i="34"/>
  <c r="Z5" i="34"/>
  <c r="Y5" i="34"/>
  <c r="X5" i="34"/>
  <c r="W5" i="34"/>
  <c r="V5" i="34"/>
  <c r="U5" i="34"/>
  <c r="T5" i="34"/>
  <c r="S5" i="34"/>
  <c r="R5" i="34"/>
  <c r="Q5" i="34"/>
  <c r="P5" i="34"/>
  <c r="O5" i="34"/>
  <c r="N5" i="34"/>
  <c r="M5" i="34"/>
  <c r="L5" i="34"/>
  <c r="K5" i="34"/>
  <c r="J5" i="34"/>
  <c r="I5" i="34"/>
  <c r="H5" i="34"/>
  <c r="G5" i="34"/>
  <c r="F5" i="34"/>
  <c r="E5" i="34"/>
  <c r="AH4" i="34"/>
  <c r="AG4" i="34"/>
  <c r="AF4" i="34"/>
  <c r="AE4" i="34"/>
  <c r="AD4" i="34"/>
  <c r="AC4" i="34"/>
  <c r="AB4" i="34"/>
  <c r="AA4" i="34"/>
  <c r="Z4" i="34"/>
  <c r="Y4" i="34"/>
  <c r="X4" i="34"/>
  <c r="W4" i="34"/>
  <c r="V4" i="34"/>
  <c r="U4" i="34"/>
  <c r="T4" i="34"/>
  <c r="S4" i="34"/>
  <c r="R4" i="34"/>
  <c r="Q4" i="34"/>
  <c r="P4" i="34"/>
  <c r="O4" i="34"/>
  <c r="N4" i="34"/>
  <c r="M4" i="34"/>
  <c r="L4" i="34"/>
  <c r="K4" i="34"/>
  <c r="J4" i="34"/>
  <c r="I4" i="34"/>
  <c r="H4" i="34"/>
  <c r="G4" i="34"/>
  <c r="F4" i="34"/>
  <c r="E4" i="34"/>
  <c r="AH3" i="34"/>
  <c r="AG3" i="34"/>
  <c r="AF3" i="34"/>
  <c r="AE3" i="34"/>
  <c r="AD3" i="34"/>
  <c r="AC3" i="34"/>
  <c r="AB3" i="34"/>
  <c r="AA3" i="34"/>
  <c r="Z3" i="34"/>
  <c r="Y3" i="34"/>
  <c r="X3" i="34"/>
  <c r="W3" i="34"/>
  <c r="V3" i="34"/>
  <c r="U3" i="34"/>
  <c r="T3" i="34"/>
  <c r="S3" i="34"/>
  <c r="R3" i="34"/>
  <c r="Q3" i="34"/>
  <c r="P3" i="34"/>
  <c r="O3" i="34"/>
  <c r="N3" i="34"/>
  <c r="M3" i="34"/>
  <c r="L3" i="34"/>
  <c r="K3" i="34"/>
  <c r="J3" i="34"/>
  <c r="I3" i="34"/>
  <c r="H3" i="34"/>
  <c r="G3" i="34"/>
  <c r="F3" i="34"/>
  <c r="E3" i="34"/>
  <c r="AI12" i="34" l="1"/>
  <c r="AI13" i="34"/>
  <c r="AI6" i="34"/>
  <c r="AI10" i="34"/>
  <c r="AI7" i="34"/>
  <c r="AI5" i="34"/>
  <c r="AI9" i="34"/>
  <c r="AI3" i="34"/>
  <c r="AI4" i="34"/>
  <c r="AI8" i="34"/>
</calcChain>
</file>

<file path=xl/sharedStrings.xml><?xml version="1.0" encoding="utf-8"?>
<sst xmlns="http://schemas.openxmlformats.org/spreadsheetml/2006/main" count="2313" uniqueCount="581">
  <si>
    <t>КОЛИЧЕСТВО</t>
  </si>
  <si>
    <t>КГ</t>
  </si>
  <si>
    <t>ПУНКТ НАЗНАЧЕНИЯ</t>
  </si>
  <si>
    <t>СТАТУС</t>
  </si>
  <si>
    <t>ПРОДУКТ</t>
  </si>
  <si>
    <t>ПАРТИЯ</t>
  </si>
  <si>
    <t>ДАТА ОТГРУЗКИ</t>
  </si>
  <si>
    <t>АВТОДОСТАВКА</t>
  </si>
  <si>
    <t>№ АВТО</t>
  </si>
  <si>
    <t>ЖД ДОСТАВКА</t>
  </si>
  <si>
    <t>ВОДИТЕЛЬ</t>
  </si>
  <si>
    <t>ИТОГО ОТГРУЖЕНО</t>
  </si>
  <si>
    <t>ЧП</t>
  </si>
  <si>
    <t>т</t>
  </si>
  <si>
    <t>Итого заказов на:</t>
  </si>
  <si>
    <t>Итого отгружено:</t>
  </si>
  <si>
    <t>из них ЧП:</t>
  </si>
  <si>
    <t>НОМЕР ЗАКАЗА</t>
  </si>
  <si>
    <t>Реасолт</t>
  </si>
  <si>
    <t>Осталось отгрузить</t>
  </si>
  <si>
    <t>ТЕЛ. ВОДИТЕЛЯ</t>
  </si>
  <si>
    <t>R2D2</t>
  </si>
  <si>
    <t>Жидкий</t>
  </si>
  <si>
    <t>из них на жидкий:</t>
  </si>
  <si>
    <t>КЛСП</t>
  </si>
  <si>
    <t>BaraFLC</t>
  </si>
  <si>
    <t>Стабилайт II п/проп 25 кг</t>
  </si>
  <si>
    <t>Стабилайт II марк 25 кг</t>
  </si>
  <si>
    <t>Стабилайт II п/проп 22,7 кг</t>
  </si>
  <si>
    <t>Стабилайт II  марк 22,7 кг</t>
  </si>
  <si>
    <t>UNITROL</t>
  </si>
  <si>
    <t>MEX-ASR</t>
  </si>
  <si>
    <t>Оптитрол Порошок 20 кг</t>
  </si>
  <si>
    <t>Оптитрол (УЩР 30%)</t>
  </si>
  <si>
    <t>Оптитрол Ж (бочка обруч 50 кг)</t>
  </si>
  <si>
    <t>Оптитрол Ж (бочка 200 кг)</t>
  </si>
  <si>
    <t>Оптитрол Ж для СХТ (бочка обруч 200 кг)</t>
  </si>
  <si>
    <t>Оптитрол Ж КАЗАХ (ДТ 20%) 96 л</t>
  </si>
  <si>
    <t>Оптитрол Ж КАЗАХ (ДТ 20%) 200 л</t>
  </si>
  <si>
    <t>Оптитрол Ж КАЗАХ (пеногас 3%) 90 л</t>
  </si>
  <si>
    <t>КЛОТОНЕКС 25 кг</t>
  </si>
  <si>
    <t>BLACKTROL</t>
  </si>
  <si>
    <t>ВЕЛЛТРИТ</t>
  </si>
  <si>
    <t>ЛИКВИТРОЛ</t>
  </si>
  <si>
    <t>КЛСП без КМЦ на переработку</t>
  </si>
  <si>
    <t>31.06.2019</t>
  </si>
  <si>
    <t>АКТЫ</t>
  </si>
  <si>
    <t>ОТГРУЗКИ ПРОДУКЦИИ</t>
  </si>
  <si>
    <t>из них ИНАЯ:</t>
  </si>
  <si>
    <t>ИНАЯ</t>
  </si>
  <si>
    <t>мешков/бочек</t>
  </si>
  <si>
    <t>КЛИЕНТ</t>
  </si>
  <si>
    <t>Оптитрол Ж - 200 кг п/эт</t>
  </si>
  <si>
    <t>заметки</t>
  </si>
  <si>
    <t>Цена со склада за 1 тонну</t>
  </si>
  <si>
    <t>Итого</t>
  </si>
  <si>
    <t>БурСервис</t>
  </si>
  <si>
    <t>Пыть-Ях</t>
  </si>
  <si>
    <t>BLACKTROL ж - 200 кг п/эт</t>
  </si>
  <si>
    <t>ВЕЛЛТРИТ - 200 кг п/эт</t>
  </si>
  <si>
    <t>СУПЕРСЛАЙДЕР СИЛЬВЕР - 200 кг п/эт</t>
  </si>
  <si>
    <t>ВЕЛЛТРИТ - 180 кг мет</t>
  </si>
  <si>
    <t>ЭКСТРАМУЛ-2000 - 180 кг мет</t>
  </si>
  <si>
    <t>СУПЕРСЛАЙДЕР ГОЛД - 200 кг п/эт</t>
  </si>
  <si>
    <t>СТАБИЛАЙТ РУО - бум 25,0 кг</t>
  </si>
  <si>
    <t>ТЕРРАПАН - бум 25,0 кг</t>
  </si>
  <si>
    <t>Сульф асф - бум 25,0 кг</t>
  </si>
  <si>
    <t>ПОЛИКАП - бум 25,0 кг</t>
  </si>
  <si>
    <t>РЕОМОД п - бум 18,0 кг</t>
  </si>
  <si>
    <t>ТЕРМАВИС РУО - бум 20,0 кг</t>
  </si>
  <si>
    <t>СУЛЬФОБИТ - бум 25,0 кг</t>
  </si>
  <si>
    <t>АДВАНТА п - бум 14,0 кг</t>
  </si>
  <si>
    <t>Petro ASF - бум 25,0 кг</t>
  </si>
  <si>
    <t>КЛСП - бум 20,0 кг</t>
  </si>
  <si>
    <t>Оптитрол п - бум 20,0 кг</t>
  </si>
  <si>
    <t>СУПЕРСЛАЙДЕР ПЛАТИНУМ - 200 кг п/эт</t>
  </si>
  <si>
    <t>Drilling Lube (СС РУО) - 200 кг п/эт</t>
  </si>
  <si>
    <t>РЕОМОД ж - 180 кг п/эт</t>
  </si>
  <si>
    <t>ДЖИ-ДРИЛЛ - 200 кг п/эт</t>
  </si>
  <si>
    <t>ПОЛИТРОЛ - 200 кг п/эт</t>
  </si>
  <si>
    <t>DRIL-N-SLIDE (СС Платинум) - 175 кг п/эт</t>
  </si>
  <si>
    <t>BURFLC - бум 25,0 кг</t>
  </si>
  <si>
    <t>Реагент В - 55 кг п/эт</t>
  </si>
  <si>
    <t>ЭКСТРАМУЛ-2000 - 200 кг п/эт</t>
  </si>
  <si>
    <t>отправил ПК</t>
  </si>
  <si>
    <t>завел в отчет по отгрузкам</t>
  </si>
  <si>
    <t>образцы заказаны</t>
  </si>
  <si>
    <t xml:space="preserve">Надо заполнить </t>
  </si>
  <si>
    <t>Нижневартовск</t>
  </si>
  <si>
    <t>МАДСЕРВИС</t>
  </si>
  <si>
    <t>Буринтех</t>
  </si>
  <si>
    <t>Инко-Сервис</t>
  </si>
  <si>
    <t>Волгоград</t>
  </si>
  <si>
    <t>КАРБО-БЛОК Medium - бум 25,0 кг</t>
  </si>
  <si>
    <t>КАРБО-БЛОК Coarse - бум 25,0 кг</t>
  </si>
  <si>
    <t>КАРБО-БЛОК Fine - бум 25,0 кг</t>
  </si>
  <si>
    <t>КазПетроДриллинг</t>
  </si>
  <si>
    <t>Жанаозен</t>
  </si>
  <si>
    <t>авто(Ванюхин)</t>
  </si>
  <si>
    <t>КАТФЛО, бочка п/э 200 кг</t>
  </si>
  <si>
    <t>BUR TRIM II PLUS (СС Голд) - 185 кг п/эт</t>
  </si>
  <si>
    <t>ГОТОВ</t>
  </si>
  <si>
    <t>АПП-490, бочка п/э 200кг</t>
  </si>
  <si>
    <t>авто()</t>
  </si>
  <si>
    <t>№ КОНТЕЙНЕРА/ВАГОНА</t>
  </si>
  <si>
    <t>03/2025</t>
  </si>
  <si>
    <t>IN-MOD (РЕОМОД) - бум 18,0 кг</t>
  </si>
  <si>
    <t>Не выполнено</t>
  </si>
  <si>
    <t>20250627</t>
  </si>
  <si>
    <t>Стабилайт II - бум марк 25,0 кг</t>
  </si>
  <si>
    <t>кнт(Самовывоз)</t>
  </si>
  <si>
    <t>ОМАС</t>
  </si>
  <si>
    <t>171025/1</t>
  </si>
  <si>
    <t>171025/2</t>
  </si>
  <si>
    <t>171025/3</t>
  </si>
  <si>
    <t>171025/4</t>
  </si>
  <si>
    <t>221025</t>
  </si>
  <si>
    <t>281025/1</t>
  </si>
  <si>
    <t>281025/2</t>
  </si>
  <si>
    <t>281025/3</t>
  </si>
  <si>
    <t>281025/4</t>
  </si>
  <si>
    <t>261025</t>
  </si>
  <si>
    <t>НА СКЛАДЕ</t>
  </si>
  <si>
    <t>Спец№24 (5-6)</t>
  </si>
  <si>
    <t>Спец№24 (6-6)</t>
  </si>
  <si>
    <t>Спец№35</t>
  </si>
  <si>
    <t>041225</t>
  </si>
  <si>
    <t>091225</t>
  </si>
  <si>
    <t>EZ BUR DP (Поликап) - бум 25,0 кг</t>
  </si>
  <si>
    <t>Спец№98К(3-4)</t>
  </si>
  <si>
    <t>Спец№98К(4-4)</t>
  </si>
  <si>
    <t>Спец№99К</t>
  </si>
  <si>
    <t>ПОЛИКАП ж - 30 кг канистра</t>
  </si>
  <si>
    <t>211225</t>
  </si>
  <si>
    <t>221225</t>
  </si>
  <si>
    <t>231225</t>
  </si>
  <si>
    <t>241225</t>
  </si>
  <si>
    <t>Спец№51(1-2)</t>
  </si>
  <si>
    <t>261225</t>
  </si>
  <si>
    <t>271225</t>
  </si>
  <si>
    <t>281225</t>
  </si>
  <si>
    <t>Спец№54</t>
  </si>
  <si>
    <t>20240819</t>
  </si>
  <si>
    <t>авто(Гандвик)</t>
  </si>
  <si>
    <t>В РАБОТЕ</t>
  </si>
  <si>
    <t>DAF 0898AO29</t>
  </si>
  <si>
    <t>DAF M910РУ29</t>
  </si>
  <si>
    <t xml:space="preserve">Парфенов Роман </t>
  </si>
  <si>
    <t>Вишняков Денис</t>
  </si>
  <si>
    <t>DAF 0922KM29</t>
  </si>
  <si>
    <t xml:space="preserve">Тимохин Виталий </t>
  </si>
  <si>
    <t>251225</t>
  </si>
  <si>
    <t>Гужихин Сергей</t>
  </si>
  <si>
    <t>VOLVO О917МХ29</t>
  </si>
  <si>
    <t>ССК</t>
  </si>
  <si>
    <t>Нягань</t>
  </si>
  <si>
    <t>150126</t>
  </si>
  <si>
    <t>160126</t>
  </si>
  <si>
    <t>Спец№101К (1-2)</t>
  </si>
  <si>
    <t>Спец№101К (2-2)</t>
  </si>
  <si>
    <t>10/2025</t>
  </si>
  <si>
    <t>Сургутнефтегаз</t>
  </si>
  <si>
    <t>Сургут. Белый Яр</t>
  </si>
  <si>
    <t>01/50/14/09/10 (1-10)</t>
  </si>
  <si>
    <t>01/50/14/09/10 (2-10)</t>
  </si>
  <si>
    <t>01/50/14/09/10 (3-10)</t>
  </si>
  <si>
    <t>01/50/14/09/10 (4-10)</t>
  </si>
  <si>
    <t>01/50/14/09/10 (5-10)</t>
  </si>
  <si>
    <t>01/50/14/09/10 (6-10)</t>
  </si>
  <si>
    <t>01/50/14/09/10 (7-10)</t>
  </si>
  <si>
    <t>01/50/14/09/10 (8-10)</t>
  </si>
  <si>
    <t>01/50/14/09/10 (9-10)</t>
  </si>
  <si>
    <t>01/50/14/09/10 (10-10)</t>
  </si>
  <si>
    <t>Котов Денис</t>
  </si>
  <si>
    <t>Меrсеdеs Р039ВВ250</t>
  </si>
  <si>
    <t>Поpтнов Дмитрий</t>
  </si>
  <si>
    <t>DAF У690РК790</t>
  </si>
  <si>
    <t>89273817812/87773777323</t>
  </si>
  <si>
    <t>+</t>
  </si>
  <si>
    <t>Спец№2-СТ (1-14)</t>
  </si>
  <si>
    <t>Спец№2-СТ (2-14)</t>
  </si>
  <si>
    <t>отгружен</t>
  </si>
  <si>
    <t>авто(Бакин)</t>
  </si>
  <si>
    <t>Попов Александр</t>
  </si>
  <si>
    <t>Вольво О618СМ29</t>
  </si>
  <si>
    <t>авто(Ариал)</t>
  </si>
  <si>
    <t>Солянников Дмитрий</t>
  </si>
  <si>
    <t>Даф Х901КС72</t>
  </si>
  <si>
    <t>170126</t>
  </si>
  <si>
    <t>170126/1</t>
  </si>
  <si>
    <t>180126</t>
  </si>
  <si>
    <t>180126/1</t>
  </si>
  <si>
    <t>190126</t>
  </si>
  <si>
    <t>Самовывоз</t>
  </si>
  <si>
    <t>Спец№36</t>
  </si>
  <si>
    <t>Энергоресурс</t>
  </si>
  <si>
    <t>230525</t>
  </si>
  <si>
    <t>230126</t>
  </si>
  <si>
    <t>181225</t>
  </si>
  <si>
    <t>Спец№40</t>
  </si>
  <si>
    <t>Бузулук</t>
  </si>
  <si>
    <t>051225</t>
  </si>
  <si>
    <t>020725</t>
  </si>
  <si>
    <t>050424</t>
  </si>
  <si>
    <t>Спец№41</t>
  </si>
  <si>
    <t>301025</t>
  </si>
  <si>
    <t>311025</t>
  </si>
  <si>
    <t>281025</t>
  </si>
  <si>
    <t>291025</t>
  </si>
  <si>
    <t>190126/1</t>
  </si>
  <si>
    <t>200126</t>
  </si>
  <si>
    <t>210126</t>
  </si>
  <si>
    <t>авто(Легион)</t>
  </si>
  <si>
    <t>Ракшин Андрей</t>
  </si>
  <si>
    <t>Скания М503СМ159</t>
  </si>
  <si>
    <t xml:space="preserve">Самовыовз </t>
  </si>
  <si>
    <t>220126</t>
  </si>
  <si>
    <t>авто(Агро)</t>
  </si>
  <si>
    <t>Белоцерковский Алексей</t>
  </si>
  <si>
    <t>DAF К008МА29</t>
  </si>
  <si>
    <t>Спец№43</t>
  </si>
  <si>
    <t>090425</t>
  </si>
  <si>
    <t>040625</t>
  </si>
  <si>
    <t>Самара</t>
  </si>
  <si>
    <t>Осадчий Александр</t>
  </si>
  <si>
    <t>Камаз Р904НС142</t>
  </si>
  <si>
    <t>авто(Инкам)</t>
  </si>
  <si>
    <t>авто(Рич Трак)</t>
  </si>
  <si>
    <t>Забелин Степан</t>
  </si>
  <si>
    <t>авто(авто 45)</t>
  </si>
  <si>
    <t>SHACMAN М137ВА702</t>
  </si>
  <si>
    <t xml:space="preserve">Осипов Дмитрий </t>
  </si>
  <si>
    <t>КАМАЗ О773НМ45</t>
  </si>
  <si>
    <t>Соколов Виктор</t>
  </si>
  <si>
    <t>ВОЛЬВО Е935РО196</t>
  </si>
  <si>
    <t>Уфа</t>
  </si>
  <si>
    <t>Новиков Сергей</t>
  </si>
  <si>
    <t>Ситрак C105OP196</t>
  </si>
  <si>
    <t>авто(Семенова)</t>
  </si>
  <si>
    <t>Куприяшкин Сергей</t>
  </si>
  <si>
    <t>SHACMAN Н522СР21</t>
  </si>
  <si>
    <t>ДАФ У377МХ45</t>
  </si>
  <si>
    <t>Ильин Андрей</t>
  </si>
  <si>
    <t xml:space="preserve"> Ежов Алексей</t>
  </si>
  <si>
    <t>FAW О484ОУ29</t>
  </si>
  <si>
    <t>290126</t>
  </si>
  <si>
    <t>ВОЛЬВО О951РК72</t>
  </si>
  <si>
    <t>Добрыдин Станислав</t>
  </si>
  <si>
    <t>300126</t>
  </si>
  <si>
    <t>Спец№2-СТ (3-14)</t>
  </si>
  <si>
    <t>Спец№2-СТ (4-14)</t>
  </si>
  <si>
    <t>Спец№2-СТ (5-14)</t>
  </si>
  <si>
    <t>Спец№2-СТ (6-14)</t>
  </si>
  <si>
    <t>Спец№2-СТ (7-14)</t>
  </si>
  <si>
    <t>Спец№2-СТ (8-14)</t>
  </si>
  <si>
    <t>Спец№2-СТ (9-14)</t>
  </si>
  <si>
    <t>Спец№2-СТ (10-14)</t>
  </si>
  <si>
    <t>310126</t>
  </si>
  <si>
    <t>310126/1</t>
  </si>
  <si>
    <t>Корнилов Дмитрий</t>
  </si>
  <si>
    <t>Скания Е999СЕ156</t>
  </si>
  <si>
    <t>Дудин Андрей</t>
  </si>
  <si>
    <t>РЕНО Н451МС196</t>
  </si>
  <si>
    <t>отгружено</t>
  </si>
  <si>
    <t>Андриянов Андрей</t>
  </si>
  <si>
    <t>Камаз М428АН702</t>
  </si>
  <si>
    <t>Решетин Александр</t>
  </si>
  <si>
    <t>Вольво В434РА702</t>
  </si>
  <si>
    <t>самовывоз</t>
  </si>
  <si>
    <t>Спец. №3</t>
  </si>
  <si>
    <t>FWL</t>
  </si>
  <si>
    <t>ЛИКВИТРОЛ - 180 кг мет</t>
  </si>
  <si>
    <t>030226</t>
  </si>
  <si>
    <t>020226</t>
  </si>
  <si>
    <t>010226</t>
  </si>
  <si>
    <t>010226/1</t>
  </si>
  <si>
    <t>Болдырев Владимир</t>
  </si>
  <si>
    <t>Камаз М701УТ69</t>
  </si>
  <si>
    <t>ТКШ</t>
  </si>
  <si>
    <t>Холмск</t>
  </si>
  <si>
    <t>RSH7.MDS.R-25-0800-013214</t>
  </si>
  <si>
    <t>040226</t>
  </si>
  <si>
    <t>Спец№102К (1-2)</t>
  </si>
  <si>
    <t>Спец№102К (2-2)</t>
  </si>
  <si>
    <t>Антонов Евгений</t>
  </si>
  <si>
    <t>DAF К298МО45</t>
  </si>
  <si>
    <t>авто(Коровин)</t>
  </si>
  <si>
    <t>авто(Шмакова)</t>
  </si>
  <si>
    <t>Анфалов Сергей</t>
  </si>
  <si>
    <t>DAF В426МХ45</t>
  </si>
  <si>
    <t>Тайбарей Гавриил</t>
  </si>
  <si>
    <t>КАМАЗ А188УО 43</t>
  </si>
  <si>
    <t>Спец№103К (1-3)</t>
  </si>
  <si>
    <t>Спец№103К (2-3)</t>
  </si>
  <si>
    <t>Спец№103К (3-3)</t>
  </si>
  <si>
    <t>Спец№42</t>
  </si>
  <si>
    <t>авто(Клото)</t>
  </si>
  <si>
    <t>Борисов Дмитрий</t>
  </si>
  <si>
    <t>Mercedes О515ОУ29</t>
  </si>
  <si>
    <t>050226</t>
  </si>
  <si>
    <t xml:space="preserve"> Белоусов Денис</t>
  </si>
  <si>
    <t>Вольво Т838ВМ196</t>
  </si>
  <si>
    <t>НА СКЛАД</t>
  </si>
  <si>
    <t>авто(Горкий Транзит)</t>
  </si>
  <si>
    <t>Звонарев Алексей</t>
  </si>
  <si>
    <t>Скания Т369СО152</t>
  </si>
  <si>
    <t>060226</t>
  </si>
  <si>
    <t>100226</t>
  </si>
  <si>
    <t>Хрущ Александр</t>
  </si>
  <si>
    <t>DAF О539ОН29</t>
  </si>
  <si>
    <t>Спец№44 (1-4)</t>
  </si>
  <si>
    <t>Спец№44 (2-4)</t>
  </si>
  <si>
    <t>Спец№44 (3-4)</t>
  </si>
  <si>
    <t>Спец№44 (4-4)</t>
  </si>
  <si>
    <t>Спец№55</t>
  </si>
  <si>
    <t>Демьянка</t>
  </si>
  <si>
    <t>Акрос</t>
  </si>
  <si>
    <t>Мурманск</t>
  </si>
  <si>
    <t>Спец№156</t>
  </si>
  <si>
    <t>Прогресс-2</t>
  </si>
  <si>
    <t>180625</t>
  </si>
  <si>
    <t>Спец№2-СТ (11-14)</t>
  </si>
  <si>
    <t>Киреев Сергей</t>
  </si>
  <si>
    <t>Вольво Р034СВ29</t>
  </si>
  <si>
    <t>100226/1</t>
  </si>
  <si>
    <t>110226</t>
  </si>
  <si>
    <t>120226</t>
  </si>
  <si>
    <t>НА СКЛАД заявка №25</t>
  </si>
  <si>
    <t>НА СКЛАД заявка №26</t>
  </si>
  <si>
    <t>89224245220/89146819608</t>
  </si>
  <si>
    <t>20260210</t>
  </si>
  <si>
    <t>20260209</t>
  </si>
  <si>
    <t>Спец№56</t>
  </si>
  <si>
    <t>Ситрак С105ОР196</t>
  </si>
  <si>
    <t>SHACMAN К789ОЕ702</t>
  </si>
  <si>
    <t>Ременников Александр</t>
  </si>
  <si>
    <t>Спец№2</t>
  </si>
  <si>
    <t>Газель У078НУ797</t>
  </si>
  <si>
    <t>Скрябин Иван</t>
  </si>
  <si>
    <t>Спец№45</t>
  </si>
  <si>
    <t>170226</t>
  </si>
  <si>
    <t>160226</t>
  </si>
  <si>
    <t>20250625</t>
  </si>
  <si>
    <t>20250216</t>
  </si>
  <si>
    <t>авто(Семенов)</t>
  </si>
  <si>
    <t>DAF У377МХ45</t>
  </si>
  <si>
    <t xml:space="preserve">Ильин Андрей </t>
  </si>
  <si>
    <t>ИВЕКО В187СС43</t>
  </si>
  <si>
    <t>Шкляев Дмитрий</t>
  </si>
  <si>
    <t>Соловьев Александр</t>
  </si>
  <si>
    <t xml:space="preserve"> SITRAK Р957ВВ159</t>
  </si>
  <si>
    <t>БГРП</t>
  </si>
  <si>
    <t>БС-131135</t>
  </si>
  <si>
    <t>270226</t>
  </si>
  <si>
    <t>Счет №44,46</t>
  </si>
  <si>
    <t>Спец№57</t>
  </si>
  <si>
    <t>Счет №14</t>
  </si>
  <si>
    <t>КОМОКС</t>
  </si>
  <si>
    <t>200226</t>
  </si>
  <si>
    <t>Спец№58</t>
  </si>
  <si>
    <t>140226</t>
  </si>
  <si>
    <t>180226</t>
  </si>
  <si>
    <t>ЗЛОБИН АНДРЕЙ</t>
  </si>
  <si>
    <t>ВОЛЬВО М822ХМ763</t>
  </si>
  <si>
    <t>Белоусов Денис</t>
  </si>
  <si>
    <t xml:space="preserve"> Вольво Т838ВМ196</t>
  </si>
  <si>
    <t>Тарганов Максим</t>
  </si>
  <si>
    <t>89090100029, 89214350395</t>
  </si>
  <si>
    <t>Вольво С397НО196</t>
  </si>
  <si>
    <t>кнт (Клото)</t>
  </si>
  <si>
    <t>Лабытнанги</t>
  </si>
  <si>
    <t>Комар эпокси</t>
  </si>
  <si>
    <t>250226</t>
  </si>
  <si>
    <t>030326</t>
  </si>
  <si>
    <t>240226</t>
  </si>
  <si>
    <t>Спец№4 (1-5)</t>
  </si>
  <si>
    <t>Спец№4(2-5)</t>
  </si>
  <si>
    <t>Спец№4(3-5)</t>
  </si>
  <si>
    <t>Спец№4(4-5)</t>
  </si>
  <si>
    <t>11 поддонов</t>
  </si>
  <si>
    <t>4 поддона</t>
  </si>
  <si>
    <t>3 поддона</t>
  </si>
  <si>
    <t>Спец№4(5-5)</t>
  </si>
  <si>
    <t>1 под х 20 меш</t>
  </si>
  <si>
    <t>19 под х 30 меш + 1 под х 10 меш</t>
  </si>
  <si>
    <t>1 под х 30 меш + 1 под х 20 меш</t>
  </si>
  <si>
    <t>20 поддонов</t>
  </si>
  <si>
    <t>Деловые линии</t>
  </si>
  <si>
    <t>Накл. 00250005980</t>
  </si>
  <si>
    <t>Мерседес О460СТ29</t>
  </si>
  <si>
    <t>Тюкавин Александр</t>
  </si>
  <si>
    <t>Ирченко Виталий</t>
  </si>
  <si>
    <t>FAW Х016ЕО154</t>
  </si>
  <si>
    <t>Губкинский</t>
  </si>
  <si>
    <t>100326</t>
  </si>
  <si>
    <t>110326</t>
  </si>
  <si>
    <t>БС-131996</t>
  </si>
  <si>
    <t>БС-129358</t>
  </si>
  <si>
    <t>120326</t>
  </si>
  <si>
    <t>260226</t>
  </si>
  <si>
    <t>GQRU0000200</t>
  </si>
  <si>
    <t>TKRU3203135</t>
  </si>
  <si>
    <t>151025</t>
  </si>
  <si>
    <t>авто(Транскомплект)</t>
  </si>
  <si>
    <t>MAN С938ВУ18</t>
  </si>
  <si>
    <t>Беляев Дмитрий</t>
  </si>
  <si>
    <t>Спец№47</t>
  </si>
  <si>
    <t>TKRU3018395</t>
  </si>
  <si>
    <t>TKRU3473594</t>
  </si>
  <si>
    <t>GQRU3309472</t>
  </si>
  <si>
    <t>НГС</t>
  </si>
  <si>
    <t>Счет №24 от 24.02.26</t>
  </si>
  <si>
    <t>Спец№33</t>
  </si>
  <si>
    <t>МК Сервис</t>
  </si>
  <si>
    <t>110521</t>
  </si>
  <si>
    <t>Сорочинск</t>
  </si>
  <si>
    <t>Байкал сервис АР-0048772</t>
  </si>
  <si>
    <t>130226</t>
  </si>
  <si>
    <t>Шамсутдинов Рустам</t>
  </si>
  <si>
    <t>Скания А074РУ716</t>
  </si>
  <si>
    <t>БС-133281</t>
  </si>
  <si>
    <t>Пурпе</t>
  </si>
  <si>
    <t>03-26</t>
  </si>
  <si>
    <t>БС-133959</t>
  </si>
  <si>
    <t xml:space="preserve">Спец№105К </t>
  </si>
  <si>
    <t>Спец№51(2-2)</t>
  </si>
  <si>
    <t xml:space="preserve">Антипов Алексей </t>
  </si>
  <si>
    <t>DAF В484ХС18</t>
  </si>
  <si>
    <t>авто(Борисов)</t>
  </si>
  <si>
    <t>СОГЛАСОВАНА СТАВКА 300 300</t>
  </si>
  <si>
    <t>Спец№104К (1-3)</t>
  </si>
  <si>
    <t>Спец№104К (2-3)</t>
  </si>
  <si>
    <t>Спец№104К (3-3)</t>
  </si>
  <si>
    <t>Спец№48</t>
  </si>
  <si>
    <t>Спец№49</t>
  </si>
  <si>
    <t>TKRU3100266</t>
  </si>
  <si>
    <t>130326</t>
  </si>
  <si>
    <t>180326</t>
  </si>
  <si>
    <t>SHACMAN М003ВЕ702</t>
  </si>
  <si>
    <t>Ардаширов Фанил</t>
  </si>
  <si>
    <t>Чернаков Константин</t>
  </si>
  <si>
    <t>МАЗ М326ОХ29</t>
  </si>
  <si>
    <t>230326</t>
  </si>
  <si>
    <t>240326</t>
  </si>
  <si>
    <t>250326</t>
  </si>
  <si>
    <t>260326</t>
  </si>
  <si>
    <t>БС-133633(1-4)</t>
  </si>
  <si>
    <t>БС-133633(2-4)</t>
  </si>
  <si>
    <t>БС-133633(3-4)</t>
  </si>
  <si>
    <t>БС-133633(4-4)</t>
  </si>
  <si>
    <t xml:space="preserve">Самара </t>
  </si>
  <si>
    <t>TKRU3050680</t>
  </si>
  <si>
    <t>TKRU3560370</t>
  </si>
  <si>
    <t>НА АПРЕЛЬ. ПО ЗВОНКУ</t>
  </si>
  <si>
    <t>Спец№52(1-2)</t>
  </si>
  <si>
    <t>Спец№52(2-2)</t>
  </si>
  <si>
    <t>270326</t>
  </si>
  <si>
    <t>Спец№27764</t>
  </si>
  <si>
    <t>Петроинжиниринг</t>
  </si>
  <si>
    <t>190326</t>
  </si>
  <si>
    <t>Коженов Андрей</t>
  </si>
  <si>
    <t>Shacman М770КР763</t>
  </si>
  <si>
    <t>Спец№50</t>
  </si>
  <si>
    <t>Спец№1</t>
  </si>
  <si>
    <t>Полихимпром</t>
  </si>
  <si>
    <t>б/п</t>
  </si>
  <si>
    <t>310326</t>
  </si>
  <si>
    <t>Усинск</t>
  </si>
  <si>
    <t>кнт(Клото)</t>
  </si>
  <si>
    <t>Онохин Евгений</t>
  </si>
  <si>
    <t>Ситрак Е806ОР156</t>
  </si>
  <si>
    <t>БС-135012</t>
  </si>
  <si>
    <t>Спец№59</t>
  </si>
  <si>
    <t xml:space="preserve"> + (24.03)</t>
  </si>
  <si>
    <t xml:space="preserve">Калашников Михаил </t>
  </si>
  <si>
    <t>Скания Х189МС777</t>
  </si>
  <si>
    <t>Крючков Александр</t>
  </si>
  <si>
    <t>Ситрак Т881РТ18</t>
  </si>
  <si>
    <t>РЕНО Т224УХ174</t>
  </si>
  <si>
    <t>Колоколов Александр</t>
  </si>
  <si>
    <t>Коротчаево</t>
  </si>
  <si>
    <t>Вольво О 856 УЕ 29</t>
  </si>
  <si>
    <t>Рядовкин Евгений</t>
  </si>
  <si>
    <t>Спец№3</t>
  </si>
  <si>
    <t>Счет №91</t>
  </si>
  <si>
    <t>СГК ГРУПП</t>
  </si>
  <si>
    <t xml:space="preserve"> + (26.03)</t>
  </si>
  <si>
    <t>Shacman О799КН71</t>
  </si>
  <si>
    <t>Трифонов Артём</t>
  </si>
  <si>
    <t xml:space="preserve">Shacman О494РУ71 </t>
  </si>
  <si>
    <t>Горбатых Андрей</t>
  </si>
  <si>
    <t>Шулепов Александр</t>
  </si>
  <si>
    <t xml:space="preserve">  +(27.03)</t>
  </si>
  <si>
    <t xml:space="preserve">SHACMAN Т706ЕК196 </t>
  </si>
  <si>
    <t>Казаков Иван</t>
  </si>
  <si>
    <r>
      <t>авто(</t>
    </r>
    <r>
      <rPr>
        <b/>
        <sz val="11"/>
        <color theme="1"/>
        <rFont val="Calibri"/>
        <family val="2"/>
        <charset val="204"/>
        <scheme val="minor"/>
      </rPr>
      <t>Самовывоз)</t>
    </r>
  </si>
  <si>
    <r>
      <t>авто(</t>
    </r>
    <r>
      <rPr>
        <b/>
        <sz val="11"/>
        <color theme="1"/>
        <rFont val="Calibri"/>
        <family val="2"/>
        <charset val="204"/>
        <scheme val="minor"/>
      </rPr>
      <t>Самовывоз</t>
    </r>
    <r>
      <rPr>
        <sz val="11"/>
        <color theme="1"/>
        <rFont val="Calibri"/>
        <family val="2"/>
        <scheme val="minor"/>
      </rPr>
      <t>)</t>
    </r>
  </si>
  <si>
    <t>Ситрак К817ТТ18</t>
  </si>
  <si>
    <t>Кузнецов Руслан</t>
  </si>
  <si>
    <t>SHACMAN  У463ХО196</t>
  </si>
  <si>
    <t>TKRU3000626</t>
  </si>
  <si>
    <t>Вольво М213АУ196</t>
  </si>
  <si>
    <t>Химнефтесервис</t>
  </si>
  <si>
    <t>080426</t>
  </si>
  <si>
    <t>Актау</t>
  </si>
  <si>
    <t>№ 600-4293558R</t>
  </si>
  <si>
    <t>Кирчигин Владислав, Алексей Козочкин</t>
  </si>
  <si>
    <t>ТК Энергия ГАЗ М737АЕ29,  ГАЗ К412НР29</t>
  </si>
  <si>
    <t>ТК Энергия ГАЗ М737АЕ29,  ГАЗ К412НР30</t>
  </si>
  <si>
    <t>ТК Энергия ГАЗ М737АЕ29,  ГАЗ К412НР31</t>
  </si>
  <si>
    <t>ТК Энергия ГАЗ М737АЕ29,  ГАЗ К412НР32</t>
  </si>
  <si>
    <t>BUR MUL NTR (Экстрамул Суприм), бочка п/э 190 кг</t>
  </si>
  <si>
    <t>Спец №4</t>
  </si>
  <si>
    <t>Freightliner О551СС 29</t>
  </si>
  <si>
    <t>Чурбанов Дмитрий</t>
  </si>
  <si>
    <t>300326</t>
  </si>
  <si>
    <t>010426</t>
  </si>
  <si>
    <t>030426</t>
  </si>
  <si>
    <t>040426</t>
  </si>
  <si>
    <t>060426</t>
  </si>
  <si>
    <t>230326 (02.04 №RU117813242)</t>
  </si>
  <si>
    <t>240326(02.04 №RU117813242)</t>
  </si>
  <si>
    <t>161025/1(02.04 №RU117813242)</t>
  </si>
  <si>
    <t>161025/2(02.04 №RU117813242)</t>
  </si>
  <si>
    <t>291025/1(02.04 №RU117813242)</t>
  </si>
  <si>
    <t>291025/2(02.04 №RU117813242)</t>
  </si>
  <si>
    <t>291025/3(02.04 №RU117813242)</t>
  </si>
  <si>
    <t>291025/4(02.04 №RU117813242)</t>
  </si>
  <si>
    <t>250326(02.04 №RU117813242)</t>
  </si>
  <si>
    <t>260326(02.04 №RU117813242)</t>
  </si>
  <si>
    <t>Спец№60</t>
  </si>
  <si>
    <t>250326 (02.04 №RU117813242)</t>
  </si>
  <si>
    <t>260326 (02.04 №RU117813242)</t>
  </si>
  <si>
    <t>240326 (02.04 №RU117813242)</t>
  </si>
  <si>
    <t>Накл. №ЭР862709</t>
  </si>
  <si>
    <t>DAF У515РВ96</t>
  </si>
  <si>
    <t>Лескин Вячеслав</t>
  </si>
  <si>
    <t>БС-136247</t>
  </si>
  <si>
    <t>Счет №98 от 30.03.26</t>
  </si>
  <si>
    <t>Голодяев Иван</t>
  </si>
  <si>
    <t>DONG FENG О546АЕ159</t>
  </si>
  <si>
    <t>Соколов Александр</t>
  </si>
  <si>
    <t>Джак У732КС152</t>
  </si>
  <si>
    <t xml:space="preserve">  +(02.04)</t>
  </si>
  <si>
    <t>ФОРЕСТ-ОЙЛ, бочка п/э 190 кг</t>
  </si>
  <si>
    <t>070426</t>
  </si>
  <si>
    <t xml:space="preserve">  +(03.04)</t>
  </si>
  <si>
    <t>DONGFENG С831ВУ 18</t>
  </si>
  <si>
    <t>Волков Иван, Филимонов Александр</t>
  </si>
  <si>
    <t>Переданы образцы</t>
  </si>
  <si>
    <t>BLACKTROL ж - 216 кг п/эт</t>
  </si>
  <si>
    <t>Спец№51</t>
  </si>
  <si>
    <t>Спец№106К (1-3)</t>
  </si>
  <si>
    <t>Спец№106К (2-3)</t>
  </si>
  <si>
    <t>Спец№106К (3-3)</t>
  </si>
  <si>
    <t>230425</t>
  </si>
  <si>
    <t>Спец№107К</t>
  </si>
  <si>
    <t>Вайгант Сергей</t>
  </si>
  <si>
    <t>Камаз Е999СА29</t>
  </si>
  <si>
    <t>авто (Ариал+ванюхин)</t>
  </si>
  <si>
    <t xml:space="preserve">89115553852/89273633863/77789283367  </t>
  </si>
  <si>
    <t xml:space="preserve">Попов Геннадий/Суетин Дмитрий </t>
  </si>
  <si>
    <t>RZDU0724659</t>
  </si>
  <si>
    <t xml:space="preserve">  (09.04)</t>
  </si>
  <si>
    <t>FORD О483УС29 / Р039ВВ250</t>
  </si>
  <si>
    <t>Умурбаев Сергей</t>
  </si>
  <si>
    <t>SITRAK К868ВУ702</t>
  </si>
  <si>
    <t>161025/2 (DPD RU118085965)</t>
  </si>
  <si>
    <t>161025/3 (DPD RU118085965)</t>
  </si>
  <si>
    <t>161025/4 (DPD RU118085965)</t>
  </si>
  <si>
    <t>060426 (DPD RU118085965)</t>
  </si>
  <si>
    <t>Спец№4</t>
  </si>
  <si>
    <t>100426</t>
  </si>
  <si>
    <t>RZDU3005129</t>
  </si>
  <si>
    <t>16-17.04.26</t>
  </si>
  <si>
    <t>ДАФ К575ТС763</t>
  </si>
  <si>
    <t xml:space="preserve">Березанский Евгений </t>
  </si>
  <si>
    <t>Спец№20</t>
  </si>
  <si>
    <t>ХимБурСервис</t>
  </si>
  <si>
    <t>150426</t>
  </si>
  <si>
    <t>Спец№100К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</si>
</sst>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[$-419]mmmm\ yyyy;@"/>
    <numFmt numFmtId="166" formatCode="0.000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6"/>
      <color theme="1"/>
      <name val="Calibri"/>
      <family val="2"/>
      <scheme val="minor"/>
    </font>
    <font>
      <b/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89AD9"/>
        <bgColor indexed="64"/>
      </patternFill>
    </fill>
    <fill>
      <patternFill patternType="solid">
        <fgColor rgb="FFA2D2F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35B4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0904E"/>
        <bgColor indexed="64"/>
      </patternFill>
    </fill>
    <fill>
      <patternFill patternType="solid">
        <fgColor rgb="FFDEB7B6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A8E4E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B757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32BFD2"/>
        <bgColor indexed="64"/>
      </patternFill>
    </fill>
    <fill>
      <patternFill patternType="solid">
        <fgColor rgb="FF9EF6A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98">
    <xf numFmtId="0" fontId="0" fillId="0" borderId="0" xfId="0"/>
    <xf numFmtId="0" fontId="32" fillId="9" borderId="7" xfId="0" applyFont="1" applyFill="1" applyBorder="1" applyAlignment="1">
      <alignment wrapText="1"/>
    </xf>
    <xf numFmtId="0" fontId="31" fillId="9" borderId="7" xfId="0" applyFont="1" applyFill="1" applyBorder="1" applyAlignment="1">
      <alignment wrapText="1"/>
    </xf>
    <xf numFmtId="0" fontId="31" fillId="9" borderId="5" xfId="0" applyFont="1" applyFill="1" applyBorder="1" applyAlignment="1">
      <alignment wrapText="1"/>
    </xf>
    <xf numFmtId="0" fontId="35" fillId="11" borderId="1" xfId="0" applyFont="1" applyFill="1" applyBorder="1" applyAlignment="1">
      <alignment horizontal="center" vertical="center"/>
    </xf>
    <xf numFmtId="1" fontId="35" fillId="15" borderId="13" xfId="0" applyNumberFormat="1" applyFont="1" applyFill="1" applyBorder="1" applyAlignment="1">
      <alignment horizontal="center" shrinkToFit="1"/>
    </xf>
    <xf numFmtId="1" fontId="38" fillId="9" borderId="14" xfId="0" applyNumberFormat="1" applyFont="1" applyFill="1" applyBorder="1" applyAlignment="1">
      <alignment horizontal="center" shrinkToFit="1"/>
    </xf>
    <xf numFmtId="14" fontId="39" fillId="0" borderId="0" xfId="0" applyNumberFormat="1" applyFont="1"/>
    <xf numFmtId="0" fontId="39" fillId="0" borderId="0" xfId="0" applyFont="1"/>
    <xf numFmtId="164" fontId="40" fillId="15" borderId="12" xfId="0" applyNumberFormat="1" applyFont="1" applyFill="1" applyBorder="1" applyAlignment="1">
      <alignment horizontal="center"/>
    </xf>
    <xf numFmtId="164" fontId="40" fillId="15" borderId="16" xfId="0" applyNumberFormat="1" applyFont="1" applyFill="1" applyBorder="1" applyAlignment="1">
      <alignment horizontal="center"/>
    </xf>
    <xf numFmtId="1" fontId="34" fillId="9" borderId="16" xfId="0" applyNumberFormat="1" applyFont="1" applyFill="1" applyBorder="1" applyAlignment="1">
      <alignment horizontal="center" shrinkToFit="1"/>
    </xf>
    <xf numFmtId="1" fontId="34" fillId="9" borderId="21" xfId="0" applyNumberFormat="1" applyFont="1" applyFill="1" applyBorder="1" applyAlignment="1">
      <alignment horizontal="center" shrinkToFit="1"/>
    </xf>
    <xf numFmtId="0" fontId="41" fillId="16" borderId="17" xfId="0" applyFont="1" applyFill="1" applyBorder="1" applyAlignment="1">
      <alignment horizontal="center" vertical="center" wrapText="1"/>
    </xf>
    <xf numFmtId="164" fontId="41" fillId="16" borderId="16" xfId="0" applyNumberFormat="1" applyFont="1" applyFill="1" applyBorder="1" applyAlignment="1">
      <alignment horizontal="center"/>
    </xf>
    <xf numFmtId="0" fontId="41" fillId="16" borderId="15" xfId="0" applyFont="1" applyFill="1" applyBorder="1" applyAlignment="1">
      <alignment horizontal="center" vertical="center" wrapText="1"/>
    </xf>
    <xf numFmtId="0" fontId="42" fillId="16" borderId="15" xfId="0" applyFont="1" applyFill="1" applyBorder="1" applyAlignment="1">
      <alignment horizontal="center" vertical="center" wrapText="1"/>
    </xf>
    <xf numFmtId="164" fontId="41" fillId="16" borderId="19" xfId="0" applyNumberFormat="1" applyFont="1" applyFill="1" applyBorder="1" applyAlignment="1">
      <alignment horizontal="center"/>
    </xf>
    <xf numFmtId="0" fontId="41" fillId="16" borderId="16" xfId="0" applyFont="1" applyFill="1" applyBorder="1" applyAlignment="1">
      <alignment horizontal="center" vertical="center" wrapText="1"/>
    </xf>
    <xf numFmtId="0" fontId="41" fillId="16" borderId="20" xfId="0" applyFont="1" applyFill="1" applyBorder="1" applyAlignment="1">
      <alignment horizontal="center" vertical="center" wrapText="1"/>
    </xf>
    <xf numFmtId="0" fontId="42" fillId="15" borderId="12" xfId="0" applyFont="1" applyFill="1" applyBorder="1" applyAlignment="1">
      <alignment horizontal="center" vertical="center" wrapText="1"/>
    </xf>
    <xf numFmtId="0" fontId="42" fillId="15" borderId="15" xfId="0" applyFont="1" applyFill="1" applyBorder="1" applyAlignment="1">
      <alignment horizontal="center" vertical="center" wrapText="1"/>
    </xf>
    <xf numFmtId="0" fontId="42" fillId="15" borderId="16" xfId="0" applyFont="1" applyFill="1" applyBorder="1" applyAlignment="1">
      <alignment horizontal="center" vertical="center" wrapText="1"/>
    </xf>
    <xf numFmtId="1" fontId="0" fillId="0" borderId="0" xfId="0" applyNumberFormat="1"/>
    <xf numFmtId="0" fontId="41" fillId="16" borderId="22" xfId="0" applyFont="1" applyFill="1" applyBorder="1" applyAlignment="1">
      <alignment horizontal="center" vertical="center" wrapText="1"/>
    </xf>
    <xf numFmtId="164" fontId="41" fillId="16" borderId="12" xfId="0" applyNumberFormat="1" applyFont="1" applyFill="1" applyBorder="1" applyAlignment="1">
      <alignment horizontal="center"/>
    </xf>
    <xf numFmtId="1" fontId="35" fillId="15" borderId="23" xfId="0" applyNumberFormat="1" applyFont="1" applyFill="1" applyBorder="1" applyAlignment="1">
      <alignment horizontal="center" shrinkToFit="1"/>
    </xf>
    <xf numFmtId="1" fontId="34" fillId="9" borderId="12" xfId="0" applyNumberFormat="1" applyFont="1" applyFill="1" applyBorder="1" applyAlignment="1">
      <alignment horizontal="center" shrinkToFit="1"/>
    </xf>
    <xf numFmtId="0" fontId="41" fillId="16" borderId="24" xfId="0" applyFont="1" applyFill="1" applyBorder="1" applyAlignment="1">
      <alignment horizontal="center" vertical="center" wrapText="1"/>
    </xf>
    <xf numFmtId="164" fontId="41" fillId="16" borderId="21" xfId="0" applyNumberFormat="1" applyFont="1" applyFill="1" applyBorder="1" applyAlignment="1">
      <alignment horizontal="center"/>
    </xf>
    <xf numFmtId="0" fontId="37" fillId="9" borderId="25" xfId="0" applyFont="1" applyFill="1" applyBorder="1" applyAlignment="1">
      <alignment horizontal="center" vertical="center"/>
    </xf>
    <xf numFmtId="0" fontId="37" fillId="9" borderId="18" xfId="0" applyFont="1" applyFill="1" applyBorder="1" applyAlignment="1">
      <alignment horizontal="center" vertical="center"/>
    </xf>
    <xf numFmtId="0" fontId="37" fillId="14" borderId="18" xfId="0" applyFont="1" applyFill="1" applyBorder="1" applyAlignment="1">
      <alignment horizontal="center" vertical="center"/>
    </xf>
    <xf numFmtId="0" fontId="37" fillId="14" borderId="25" xfId="0" applyFont="1" applyFill="1" applyBorder="1" applyAlignment="1">
      <alignment horizontal="center" vertical="center"/>
    </xf>
    <xf numFmtId="1" fontId="38" fillId="9" borderId="12" xfId="0" applyNumberFormat="1" applyFont="1" applyFill="1" applyBorder="1" applyAlignment="1">
      <alignment horizontal="center" shrinkToFit="1"/>
    </xf>
    <xf numFmtId="0" fontId="42" fillId="15" borderId="24" xfId="0" applyFont="1" applyFill="1" applyBorder="1" applyAlignment="1">
      <alignment horizontal="center" vertical="center" wrapText="1"/>
    </xf>
    <xf numFmtId="164" fontId="40" fillId="15" borderId="21" xfId="0" applyNumberFormat="1" applyFont="1" applyFill="1" applyBorder="1" applyAlignment="1">
      <alignment horizontal="center"/>
    </xf>
    <xf numFmtId="1" fontId="35" fillId="15" borderId="26" xfId="0" applyNumberFormat="1" applyFont="1" applyFill="1" applyBorder="1" applyAlignment="1">
      <alignment horizontal="center" shrinkToFit="1"/>
    </xf>
    <xf numFmtId="1" fontId="38" fillId="9" borderId="27" xfId="0" applyNumberFormat="1" applyFont="1" applyFill="1" applyBorder="1" applyAlignment="1">
      <alignment horizontal="center" shrinkToFit="1"/>
    </xf>
    <xf numFmtId="0" fontId="0" fillId="11" borderId="1" xfId="0" applyFill="1" applyBorder="1"/>
    <xf numFmtId="0" fontId="31" fillId="9" borderId="28" xfId="0" applyFont="1" applyFill="1" applyBorder="1" applyAlignment="1">
      <alignment wrapText="1"/>
    </xf>
    <xf numFmtId="14" fontId="0" fillId="11" borderId="1" xfId="0" applyNumberFormat="1" applyFill="1" applyBorder="1" applyAlignment="1">
      <alignment horizontal="center" vertical="center"/>
    </xf>
    <xf numFmtId="49" fontId="0" fillId="11" borderId="1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30" fillId="17" borderId="0" xfId="0" applyFont="1" applyFill="1" applyBorder="1" applyAlignment="1">
      <alignment horizontal="center"/>
    </xf>
    <xf numFmtId="0" fontId="0" fillId="17" borderId="0" xfId="0" applyFill="1"/>
    <xf numFmtId="0" fontId="30" fillId="17" borderId="0" xfId="0" applyFont="1" applyFill="1" applyBorder="1" applyAlignment="1"/>
    <xf numFmtId="3" fontId="0" fillId="11" borderId="1" xfId="0" applyNumberFormat="1" applyFill="1" applyBorder="1"/>
    <xf numFmtId="0" fontId="0" fillId="11" borderId="1" xfId="0" applyFill="1" applyBorder="1" applyAlignment="1">
      <alignment horizontal="left"/>
    </xf>
    <xf numFmtId="0" fontId="0" fillId="11" borderId="0" xfId="0" applyFill="1"/>
    <xf numFmtId="0" fontId="0" fillId="11" borderId="1" xfId="0" applyFill="1" applyBorder="1" applyAlignment="1">
      <alignment horizontal="center" vertical="center"/>
    </xf>
    <xf numFmtId="165" fontId="30" fillId="9" borderId="0" xfId="0" applyNumberFormat="1" applyFont="1" applyFill="1" applyBorder="1" applyAlignment="1">
      <alignment horizontal="center"/>
    </xf>
    <xf numFmtId="0" fontId="43" fillId="11" borderId="1" xfId="0" applyFont="1" applyFill="1" applyBorder="1" applyAlignment="1">
      <alignment horizontal="center"/>
    </xf>
    <xf numFmtId="0" fontId="43" fillId="11" borderId="1" xfId="0" applyFont="1" applyFill="1" applyBorder="1" applyAlignment="1">
      <alignment horizontal="center" vertical="center"/>
    </xf>
    <xf numFmtId="3" fontId="0" fillId="11" borderId="8" xfId="0" applyNumberFormat="1" applyFill="1" applyBorder="1"/>
    <xf numFmtId="0" fontId="0" fillId="0" borderId="1" xfId="0" applyBorder="1"/>
    <xf numFmtId="166" fontId="31" fillId="9" borderId="1" xfId="0" applyNumberFormat="1" applyFont="1" applyFill="1" applyBorder="1" applyAlignment="1">
      <alignment wrapText="1"/>
    </xf>
    <xf numFmtId="166" fontId="31" fillId="9" borderId="2" xfId="0" applyNumberFormat="1" applyFont="1" applyFill="1" applyBorder="1" applyAlignment="1">
      <alignment wrapText="1"/>
    </xf>
    <xf numFmtId="166" fontId="32" fillId="9" borderId="1" xfId="0" applyNumberFormat="1" applyFont="1" applyFill="1" applyBorder="1" applyAlignment="1">
      <alignment wrapText="1"/>
    </xf>
    <xf numFmtId="166" fontId="31" fillId="9" borderId="4" xfId="0" applyNumberFormat="1" applyFont="1" applyFill="1" applyBorder="1" applyAlignment="1">
      <alignment wrapText="1"/>
    </xf>
    <xf numFmtId="0" fontId="30" fillId="17" borderId="0" xfId="0" applyFont="1" applyFill="1" applyBorder="1" applyAlignment="1">
      <alignment horizontal="left"/>
    </xf>
    <xf numFmtId="0" fontId="29" fillId="5" borderId="8" xfId="0" applyFont="1" applyFill="1" applyBorder="1" applyAlignment="1">
      <alignment horizontal="left" vertical="center"/>
    </xf>
    <xf numFmtId="0" fontId="30" fillId="17" borderId="0" xfId="0" applyFont="1" applyFill="1" applyBorder="1" applyAlignment="1">
      <alignment horizontal="center" vertical="center"/>
    </xf>
    <xf numFmtId="0" fontId="33" fillId="9" borderId="6" xfId="0" applyFont="1" applyFill="1" applyBorder="1" applyAlignment="1">
      <alignment horizontal="center" vertical="center" wrapText="1"/>
    </xf>
    <xf numFmtId="0" fontId="0" fillId="9" borderId="6" xfId="0" applyFont="1" applyFill="1" applyBorder="1" applyAlignment="1">
      <alignment horizontal="center" vertical="center" wrapText="1"/>
    </xf>
    <xf numFmtId="0" fontId="0" fillId="9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9" fillId="0" borderId="0" xfId="0" applyFont="1" applyAlignment="1">
      <alignment horizontal="left"/>
    </xf>
    <xf numFmtId="0" fontId="29" fillId="7" borderId="9" xfId="0" applyFont="1" applyFill="1" applyBorder="1" applyAlignment="1">
      <alignment horizontal="center" vertical="center"/>
    </xf>
    <xf numFmtId="0" fontId="29" fillId="5" borderId="30" xfId="0" applyFont="1" applyFill="1" applyBorder="1" applyAlignment="1">
      <alignment horizontal="left" vertical="center"/>
    </xf>
    <xf numFmtId="0" fontId="29" fillId="13" borderId="9" xfId="0" applyFont="1" applyFill="1" applyBorder="1" applyAlignment="1">
      <alignment horizontal="center" vertical="center"/>
    </xf>
    <xf numFmtId="0" fontId="29" fillId="13" borderId="9" xfId="0" applyFont="1" applyFill="1" applyBorder="1"/>
    <xf numFmtId="0" fontId="0" fillId="18" borderId="9" xfId="0" applyFill="1" applyBorder="1"/>
    <xf numFmtId="0" fontId="31" fillId="0" borderId="0" xfId="0" applyFont="1"/>
    <xf numFmtId="0" fontId="0" fillId="9" borderId="2" xfId="0" applyFont="1" applyFill="1" applyBorder="1" applyAlignment="1">
      <alignment horizontal="center" vertical="center" wrapText="1"/>
    </xf>
    <xf numFmtId="14" fontId="29" fillId="11" borderId="9" xfId="0" applyNumberFormat="1" applyFont="1" applyFill="1" applyBorder="1" applyAlignment="1">
      <alignment horizontal="left" vertical="center"/>
    </xf>
    <xf numFmtId="49" fontId="0" fillId="9" borderId="1" xfId="0" applyNumberFormat="1" applyFill="1" applyBorder="1" applyAlignment="1">
      <alignment horizontal="center"/>
    </xf>
    <xf numFmtId="49" fontId="30" fillId="17" borderId="0" xfId="0" applyNumberFormat="1" applyFont="1" applyFill="1" applyBorder="1" applyAlignment="1">
      <alignment horizontal="center"/>
    </xf>
    <xf numFmtId="49" fontId="0" fillId="0" borderId="0" xfId="0" applyNumberFormat="1"/>
    <xf numFmtId="49" fontId="0" fillId="19" borderId="0" xfId="0" applyNumberFormat="1" applyFill="1"/>
    <xf numFmtId="49" fontId="0" fillId="20" borderId="0" xfId="0" applyNumberFormat="1" applyFill="1"/>
    <xf numFmtId="0" fontId="0" fillId="0" borderId="0" xfId="0" applyFill="1"/>
    <xf numFmtId="49" fontId="0" fillId="21" borderId="0" xfId="0" applyNumberFormat="1" applyFill="1"/>
    <xf numFmtId="0" fontId="0" fillId="11" borderId="9" xfId="0" applyFill="1" applyBorder="1"/>
    <xf numFmtId="14" fontId="0" fillId="11" borderId="9" xfId="0" applyNumberFormat="1" applyFill="1" applyBorder="1" applyAlignment="1">
      <alignment horizontal="left" vertical="center"/>
    </xf>
    <xf numFmtId="0" fontId="43" fillId="11" borderId="1" xfId="0" applyFont="1" applyFill="1" applyBorder="1" applyAlignment="1">
      <alignment horizontal="left"/>
    </xf>
    <xf numFmtId="0" fontId="0" fillId="22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/>
    </xf>
    <xf numFmtId="0" fontId="35" fillId="22" borderId="1" xfId="0" applyFont="1" applyFill="1" applyBorder="1" applyAlignment="1">
      <alignment horizontal="center" vertical="center"/>
    </xf>
    <xf numFmtId="49" fontId="0" fillId="22" borderId="1" xfId="0" applyNumberFormat="1" applyFill="1" applyBorder="1" applyAlignment="1">
      <alignment horizontal="center"/>
    </xf>
    <xf numFmtId="14" fontId="0" fillId="22" borderId="1" xfId="0" applyNumberFormat="1" applyFill="1" applyBorder="1" applyAlignment="1">
      <alignment horizontal="center" vertical="center"/>
    </xf>
    <xf numFmtId="0" fontId="0" fillId="22" borderId="1" xfId="0" applyFill="1" applyBorder="1"/>
    <xf numFmtId="0" fontId="0" fillId="22" borderId="1" xfId="0" applyFill="1" applyBorder="1" applyAlignment="1">
      <alignment horizontal="left" wrapText="1"/>
    </xf>
    <xf numFmtId="14" fontId="0" fillId="22" borderId="9" xfId="0" applyNumberFormat="1" applyFill="1" applyBorder="1" applyAlignment="1">
      <alignment horizontal="left" vertical="center"/>
    </xf>
    <xf numFmtId="3" fontId="0" fillId="22" borderId="8" xfId="0" applyNumberFormat="1" applyFill="1" applyBorder="1"/>
    <xf numFmtId="0" fontId="28" fillId="11" borderId="1" xfId="0" applyFont="1" applyFill="1" applyBorder="1" applyAlignment="1">
      <alignment horizontal="left" wrapText="1"/>
    </xf>
    <xf numFmtId="49" fontId="0" fillId="23" borderId="0" xfId="0" applyNumberFormat="1" applyFill="1"/>
    <xf numFmtId="0" fontId="29" fillId="0" borderId="2" xfId="0" applyFont="1" applyFill="1" applyBorder="1" applyAlignment="1">
      <alignment horizontal="center" vertical="center" wrapText="1"/>
    </xf>
    <xf numFmtId="0" fontId="29" fillId="0" borderId="2" xfId="0" applyFont="1" applyFill="1" applyBorder="1" applyAlignment="1">
      <alignment horizontal="center" vertical="center"/>
    </xf>
    <xf numFmtId="49" fontId="29" fillId="0" borderId="2" xfId="0" applyNumberFormat="1" applyFont="1" applyFill="1" applyBorder="1" applyAlignment="1">
      <alignment horizontal="center" vertical="center"/>
    </xf>
    <xf numFmtId="0" fontId="29" fillId="0" borderId="9" xfId="0" applyFont="1" applyFill="1" applyBorder="1" applyAlignment="1">
      <alignment horizontal="center" vertical="center"/>
    </xf>
    <xf numFmtId="0" fontId="29" fillId="0" borderId="30" xfId="0" applyFont="1" applyFill="1" applyBorder="1" applyAlignment="1">
      <alignment horizontal="left" vertical="center"/>
    </xf>
    <xf numFmtId="0" fontId="29" fillId="0" borderId="9" xfId="0" applyFont="1" applyFill="1" applyBorder="1"/>
    <xf numFmtId="0" fontId="0" fillId="0" borderId="29" xfId="0" applyFill="1" applyBorder="1" applyAlignment="1">
      <alignment horizontal="center" wrapText="1"/>
    </xf>
    <xf numFmtId="0" fontId="0" fillId="0" borderId="8" xfId="0" applyFill="1" applyBorder="1" applyAlignment="1">
      <alignment horizontal="center" wrapText="1"/>
    </xf>
    <xf numFmtId="0" fontId="0" fillId="0" borderId="9" xfId="0" applyFill="1" applyBorder="1"/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0" fontId="43" fillId="13" borderId="1" xfId="0" applyFont="1" applyFill="1" applyBorder="1" applyAlignment="1">
      <alignment horizontal="center" vertical="center"/>
    </xf>
    <xf numFmtId="49" fontId="43" fillId="13" borderId="1" xfId="0" applyNumberFormat="1" applyFont="1" applyFill="1" applyBorder="1" applyAlignment="1">
      <alignment horizontal="center"/>
    </xf>
    <xf numFmtId="0" fontId="43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left" vertical="top"/>
    </xf>
    <xf numFmtId="0" fontId="0" fillId="13" borderId="1" xfId="0" applyFill="1" applyBorder="1"/>
    <xf numFmtId="14" fontId="0" fillId="13" borderId="1" xfId="0" applyNumberFormat="1" applyFill="1" applyBorder="1" applyAlignment="1">
      <alignment horizontal="left" vertical="center"/>
    </xf>
    <xf numFmtId="3" fontId="0" fillId="13" borderId="8" xfId="0" applyNumberFormat="1" applyFill="1" applyBorder="1"/>
    <xf numFmtId="0" fontId="0" fillId="24" borderId="1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/>
    </xf>
    <xf numFmtId="0" fontId="35" fillId="24" borderId="1" xfId="0" applyFont="1" applyFill="1" applyBorder="1" applyAlignment="1">
      <alignment horizontal="center" vertical="center"/>
    </xf>
    <xf numFmtId="14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14" fontId="0" fillId="25" borderId="1" xfId="0" applyNumberFormat="1" applyFill="1" applyBorder="1" applyAlignment="1">
      <alignment horizontal="center" vertical="center"/>
    </xf>
    <xf numFmtId="0" fontId="45" fillId="26" borderId="1" xfId="0" applyFont="1" applyFill="1" applyBorder="1" applyAlignment="1">
      <alignment horizontal="center" vertical="center"/>
    </xf>
    <xf numFmtId="0" fontId="45" fillId="26" borderId="1" xfId="0" applyFont="1" applyFill="1" applyBorder="1" applyAlignment="1">
      <alignment horizontal="center"/>
    </xf>
    <xf numFmtId="0" fontId="46" fillId="26" borderId="1" xfId="0" applyFont="1" applyFill="1" applyBorder="1" applyAlignment="1">
      <alignment horizontal="center" vertical="center"/>
    </xf>
    <xf numFmtId="49" fontId="45" fillId="26" borderId="1" xfId="0" applyNumberFormat="1" applyFont="1" applyFill="1" applyBorder="1" applyAlignment="1">
      <alignment horizontal="center"/>
    </xf>
    <xf numFmtId="14" fontId="45" fillId="26" borderId="1" xfId="0" applyNumberFormat="1" applyFont="1" applyFill="1" applyBorder="1" applyAlignment="1">
      <alignment horizontal="center" vertical="center"/>
    </xf>
    <xf numFmtId="0" fontId="45" fillId="26" borderId="1" xfId="0" applyNumberFormat="1" applyFont="1" applyFill="1" applyBorder="1" applyAlignment="1">
      <alignment horizontal="center"/>
    </xf>
    <xf numFmtId="3" fontId="45" fillId="26" borderId="8" xfId="0" applyNumberFormat="1" applyFont="1" applyFill="1" applyBorder="1" applyAlignment="1">
      <alignment horizontal="center"/>
    </xf>
    <xf numFmtId="14" fontId="27" fillId="11" borderId="9" xfId="0" applyNumberFormat="1" applyFont="1" applyFill="1" applyBorder="1" applyAlignment="1">
      <alignment horizontal="left" vertical="center"/>
    </xf>
    <xf numFmtId="49" fontId="36" fillId="9" borderId="0" xfId="0" applyNumberFormat="1" applyFont="1" applyFill="1"/>
    <xf numFmtId="0" fontId="0" fillId="27" borderId="1" xfId="0" applyFill="1" applyBorder="1" applyAlignment="1">
      <alignment horizontal="center" vertical="center"/>
    </xf>
    <xf numFmtId="0" fontId="0" fillId="27" borderId="1" xfId="0" applyFill="1" applyBorder="1" applyAlignment="1">
      <alignment horizontal="center"/>
    </xf>
    <xf numFmtId="49" fontId="0" fillId="27" borderId="1" xfId="0" applyNumberFormat="1" applyFill="1" applyBorder="1" applyAlignment="1">
      <alignment horizontal="center"/>
    </xf>
    <xf numFmtId="14" fontId="0" fillId="27" borderId="1" xfId="0" applyNumberFormat="1" applyFill="1" applyBorder="1" applyAlignment="1">
      <alignment horizontal="center" vertical="center"/>
    </xf>
    <xf numFmtId="0" fontId="0" fillId="27" borderId="1" xfId="0" applyFill="1" applyBorder="1"/>
    <xf numFmtId="3" fontId="0" fillId="27" borderId="8" xfId="0" applyNumberFormat="1" applyFill="1" applyBorder="1"/>
    <xf numFmtId="3" fontId="0" fillId="24" borderId="8" xfId="0" applyNumberFormat="1" applyFill="1" applyBorder="1"/>
    <xf numFmtId="0" fontId="29" fillId="2" borderId="9" xfId="0" applyFon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28" borderId="1" xfId="0" applyFill="1" applyBorder="1" applyAlignment="1">
      <alignment horizontal="center"/>
    </xf>
    <xf numFmtId="0" fontId="43" fillId="28" borderId="1" xfId="0" applyFont="1" applyFill="1" applyBorder="1" applyAlignment="1">
      <alignment horizontal="center" vertical="center"/>
    </xf>
    <xf numFmtId="0" fontId="43" fillId="28" borderId="1" xfId="0" applyFont="1" applyFill="1" applyBorder="1" applyAlignment="1">
      <alignment horizontal="center"/>
    </xf>
    <xf numFmtId="14" fontId="0" fillId="28" borderId="1" xfId="0" applyNumberFormat="1" applyFill="1" applyBorder="1" applyAlignment="1">
      <alignment horizontal="center" vertical="center"/>
    </xf>
    <xf numFmtId="0" fontId="43" fillId="28" borderId="1" xfId="0" applyFont="1" applyFill="1" applyBorder="1" applyAlignment="1">
      <alignment horizontal="left"/>
    </xf>
    <xf numFmtId="0" fontId="0" fillId="28" borderId="1" xfId="0" applyFill="1" applyBorder="1" applyAlignment="1">
      <alignment horizontal="left"/>
    </xf>
    <xf numFmtId="14" fontId="29" fillId="28" borderId="9" xfId="0" applyNumberFormat="1" applyFont="1" applyFill="1" applyBorder="1" applyAlignment="1">
      <alignment horizontal="left" vertical="center"/>
    </xf>
    <xf numFmtId="0" fontId="0" fillId="28" borderId="1" xfId="0" applyFill="1" applyBorder="1"/>
    <xf numFmtId="3" fontId="0" fillId="28" borderId="8" xfId="0" applyNumberFormat="1" applyFill="1" applyBorder="1"/>
    <xf numFmtId="49" fontId="43" fillId="11" borderId="1" xfId="0" applyNumberFormat="1" applyFont="1" applyFill="1" applyBorder="1" applyAlignment="1">
      <alignment horizontal="center"/>
    </xf>
    <xf numFmtId="0" fontId="0" fillId="11" borderId="1" xfId="0" applyFill="1" applyBorder="1" applyAlignment="1">
      <alignment wrapText="1"/>
    </xf>
    <xf numFmtId="0" fontId="0" fillId="11" borderId="1" xfId="0" applyFill="1" applyBorder="1" applyAlignment="1">
      <alignment horizontal="left" vertical="top"/>
    </xf>
    <xf numFmtId="14" fontId="0" fillId="11" borderId="1" xfId="0" applyNumberFormat="1" applyFill="1" applyBorder="1" applyAlignment="1">
      <alignment horizontal="left" vertical="center"/>
    </xf>
    <xf numFmtId="0" fontId="43" fillId="2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 vertical="top"/>
    </xf>
    <xf numFmtId="14" fontId="25" fillId="11" borderId="9" xfId="0" applyNumberFormat="1" applyFont="1" applyFill="1" applyBorder="1" applyAlignment="1">
      <alignment horizontal="left" vertical="center"/>
    </xf>
    <xf numFmtId="0" fontId="0" fillId="11" borderId="1" xfId="0" applyNumberFormat="1" applyFill="1" applyBorder="1" applyAlignment="1">
      <alignment horizontal="left" vertical="top"/>
    </xf>
    <xf numFmtId="0" fontId="0" fillId="11" borderId="1" xfId="0" applyFill="1" applyBorder="1" applyAlignment="1"/>
    <xf numFmtId="0" fontId="0" fillId="11" borderId="1" xfId="0" applyFill="1" applyBorder="1" applyAlignment="1">
      <alignment horizontal="left" wrapText="1"/>
    </xf>
    <xf numFmtId="14" fontId="24" fillId="11" borderId="9" xfId="0" applyNumberFormat="1" applyFont="1" applyFill="1" applyBorder="1" applyAlignment="1">
      <alignment horizontal="left" vertical="center"/>
    </xf>
    <xf numFmtId="14" fontId="43" fillId="11" borderId="1" xfId="0" applyNumberFormat="1" applyFont="1" applyFill="1" applyBorder="1" applyAlignment="1">
      <alignment horizontal="center"/>
    </xf>
    <xf numFmtId="0" fontId="0" fillId="11" borderId="1" xfId="0" applyFill="1" applyBorder="1" applyAlignment="1">
      <alignment horizontal="left" vertical="center"/>
    </xf>
    <xf numFmtId="0" fontId="0" fillId="11" borderId="1" xfId="0" applyFill="1" applyBorder="1" applyAlignment="1">
      <alignment horizontal="left" vertical="top" wrapText="1"/>
    </xf>
    <xf numFmtId="0" fontId="29" fillId="2" borderId="9" xfId="0" applyFont="1" applyFill="1" applyBorder="1" applyAlignment="1">
      <alignment horizontal="center" vertical="center"/>
    </xf>
    <xf numFmtId="0" fontId="29" fillId="8" borderId="2" xfId="0" applyFont="1" applyFill="1" applyBorder="1" applyAlignment="1">
      <alignment horizontal="center" vertical="center"/>
    </xf>
    <xf numFmtId="0" fontId="29" fillId="3" borderId="2" xfId="0" applyFont="1" applyFill="1" applyBorder="1" applyAlignment="1">
      <alignment horizontal="center" vertical="center"/>
    </xf>
    <xf numFmtId="0" fontId="29" fillId="4" borderId="2" xfId="0" applyFont="1" applyFill="1" applyBorder="1" applyAlignment="1">
      <alignment horizontal="center" vertical="center" wrapText="1"/>
    </xf>
    <xf numFmtId="0" fontId="0" fillId="10" borderId="29" xfId="0" applyFill="1" applyBorder="1" applyAlignment="1">
      <alignment horizontal="center" wrapText="1"/>
    </xf>
    <xf numFmtId="0" fontId="29" fillId="12" borderId="2" xfId="0" applyFont="1" applyFill="1" applyBorder="1" applyAlignment="1">
      <alignment horizontal="center" vertical="center" wrapText="1"/>
    </xf>
    <xf numFmtId="0" fontId="29" fillId="4" borderId="2" xfId="0" applyFont="1" applyFill="1" applyBorder="1" applyAlignment="1">
      <alignment horizontal="center" vertical="center"/>
    </xf>
    <xf numFmtId="0" fontId="29" fillId="2" borderId="9" xfId="0" applyFont="1" applyFill="1" applyBorder="1" applyAlignment="1">
      <alignment horizontal="center" vertical="center"/>
    </xf>
    <xf numFmtId="0" fontId="29" fillId="2" borderId="2" xfId="0" applyFont="1" applyFill="1" applyBorder="1" applyAlignment="1">
      <alignment horizontal="center" vertical="center"/>
    </xf>
    <xf numFmtId="0" fontId="29" fillId="5" borderId="2" xfId="0" applyFont="1" applyFill="1" applyBorder="1" applyAlignment="1">
      <alignment horizontal="center" vertical="center"/>
    </xf>
    <xf numFmtId="49" fontId="29" fillId="6" borderId="2" xfId="0" applyNumberFormat="1" applyFont="1" applyFill="1" applyBorder="1" applyAlignment="1">
      <alignment horizontal="center" vertical="center"/>
    </xf>
    <xf numFmtId="0" fontId="0" fillId="15" borderId="8" xfId="0" applyFill="1" applyBorder="1" applyAlignment="1">
      <alignment horizontal="center" wrapText="1"/>
    </xf>
    <xf numFmtId="14" fontId="23" fillId="11" borderId="9" xfId="0" applyNumberFormat="1" applyFont="1" applyFill="1" applyBorder="1" applyAlignment="1">
      <alignment horizontal="left" vertical="center"/>
    </xf>
    <xf numFmtId="14" fontId="22" fillId="11" borderId="9" xfId="0" applyNumberFormat="1" applyFont="1" applyFill="1" applyBorder="1" applyAlignment="1">
      <alignment horizontal="left" vertical="center"/>
    </xf>
    <xf numFmtId="14" fontId="22" fillId="11" borderId="1" xfId="0" applyNumberFormat="1" applyFont="1" applyFill="1" applyBorder="1" applyAlignment="1">
      <alignment horizontal="left" vertical="center"/>
    </xf>
    <xf numFmtId="14" fontId="29" fillId="11" borderId="1" xfId="0" applyNumberFormat="1" applyFont="1" applyFill="1" applyBorder="1" applyAlignment="1">
      <alignment horizontal="left" vertical="center"/>
    </xf>
    <xf numFmtId="14" fontId="21" fillId="11" borderId="9" xfId="0" applyNumberFormat="1" applyFont="1" applyFill="1" applyBorder="1" applyAlignment="1">
      <alignment horizontal="left" vertical="center"/>
    </xf>
    <xf numFmtId="0" fontId="0" fillId="25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/>
    </xf>
    <xf numFmtId="0" fontId="43" fillId="25" borderId="1" xfId="0" applyFont="1" applyFill="1" applyBorder="1" applyAlignment="1">
      <alignment horizontal="center" vertical="center"/>
    </xf>
    <xf numFmtId="49" fontId="43" fillId="25" borderId="1" xfId="0" applyNumberFormat="1" applyFont="1" applyFill="1" applyBorder="1" applyAlignment="1">
      <alignment horizontal="center"/>
    </xf>
    <xf numFmtId="0" fontId="43" fillId="25" borderId="1" xfId="0" applyFont="1" applyFill="1" applyBorder="1" applyAlignment="1">
      <alignment horizontal="center"/>
    </xf>
    <xf numFmtId="14" fontId="43" fillId="25" borderId="1" xfId="0" applyNumberFormat="1" applyFont="1" applyFill="1" applyBorder="1" applyAlignment="1">
      <alignment horizontal="center"/>
    </xf>
    <xf numFmtId="0" fontId="0" fillId="25" borderId="1" xfId="0" applyFill="1" applyBorder="1" applyAlignment="1">
      <alignment horizontal="left" vertical="top" wrapText="1"/>
    </xf>
    <xf numFmtId="0" fontId="0" fillId="25" borderId="1" xfId="0" applyFill="1" applyBorder="1"/>
    <xf numFmtId="14" fontId="0" fillId="25" borderId="9" xfId="0" applyNumberFormat="1" applyFill="1" applyBorder="1" applyAlignment="1">
      <alignment horizontal="left" vertical="center"/>
    </xf>
    <xf numFmtId="3" fontId="0" fillId="25" borderId="8" xfId="0" applyNumberFormat="1" applyFill="1" applyBorder="1"/>
    <xf numFmtId="14" fontId="20" fillId="11" borderId="9" xfId="0" applyNumberFormat="1" applyFont="1" applyFill="1" applyBorder="1" applyAlignment="1">
      <alignment horizontal="left" vertical="center"/>
    </xf>
    <xf numFmtId="0" fontId="43" fillId="25" borderId="1" xfId="0" applyNumberFormat="1" applyFont="1" applyFill="1" applyBorder="1" applyAlignment="1">
      <alignment horizontal="center"/>
    </xf>
    <xf numFmtId="0" fontId="29" fillId="11" borderId="1" xfId="0" applyFont="1" applyFill="1" applyBorder="1" applyAlignment="1">
      <alignment horizontal="center" vertical="center"/>
    </xf>
    <xf numFmtId="0" fontId="43" fillId="27" borderId="1" xfId="0" applyFont="1" applyFill="1" applyBorder="1" applyAlignment="1">
      <alignment horizontal="center" vertical="center"/>
    </xf>
    <xf numFmtId="0" fontId="43" fillId="27" borderId="1" xfId="0" applyFont="1" applyFill="1" applyBorder="1" applyAlignment="1">
      <alignment horizontal="center"/>
    </xf>
    <xf numFmtId="0" fontId="0" fillId="27" borderId="1" xfId="0" applyNumberFormat="1" applyFill="1" applyBorder="1" applyAlignment="1">
      <alignment horizontal="left" vertical="top"/>
    </xf>
    <xf numFmtId="0" fontId="0" fillId="27" borderId="1" xfId="0" applyFill="1" applyBorder="1" applyAlignment="1"/>
    <xf numFmtId="14" fontId="29" fillId="27" borderId="9" xfId="0" applyNumberFormat="1" applyFont="1" applyFill="1" applyBorder="1" applyAlignment="1">
      <alignment horizontal="left" vertical="center"/>
    </xf>
    <xf numFmtId="0" fontId="0" fillId="19" borderId="1" xfId="0" applyFill="1" applyBorder="1"/>
    <xf numFmtId="14" fontId="18" fillId="11" borderId="9" xfId="0" applyNumberFormat="1" applyFont="1" applyFill="1" applyBorder="1" applyAlignment="1">
      <alignment horizontal="left" vertical="center"/>
    </xf>
    <xf numFmtId="14" fontId="17" fillId="11" borderId="9" xfId="0" applyNumberFormat="1" applyFont="1" applyFill="1" applyBorder="1" applyAlignment="1">
      <alignment horizontal="left" vertical="center"/>
    </xf>
    <xf numFmtId="14" fontId="16" fillId="11" borderId="9" xfId="0" applyNumberFormat="1" applyFont="1" applyFill="1" applyBorder="1" applyAlignment="1">
      <alignment horizontal="left" vertical="center"/>
    </xf>
    <xf numFmtId="0" fontId="29" fillId="2" borderId="9" xfId="0" applyFont="1" applyFill="1" applyBorder="1" applyAlignment="1">
      <alignment horizontal="center" vertical="center"/>
    </xf>
    <xf numFmtId="14" fontId="14" fillId="11" borderId="9" xfId="0" applyNumberFormat="1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0" fillId="29" borderId="1" xfId="0" applyFill="1" applyBorder="1" applyAlignment="1">
      <alignment horizontal="center"/>
    </xf>
    <xf numFmtId="0" fontId="35" fillId="29" borderId="1" xfId="0" applyFont="1" applyFill="1" applyBorder="1" applyAlignment="1">
      <alignment horizontal="center" vertical="center"/>
    </xf>
    <xf numFmtId="49" fontId="0" fillId="29" borderId="1" xfId="0" applyNumberFormat="1" applyFill="1" applyBorder="1" applyAlignment="1">
      <alignment horizontal="center"/>
    </xf>
    <xf numFmtId="0" fontId="43" fillId="29" borderId="1" xfId="0" applyFont="1" applyFill="1" applyBorder="1" applyAlignment="1">
      <alignment horizontal="center"/>
    </xf>
    <xf numFmtId="14" fontId="0" fillId="29" borderId="1" xfId="0" applyNumberFormat="1" applyFill="1" applyBorder="1" applyAlignment="1">
      <alignment horizontal="center" vertical="center"/>
    </xf>
    <xf numFmtId="0" fontId="43" fillId="29" borderId="1" xfId="0" applyFont="1" applyFill="1" applyBorder="1" applyAlignment="1">
      <alignment horizontal="left"/>
    </xf>
    <xf numFmtId="0" fontId="0" fillId="29" borderId="1" xfId="0" applyFill="1" applyBorder="1" applyAlignment="1">
      <alignment horizontal="left"/>
    </xf>
    <xf numFmtId="14" fontId="29" fillId="29" borderId="9" xfId="0" applyNumberFormat="1" applyFont="1" applyFill="1" applyBorder="1" applyAlignment="1">
      <alignment horizontal="left" vertical="center"/>
    </xf>
    <xf numFmtId="0" fontId="0" fillId="29" borderId="1" xfId="0" applyFill="1" applyBorder="1"/>
    <xf numFmtId="3" fontId="0" fillId="29" borderId="8" xfId="0" applyNumberFormat="1" applyFill="1" applyBorder="1"/>
    <xf numFmtId="14" fontId="0" fillId="29" borderId="9" xfId="0" applyNumberFormat="1" applyFill="1" applyBorder="1" applyAlignment="1">
      <alignment horizontal="left" vertical="center"/>
    </xf>
    <xf numFmtId="14" fontId="12" fillId="11" borderId="9" xfId="0" applyNumberFormat="1" applyFont="1" applyFill="1" applyBorder="1" applyAlignment="1">
      <alignment horizontal="left" vertical="center"/>
    </xf>
    <xf numFmtId="0" fontId="11" fillId="11" borderId="1" xfId="0" applyFont="1" applyFill="1" applyBorder="1" applyAlignment="1">
      <alignment horizontal="left" wrapText="1"/>
    </xf>
    <xf numFmtId="0" fontId="19" fillId="11" borderId="1" xfId="0" applyFont="1" applyFill="1" applyBorder="1" applyAlignment="1">
      <alignment horizontal="left" wrapText="1"/>
    </xf>
    <xf numFmtId="0" fontId="0" fillId="30" borderId="1" xfId="0" applyFill="1" applyBorder="1" applyAlignment="1">
      <alignment horizontal="center" vertical="center"/>
    </xf>
    <xf numFmtId="0" fontId="0" fillId="30" borderId="1" xfId="0" applyFill="1" applyBorder="1" applyAlignment="1">
      <alignment horizontal="center"/>
    </xf>
    <xf numFmtId="0" fontId="35" fillId="30" borderId="1" xfId="0" applyFont="1" applyFill="1" applyBorder="1" applyAlignment="1">
      <alignment horizontal="center" vertical="center"/>
    </xf>
    <xf numFmtId="49" fontId="0" fillId="30" borderId="1" xfId="0" applyNumberFormat="1" applyFill="1" applyBorder="1" applyAlignment="1">
      <alignment horizontal="center"/>
    </xf>
    <xf numFmtId="14" fontId="0" fillId="30" borderId="1" xfId="0" applyNumberFormat="1" applyFill="1" applyBorder="1" applyAlignment="1">
      <alignment horizontal="center" vertical="center"/>
    </xf>
    <xf numFmtId="0" fontId="0" fillId="30" borderId="1" xfId="0" applyFill="1" applyBorder="1"/>
    <xf numFmtId="14" fontId="0" fillId="30" borderId="9" xfId="0" applyNumberFormat="1" applyFill="1" applyBorder="1" applyAlignment="1">
      <alignment horizontal="left" vertical="center"/>
    </xf>
    <xf numFmtId="0" fontId="43" fillId="30" borderId="1" xfId="0" applyFont="1" applyFill="1" applyBorder="1" applyAlignment="1">
      <alignment horizontal="center"/>
    </xf>
    <xf numFmtId="3" fontId="0" fillId="30" borderId="8" xfId="0" applyNumberFormat="1" applyFill="1" applyBorder="1"/>
    <xf numFmtId="3" fontId="45" fillId="0" borderId="0" xfId="0" applyNumberFormat="1" applyFont="1"/>
    <xf numFmtId="49" fontId="0" fillId="29" borderId="0" xfId="0" applyNumberFormat="1" applyFill="1"/>
    <xf numFmtId="0" fontId="29" fillId="29" borderId="1" xfId="0" applyFont="1" applyFill="1" applyBorder="1"/>
    <xf numFmtId="14" fontId="9" fillId="11" borderId="9" xfId="0" applyNumberFormat="1" applyFont="1" applyFill="1" applyBorder="1" applyAlignment="1">
      <alignment horizontal="left" vertical="center"/>
    </xf>
    <xf numFmtId="14" fontId="0" fillId="11" borderId="1" xfId="0" applyNumberFormat="1" applyFill="1" applyBorder="1" applyAlignment="1">
      <alignment horizontal="center"/>
    </xf>
    <xf numFmtId="49" fontId="0" fillId="25" borderId="1" xfId="0" applyNumberFormat="1" applyFill="1" applyBorder="1" applyAlignment="1">
      <alignment horizontal="center"/>
    </xf>
    <xf numFmtId="0" fontId="43" fillId="25" borderId="1" xfId="0" applyFont="1" applyFill="1" applyBorder="1" applyAlignment="1">
      <alignment horizontal="left"/>
    </xf>
    <xf numFmtId="0" fontId="0" fillId="25" borderId="1" xfId="0" applyFill="1" applyBorder="1" applyAlignment="1">
      <alignment horizontal="left"/>
    </xf>
    <xf numFmtId="14" fontId="29" fillId="25" borderId="9" xfId="0" applyNumberFormat="1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left" wrapText="1"/>
    </xf>
    <xf numFmtId="0" fontId="15" fillId="11" borderId="1" xfId="0" applyFont="1" applyFill="1" applyBorder="1" applyAlignment="1">
      <alignment horizontal="left" wrapText="1"/>
    </xf>
    <xf numFmtId="0" fontId="13" fillId="11" borderId="1" xfId="0" applyFont="1" applyFill="1" applyBorder="1" applyAlignment="1">
      <alignment horizontal="left" wrapText="1"/>
    </xf>
    <xf numFmtId="14" fontId="43" fillId="11" borderId="1" xfId="0" applyNumberFormat="1" applyFont="1" applyFill="1" applyBorder="1" applyAlignment="1">
      <alignment horizontal="center" vertical="center"/>
    </xf>
    <xf numFmtId="14" fontId="43" fillId="11" borderId="9" xfId="0" applyNumberFormat="1" applyFont="1" applyFill="1" applyBorder="1" applyAlignment="1">
      <alignment horizontal="left" vertical="center" wrapText="1"/>
    </xf>
    <xf numFmtId="14" fontId="47" fillId="11" borderId="9" xfId="0" applyNumberFormat="1" applyFont="1" applyFill="1" applyBorder="1" applyAlignment="1">
      <alignment horizontal="left" vertical="center"/>
    </xf>
    <xf numFmtId="0" fontId="43" fillId="11" borderId="1" xfId="0" applyFont="1" applyFill="1" applyBorder="1"/>
    <xf numFmtId="3" fontId="43" fillId="11" borderId="8" xfId="0" applyNumberFormat="1" applyFont="1" applyFill="1" applyBorder="1"/>
    <xf numFmtId="0" fontId="29" fillId="11" borderId="1" xfId="0" applyFont="1" applyFill="1" applyBorder="1"/>
    <xf numFmtId="0" fontId="0" fillId="31" borderId="1" xfId="0" applyFill="1" applyBorder="1" applyAlignment="1">
      <alignment horizontal="center" vertical="center"/>
    </xf>
    <xf numFmtId="14" fontId="0" fillId="31" borderId="1" xfId="0" applyNumberFormat="1" applyFill="1" applyBorder="1" applyAlignment="1">
      <alignment horizontal="center" vertical="center"/>
    </xf>
    <xf numFmtId="0" fontId="0" fillId="32" borderId="1" xfId="0" applyFill="1" applyBorder="1" applyAlignment="1">
      <alignment horizontal="center" vertical="center"/>
    </xf>
    <xf numFmtId="0" fontId="0" fillId="32" borderId="1" xfId="0" applyFill="1" applyBorder="1" applyAlignment="1">
      <alignment horizontal="center"/>
    </xf>
    <xf numFmtId="0" fontId="35" fillId="32" borderId="1" xfId="0" applyFont="1" applyFill="1" applyBorder="1" applyAlignment="1">
      <alignment horizontal="center" vertical="center"/>
    </xf>
    <xf numFmtId="49" fontId="0" fillId="32" borderId="1" xfId="0" applyNumberFormat="1" applyFill="1" applyBorder="1" applyAlignment="1">
      <alignment horizontal="center"/>
    </xf>
    <xf numFmtId="14" fontId="0" fillId="32" borderId="1" xfId="0" applyNumberFormat="1" applyFill="1" applyBorder="1" applyAlignment="1">
      <alignment horizontal="center" vertical="center"/>
    </xf>
    <xf numFmtId="0" fontId="0" fillId="32" borderId="1" xfId="0" applyFill="1" applyBorder="1"/>
    <xf numFmtId="0" fontId="0" fillId="32" borderId="1" xfId="0" applyFill="1" applyBorder="1" applyAlignment="1">
      <alignment horizontal="left" wrapText="1"/>
    </xf>
    <xf numFmtId="14" fontId="0" fillId="32" borderId="9" xfId="0" applyNumberFormat="1" applyFill="1" applyBorder="1" applyAlignment="1">
      <alignment horizontal="left" vertical="center"/>
    </xf>
    <xf numFmtId="3" fontId="0" fillId="32" borderId="8" xfId="0" applyNumberFormat="1" applyFill="1" applyBorder="1"/>
    <xf numFmtId="0" fontId="0" fillId="11" borderId="9" xfId="0" applyNumberFormat="1" applyFill="1" applyBorder="1"/>
    <xf numFmtId="0" fontId="0" fillId="11" borderId="1" xfId="0" applyNumberFormat="1" applyFill="1" applyBorder="1" applyAlignment="1">
      <alignment horizontal="left" vertical="center"/>
    </xf>
    <xf numFmtId="0" fontId="26" fillId="28" borderId="9" xfId="0" applyNumberFormat="1" applyFont="1" applyFill="1" applyBorder="1" applyAlignment="1">
      <alignment horizontal="left" vertical="center"/>
    </xf>
    <xf numFmtId="0" fontId="0" fillId="22" borderId="1" xfId="0" applyNumberFormat="1" applyFill="1" applyBorder="1"/>
    <xf numFmtId="0" fontId="0" fillId="32" borderId="1" xfId="0" applyNumberFormat="1" applyFill="1" applyBorder="1"/>
    <xf numFmtId="0" fontId="0" fillId="11" borderId="1" xfId="0" applyNumberFormat="1" applyFill="1" applyBorder="1"/>
    <xf numFmtId="0" fontId="0" fillId="25" borderId="1" xfId="0" applyNumberFormat="1" applyFill="1" applyBorder="1" applyAlignment="1">
      <alignment horizontal="center" vertical="center"/>
    </xf>
    <xf numFmtId="0" fontId="0" fillId="11" borderId="9" xfId="0" applyNumberFormat="1" applyFill="1" applyBorder="1" applyAlignment="1">
      <alignment horizontal="center"/>
    </xf>
    <xf numFmtId="0" fontId="0" fillId="13" borderId="1" xfId="0" applyNumberFormat="1" applyFill="1" applyBorder="1" applyAlignment="1">
      <alignment horizontal="center" vertical="center"/>
    </xf>
    <xf numFmtId="0" fontId="0" fillId="24" borderId="1" xfId="0" applyNumberFormat="1" applyFill="1" applyBorder="1" applyAlignment="1">
      <alignment horizontal="center" vertical="center"/>
    </xf>
    <xf numFmtId="0" fontId="0" fillId="11" borderId="1" xfId="0" applyNumberFormat="1" applyFill="1" applyBorder="1" applyAlignment="1">
      <alignment horizontal="center" vertical="center"/>
    </xf>
    <xf numFmtId="0" fontId="7" fillId="29" borderId="9" xfId="0" applyNumberFormat="1" applyFont="1" applyFill="1" applyBorder="1" applyAlignment="1">
      <alignment horizontal="left" vertical="center"/>
    </xf>
    <xf numFmtId="14" fontId="29" fillId="11" borderId="1" xfId="0" applyNumberFormat="1" applyFont="1" applyFill="1" applyBorder="1" applyAlignment="1">
      <alignment horizontal="center" vertical="center"/>
    </xf>
    <xf numFmtId="14" fontId="8" fillId="11" borderId="9" xfId="0" applyNumberFormat="1" applyFont="1" applyFill="1" applyBorder="1" applyAlignment="1">
      <alignment horizontal="left" vertical="center"/>
    </xf>
    <xf numFmtId="0" fontId="7" fillId="11" borderId="9" xfId="0" applyNumberFormat="1" applyFont="1" applyFill="1" applyBorder="1" applyAlignment="1">
      <alignment horizontal="left" vertical="center"/>
    </xf>
    <xf numFmtId="0" fontId="43" fillId="11" borderId="1" xfId="0" applyFont="1" applyFill="1" applyBorder="1" applyAlignment="1">
      <alignment horizontal="left" wrapText="1"/>
    </xf>
    <xf numFmtId="0" fontId="29" fillId="2" borderId="9" xfId="0" applyFont="1" applyFill="1" applyBorder="1" applyAlignment="1">
      <alignment horizontal="center" vertical="center"/>
    </xf>
    <xf numFmtId="0" fontId="6" fillId="11" borderId="9" xfId="0" applyNumberFormat="1" applyFont="1" applyFill="1" applyBorder="1" applyAlignment="1">
      <alignment horizontal="left" vertical="center"/>
    </xf>
    <xf numFmtId="0" fontId="0" fillId="11" borderId="9" xfId="0" applyNumberFormat="1" applyFill="1" applyBorder="1" applyAlignment="1">
      <alignment horizontal="left"/>
    </xf>
    <xf numFmtId="14" fontId="20" fillId="30" borderId="9" xfId="0" applyNumberFormat="1" applyFont="1" applyFill="1" applyBorder="1" applyAlignment="1">
      <alignment horizontal="left" vertical="center"/>
    </xf>
    <xf numFmtId="0" fontId="43" fillId="30" borderId="1" xfId="0" applyFont="1" applyFill="1" applyBorder="1" applyAlignment="1">
      <alignment horizontal="left"/>
    </xf>
    <xf numFmtId="0" fontId="0" fillId="30" borderId="1" xfId="0" applyFill="1" applyBorder="1" applyAlignment="1">
      <alignment horizontal="left"/>
    </xf>
    <xf numFmtId="0" fontId="0" fillId="31" borderId="1" xfId="0" applyFill="1" applyBorder="1" applyAlignment="1">
      <alignment horizontal="center"/>
    </xf>
    <xf numFmtId="0" fontId="43" fillId="31" borderId="1" xfId="0" applyFont="1" applyFill="1" applyBorder="1" applyAlignment="1">
      <alignment horizontal="center" vertical="center"/>
    </xf>
    <xf numFmtId="49" fontId="0" fillId="31" borderId="1" xfId="0" applyNumberFormat="1" applyFill="1" applyBorder="1" applyAlignment="1">
      <alignment horizontal="center"/>
    </xf>
    <xf numFmtId="0" fontId="43" fillId="31" borderId="1" xfId="0" applyFont="1" applyFill="1" applyBorder="1" applyAlignment="1">
      <alignment horizontal="center"/>
    </xf>
    <xf numFmtId="0" fontId="0" fillId="31" borderId="1" xfId="0" applyNumberFormat="1" applyFill="1" applyBorder="1" applyAlignment="1">
      <alignment horizontal="left" vertical="top"/>
    </xf>
    <xf numFmtId="0" fontId="0" fillId="31" borderId="1" xfId="0" applyFill="1" applyBorder="1" applyAlignment="1"/>
    <xf numFmtId="14" fontId="29" fillId="31" borderId="9" xfId="0" applyNumberFormat="1" applyFont="1" applyFill="1" applyBorder="1" applyAlignment="1">
      <alignment horizontal="left" vertical="center"/>
    </xf>
    <xf numFmtId="0" fontId="0" fillId="31" borderId="1" xfId="0" applyFill="1" applyBorder="1"/>
    <xf numFmtId="3" fontId="0" fillId="31" borderId="8" xfId="0" applyNumberFormat="1" applyFill="1" applyBorder="1"/>
    <xf numFmtId="0" fontId="5" fillId="11" borderId="9" xfId="0" applyNumberFormat="1" applyFont="1" applyFill="1" applyBorder="1" applyAlignment="1">
      <alignment horizontal="left" vertical="center"/>
    </xf>
    <xf numFmtId="0" fontId="43" fillId="33" borderId="1" xfId="0" applyFont="1" applyFill="1" applyBorder="1" applyAlignment="1">
      <alignment horizontal="center" vertical="center"/>
    </xf>
    <xf numFmtId="0" fontId="43" fillId="33" borderId="1" xfId="0" applyFont="1" applyFill="1" applyBorder="1" applyAlignment="1">
      <alignment horizontal="center"/>
    </xf>
    <xf numFmtId="49" fontId="43" fillId="33" borderId="1" xfId="0" applyNumberFormat="1" applyFont="1" applyFill="1" applyBorder="1" applyAlignment="1">
      <alignment horizontal="center"/>
    </xf>
    <xf numFmtId="14" fontId="43" fillId="33" borderId="1" xfId="0" applyNumberFormat="1" applyFont="1" applyFill="1" applyBorder="1" applyAlignment="1">
      <alignment horizontal="center" vertical="center"/>
    </xf>
    <xf numFmtId="14" fontId="43" fillId="33" borderId="9" xfId="0" applyNumberFormat="1" applyFont="1" applyFill="1" applyBorder="1" applyAlignment="1">
      <alignment horizontal="left" vertical="center" wrapText="1"/>
    </xf>
    <xf numFmtId="0" fontId="43" fillId="33" borderId="1" xfId="0" applyFont="1" applyFill="1" applyBorder="1" applyAlignment="1">
      <alignment horizontal="left"/>
    </xf>
    <xf numFmtId="14" fontId="47" fillId="33" borderId="9" xfId="0" applyNumberFormat="1" applyFont="1" applyFill="1" applyBorder="1" applyAlignment="1">
      <alignment horizontal="left" vertical="center"/>
    </xf>
    <xf numFmtId="0" fontId="43" fillId="33" borderId="1" xfId="0" applyFont="1" applyFill="1" applyBorder="1"/>
    <xf numFmtId="3" fontId="43" fillId="33" borderId="8" xfId="0" applyNumberFormat="1" applyFont="1" applyFill="1" applyBorder="1"/>
    <xf numFmtId="0" fontId="0" fillId="15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/>
    </xf>
    <xf numFmtId="0" fontId="35" fillId="15" borderId="1" xfId="0" applyFont="1" applyFill="1" applyBorder="1" applyAlignment="1">
      <alignment horizontal="center" vertical="center"/>
    </xf>
    <xf numFmtId="49" fontId="0" fillId="15" borderId="1" xfId="0" applyNumberFormat="1" applyFill="1" applyBorder="1" applyAlignment="1">
      <alignment horizontal="center"/>
    </xf>
    <xf numFmtId="14" fontId="0" fillId="15" borderId="1" xfId="0" applyNumberFormat="1" applyFill="1" applyBorder="1" applyAlignment="1">
      <alignment horizontal="center" vertical="center"/>
    </xf>
    <xf numFmtId="0" fontId="0" fillId="15" borderId="9" xfId="0" applyNumberFormat="1" applyFill="1" applyBorder="1"/>
    <xf numFmtId="0" fontId="28" fillId="15" borderId="1" xfId="0" applyFont="1" applyFill="1" applyBorder="1" applyAlignment="1">
      <alignment horizontal="left" wrapText="1"/>
    </xf>
    <xf numFmtId="0" fontId="0" fillId="15" borderId="1" xfId="0" applyFill="1" applyBorder="1"/>
    <xf numFmtId="14" fontId="0" fillId="15" borderId="9" xfId="0" applyNumberFormat="1" applyFill="1" applyBorder="1" applyAlignment="1">
      <alignment horizontal="left" vertical="center"/>
    </xf>
    <xf numFmtId="0" fontId="43" fillId="15" borderId="1" xfId="0" applyFont="1" applyFill="1" applyBorder="1" applyAlignment="1">
      <alignment horizontal="center"/>
    </xf>
    <xf numFmtId="3" fontId="0" fillId="15" borderId="8" xfId="0" applyNumberFormat="1" applyFill="1" applyBorder="1"/>
    <xf numFmtId="0" fontId="3" fillId="11" borderId="9" xfId="0" applyNumberFormat="1" applyFont="1" applyFill="1" applyBorder="1" applyAlignment="1">
      <alignment horizontal="left" vertical="center"/>
    </xf>
    <xf numFmtId="0" fontId="0" fillId="11" borderId="9" xfId="0" applyNumberFormat="1" applyFill="1" applyBorder="1" applyAlignment="1">
      <alignment wrapText="1"/>
    </xf>
    <xf numFmtId="0" fontId="0" fillId="34" borderId="1" xfId="0" applyFill="1" applyBorder="1" applyAlignment="1">
      <alignment horizontal="center" vertical="center"/>
    </xf>
    <xf numFmtId="0" fontId="0" fillId="34" borderId="1" xfId="0" applyFill="1" applyBorder="1" applyAlignment="1">
      <alignment horizontal="center"/>
    </xf>
    <xf numFmtId="0" fontId="35" fillId="34" borderId="1" xfId="0" applyFont="1" applyFill="1" applyBorder="1" applyAlignment="1">
      <alignment horizontal="center" vertical="center"/>
    </xf>
    <xf numFmtId="49" fontId="0" fillId="34" borderId="1" xfId="0" applyNumberFormat="1" applyFill="1" applyBorder="1" applyAlignment="1">
      <alignment horizontal="center"/>
    </xf>
    <xf numFmtId="0" fontId="43" fillId="34" borderId="1" xfId="0" applyFont="1" applyFill="1" applyBorder="1" applyAlignment="1">
      <alignment horizontal="center"/>
    </xf>
    <xf numFmtId="14" fontId="0" fillId="34" borderId="1" xfId="0" applyNumberFormat="1" applyFill="1" applyBorder="1" applyAlignment="1">
      <alignment horizontal="center" vertical="center"/>
    </xf>
    <xf numFmtId="0" fontId="7" fillId="34" borderId="9" xfId="0" applyNumberFormat="1" applyFont="1" applyFill="1" applyBorder="1" applyAlignment="1">
      <alignment horizontal="left" vertical="center"/>
    </xf>
    <xf numFmtId="0" fontId="43" fillId="34" borderId="1" xfId="0" applyFont="1" applyFill="1" applyBorder="1" applyAlignment="1">
      <alignment horizontal="left"/>
    </xf>
    <xf numFmtId="0" fontId="0" fillId="34" borderId="1" xfId="0" applyFill="1" applyBorder="1" applyAlignment="1">
      <alignment horizontal="left"/>
    </xf>
    <xf numFmtId="14" fontId="0" fillId="34" borderId="9" xfId="0" applyNumberFormat="1" applyFill="1" applyBorder="1" applyAlignment="1">
      <alignment horizontal="left" vertical="center"/>
    </xf>
    <xf numFmtId="0" fontId="0" fillId="34" borderId="1" xfId="0" applyFill="1" applyBorder="1"/>
    <xf numFmtId="3" fontId="0" fillId="34" borderId="8" xfId="0" applyNumberFormat="1" applyFill="1" applyBorder="1"/>
    <xf numFmtId="0" fontId="3" fillId="25" borderId="9" xfId="0" applyNumberFormat="1" applyFont="1" applyFill="1" applyBorder="1" applyAlignment="1">
      <alignment horizontal="left" vertical="center"/>
    </xf>
    <xf numFmtId="0" fontId="0" fillId="19" borderId="1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/>
    </xf>
    <xf numFmtId="0" fontId="43" fillId="19" borderId="1" xfId="0" applyFont="1" applyFill="1" applyBorder="1" applyAlignment="1">
      <alignment horizontal="center" vertical="center"/>
    </xf>
    <xf numFmtId="49" fontId="0" fillId="19" borderId="1" xfId="0" applyNumberFormat="1" applyFill="1" applyBorder="1" applyAlignment="1">
      <alignment horizontal="center"/>
    </xf>
    <xf numFmtId="0" fontId="43" fillId="19" borderId="1" xfId="0" applyFont="1" applyFill="1" applyBorder="1" applyAlignment="1">
      <alignment horizontal="center"/>
    </xf>
    <xf numFmtId="14" fontId="0" fillId="19" borderId="1" xfId="0" applyNumberFormat="1" applyFill="1" applyBorder="1" applyAlignment="1">
      <alignment horizontal="center" vertical="center"/>
    </xf>
    <xf numFmtId="0" fontId="3" fillId="19" borderId="9" xfId="0" applyNumberFormat="1" applyFont="1" applyFill="1" applyBorder="1" applyAlignment="1">
      <alignment horizontal="left" vertical="center"/>
    </xf>
    <xf numFmtId="0" fontId="43" fillId="19" borderId="1" xfId="0" applyFont="1" applyFill="1" applyBorder="1" applyAlignment="1">
      <alignment horizontal="left"/>
    </xf>
    <xf numFmtId="0" fontId="0" fillId="19" borderId="1" xfId="0" applyFill="1" applyBorder="1" applyAlignment="1">
      <alignment horizontal="left"/>
    </xf>
    <xf numFmtId="14" fontId="29" fillId="19" borderId="9" xfId="0" applyNumberFormat="1" applyFont="1" applyFill="1" applyBorder="1" applyAlignment="1">
      <alignment horizontal="left" vertical="center"/>
    </xf>
    <xf numFmtId="3" fontId="0" fillId="19" borderId="8" xfId="0" applyNumberFormat="1" applyFill="1" applyBorder="1"/>
    <xf numFmtId="14" fontId="0" fillId="24" borderId="1" xfId="0" applyNumberFormat="1" applyFill="1" applyBorder="1" applyAlignment="1">
      <alignment horizontal="center"/>
    </xf>
    <xf numFmtId="0" fontId="4" fillId="11" borderId="1" xfId="0" applyFont="1" applyFill="1" applyBorder="1" applyAlignment="1">
      <alignment horizontal="left" vertical="center" wrapText="1"/>
    </xf>
    <xf numFmtId="0" fontId="0" fillId="24" borderId="1" xfId="0" applyNumberFormat="1" applyFill="1" applyBorder="1" applyAlignment="1">
      <alignment horizontal="left" vertical="center"/>
    </xf>
    <xf numFmtId="0" fontId="2" fillId="11" borderId="9" xfId="0" applyNumberFormat="1" applyFont="1" applyFill="1" applyBorder="1" applyAlignment="1">
      <alignment horizontal="left" vertical="center"/>
    </xf>
    <xf numFmtId="0" fontId="35" fillId="28" borderId="1" xfId="0" applyFont="1" applyFill="1" applyBorder="1" applyAlignment="1">
      <alignment horizontal="center" vertical="center"/>
    </xf>
    <xf numFmtId="49" fontId="0" fillId="28" borderId="1" xfId="0" applyNumberFormat="1" applyFill="1" applyBorder="1" applyAlignment="1">
      <alignment horizontal="center"/>
    </xf>
    <xf numFmtId="0" fontId="0" fillId="28" borderId="9" xfId="0" applyNumberFormat="1" applyFill="1" applyBorder="1" applyAlignment="1">
      <alignment horizontal="left"/>
    </xf>
    <xf numFmtId="0" fontId="28" fillId="28" borderId="1" xfId="0" applyFont="1" applyFill="1" applyBorder="1" applyAlignment="1">
      <alignment horizontal="left" wrapText="1"/>
    </xf>
    <xf numFmtId="0" fontId="0" fillId="26" borderId="1" xfId="0" applyFill="1" applyBorder="1" applyAlignment="1">
      <alignment horizontal="center" vertical="center"/>
    </xf>
    <xf numFmtId="0" fontId="0" fillId="26" borderId="1" xfId="0" applyFill="1" applyBorder="1" applyAlignment="1">
      <alignment horizontal="center"/>
    </xf>
    <xf numFmtId="0" fontId="35" fillId="26" borderId="1" xfId="0" applyFont="1" applyFill="1" applyBorder="1" applyAlignment="1">
      <alignment horizontal="center" vertical="center"/>
    </xf>
    <xf numFmtId="49" fontId="0" fillId="26" borderId="1" xfId="0" applyNumberFormat="1" applyFill="1" applyBorder="1" applyAlignment="1">
      <alignment horizontal="center"/>
    </xf>
    <xf numFmtId="0" fontId="29" fillId="26" borderId="1" xfId="0" applyFont="1" applyFill="1" applyBorder="1" applyAlignment="1">
      <alignment horizontal="center" vertical="center"/>
    </xf>
    <xf numFmtId="14" fontId="0" fillId="26" borderId="1" xfId="0" applyNumberFormat="1" applyFill="1" applyBorder="1" applyAlignment="1">
      <alignment horizontal="center" vertical="center"/>
    </xf>
    <xf numFmtId="0" fontId="0" fillId="26" borderId="9" xfId="0" applyFill="1" applyBorder="1"/>
    <xf numFmtId="0" fontId="28" fillId="26" borderId="1" xfId="0" applyFont="1" applyFill="1" applyBorder="1" applyAlignment="1">
      <alignment horizontal="left" wrapText="1"/>
    </xf>
    <xf numFmtId="0" fontId="0" fillId="26" borderId="1" xfId="0" applyFill="1" applyBorder="1"/>
    <xf numFmtId="14" fontId="0" fillId="26" borderId="9" xfId="0" applyNumberFormat="1" applyFill="1" applyBorder="1" applyAlignment="1">
      <alignment horizontal="left" vertical="center"/>
    </xf>
    <xf numFmtId="3" fontId="0" fillId="26" borderId="8" xfId="0" applyNumberFormat="1" applyFill="1" applyBorder="1"/>
    <xf numFmtId="0" fontId="0" fillId="26" borderId="9" xfId="0" applyFill="1" applyBorder="1" applyAlignment="1">
      <alignment horizontal="left"/>
    </xf>
    <xf numFmtId="49" fontId="0" fillId="11" borderId="1" xfId="0" applyNumberFormat="1" applyFill="1" applyBorder="1" applyAlignment="1">
      <alignment horizontal="center" vertical="center"/>
    </xf>
    <xf numFmtId="0" fontId="0" fillId="11" borderId="9" xfId="0" applyNumberFormat="1" applyFill="1" applyBorder="1" applyAlignment="1">
      <alignment vertical="center"/>
    </xf>
    <xf numFmtId="0" fontId="1" fillId="11" borderId="1" xfId="0" applyFont="1" applyFill="1" applyBorder="1" applyAlignment="1">
      <alignment horizontal="left" vertical="center" wrapText="1"/>
    </xf>
    <xf numFmtId="0" fontId="0" fillId="11" borderId="1" xfId="0" applyFill="1" applyBorder="1" applyAlignment="1">
      <alignment vertical="center" wrapText="1"/>
    </xf>
    <xf numFmtId="0" fontId="0" fillId="11" borderId="1" xfId="0" applyFill="1" applyBorder="1" applyAlignment="1">
      <alignment vertical="center"/>
    </xf>
    <xf numFmtId="0" fontId="0" fillId="35" borderId="1" xfId="0" applyFill="1" applyBorder="1" applyAlignment="1">
      <alignment horizontal="center" vertical="center"/>
    </xf>
    <xf numFmtId="0" fontId="0" fillId="35" borderId="1" xfId="0" applyFill="1" applyBorder="1" applyAlignment="1">
      <alignment horizontal="center"/>
    </xf>
    <xf numFmtId="0" fontId="43" fillId="35" borderId="1" xfId="0" applyFont="1" applyFill="1" applyBorder="1" applyAlignment="1">
      <alignment horizontal="center" vertical="center"/>
    </xf>
    <xf numFmtId="49" fontId="0" fillId="35" borderId="1" xfId="0" applyNumberFormat="1" applyFill="1" applyBorder="1" applyAlignment="1">
      <alignment horizontal="center"/>
    </xf>
    <xf numFmtId="0" fontId="43" fillId="35" borderId="1" xfId="0" applyFont="1" applyFill="1" applyBorder="1" applyAlignment="1">
      <alignment horizontal="center"/>
    </xf>
    <xf numFmtId="14" fontId="0" fillId="35" borderId="1" xfId="0" applyNumberFormat="1" applyFill="1" applyBorder="1" applyAlignment="1">
      <alignment horizontal="center" vertical="center"/>
    </xf>
    <xf numFmtId="0" fontId="3" fillId="35" borderId="9" xfId="0" applyNumberFormat="1" applyFont="1" applyFill="1" applyBorder="1" applyAlignment="1">
      <alignment horizontal="left" vertical="center"/>
    </xf>
    <xf numFmtId="0" fontId="43" fillId="35" borderId="1" xfId="0" applyFont="1" applyFill="1" applyBorder="1" applyAlignment="1">
      <alignment horizontal="left"/>
    </xf>
    <xf numFmtId="0" fontId="0" fillId="35" borderId="1" xfId="0" applyFill="1" applyBorder="1" applyAlignment="1">
      <alignment horizontal="left"/>
    </xf>
    <xf numFmtId="14" fontId="29" fillId="35" borderId="9" xfId="0" applyNumberFormat="1" applyFont="1" applyFill="1" applyBorder="1" applyAlignment="1">
      <alignment horizontal="left" vertical="center"/>
    </xf>
    <xf numFmtId="0" fontId="0" fillId="35" borderId="1" xfId="0" applyFill="1" applyBorder="1"/>
    <xf numFmtId="3" fontId="0" fillId="35" borderId="8" xfId="0" applyNumberFormat="1" applyFill="1" applyBorder="1"/>
    <xf numFmtId="0" fontId="0" fillId="15" borderId="1" xfId="0" applyFill="1" applyBorder="1" applyAlignment="1">
      <alignment horizontal="center" wrapText="1"/>
    </xf>
    <xf numFmtId="0" fontId="29" fillId="8" borderId="9" xfId="0" applyFont="1" applyFill="1" applyBorder="1" applyAlignment="1">
      <alignment horizontal="center" vertical="center"/>
    </xf>
    <xf numFmtId="0" fontId="29" fillId="8" borderId="2" xfId="0" applyFont="1" applyFill="1" applyBorder="1" applyAlignment="1">
      <alignment horizontal="center" vertical="center"/>
    </xf>
    <xf numFmtId="0" fontId="29" fillId="3" borderId="9" xfId="0" applyFont="1" applyFill="1" applyBorder="1" applyAlignment="1">
      <alignment horizontal="center" vertical="center"/>
    </xf>
    <xf numFmtId="0" fontId="29" fillId="3" borderId="2" xfId="0" applyFont="1" applyFill="1" applyBorder="1" applyAlignment="1">
      <alignment horizontal="center" vertical="center"/>
    </xf>
    <xf numFmtId="0" fontId="29" fillId="4" borderId="9" xfId="0" applyFont="1" applyFill="1" applyBorder="1" applyAlignment="1">
      <alignment horizontal="center" vertical="center" wrapText="1"/>
    </xf>
    <xf numFmtId="0" fontId="29" fillId="4" borderId="2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/>
    </xf>
    <xf numFmtId="0" fontId="29" fillId="2" borderId="11" xfId="0" applyFont="1" applyFill="1" applyBorder="1" applyAlignment="1">
      <alignment horizontal="center" vertical="center"/>
    </xf>
    <xf numFmtId="0" fontId="29" fillId="2" borderId="10" xfId="0" applyFont="1" applyFill="1" applyBorder="1" applyAlignment="1">
      <alignment horizontal="center" vertical="center"/>
    </xf>
    <xf numFmtId="0" fontId="29" fillId="13" borderId="8" xfId="0" applyFont="1" applyFill="1" applyBorder="1" applyAlignment="1">
      <alignment horizontal="center"/>
    </xf>
    <xf numFmtId="0" fontId="29" fillId="13" borderId="11" xfId="0" applyFont="1" applyFill="1" applyBorder="1" applyAlignment="1">
      <alignment horizontal="center"/>
    </xf>
    <xf numFmtId="0" fontId="29" fillId="13" borderId="10" xfId="0" applyFont="1" applyFill="1" applyBorder="1" applyAlignment="1">
      <alignment horizontal="center"/>
    </xf>
    <xf numFmtId="0" fontId="0" fillId="10" borderId="9" xfId="0" applyFill="1" applyBorder="1" applyAlignment="1">
      <alignment horizontal="center" wrapText="1"/>
    </xf>
    <xf numFmtId="0" fontId="0" fillId="10" borderId="29" xfId="0" applyFill="1" applyBorder="1" applyAlignment="1">
      <alignment horizontal="center" wrapText="1"/>
    </xf>
    <xf numFmtId="0" fontId="29" fillId="7" borderId="8" xfId="0" applyFont="1" applyFill="1" applyBorder="1" applyAlignment="1">
      <alignment horizontal="center" vertical="center"/>
    </xf>
    <xf numFmtId="0" fontId="29" fillId="7" borderId="10" xfId="0" applyFont="1" applyFill="1" applyBorder="1" applyAlignment="1">
      <alignment horizontal="center" vertical="center"/>
    </xf>
    <xf numFmtId="0" fontId="29" fillId="12" borderId="9" xfId="0" applyFont="1" applyFill="1" applyBorder="1" applyAlignment="1">
      <alignment horizontal="center" vertical="center" wrapText="1"/>
    </xf>
    <xf numFmtId="0" fontId="29" fillId="12" borderId="2" xfId="0" applyFont="1" applyFill="1" applyBorder="1" applyAlignment="1">
      <alignment horizontal="center" vertical="center" wrapText="1"/>
    </xf>
    <xf numFmtId="0" fontId="29" fillId="4" borderId="9" xfId="0" applyFont="1" applyFill="1" applyBorder="1" applyAlignment="1">
      <alignment horizontal="center" vertical="center"/>
    </xf>
    <xf numFmtId="0" fontId="29" fillId="4" borderId="2" xfId="0" applyFont="1" applyFill="1" applyBorder="1" applyAlignment="1">
      <alignment horizontal="center" vertical="center"/>
    </xf>
    <xf numFmtId="0" fontId="29" fillId="2" borderId="9" xfId="0" applyFont="1" applyFill="1" applyBorder="1" applyAlignment="1">
      <alignment horizontal="center" vertical="center"/>
    </xf>
    <xf numFmtId="0" fontId="29" fillId="2" borderId="2" xfId="0" applyFont="1" applyFill="1" applyBorder="1" applyAlignment="1">
      <alignment horizontal="center" vertical="center"/>
    </xf>
    <xf numFmtId="0" fontId="29" fillId="5" borderId="9" xfId="0" applyFont="1" applyFill="1" applyBorder="1" applyAlignment="1">
      <alignment horizontal="center" vertical="center"/>
    </xf>
    <xf numFmtId="0" fontId="29" fillId="5" borderId="2" xfId="0" applyFont="1" applyFill="1" applyBorder="1" applyAlignment="1">
      <alignment horizontal="center" vertical="center"/>
    </xf>
    <xf numFmtId="49" fontId="29" fillId="6" borderId="9" xfId="0" applyNumberFormat="1" applyFont="1" applyFill="1" applyBorder="1" applyAlignment="1">
      <alignment horizontal="center" vertical="center"/>
    </xf>
    <xf numFmtId="49" fontId="29" fillId="6" borderId="2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9EF6A0"/>
      <color rgb="FF00FFFF"/>
      <color rgb="FFF0904E"/>
      <color rgb="FFDEB7B6"/>
      <color rgb="FFA8E4EC"/>
      <color rgb="FF32BFD2"/>
      <color rgb="FFEB7575"/>
      <color rgb="FFFF66FF"/>
      <color rgb="FF87BF61"/>
      <color rgb="FFF35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YandexDisk\&#1047;&#1040;&#1050;&#1040;&#1047;&#1067;%20&#1086;&#1073;&#1097;&#1072;&#1103;\&#1047;&#1040;&#1050;&#1040;&#1047;&#1067;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очник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19"/>
  <sheetViews>
    <sheetView zoomScale="70" zoomScaleNormal="70" zoomScaleSheetLayoutView="70" workbookViewId="0">
      <pane ySplit="3" topLeftCell="A34" activePane="bottomLeft" state="frozen"/>
      <selection pane="bottomLeft" activeCell="C62" sqref="C62"/>
    </sheetView>
  </sheetViews>
  <sheetFormatPr defaultRowHeight="14.4" x14ac:dyDescent="0.3"/>
  <cols>
    <col min="1" max="1" width="18" style="66" customWidth="1"/>
    <col min="2" max="2" width="24.5546875" customWidth="1"/>
    <col min="3" max="3" width="17" customWidth="1"/>
    <col min="4" max="4" width="41" customWidth="1"/>
    <col min="5" max="5" width="28.5546875" style="78" customWidth="1"/>
    <col min="6" max="6" width="13" bestFit="1" customWidth="1"/>
    <col min="7" max="7" width="15.5546875" customWidth="1"/>
    <col min="8" max="8" width="20.109375" customWidth="1"/>
    <col min="9" max="9" width="17.109375" customWidth="1"/>
    <col min="10" max="10" width="22.5546875" customWidth="1"/>
    <col min="11" max="11" width="30.109375" customWidth="1"/>
    <col min="12" max="12" width="25.6640625" customWidth="1"/>
    <col min="13" max="13" width="23.109375" customWidth="1"/>
    <col min="14" max="14" width="18.44140625" style="67" customWidth="1"/>
    <col min="15" max="16" width="8.88671875" customWidth="1"/>
    <col min="17" max="17" width="8" customWidth="1"/>
    <col min="18" max="18" width="10.88671875" customWidth="1"/>
    <col min="19" max="19" width="13.88671875" customWidth="1"/>
    <col min="20" max="20" width="17.33203125" customWidth="1"/>
    <col min="21" max="21" width="15.44140625" customWidth="1"/>
  </cols>
  <sheetData>
    <row r="1" spans="1:20" s="45" customFormat="1" ht="17.399999999999999" x14ac:dyDescent="0.35">
      <c r="A1" s="62"/>
      <c r="B1" s="44" t="s">
        <v>47</v>
      </c>
      <c r="C1" s="51">
        <v>46082</v>
      </c>
      <c r="D1" s="44"/>
      <c r="E1" s="77"/>
      <c r="F1" s="44"/>
      <c r="H1" s="44"/>
      <c r="I1" s="44"/>
      <c r="J1" s="44"/>
      <c r="K1" s="46"/>
      <c r="L1" s="46"/>
      <c r="M1" s="46"/>
      <c r="N1" s="60"/>
      <c r="O1" s="46"/>
      <c r="P1" s="46"/>
      <c r="Q1" s="46"/>
    </row>
    <row r="2" spans="1:20" ht="25.5" customHeight="1" x14ac:dyDescent="0.3">
      <c r="A2" s="388" t="s">
        <v>53</v>
      </c>
      <c r="B2" s="390" t="s">
        <v>17</v>
      </c>
      <c r="C2" s="392" t="s">
        <v>51</v>
      </c>
      <c r="D2" s="394" t="s">
        <v>4</v>
      </c>
      <c r="E2" s="396" t="s">
        <v>5</v>
      </c>
      <c r="F2" s="386" t="s">
        <v>0</v>
      </c>
      <c r="G2" s="387"/>
      <c r="H2" s="372" t="s">
        <v>2</v>
      </c>
      <c r="I2" s="374" t="s">
        <v>3</v>
      </c>
      <c r="J2" s="376" t="s">
        <v>6</v>
      </c>
      <c r="K2" s="378" t="s">
        <v>7</v>
      </c>
      <c r="L2" s="379"/>
      <c r="M2" s="380"/>
      <c r="N2" s="61" t="s">
        <v>9</v>
      </c>
      <c r="O2" s="381" t="s">
        <v>11</v>
      </c>
      <c r="P2" s="382"/>
      <c r="Q2" s="383"/>
      <c r="R2" s="384" t="s">
        <v>46</v>
      </c>
      <c r="S2" s="371" t="s">
        <v>54</v>
      </c>
      <c r="T2" s="55"/>
    </row>
    <row r="3" spans="1:20" x14ac:dyDescent="0.3">
      <c r="A3" s="389"/>
      <c r="B3" s="391"/>
      <c r="C3" s="393"/>
      <c r="D3" s="395"/>
      <c r="E3" s="397"/>
      <c r="F3" s="68" t="s">
        <v>1</v>
      </c>
      <c r="G3" s="68" t="s">
        <v>50</v>
      </c>
      <c r="H3" s="373"/>
      <c r="I3" s="375"/>
      <c r="J3" s="377"/>
      <c r="K3" s="272" t="s">
        <v>8</v>
      </c>
      <c r="L3" s="272" t="s">
        <v>20</v>
      </c>
      <c r="M3" s="272" t="s">
        <v>10</v>
      </c>
      <c r="N3" s="69" t="s">
        <v>104</v>
      </c>
      <c r="O3" s="70" t="s">
        <v>12</v>
      </c>
      <c r="P3" s="70" t="s">
        <v>49</v>
      </c>
      <c r="Q3" s="71" t="s">
        <v>22</v>
      </c>
      <c r="R3" s="385"/>
      <c r="S3" s="371"/>
      <c r="T3" s="72" t="s">
        <v>55</v>
      </c>
    </row>
    <row r="4" spans="1:20" s="81" customFormat="1" x14ac:dyDescent="0.3">
      <c r="A4" s="97"/>
      <c r="B4" s="98"/>
      <c r="C4" s="98"/>
      <c r="D4" s="98"/>
      <c r="E4" s="99"/>
      <c r="F4" s="100"/>
      <c r="G4" s="100"/>
      <c r="H4" s="98"/>
      <c r="I4" s="98"/>
      <c r="J4" s="97"/>
      <c r="K4" s="100"/>
      <c r="L4" s="100"/>
      <c r="M4" s="100"/>
      <c r="N4" s="101"/>
      <c r="O4" s="100"/>
      <c r="P4" s="100"/>
      <c r="Q4" s="102"/>
      <c r="R4" s="103"/>
      <c r="S4" s="104"/>
      <c r="T4" s="105"/>
    </row>
    <row r="5" spans="1:20" s="49" customFormat="1" ht="13.5" customHeight="1" x14ac:dyDescent="0.3">
      <c r="A5" s="50" t="s">
        <v>185</v>
      </c>
      <c r="B5" s="43" t="s">
        <v>447</v>
      </c>
      <c r="C5" s="43" t="s">
        <v>56</v>
      </c>
      <c r="D5" s="4" t="s">
        <v>80</v>
      </c>
      <c r="E5" s="76" t="s">
        <v>531</v>
      </c>
      <c r="F5" s="43">
        <v>7000</v>
      </c>
      <c r="G5" s="50">
        <v>40</v>
      </c>
      <c r="H5" s="50" t="s">
        <v>421</v>
      </c>
      <c r="I5" s="41" t="s">
        <v>263</v>
      </c>
      <c r="J5" s="231">
        <v>46113</v>
      </c>
      <c r="K5" s="257" t="s">
        <v>501</v>
      </c>
      <c r="L5" s="160">
        <v>89221247745</v>
      </c>
      <c r="M5" s="39" t="s">
        <v>491</v>
      </c>
      <c r="N5" s="229"/>
      <c r="O5" s="43"/>
      <c r="P5" s="43"/>
      <c r="Q5" s="43">
        <v>7000</v>
      </c>
      <c r="R5" s="197" t="s">
        <v>543</v>
      </c>
      <c r="S5" s="54">
        <v>255000</v>
      </c>
      <c r="T5" s="47">
        <f t="shared" ref="T5:T9" si="0">S5*F5/1000</f>
        <v>1785000</v>
      </c>
    </row>
    <row r="6" spans="1:20" s="49" customFormat="1" ht="13.5" customHeight="1" x14ac:dyDescent="0.3">
      <c r="A6" s="50" t="s">
        <v>185</v>
      </c>
      <c r="B6" s="43" t="s">
        <v>447</v>
      </c>
      <c r="C6" s="43" t="s">
        <v>56</v>
      </c>
      <c r="D6" s="4" t="s">
        <v>80</v>
      </c>
      <c r="E6" s="76" t="s">
        <v>532</v>
      </c>
      <c r="F6" s="43">
        <v>7000</v>
      </c>
      <c r="G6" s="50">
        <v>40</v>
      </c>
      <c r="H6" s="50" t="s">
        <v>421</v>
      </c>
      <c r="I6" s="41" t="s">
        <v>263</v>
      </c>
      <c r="J6" s="231">
        <v>46113</v>
      </c>
      <c r="K6" s="257" t="s">
        <v>501</v>
      </c>
      <c r="L6" s="160">
        <v>89221247745</v>
      </c>
      <c r="M6" s="39" t="s">
        <v>491</v>
      </c>
      <c r="N6" s="229"/>
      <c r="O6" s="43"/>
      <c r="P6" s="43"/>
      <c r="Q6" s="43">
        <v>7000</v>
      </c>
      <c r="R6" s="197" t="s">
        <v>543</v>
      </c>
      <c r="S6" s="54">
        <v>255000</v>
      </c>
      <c r="T6" s="47">
        <f t="shared" si="0"/>
        <v>1785000</v>
      </c>
    </row>
    <row r="7" spans="1:20" s="49" customFormat="1" ht="13.5" customHeight="1" x14ac:dyDescent="0.3">
      <c r="A7" s="50" t="s">
        <v>495</v>
      </c>
      <c r="B7" s="43" t="s">
        <v>448</v>
      </c>
      <c r="C7" s="43" t="s">
        <v>56</v>
      </c>
      <c r="D7" s="4" t="s">
        <v>100</v>
      </c>
      <c r="E7" s="76" t="s">
        <v>520</v>
      </c>
      <c r="F7" s="43">
        <v>7400</v>
      </c>
      <c r="G7" s="50">
        <v>40</v>
      </c>
      <c r="H7" s="50" t="s">
        <v>421</v>
      </c>
      <c r="I7" s="41" t="s">
        <v>263</v>
      </c>
      <c r="J7" s="231">
        <v>46114</v>
      </c>
      <c r="K7" s="257" t="s">
        <v>493</v>
      </c>
      <c r="L7" s="160">
        <v>89221029900</v>
      </c>
      <c r="M7" s="39" t="s">
        <v>494</v>
      </c>
      <c r="N7" s="229"/>
      <c r="O7" s="43"/>
      <c r="P7" s="43"/>
      <c r="Q7" s="43">
        <v>7400</v>
      </c>
      <c r="R7" s="197" t="s">
        <v>543</v>
      </c>
      <c r="S7" s="54">
        <v>125000</v>
      </c>
      <c r="T7" s="47">
        <f t="shared" si="0"/>
        <v>925000</v>
      </c>
    </row>
    <row r="8" spans="1:20" s="49" customFormat="1" ht="13.5" customHeight="1" x14ac:dyDescent="0.3">
      <c r="A8" s="50" t="s">
        <v>496</v>
      </c>
      <c r="B8" s="43" t="s">
        <v>448</v>
      </c>
      <c r="C8" s="43" t="s">
        <v>56</v>
      </c>
      <c r="D8" s="4" t="s">
        <v>100</v>
      </c>
      <c r="E8" s="76" t="s">
        <v>533</v>
      </c>
      <c r="F8" s="43">
        <v>7400</v>
      </c>
      <c r="G8" s="50">
        <v>40</v>
      </c>
      <c r="H8" s="50" t="s">
        <v>421</v>
      </c>
      <c r="I8" s="41" t="s">
        <v>263</v>
      </c>
      <c r="J8" s="231">
        <v>46114</v>
      </c>
      <c r="K8" s="257" t="s">
        <v>493</v>
      </c>
      <c r="L8" s="160">
        <v>89221029900</v>
      </c>
      <c r="M8" s="39" t="s">
        <v>494</v>
      </c>
      <c r="N8" s="229"/>
      <c r="O8" s="43"/>
      <c r="P8" s="43"/>
      <c r="Q8" s="43">
        <v>7400</v>
      </c>
      <c r="R8" s="197" t="s">
        <v>543</v>
      </c>
      <c r="S8" s="54">
        <v>125000</v>
      </c>
      <c r="T8" s="47">
        <f t="shared" si="0"/>
        <v>925000</v>
      </c>
    </row>
    <row r="9" spans="1:20" s="49" customFormat="1" ht="13.5" customHeight="1" x14ac:dyDescent="0.3">
      <c r="A9" s="50" t="s">
        <v>468</v>
      </c>
      <c r="B9" s="43" t="s">
        <v>336</v>
      </c>
      <c r="C9" s="43" t="s">
        <v>464</v>
      </c>
      <c r="D9" s="4" t="s">
        <v>60</v>
      </c>
      <c r="E9" s="42" t="s">
        <v>466</v>
      </c>
      <c r="F9" s="43">
        <v>16000</v>
      </c>
      <c r="G9" s="50">
        <v>80</v>
      </c>
      <c r="H9" s="50" t="s">
        <v>467</v>
      </c>
      <c r="I9" s="50" t="s">
        <v>263</v>
      </c>
      <c r="J9" s="41">
        <v>46114</v>
      </c>
      <c r="K9" s="274" t="s">
        <v>534</v>
      </c>
      <c r="L9" s="95"/>
      <c r="M9" s="39"/>
      <c r="N9" s="75" t="s">
        <v>500</v>
      </c>
      <c r="O9" s="43"/>
      <c r="P9" s="43"/>
      <c r="Q9" s="43">
        <v>16000</v>
      </c>
      <c r="R9" s="39" t="s">
        <v>178</v>
      </c>
      <c r="S9" s="54">
        <v>85000</v>
      </c>
      <c r="T9" s="47">
        <f t="shared" si="0"/>
        <v>1360000</v>
      </c>
    </row>
    <row r="10" spans="1:20" s="49" customFormat="1" ht="29.25" customHeight="1" x14ac:dyDescent="0.3">
      <c r="A10" s="50" t="s">
        <v>193</v>
      </c>
      <c r="B10" s="43" t="s">
        <v>484</v>
      </c>
      <c r="C10" s="43" t="s">
        <v>485</v>
      </c>
      <c r="D10" s="4" t="s">
        <v>60</v>
      </c>
      <c r="E10" s="42" t="s">
        <v>466</v>
      </c>
      <c r="F10" s="43">
        <v>2400</v>
      </c>
      <c r="G10" s="50">
        <v>12</v>
      </c>
      <c r="H10" s="50" t="s">
        <v>193</v>
      </c>
      <c r="I10" s="50" t="s">
        <v>263</v>
      </c>
      <c r="J10" s="41">
        <v>46114</v>
      </c>
      <c r="K10" s="309" t="s">
        <v>507</v>
      </c>
      <c r="L10" s="335" t="s">
        <v>505</v>
      </c>
      <c r="M10" s="149" t="s">
        <v>506</v>
      </c>
      <c r="N10" s="84"/>
      <c r="O10" s="43"/>
      <c r="P10" s="43"/>
      <c r="Q10" s="43">
        <v>2400</v>
      </c>
      <c r="R10" s="39" t="s">
        <v>178</v>
      </c>
      <c r="S10" s="54">
        <v>87000</v>
      </c>
      <c r="T10" s="47">
        <f t="shared" ref="T10:T17" si="1">S10*F10/1000</f>
        <v>208800</v>
      </c>
    </row>
    <row r="11" spans="1:20" s="49" customFormat="1" ht="28.8" x14ac:dyDescent="0.3">
      <c r="A11" s="50" t="s">
        <v>193</v>
      </c>
      <c r="B11" s="43" t="s">
        <v>484</v>
      </c>
      <c r="C11" s="43" t="s">
        <v>485</v>
      </c>
      <c r="D11" s="4" t="s">
        <v>75</v>
      </c>
      <c r="E11" s="42" t="s">
        <v>444</v>
      </c>
      <c r="F11" s="43">
        <v>200</v>
      </c>
      <c r="G11" s="50">
        <v>1</v>
      </c>
      <c r="H11" s="50" t="s">
        <v>193</v>
      </c>
      <c r="I11" s="50" t="s">
        <v>263</v>
      </c>
      <c r="J11" s="41">
        <v>46114</v>
      </c>
      <c r="K11" s="309" t="s">
        <v>508</v>
      </c>
      <c r="L11" s="335" t="s">
        <v>505</v>
      </c>
      <c r="M11" s="149" t="s">
        <v>506</v>
      </c>
      <c r="N11" s="84"/>
      <c r="O11" s="43"/>
      <c r="P11" s="43"/>
      <c r="Q11" s="43">
        <v>200</v>
      </c>
      <c r="R11" s="39" t="s">
        <v>178</v>
      </c>
      <c r="S11" s="54">
        <v>255000</v>
      </c>
      <c r="T11" s="47">
        <f t="shared" si="1"/>
        <v>51000</v>
      </c>
    </row>
    <row r="12" spans="1:20" s="49" customFormat="1" ht="28.8" x14ac:dyDescent="0.3">
      <c r="A12" s="50" t="s">
        <v>193</v>
      </c>
      <c r="B12" s="43" t="s">
        <v>484</v>
      </c>
      <c r="C12" s="43" t="s">
        <v>485</v>
      </c>
      <c r="D12" s="4" t="s">
        <v>58</v>
      </c>
      <c r="E12" s="42" t="s">
        <v>358</v>
      </c>
      <c r="F12" s="43">
        <v>400</v>
      </c>
      <c r="G12" s="50">
        <v>2</v>
      </c>
      <c r="H12" s="50" t="s">
        <v>193</v>
      </c>
      <c r="I12" s="50" t="s">
        <v>263</v>
      </c>
      <c r="J12" s="41">
        <v>46114</v>
      </c>
      <c r="K12" s="309" t="s">
        <v>509</v>
      </c>
      <c r="L12" s="335" t="s">
        <v>505</v>
      </c>
      <c r="M12" s="149" t="s">
        <v>506</v>
      </c>
      <c r="N12" s="84"/>
      <c r="O12" s="43"/>
      <c r="P12" s="43"/>
      <c r="Q12" s="43">
        <v>400</v>
      </c>
      <c r="R12" s="39" t="s">
        <v>178</v>
      </c>
      <c r="S12" s="54">
        <v>89000</v>
      </c>
      <c r="T12" s="47">
        <f t="shared" si="1"/>
        <v>35600</v>
      </c>
    </row>
    <row r="13" spans="1:20" s="49" customFormat="1" ht="28.8" x14ac:dyDescent="0.3">
      <c r="A13" s="50" t="s">
        <v>193</v>
      </c>
      <c r="B13" s="43" t="s">
        <v>484</v>
      </c>
      <c r="C13" s="43" t="s">
        <v>485</v>
      </c>
      <c r="D13" s="4" t="s">
        <v>52</v>
      </c>
      <c r="E13" s="42" t="s">
        <v>151</v>
      </c>
      <c r="F13" s="43">
        <v>200</v>
      </c>
      <c r="G13" s="50">
        <v>1</v>
      </c>
      <c r="H13" s="50" t="s">
        <v>193</v>
      </c>
      <c r="I13" s="50" t="s">
        <v>263</v>
      </c>
      <c r="J13" s="41">
        <v>46114</v>
      </c>
      <c r="K13" s="309" t="s">
        <v>510</v>
      </c>
      <c r="L13" s="335" t="s">
        <v>505</v>
      </c>
      <c r="M13" s="149" t="s">
        <v>506</v>
      </c>
      <c r="N13" s="84"/>
      <c r="O13" s="43"/>
      <c r="P13" s="43"/>
      <c r="Q13" s="43">
        <v>200</v>
      </c>
      <c r="R13" s="39" t="s">
        <v>178</v>
      </c>
      <c r="S13" s="54">
        <v>79500</v>
      </c>
      <c r="T13" s="47">
        <f t="shared" si="1"/>
        <v>15900</v>
      </c>
    </row>
    <row r="14" spans="1:20" s="49" customFormat="1" ht="13.5" customHeight="1" x14ac:dyDescent="0.3">
      <c r="A14" s="50" t="s">
        <v>217</v>
      </c>
      <c r="B14" s="43" t="s">
        <v>431</v>
      </c>
      <c r="C14" s="43" t="s">
        <v>111</v>
      </c>
      <c r="D14" s="53" t="s">
        <v>66</v>
      </c>
      <c r="E14" s="42" t="s">
        <v>105</v>
      </c>
      <c r="F14" s="52">
        <v>20000</v>
      </c>
      <c r="G14" s="50">
        <v>800</v>
      </c>
      <c r="H14" s="50" t="s">
        <v>57</v>
      </c>
      <c r="I14" s="50" t="s">
        <v>263</v>
      </c>
      <c r="J14" s="41">
        <v>46114</v>
      </c>
      <c r="K14" s="308" t="s">
        <v>535</v>
      </c>
      <c r="L14" s="85">
        <v>89221782811</v>
      </c>
      <c r="M14" s="48" t="s">
        <v>536</v>
      </c>
      <c r="N14" s="75"/>
      <c r="O14" s="52">
        <v>20000</v>
      </c>
      <c r="P14" s="52"/>
      <c r="Q14" s="43"/>
      <c r="R14" s="39" t="s">
        <v>178</v>
      </c>
      <c r="S14" s="54">
        <v>44500</v>
      </c>
      <c r="T14" s="47">
        <f t="shared" si="1"/>
        <v>890000</v>
      </c>
    </row>
    <row r="15" spans="1:20" s="49" customFormat="1" ht="13.5" customHeight="1" x14ac:dyDescent="0.3">
      <c r="A15" s="50" t="s">
        <v>217</v>
      </c>
      <c r="B15" s="43" t="s">
        <v>449</v>
      </c>
      <c r="C15" s="43" t="s">
        <v>56</v>
      </c>
      <c r="D15" s="4" t="s">
        <v>100</v>
      </c>
      <c r="E15" s="76" t="s">
        <v>528</v>
      </c>
      <c r="F15" s="43">
        <v>7400</v>
      </c>
      <c r="G15" s="50">
        <v>40</v>
      </c>
      <c r="H15" s="50" t="s">
        <v>421</v>
      </c>
      <c r="I15" s="41" t="s">
        <v>263</v>
      </c>
      <c r="J15" s="231">
        <v>46115</v>
      </c>
      <c r="K15" s="257" t="s">
        <v>499</v>
      </c>
      <c r="L15" s="160">
        <v>89829645340</v>
      </c>
      <c r="M15" s="39" t="s">
        <v>186</v>
      </c>
      <c r="N15" s="229"/>
      <c r="O15" s="43"/>
      <c r="P15" s="43"/>
      <c r="Q15" s="43">
        <v>7400</v>
      </c>
      <c r="R15" s="197" t="s">
        <v>546</v>
      </c>
      <c r="S15" s="54">
        <v>125000</v>
      </c>
      <c r="T15" s="47">
        <f t="shared" si="1"/>
        <v>925000</v>
      </c>
    </row>
    <row r="16" spans="1:20" s="49" customFormat="1" ht="13.5" customHeight="1" x14ac:dyDescent="0.3">
      <c r="A16" s="50" t="s">
        <v>217</v>
      </c>
      <c r="B16" s="43" t="s">
        <v>449</v>
      </c>
      <c r="C16" s="43" t="s">
        <v>56</v>
      </c>
      <c r="D16" s="4" t="s">
        <v>100</v>
      </c>
      <c r="E16" s="76" t="s">
        <v>529</v>
      </c>
      <c r="F16" s="43">
        <v>7400</v>
      </c>
      <c r="G16" s="50">
        <v>40</v>
      </c>
      <c r="H16" s="50" t="s">
        <v>421</v>
      </c>
      <c r="I16" s="41" t="s">
        <v>263</v>
      </c>
      <c r="J16" s="231">
        <v>46115</v>
      </c>
      <c r="K16" s="257" t="s">
        <v>499</v>
      </c>
      <c r="L16" s="160">
        <v>89829645340</v>
      </c>
      <c r="M16" s="39" t="s">
        <v>186</v>
      </c>
      <c r="N16" s="229"/>
      <c r="O16" s="43"/>
      <c r="P16" s="43"/>
      <c r="Q16" s="43">
        <v>7400</v>
      </c>
      <c r="R16" s="197" t="s">
        <v>546</v>
      </c>
      <c r="S16" s="54">
        <v>125000</v>
      </c>
      <c r="T16" s="47">
        <f t="shared" si="1"/>
        <v>925000</v>
      </c>
    </row>
    <row r="17" spans="1:20" s="49" customFormat="1" ht="13.5" customHeight="1" x14ac:dyDescent="0.3">
      <c r="A17" s="50" t="s">
        <v>268</v>
      </c>
      <c r="B17" s="43" t="s">
        <v>512</v>
      </c>
      <c r="C17" s="43" t="s">
        <v>270</v>
      </c>
      <c r="D17" s="4" t="s">
        <v>62</v>
      </c>
      <c r="E17" s="42" t="s">
        <v>456</v>
      </c>
      <c r="F17" s="43">
        <v>14400</v>
      </c>
      <c r="G17" s="50">
        <v>80</v>
      </c>
      <c r="H17" s="50" t="s">
        <v>268</v>
      </c>
      <c r="I17" s="50" t="s">
        <v>263</v>
      </c>
      <c r="J17" s="41">
        <v>46115</v>
      </c>
      <c r="K17" s="256" t="s">
        <v>513</v>
      </c>
      <c r="L17" s="95"/>
      <c r="M17" s="39" t="s">
        <v>514</v>
      </c>
      <c r="N17" s="84"/>
      <c r="O17" s="43"/>
      <c r="P17" s="43"/>
      <c r="Q17" s="43">
        <v>14400</v>
      </c>
      <c r="R17" s="39" t="s">
        <v>178</v>
      </c>
      <c r="S17" s="54">
        <v>128500</v>
      </c>
      <c r="T17" s="47">
        <f t="shared" si="1"/>
        <v>1850400</v>
      </c>
    </row>
    <row r="18" spans="1:20" s="49" customFormat="1" ht="13.5" customHeight="1" x14ac:dyDescent="0.3">
      <c r="A18" s="50" t="s">
        <v>217</v>
      </c>
      <c r="B18" s="43" t="s">
        <v>432</v>
      </c>
      <c r="C18" s="43" t="s">
        <v>111</v>
      </c>
      <c r="D18" s="53" t="s">
        <v>66</v>
      </c>
      <c r="E18" s="42" t="s">
        <v>105</v>
      </c>
      <c r="F18" s="52">
        <v>20000</v>
      </c>
      <c r="G18" s="50">
        <v>800</v>
      </c>
      <c r="H18" s="50" t="s">
        <v>57</v>
      </c>
      <c r="I18" s="50" t="s">
        <v>263</v>
      </c>
      <c r="J18" s="41">
        <v>46118</v>
      </c>
      <c r="K18" s="337" t="s">
        <v>540</v>
      </c>
      <c r="L18" s="85">
        <v>89141869306</v>
      </c>
      <c r="M18" s="48" t="s">
        <v>539</v>
      </c>
      <c r="N18" s="75"/>
      <c r="O18" s="52">
        <v>20000</v>
      </c>
      <c r="P18" s="52"/>
      <c r="Q18" s="43"/>
      <c r="R18" s="39" t="s">
        <v>178</v>
      </c>
      <c r="S18" s="54">
        <v>44500</v>
      </c>
      <c r="T18" s="47">
        <f t="shared" ref="T18:T20" si="2">S18*F18/1000</f>
        <v>890000</v>
      </c>
    </row>
    <row r="19" spans="1:20" s="49" customFormat="1" ht="13.5" customHeight="1" x14ac:dyDescent="0.3">
      <c r="A19" s="50" t="s">
        <v>193</v>
      </c>
      <c r="B19" s="43" t="s">
        <v>463</v>
      </c>
      <c r="C19" s="43" t="s">
        <v>464</v>
      </c>
      <c r="D19" s="4" t="s">
        <v>60</v>
      </c>
      <c r="E19" s="42" t="s">
        <v>466</v>
      </c>
      <c r="F19" s="43">
        <v>4000</v>
      </c>
      <c r="G19" s="50">
        <v>20</v>
      </c>
      <c r="H19" s="50" t="s">
        <v>193</v>
      </c>
      <c r="I19" s="50" t="s">
        <v>263</v>
      </c>
      <c r="J19" s="41">
        <v>46118</v>
      </c>
      <c r="K19" s="256" t="s">
        <v>542</v>
      </c>
      <c r="L19" s="95">
        <v>89065566644</v>
      </c>
      <c r="M19" s="39" t="s">
        <v>541</v>
      </c>
      <c r="N19" s="256" t="s">
        <v>549</v>
      </c>
      <c r="O19" s="43"/>
      <c r="P19" s="43"/>
      <c r="Q19" s="43">
        <v>4000</v>
      </c>
      <c r="R19" s="39" t="s">
        <v>178</v>
      </c>
      <c r="S19" s="54">
        <v>85000</v>
      </c>
      <c r="T19" s="47">
        <f t="shared" si="2"/>
        <v>340000</v>
      </c>
    </row>
    <row r="20" spans="1:20" s="49" customFormat="1" ht="13.5" customHeight="1" x14ac:dyDescent="0.3">
      <c r="A20" s="50" t="s">
        <v>193</v>
      </c>
      <c r="B20" s="43" t="s">
        <v>483</v>
      </c>
      <c r="C20" s="43" t="s">
        <v>464</v>
      </c>
      <c r="D20" s="4" t="s">
        <v>60</v>
      </c>
      <c r="E20" s="42" t="s">
        <v>466</v>
      </c>
      <c r="F20" s="43">
        <v>1600</v>
      </c>
      <c r="G20" s="50">
        <v>8</v>
      </c>
      <c r="H20" s="50" t="s">
        <v>193</v>
      </c>
      <c r="I20" s="50" t="s">
        <v>263</v>
      </c>
      <c r="J20" s="41">
        <v>46118</v>
      </c>
      <c r="K20" s="256" t="s">
        <v>542</v>
      </c>
      <c r="L20" s="95">
        <v>89065566644</v>
      </c>
      <c r="M20" s="39" t="s">
        <v>541</v>
      </c>
      <c r="N20" s="256" t="s">
        <v>549</v>
      </c>
      <c r="O20" s="43"/>
      <c r="P20" s="43"/>
      <c r="Q20" s="43">
        <v>1600</v>
      </c>
      <c r="R20" s="39" t="s">
        <v>178</v>
      </c>
      <c r="S20" s="54">
        <v>85000</v>
      </c>
      <c r="T20" s="47">
        <f t="shared" si="2"/>
        <v>136000</v>
      </c>
    </row>
    <row r="21" spans="1:20" s="49" customFormat="1" ht="13.5" customHeight="1" x14ac:dyDescent="0.3">
      <c r="A21" s="50" t="s">
        <v>268</v>
      </c>
      <c r="B21" s="43" t="s">
        <v>512</v>
      </c>
      <c r="C21" s="43" t="s">
        <v>270</v>
      </c>
      <c r="D21" s="4" t="s">
        <v>61</v>
      </c>
      <c r="E21" s="42" t="s">
        <v>518</v>
      </c>
      <c r="F21" s="43">
        <v>14400</v>
      </c>
      <c r="G21" s="50">
        <v>80</v>
      </c>
      <c r="H21" s="50" t="s">
        <v>268</v>
      </c>
      <c r="I21" s="50" t="s">
        <v>263</v>
      </c>
      <c r="J21" s="41">
        <v>46119</v>
      </c>
      <c r="K21" s="256" t="s">
        <v>547</v>
      </c>
      <c r="L21" s="95"/>
      <c r="M21" s="149" t="s">
        <v>548</v>
      </c>
      <c r="N21" s="84"/>
      <c r="O21" s="43"/>
      <c r="P21" s="43"/>
      <c r="Q21" s="43">
        <v>14400</v>
      </c>
      <c r="R21" s="39" t="s">
        <v>178</v>
      </c>
      <c r="S21" s="54">
        <v>149900</v>
      </c>
      <c r="T21" s="47">
        <f t="shared" ref="T21:T61" si="3">S21*F21/1000</f>
        <v>2158560</v>
      </c>
    </row>
    <row r="22" spans="1:20" s="49" customFormat="1" ht="13.5" customHeight="1" x14ac:dyDescent="0.3">
      <c r="A22" s="115" t="s">
        <v>110</v>
      </c>
      <c r="B22" s="116" t="s">
        <v>537</v>
      </c>
      <c r="C22" s="116" t="s">
        <v>56</v>
      </c>
      <c r="D22" s="117" t="s">
        <v>81</v>
      </c>
      <c r="E22" s="76" t="s">
        <v>567</v>
      </c>
      <c r="F22" s="116">
        <v>3500</v>
      </c>
      <c r="G22" s="265">
        <v>140</v>
      </c>
      <c r="H22" s="115" t="s">
        <v>467</v>
      </c>
      <c r="I22" s="118" t="s">
        <v>263</v>
      </c>
      <c r="J22" s="334">
        <v>46121</v>
      </c>
      <c r="K22" s="336" t="s">
        <v>558</v>
      </c>
      <c r="L22" s="336">
        <v>89115583359</v>
      </c>
      <c r="M22" s="119" t="s">
        <v>557</v>
      </c>
      <c r="N22" s="229" t="s">
        <v>562</v>
      </c>
      <c r="O22" s="116">
        <v>3500</v>
      </c>
      <c r="P22" s="116"/>
      <c r="Q22" s="116"/>
      <c r="R22" s="197" t="s">
        <v>563</v>
      </c>
      <c r="S22" s="136">
        <v>41000</v>
      </c>
      <c r="T22" s="47">
        <f t="shared" si="3"/>
        <v>143500</v>
      </c>
    </row>
    <row r="23" spans="1:20" s="49" customFormat="1" ht="13.5" customHeight="1" x14ac:dyDescent="0.3">
      <c r="A23" s="115" t="s">
        <v>110</v>
      </c>
      <c r="B23" s="116" t="s">
        <v>537</v>
      </c>
      <c r="C23" s="116" t="s">
        <v>56</v>
      </c>
      <c r="D23" s="117" t="s">
        <v>81</v>
      </c>
      <c r="E23" s="76" t="s">
        <v>568</v>
      </c>
      <c r="F23" s="116">
        <v>4375</v>
      </c>
      <c r="G23" s="265">
        <v>175</v>
      </c>
      <c r="H23" s="115" t="s">
        <v>467</v>
      </c>
      <c r="I23" s="118" t="s">
        <v>263</v>
      </c>
      <c r="J23" s="334">
        <v>46121</v>
      </c>
      <c r="K23" s="336" t="s">
        <v>558</v>
      </c>
      <c r="L23" s="336">
        <v>89115583359</v>
      </c>
      <c r="M23" s="119" t="s">
        <v>557</v>
      </c>
      <c r="N23" s="229" t="s">
        <v>562</v>
      </c>
      <c r="O23" s="116">
        <v>4375</v>
      </c>
      <c r="P23" s="116"/>
      <c r="Q23" s="116"/>
      <c r="R23" s="197" t="s">
        <v>563</v>
      </c>
      <c r="S23" s="136">
        <v>41000</v>
      </c>
      <c r="T23" s="47">
        <f t="shared" si="3"/>
        <v>179375</v>
      </c>
    </row>
    <row r="24" spans="1:20" s="49" customFormat="1" ht="13.5" customHeight="1" x14ac:dyDescent="0.3">
      <c r="A24" s="115" t="s">
        <v>110</v>
      </c>
      <c r="B24" s="116" t="s">
        <v>537</v>
      </c>
      <c r="C24" s="116" t="s">
        <v>56</v>
      </c>
      <c r="D24" s="117" t="s">
        <v>81</v>
      </c>
      <c r="E24" s="76" t="s">
        <v>569</v>
      </c>
      <c r="F24" s="116">
        <v>4375</v>
      </c>
      <c r="G24" s="265">
        <v>175</v>
      </c>
      <c r="H24" s="115" t="s">
        <v>467</v>
      </c>
      <c r="I24" s="118" t="s">
        <v>263</v>
      </c>
      <c r="J24" s="334">
        <v>46121</v>
      </c>
      <c r="K24" s="336" t="s">
        <v>558</v>
      </c>
      <c r="L24" s="336">
        <v>89115583359</v>
      </c>
      <c r="M24" s="119" t="s">
        <v>557</v>
      </c>
      <c r="N24" s="229" t="s">
        <v>562</v>
      </c>
      <c r="O24" s="116">
        <v>4375</v>
      </c>
      <c r="P24" s="116"/>
      <c r="Q24" s="116"/>
      <c r="R24" s="197" t="s">
        <v>563</v>
      </c>
      <c r="S24" s="136">
        <v>41000</v>
      </c>
      <c r="T24" s="47">
        <f t="shared" si="3"/>
        <v>179375</v>
      </c>
    </row>
    <row r="25" spans="1:20" s="49" customFormat="1" ht="13.5" customHeight="1" x14ac:dyDescent="0.3">
      <c r="A25" s="115" t="s">
        <v>110</v>
      </c>
      <c r="B25" s="116" t="s">
        <v>537</v>
      </c>
      <c r="C25" s="116" t="s">
        <v>56</v>
      </c>
      <c r="D25" s="117" t="s">
        <v>81</v>
      </c>
      <c r="E25" s="76" t="s">
        <v>570</v>
      </c>
      <c r="F25" s="116">
        <v>5250</v>
      </c>
      <c r="G25" s="265">
        <v>210</v>
      </c>
      <c r="H25" s="115" t="s">
        <v>467</v>
      </c>
      <c r="I25" s="118" t="s">
        <v>263</v>
      </c>
      <c r="J25" s="334">
        <v>46121</v>
      </c>
      <c r="K25" s="336" t="s">
        <v>558</v>
      </c>
      <c r="L25" s="336">
        <v>89115583359</v>
      </c>
      <c r="M25" s="119" t="s">
        <v>557</v>
      </c>
      <c r="N25" s="229" t="s">
        <v>562</v>
      </c>
      <c r="O25" s="116">
        <v>5250</v>
      </c>
      <c r="P25" s="116"/>
      <c r="Q25" s="116"/>
      <c r="R25" s="197" t="s">
        <v>563</v>
      </c>
      <c r="S25" s="136">
        <v>41000</v>
      </c>
      <c r="T25" s="47">
        <f t="shared" si="3"/>
        <v>215250</v>
      </c>
    </row>
    <row r="26" spans="1:20" s="49" customFormat="1" ht="13.5" customHeight="1" x14ac:dyDescent="0.3">
      <c r="A26" s="288" t="s">
        <v>193</v>
      </c>
      <c r="B26" s="289" t="s">
        <v>538</v>
      </c>
      <c r="C26" s="289" t="s">
        <v>410</v>
      </c>
      <c r="D26" s="288" t="s">
        <v>102</v>
      </c>
      <c r="E26" s="290" t="s">
        <v>503</v>
      </c>
      <c r="F26" s="289">
        <v>1200</v>
      </c>
      <c r="G26" s="288">
        <v>6</v>
      </c>
      <c r="H26" s="288" t="s">
        <v>193</v>
      </c>
      <c r="I26" s="291" t="s">
        <v>263</v>
      </c>
      <c r="J26" s="291">
        <v>46122</v>
      </c>
      <c r="K26" s="292" t="s">
        <v>566</v>
      </c>
      <c r="L26" s="293">
        <v>89173476508</v>
      </c>
      <c r="M26" s="293" t="s">
        <v>565</v>
      </c>
      <c r="N26" s="294"/>
      <c r="O26" s="289"/>
      <c r="P26" s="289"/>
      <c r="Q26" s="289">
        <v>1200</v>
      </c>
      <c r="R26" s="295"/>
      <c r="S26" s="296">
        <v>330000</v>
      </c>
      <c r="T26" s="47">
        <f t="shared" si="3"/>
        <v>396000</v>
      </c>
    </row>
    <row r="27" spans="1:20" s="49" customFormat="1" ht="13.5" customHeight="1" x14ac:dyDescent="0.3">
      <c r="A27" s="288" t="s">
        <v>193</v>
      </c>
      <c r="B27" s="289" t="s">
        <v>538</v>
      </c>
      <c r="C27" s="289" t="s">
        <v>410</v>
      </c>
      <c r="D27" s="288" t="s">
        <v>99</v>
      </c>
      <c r="E27" s="290" t="s">
        <v>519</v>
      </c>
      <c r="F27" s="289">
        <v>1000</v>
      </c>
      <c r="G27" s="288">
        <v>5</v>
      </c>
      <c r="H27" s="288" t="s">
        <v>193</v>
      </c>
      <c r="I27" s="291" t="s">
        <v>263</v>
      </c>
      <c r="J27" s="291">
        <v>46122</v>
      </c>
      <c r="K27" s="292" t="s">
        <v>566</v>
      </c>
      <c r="L27" s="293">
        <v>89173476508</v>
      </c>
      <c r="M27" s="293" t="s">
        <v>565</v>
      </c>
      <c r="N27" s="294"/>
      <c r="O27" s="289"/>
      <c r="P27" s="289"/>
      <c r="Q27" s="289">
        <v>1000</v>
      </c>
      <c r="R27" s="295"/>
      <c r="S27" s="296">
        <v>419000</v>
      </c>
      <c r="T27" s="47">
        <f t="shared" si="3"/>
        <v>419000</v>
      </c>
    </row>
    <row r="28" spans="1:20" s="49" customFormat="1" ht="13.5" customHeight="1" x14ac:dyDescent="0.3">
      <c r="A28" s="288" t="s">
        <v>193</v>
      </c>
      <c r="B28" s="289" t="s">
        <v>538</v>
      </c>
      <c r="C28" s="289" t="s">
        <v>410</v>
      </c>
      <c r="D28" s="288" t="s">
        <v>544</v>
      </c>
      <c r="E28" s="290" t="s">
        <v>545</v>
      </c>
      <c r="F28" s="289">
        <v>8740</v>
      </c>
      <c r="G28" s="288">
        <v>46</v>
      </c>
      <c r="H28" s="288" t="s">
        <v>193</v>
      </c>
      <c r="I28" s="291" t="s">
        <v>263</v>
      </c>
      <c r="J28" s="291">
        <v>46122</v>
      </c>
      <c r="K28" s="292" t="s">
        <v>566</v>
      </c>
      <c r="L28" s="293">
        <v>89173476508</v>
      </c>
      <c r="M28" s="293" t="s">
        <v>565</v>
      </c>
      <c r="N28" s="294"/>
      <c r="O28" s="289"/>
      <c r="P28" s="289"/>
      <c r="Q28" s="289">
        <v>8740</v>
      </c>
      <c r="R28" s="295"/>
      <c r="S28" s="296">
        <v>127000</v>
      </c>
      <c r="T28" s="47">
        <f t="shared" si="3"/>
        <v>1109980</v>
      </c>
    </row>
    <row r="29" spans="1:20" s="49" customFormat="1" ht="13.5" customHeight="1" x14ac:dyDescent="0.3">
      <c r="A29" s="50" t="s">
        <v>296</v>
      </c>
      <c r="B29" s="43" t="s">
        <v>552</v>
      </c>
      <c r="C29" s="43" t="s">
        <v>111</v>
      </c>
      <c r="D29" s="53" t="s">
        <v>66</v>
      </c>
      <c r="E29" s="42" t="s">
        <v>105</v>
      </c>
      <c r="F29" s="52">
        <v>20000</v>
      </c>
      <c r="G29" s="50">
        <v>800</v>
      </c>
      <c r="H29" s="50" t="s">
        <v>57</v>
      </c>
      <c r="I29" s="41" t="s">
        <v>263</v>
      </c>
      <c r="J29" s="41">
        <v>46122</v>
      </c>
      <c r="K29" s="189" t="s">
        <v>298</v>
      </c>
      <c r="L29" s="85">
        <v>89115800204</v>
      </c>
      <c r="M29" s="48" t="s">
        <v>297</v>
      </c>
      <c r="N29" s="75"/>
      <c r="O29" s="52">
        <v>20000</v>
      </c>
      <c r="P29" s="52"/>
      <c r="Q29" s="43"/>
      <c r="R29" s="39" t="s">
        <v>178</v>
      </c>
      <c r="S29" s="54">
        <v>44500</v>
      </c>
      <c r="T29" s="47">
        <f t="shared" si="3"/>
        <v>890000</v>
      </c>
    </row>
    <row r="30" spans="1:20" s="49" customFormat="1" ht="27.75" customHeight="1" x14ac:dyDescent="0.3">
      <c r="A30" s="50" t="s">
        <v>559</v>
      </c>
      <c r="B30" s="50" t="s">
        <v>463</v>
      </c>
      <c r="C30" s="50" t="s">
        <v>502</v>
      </c>
      <c r="D30" s="4" t="s">
        <v>79</v>
      </c>
      <c r="E30" s="354" t="s">
        <v>503</v>
      </c>
      <c r="F30" s="50">
        <v>1200</v>
      </c>
      <c r="G30" s="50">
        <v>6</v>
      </c>
      <c r="H30" s="50" t="s">
        <v>504</v>
      </c>
      <c r="I30" s="50" t="s">
        <v>263</v>
      </c>
      <c r="J30" s="41">
        <v>46122</v>
      </c>
      <c r="K30" s="355" t="s">
        <v>564</v>
      </c>
      <c r="L30" s="356" t="s">
        <v>560</v>
      </c>
      <c r="M30" s="357" t="s">
        <v>561</v>
      </c>
      <c r="N30" s="84"/>
      <c r="O30" s="50"/>
      <c r="P30" s="50"/>
      <c r="Q30" s="50">
        <v>1200</v>
      </c>
      <c r="R30" s="358" t="s">
        <v>178</v>
      </c>
      <c r="S30" s="54">
        <v>125000</v>
      </c>
      <c r="T30" s="47">
        <f t="shared" si="3"/>
        <v>150000</v>
      </c>
    </row>
    <row r="31" spans="1:20" s="49" customFormat="1" ht="13.5" customHeight="1" x14ac:dyDescent="0.3">
      <c r="A31" s="245" t="s">
        <v>103</v>
      </c>
      <c r="B31" s="278" t="s">
        <v>530</v>
      </c>
      <c r="C31" s="278" t="s">
        <v>91</v>
      </c>
      <c r="D31" s="279" t="s">
        <v>109</v>
      </c>
      <c r="E31" s="280" t="s">
        <v>443</v>
      </c>
      <c r="F31" s="281">
        <v>20000</v>
      </c>
      <c r="G31" s="245">
        <v>800</v>
      </c>
      <c r="H31" s="245" t="s">
        <v>92</v>
      </c>
      <c r="I31" s="245" t="s">
        <v>263</v>
      </c>
      <c r="J31" s="246">
        <v>46125</v>
      </c>
      <c r="K31" s="282" t="s">
        <v>575</v>
      </c>
      <c r="L31" s="282">
        <v>89270004647</v>
      </c>
      <c r="M31" s="283" t="s">
        <v>576</v>
      </c>
      <c r="N31" s="284"/>
      <c r="O31" s="281">
        <v>20000</v>
      </c>
      <c r="P31" s="281"/>
      <c r="Q31" s="281"/>
      <c r="R31" s="285"/>
      <c r="S31" s="286">
        <v>44300</v>
      </c>
      <c r="T31" s="47">
        <f t="shared" si="3"/>
        <v>886000</v>
      </c>
    </row>
    <row r="32" spans="1:20" s="49" customFormat="1" ht="13.5" customHeight="1" x14ac:dyDescent="0.3">
      <c r="A32" s="50"/>
      <c r="B32" s="43"/>
      <c r="C32" s="43"/>
      <c r="D32" s="4"/>
      <c r="E32" s="42"/>
      <c r="F32" s="43"/>
      <c r="G32" s="50"/>
      <c r="H32" s="50"/>
      <c r="I32" s="50"/>
      <c r="J32" s="41"/>
      <c r="K32" s="256"/>
      <c r="L32" s="95"/>
      <c r="M32" s="39"/>
      <c r="N32" s="84"/>
      <c r="O32" s="43"/>
      <c r="P32" s="43"/>
      <c r="Q32" s="52"/>
      <c r="R32" s="39"/>
      <c r="S32" s="54"/>
      <c r="T32" s="47">
        <f t="shared" si="3"/>
        <v>0</v>
      </c>
    </row>
    <row r="33" spans="1:20" s="49" customFormat="1" ht="13.5" customHeight="1" x14ac:dyDescent="0.3">
      <c r="A33" s="50"/>
      <c r="B33" s="43"/>
      <c r="C33" s="43"/>
      <c r="D33" s="4"/>
      <c r="E33" s="42"/>
      <c r="F33" s="43"/>
      <c r="G33" s="50"/>
      <c r="H33" s="50"/>
      <c r="I33" s="50"/>
      <c r="J33" s="41"/>
      <c r="K33" s="256"/>
      <c r="L33" s="95"/>
      <c r="M33" s="39"/>
      <c r="N33" s="84"/>
      <c r="O33" s="43"/>
      <c r="P33" s="43"/>
      <c r="Q33" s="52"/>
      <c r="R33" s="39"/>
      <c r="S33" s="54"/>
      <c r="T33" s="47">
        <f t="shared" si="3"/>
        <v>0</v>
      </c>
    </row>
    <row r="34" spans="1:20" s="49" customFormat="1" ht="13.5" customHeight="1" x14ac:dyDescent="0.3">
      <c r="A34" s="138" t="s">
        <v>468</v>
      </c>
      <c r="B34" s="139" t="s">
        <v>571</v>
      </c>
      <c r="C34" s="139" t="s">
        <v>464</v>
      </c>
      <c r="D34" s="338" t="s">
        <v>60</v>
      </c>
      <c r="E34" s="339" t="s">
        <v>572</v>
      </c>
      <c r="F34" s="139">
        <v>16000</v>
      </c>
      <c r="G34" s="138">
        <v>80</v>
      </c>
      <c r="H34" s="138" t="s">
        <v>467</v>
      </c>
      <c r="I34" s="138"/>
      <c r="J34" s="142">
        <v>46126</v>
      </c>
      <c r="K34" s="340"/>
      <c r="L34" s="341"/>
      <c r="M34" s="146"/>
      <c r="N34" s="145" t="s">
        <v>573</v>
      </c>
      <c r="O34" s="139"/>
      <c r="P34" s="139"/>
      <c r="Q34" s="139"/>
      <c r="R34" s="146"/>
      <c r="S34" s="147">
        <v>85000</v>
      </c>
      <c r="T34" s="47">
        <f t="shared" si="3"/>
        <v>1360000</v>
      </c>
    </row>
    <row r="35" spans="1:20" s="49" customFormat="1" ht="13.5" customHeight="1" x14ac:dyDescent="0.3">
      <c r="A35" s="50"/>
      <c r="B35" s="43"/>
      <c r="C35" s="43"/>
      <c r="D35" s="4"/>
      <c r="E35" s="42"/>
      <c r="F35" s="43"/>
      <c r="G35" s="50"/>
      <c r="H35" s="50"/>
      <c r="I35" s="50"/>
      <c r="J35" s="41"/>
      <c r="K35" s="256"/>
      <c r="L35" s="95"/>
      <c r="M35" s="39"/>
      <c r="N35" s="84"/>
      <c r="O35" s="43"/>
      <c r="P35" s="43"/>
      <c r="Q35" s="52"/>
      <c r="R35" s="39"/>
      <c r="S35" s="54"/>
      <c r="T35" s="47">
        <f t="shared" si="3"/>
        <v>0</v>
      </c>
    </row>
    <row r="36" spans="1:20" s="49" customFormat="1" ht="13.5" customHeight="1" x14ac:dyDescent="0.3">
      <c r="A36" s="50"/>
      <c r="B36" s="43"/>
      <c r="C36" s="43"/>
      <c r="D36" s="4"/>
      <c r="E36" s="42"/>
      <c r="F36" s="43"/>
      <c r="G36" s="50"/>
      <c r="H36" s="50"/>
      <c r="I36" s="50"/>
      <c r="J36" s="41"/>
      <c r="K36" s="256"/>
      <c r="L36" s="95"/>
      <c r="M36" s="39"/>
      <c r="N36" s="84"/>
      <c r="O36" s="43"/>
      <c r="P36" s="43"/>
      <c r="Q36" s="52"/>
      <c r="R36" s="39"/>
      <c r="S36" s="54"/>
      <c r="T36" s="47">
        <f t="shared" si="3"/>
        <v>0</v>
      </c>
    </row>
    <row r="37" spans="1:20" s="49" customFormat="1" ht="13.5" customHeight="1" x14ac:dyDescent="0.3">
      <c r="A37" s="342" t="s">
        <v>103</v>
      </c>
      <c r="B37" s="343" t="s">
        <v>577</v>
      </c>
      <c r="C37" s="343" t="s">
        <v>578</v>
      </c>
      <c r="D37" s="344" t="s">
        <v>58</v>
      </c>
      <c r="E37" s="345" t="s">
        <v>307</v>
      </c>
      <c r="F37" s="343">
        <v>8800</v>
      </c>
      <c r="G37" s="342">
        <v>44</v>
      </c>
      <c r="H37" s="346" t="s">
        <v>57</v>
      </c>
      <c r="I37" s="342"/>
      <c r="J37" s="347">
        <v>46127</v>
      </c>
      <c r="K37" s="353">
        <v>262</v>
      </c>
      <c r="L37" s="349"/>
      <c r="M37" s="350"/>
      <c r="N37" s="351"/>
      <c r="O37" s="343"/>
      <c r="P37" s="343"/>
      <c r="Q37" s="343"/>
      <c r="R37" s="350"/>
      <c r="S37" s="352">
        <v>88400</v>
      </c>
      <c r="T37" s="47">
        <f t="shared" si="3"/>
        <v>777920</v>
      </c>
    </row>
    <row r="38" spans="1:20" s="49" customFormat="1" ht="13.5" customHeight="1" x14ac:dyDescent="0.3">
      <c r="A38" s="342" t="s">
        <v>103</v>
      </c>
      <c r="B38" s="343" t="s">
        <v>577</v>
      </c>
      <c r="C38" s="343" t="s">
        <v>578</v>
      </c>
      <c r="D38" s="344" t="s">
        <v>58</v>
      </c>
      <c r="E38" s="345" t="s">
        <v>326</v>
      </c>
      <c r="F38" s="343">
        <v>8800</v>
      </c>
      <c r="G38" s="342">
        <v>44</v>
      </c>
      <c r="H38" s="346" t="s">
        <v>57</v>
      </c>
      <c r="I38" s="342"/>
      <c r="J38" s="347">
        <v>46127</v>
      </c>
      <c r="K38" s="348"/>
      <c r="L38" s="349"/>
      <c r="M38" s="350"/>
      <c r="N38" s="351"/>
      <c r="O38" s="343"/>
      <c r="P38" s="343"/>
      <c r="Q38" s="343"/>
      <c r="R38" s="350"/>
      <c r="S38" s="352">
        <v>88400</v>
      </c>
      <c r="T38" s="47">
        <f t="shared" ref="T38" si="4">S38*F38/1000</f>
        <v>777920</v>
      </c>
    </row>
    <row r="39" spans="1:20" s="49" customFormat="1" ht="13.5" customHeight="1" x14ac:dyDescent="0.3">
      <c r="A39" s="50"/>
      <c r="B39" s="43"/>
      <c r="C39" s="43"/>
      <c r="D39" s="4"/>
      <c r="E39" s="42"/>
      <c r="F39" s="43"/>
      <c r="G39" s="50"/>
      <c r="H39" s="50"/>
      <c r="I39" s="50"/>
      <c r="J39" s="41"/>
      <c r="K39" s="256"/>
      <c r="L39" s="95"/>
      <c r="M39" s="39"/>
      <c r="N39" s="84"/>
      <c r="O39" s="43"/>
      <c r="P39" s="43"/>
      <c r="Q39" s="52"/>
      <c r="R39" s="39"/>
      <c r="S39" s="54"/>
      <c r="T39" s="47">
        <f t="shared" si="3"/>
        <v>0</v>
      </c>
    </row>
    <row r="40" spans="1:20" s="49" customFormat="1" ht="13.5" customHeight="1" x14ac:dyDescent="0.3">
      <c r="A40" s="50"/>
      <c r="B40" s="43"/>
      <c r="C40" s="43"/>
      <c r="D40" s="4"/>
      <c r="E40" s="42"/>
      <c r="F40" s="43"/>
      <c r="G40" s="50"/>
      <c r="H40" s="50"/>
      <c r="I40" s="50"/>
      <c r="J40" s="41"/>
      <c r="K40" s="256"/>
      <c r="L40" s="95"/>
      <c r="M40" s="39"/>
      <c r="N40" s="84"/>
      <c r="O40" s="43"/>
      <c r="P40" s="43"/>
      <c r="Q40" s="52"/>
      <c r="R40" s="39"/>
      <c r="S40" s="54"/>
      <c r="T40" s="47">
        <f t="shared" si="3"/>
        <v>0</v>
      </c>
    </row>
    <row r="41" spans="1:20" s="49" customFormat="1" ht="13.5" customHeight="1" x14ac:dyDescent="0.3">
      <c r="A41" s="297" t="s">
        <v>268</v>
      </c>
      <c r="B41" s="298" t="s">
        <v>512</v>
      </c>
      <c r="C41" s="298" t="s">
        <v>270</v>
      </c>
      <c r="D41" s="299" t="s">
        <v>62</v>
      </c>
      <c r="E41" s="300" t="s">
        <v>515</v>
      </c>
      <c r="F41" s="298">
        <v>14400</v>
      </c>
      <c r="G41" s="297">
        <v>80</v>
      </c>
      <c r="H41" s="297" t="s">
        <v>268</v>
      </c>
      <c r="I41" s="297"/>
      <c r="J41" s="301">
        <v>46125</v>
      </c>
      <c r="K41" s="302"/>
      <c r="L41" s="303"/>
      <c r="M41" s="304"/>
      <c r="N41" s="305"/>
      <c r="O41" s="298"/>
      <c r="P41" s="298"/>
      <c r="Q41" s="306"/>
      <c r="R41" s="304"/>
      <c r="S41" s="307">
        <v>128500</v>
      </c>
      <c r="T41" s="47">
        <f t="shared" si="3"/>
        <v>1850400</v>
      </c>
    </row>
    <row r="42" spans="1:20" s="49" customFormat="1" ht="13.5" customHeight="1" x14ac:dyDescent="0.3">
      <c r="A42" s="297" t="s">
        <v>268</v>
      </c>
      <c r="B42" s="298" t="s">
        <v>512</v>
      </c>
      <c r="C42" s="298" t="s">
        <v>270</v>
      </c>
      <c r="D42" s="299" t="s">
        <v>62</v>
      </c>
      <c r="E42" s="300" t="s">
        <v>516</v>
      </c>
      <c r="F42" s="298">
        <v>14400</v>
      </c>
      <c r="G42" s="297">
        <v>80</v>
      </c>
      <c r="H42" s="297" t="s">
        <v>268</v>
      </c>
      <c r="I42" s="297"/>
      <c r="J42" s="301">
        <v>46127</v>
      </c>
      <c r="K42" s="302"/>
      <c r="L42" s="303"/>
      <c r="M42" s="304"/>
      <c r="N42" s="305"/>
      <c r="O42" s="298"/>
      <c r="P42" s="298"/>
      <c r="Q42" s="306"/>
      <c r="R42" s="304"/>
      <c r="S42" s="307">
        <v>128500</v>
      </c>
      <c r="T42" s="47">
        <f t="shared" si="3"/>
        <v>1850400</v>
      </c>
    </row>
    <row r="43" spans="1:20" s="49" customFormat="1" ht="13.5" customHeight="1" x14ac:dyDescent="0.3">
      <c r="A43" s="297" t="s">
        <v>268</v>
      </c>
      <c r="B43" s="298" t="s">
        <v>512</v>
      </c>
      <c r="C43" s="298" t="s">
        <v>270</v>
      </c>
      <c r="D43" s="299" t="s">
        <v>62</v>
      </c>
      <c r="E43" s="300" t="s">
        <v>517</v>
      </c>
      <c r="F43" s="298">
        <v>14400</v>
      </c>
      <c r="G43" s="297">
        <v>80</v>
      </c>
      <c r="H43" s="297" t="s">
        <v>268</v>
      </c>
      <c r="I43" s="297"/>
      <c r="J43" s="301">
        <v>46127</v>
      </c>
      <c r="K43" s="302"/>
      <c r="L43" s="303"/>
      <c r="M43" s="304"/>
      <c r="N43" s="305"/>
      <c r="O43" s="298"/>
      <c r="P43" s="298"/>
      <c r="Q43" s="306"/>
      <c r="R43" s="304"/>
      <c r="S43" s="307">
        <v>128500</v>
      </c>
      <c r="T43" s="47">
        <f t="shared" si="3"/>
        <v>1850400</v>
      </c>
    </row>
    <row r="44" spans="1:20" s="49" customFormat="1" ht="13.5" customHeight="1" x14ac:dyDescent="0.3">
      <c r="A44" s="297" t="s">
        <v>268</v>
      </c>
      <c r="B44" s="298" t="s">
        <v>512</v>
      </c>
      <c r="C44" s="298" t="s">
        <v>270</v>
      </c>
      <c r="D44" s="299" t="s">
        <v>61</v>
      </c>
      <c r="E44" s="300" t="s">
        <v>519</v>
      </c>
      <c r="F44" s="298">
        <v>14400</v>
      </c>
      <c r="G44" s="297">
        <v>80</v>
      </c>
      <c r="H44" s="297" t="s">
        <v>268</v>
      </c>
      <c r="I44" s="297"/>
      <c r="J44" s="301">
        <v>46125</v>
      </c>
      <c r="K44" s="302"/>
      <c r="L44" s="303"/>
      <c r="M44" s="304"/>
      <c r="N44" s="305"/>
      <c r="O44" s="298"/>
      <c r="P44" s="298"/>
      <c r="Q44" s="306"/>
      <c r="R44" s="304"/>
      <c r="S44" s="307">
        <v>149900</v>
      </c>
      <c r="T44" s="47">
        <f t="shared" si="3"/>
        <v>2158560</v>
      </c>
    </row>
    <row r="45" spans="1:20" s="49" customFormat="1" ht="13.5" customHeight="1" x14ac:dyDescent="0.3">
      <c r="A45" s="50"/>
      <c r="B45" s="43"/>
      <c r="C45" s="43"/>
      <c r="D45" s="4"/>
      <c r="E45" s="42"/>
      <c r="F45" s="43"/>
      <c r="G45" s="50"/>
      <c r="H45" s="50"/>
      <c r="I45" s="50"/>
      <c r="J45" s="41"/>
      <c r="K45" s="256"/>
      <c r="L45" s="95"/>
      <c r="M45" s="39"/>
      <c r="N45" s="84"/>
      <c r="O45" s="43"/>
      <c r="P45" s="43"/>
      <c r="Q45" s="52"/>
      <c r="R45" s="39"/>
      <c r="S45" s="54"/>
      <c r="T45" s="47">
        <f t="shared" si="3"/>
        <v>0</v>
      </c>
    </row>
    <row r="46" spans="1:20" s="49" customFormat="1" ht="13.5" customHeight="1" x14ac:dyDescent="0.3">
      <c r="A46" s="50"/>
      <c r="B46" s="43"/>
      <c r="C46" s="43"/>
      <c r="D46" s="4"/>
      <c r="E46" s="42"/>
      <c r="F46" s="43"/>
      <c r="G46" s="50"/>
      <c r="H46" s="50"/>
      <c r="I46" s="50"/>
      <c r="J46" s="41"/>
      <c r="K46" s="256"/>
      <c r="L46" s="95"/>
      <c r="M46" s="39"/>
      <c r="N46" s="84"/>
      <c r="O46" s="43"/>
      <c r="P46" s="43"/>
      <c r="Q46" s="52"/>
      <c r="R46" s="39"/>
      <c r="S46" s="54"/>
      <c r="T46" s="47">
        <f t="shared" si="3"/>
        <v>0</v>
      </c>
    </row>
    <row r="47" spans="1:20" s="49" customFormat="1" ht="13.5" customHeight="1" x14ac:dyDescent="0.3">
      <c r="A47" s="218" t="s">
        <v>103</v>
      </c>
      <c r="B47" s="219" t="s">
        <v>412</v>
      </c>
      <c r="C47" s="219" t="s">
        <v>413</v>
      </c>
      <c r="D47" s="220" t="s">
        <v>82</v>
      </c>
      <c r="E47" s="221" t="s">
        <v>414</v>
      </c>
      <c r="F47" s="219">
        <v>9900</v>
      </c>
      <c r="G47" s="218">
        <v>180</v>
      </c>
      <c r="H47" s="218" t="s">
        <v>415</v>
      </c>
      <c r="I47" s="218" t="s">
        <v>101</v>
      </c>
      <c r="J47" s="222"/>
      <c r="K47" s="275"/>
      <c r="L47" s="276"/>
      <c r="M47" s="277"/>
      <c r="N47" s="224"/>
      <c r="O47" s="219"/>
      <c r="P47" s="219"/>
      <c r="Q47" s="225"/>
      <c r="R47" s="223"/>
      <c r="S47" s="226">
        <v>92000</v>
      </c>
      <c r="T47" s="47">
        <f t="shared" si="3"/>
        <v>910800</v>
      </c>
    </row>
    <row r="48" spans="1:20" s="49" customFormat="1" ht="13.5" customHeight="1" x14ac:dyDescent="0.3">
      <c r="A48" s="50"/>
      <c r="B48" s="43"/>
      <c r="C48" s="43"/>
      <c r="D48" s="4"/>
      <c r="E48" s="42"/>
      <c r="F48" s="43"/>
      <c r="G48" s="50"/>
      <c r="H48" s="50"/>
      <c r="I48" s="50"/>
      <c r="J48" s="41"/>
      <c r="K48" s="256"/>
      <c r="L48" s="95"/>
      <c r="M48" s="39"/>
      <c r="N48" s="84"/>
      <c r="O48" s="43"/>
      <c r="P48" s="43"/>
      <c r="Q48" s="52"/>
      <c r="R48" s="39"/>
      <c r="S48" s="54"/>
      <c r="T48" s="47">
        <f t="shared" si="3"/>
        <v>0</v>
      </c>
    </row>
    <row r="49" spans="1:20" s="49" customFormat="1" ht="13.5" customHeight="1" x14ac:dyDescent="0.3">
      <c r="A49" s="50"/>
      <c r="B49" s="43"/>
      <c r="C49" s="43"/>
      <c r="D49" s="4"/>
      <c r="E49" s="42"/>
      <c r="F49" s="43"/>
      <c r="G49" s="50"/>
      <c r="H49" s="50"/>
      <c r="I49" s="50"/>
      <c r="J49" s="41"/>
      <c r="K49" s="256"/>
      <c r="L49" s="95"/>
      <c r="M49" s="39"/>
      <c r="N49" s="84"/>
      <c r="O49" s="43"/>
      <c r="P49" s="43"/>
      <c r="Q49" s="52"/>
      <c r="R49" s="39"/>
      <c r="S49" s="54"/>
      <c r="T49" s="47">
        <f t="shared" si="3"/>
        <v>0</v>
      </c>
    </row>
    <row r="50" spans="1:20" s="49" customFormat="1" ht="13.5" customHeight="1" x14ac:dyDescent="0.3">
      <c r="A50" s="203" t="s">
        <v>103</v>
      </c>
      <c r="B50" s="204" t="s">
        <v>462</v>
      </c>
      <c r="C50" s="204" t="s">
        <v>89</v>
      </c>
      <c r="D50" s="205" t="s">
        <v>550</v>
      </c>
      <c r="E50" s="206" t="s">
        <v>340</v>
      </c>
      <c r="F50" s="207">
        <v>6912</v>
      </c>
      <c r="G50" s="203">
        <v>32</v>
      </c>
      <c r="H50" s="203" t="s">
        <v>223</v>
      </c>
      <c r="I50" s="203" t="s">
        <v>144</v>
      </c>
      <c r="J50" s="208">
        <v>46129</v>
      </c>
      <c r="K50" s="267">
        <v>194</v>
      </c>
      <c r="L50" s="209"/>
      <c r="M50" s="210"/>
      <c r="N50" s="211"/>
      <c r="O50" s="207"/>
      <c r="P50" s="207"/>
      <c r="Q50" s="207"/>
      <c r="R50" s="212"/>
      <c r="S50" s="213">
        <v>85000</v>
      </c>
      <c r="T50" s="47">
        <f t="shared" si="3"/>
        <v>587520</v>
      </c>
    </row>
    <row r="51" spans="1:20" s="49" customFormat="1" ht="13.5" customHeight="1" x14ac:dyDescent="0.3">
      <c r="A51" s="203" t="s">
        <v>103</v>
      </c>
      <c r="B51" s="204" t="s">
        <v>462</v>
      </c>
      <c r="C51" s="204" t="s">
        <v>89</v>
      </c>
      <c r="D51" s="205" t="s">
        <v>66</v>
      </c>
      <c r="E51" s="206" t="s">
        <v>341</v>
      </c>
      <c r="F51" s="207">
        <v>8000</v>
      </c>
      <c r="G51" s="203">
        <v>320</v>
      </c>
      <c r="H51" s="203" t="s">
        <v>223</v>
      </c>
      <c r="I51" s="203" t="s">
        <v>101</v>
      </c>
      <c r="J51" s="208">
        <v>46129</v>
      </c>
      <c r="K51" s="267"/>
      <c r="L51" s="209"/>
      <c r="M51" s="210"/>
      <c r="N51" s="214"/>
      <c r="O51" s="204"/>
      <c r="P51" s="204"/>
      <c r="Q51" s="207"/>
      <c r="R51" s="212"/>
      <c r="S51" s="213">
        <v>44500</v>
      </c>
      <c r="T51" s="47">
        <f t="shared" si="3"/>
        <v>356000</v>
      </c>
    </row>
    <row r="52" spans="1:20" s="49" customFormat="1" ht="13.5" customHeight="1" x14ac:dyDescent="0.3">
      <c r="A52" s="310" t="s">
        <v>103</v>
      </c>
      <c r="B52" s="311" t="s">
        <v>551</v>
      </c>
      <c r="C52" s="311" t="s">
        <v>89</v>
      </c>
      <c r="D52" s="312" t="s">
        <v>66</v>
      </c>
      <c r="E52" s="313" t="s">
        <v>341</v>
      </c>
      <c r="F52" s="314">
        <v>5000</v>
      </c>
      <c r="G52" s="310">
        <v>200</v>
      </c>
      <c r="H52" s="310" t="s">
        <v>235</v>
      </c>
      <c r="I52" s="310" t="s">
        <v>101</v>
      </c>
      <c r="J52" s="315">
        <v>46129</v>
      </c>
      <c r="K52" s="316"/>
      <c r="L52" s="317"/>
      <c r="M52" s="318"/>
      <c r="N52" s="319"/>
      <c r="O52" s="311"/>
      <c r="P52" s="311"/>
      <c r="Q52" s="314"/>
      <c r="R52" s="320"/>
      <c r="S52" s="321">
        <v>44500</v>
      </c>
      <c r="T52" s="47">
        <f t="shared" si="3"/>
        <v>222500</v>
      </c>
    </row>
    <row r="53" spans="1:20" s="49" customFormat="1" ht="13.5" customHeight="1" x14ac:dyDescent="0.3">
      <c r="A53" s="50"/>
      <c r="B53" s="43"/>
      <c r="C53" s="43"/>
      <c r="D53" s="4"/>
      <c r="E53" s="42"/>
      <c r="F53" s="43"/>
      <c r="G53" s="50"/>
      <c r="H53" s="50"/>
      <c r="I53" s="50"/>
      <c r="J53" s="41"/>
      <c r="K53" s="256"/>
      <c r="L53" s="95"/>
      <c r="M53" s="39"/>
      <c r="N53" s="84"/>
      <c r="O53" s="43"/>
      <c r="P53" s="43"/>
      <c r="Q53" s="52"/>
      <c r="R53" s="39"/>
      <c r="S53" s="54"/>
      <c r="T53" s="47">
        <f t="shared" si="3"/>
        <v>0</v>
      </c>
    </row>
    <row r="54" spans="1:20" s="49" customFormat="1" ht="13.5" customHeight="1" x14ac:dyDescent="0.3">
      <c r="A54" s="50"/>
      <c r="B54" s="43"/>
      <c r="C54" s="43"/>
      <c r="D54" s="4"/>
      <c r="E54" s="42"/>
      <c r="F54" s="43"/>
      <c r="G54" s="50"/>
      <c r="H54" s="50"/>
      <c r="I54" s="50"/>
      <c r="J54" s="41"/>
      <c r="K54" s="256"/>
      <c r="L54" s="95"/>
      <c r="M54" s="39"/>
      <c r="N54" s="84"/>
      <c r="O54" s="43"/>
      <c r="P54" s="43"/>
      <c r="Q54" s="52"/>
      <c r="R54" s="39"/>
      <c r="S54" s="54"/>
      <c r="T54" s="47">
        <f t="shared" si="3"/>
        <v>0</v>
      </c>
    </row>
    <row r="55" spans="1:20" s="49" customFormat="1" ht="13.5" customHeight="1" x14ac:dyDescent="0.3">
      <c r="A55" s="130" t="s">
        <v>103</v>
      </c>
      <c r="B55" s="131" t="s">
        <v>355</v>
      </c>
      <c r="C55" s="131" t="s">
        <v>91</v>
      </c>
      <c r="D55" s="192" t="s">
        <v>83</v>
      </c>
      <c r="E55" s="132" t="s">
        <v>108</v>
      </c>
      <c r="F55" s="193">
        <v>15200</v>
      </c>
      <c r="G55" s="130">
        <v>76</v>
      </c>
      <c r="H55" s="245" t="s">
        <v>92</v>
      </c>
      <c r="I55" s="245" t="s">
        <v>144</v>
      </c>
      <c r="J55" s="133" t="s">
        <v>574</v>
      </c>
      <c r="K55" s="194">
        <v>190</v>
      </c>
      <c r="L55" s="194"/>
      <c r="M55" s="195"/>
      <c r="N55" s="196"/>
      <c r="O55" s="193"/>
      <c r="P55" s="193"/>
      <c r="Q55" s="193"/>
      <c r="R55" s="134"/>
      <c r="S55" s="135">
        <v>122000</v>
      </c>
      <c r="T55" s="47">
        <f t="shared" si="3"/>
        <v>1854400</v>
      </c>
    </row>
    <row r="56" spans="1:20" s="49" customFormat="1" ht="13.5" customHeight="1" x14ac:dyDescent="0.3">
      <c r="A56" s="130" t="s">
        <v>103</v>
      </c>
      <c r="B56" s="131" t="s">
        <v>355</v>
      </c>
      <c r="C56" s="131" t="s">
        <v>91</v>
      </c>
      <c r="D56" s="192" t="s">
        <v>106</v>
      </c>
      <c r="E56" s="132" t="s">
        <v>343</v>
      </c>
      <c r="F56" s="193">
        <v>1440</v>
      </c>
      <c r="G56" s="130">
        <v>80</v>
      </c>
      <c r="H56" s="130" t="s">
        <v>92</v>
      </c>
      <c r="I56" s="130" t="s">
        <v>101</v>
      </c>
      <c r="J56" s="133" t="s">
        <v>574</v>
      </c>
      <c r="K56" s="194"/>
      <c r="L56" s="194"/>
      <c r="M56" s="195"/>
      <c r="N56" s="196"/>
      <c r="O56" s="193"/>
      <c r="P56" s="193"/>
      <c r="Q56" s="193"/>
      <c r="R56" s="134"/>
      <c r="S56" s="135">
        <v>220000</v>
      </c>
      <c r="T56" s="47">
        <f t="shared" si="3"/>
        <v>316800</v>
      </c>
    </row>
    <row r="57" spans="1:20" s="49" customFormat="1" ht="13.5" customHeight="1" x14ac:dyDescent="0.3">
      <c r="A57" s="130" t="s">
        <v>103</v>
      </c>
      <c r="B57" s="131" t="s">
        <v>355</v>
      </c>
      <c r="C57" s="131" t="s">
        <v>91</v>
      </c>
      <c r="D57" s="192" t="s">
        <v>59</v>
      </c>
      <c r="E57" s="132" t="s">
        <v>342</v>
      </c>
      <c r="F57" s="193">
        <v>800</v>
      </c>
      <c r="G57" s="130">
        <v>4</v>
      </c>
      <c r="H57" s="130" t="s">
        <v>92</v>
      </c>
      <c r="I57" s="130" t="s">
        <v>101</v>
      </c>
      <c r="J57" s="133" t="s">
        <v>574</v>
      </c>
      <c r="K57" s="194"/>
      <c r="L57" s="194"/>
      <c r="M57" s="195"/>
      <c r="N57" s="196"/>
      <c r="O57" s="193"/>
      <c r="P57" s="193"/>
      <c r="Q57" s="193"/>
      <c r="R57" s="134"/>
      <c r="S57" s="135">
        <v>157000</v>
      </c>
      <c r="T57" s="47">
        <f t="shared" si="3"/>
        <v>125600</v>
      </c>
    </row>
    <row r="58" spans="1:20" s="49" customFormat="1" ht="13.5" customHeight="1" x14ac:dyDescent="0.3">
      <c r="A58" s="50"/>
      <c r="B58" s="43"/>
      <c r="C58" s="43"/>
      <c r="D58" s="4"/>
      <c r="E58" s="42"/>
      <c r="F58" s="43"/>
      <c r="G58" s="50"/>
      <c r="H58" s="50"/>
      <c r="I58" s="50"/>
      <c r="J58" s="41"/>
      <c r="K58" s="256"/>
      <c r="L58" s="95"/>
      <c r="M58" s="39"/>
      <c r="N58" s="84"/>
      <c r="O58" s="43"/>
      <c r="P58" s="43"/>
      <c r="Q58" s="52"/>
      <c r="R58" s="39"/>
      <c r="S58" s="54"/>
      <c r="T58" s="47">
        <f t="shared" si="3"/>
        <v>0</v>
      </c>
    </row>
    <row r="59" spans="1:20" s="49" customFormat="1" ht="13.5" customHeight="1" x14ac:dyDescent="0.3">
      <c r="A59" s="50"/>
      <c r="B59" s="43"/>
      <c r="C59" s="43"/>
      <c r="D59" s="53"/>
      <c r="E59" s="42"/>
      <c r="F59" s="52"/>
      <c r="G59" s="50"/>
      <c r="H59" s="50"/>
      <c r="I59" s="50"/>
      <c r="J59" s="41"/>
      <c r="K59" s="308"/>
      <c r="L59" s="85"/>
      <c r="M59" s="48"/>
      <c r="N59" s="75"/>
      <c r="O59" s="52"/>
      <c r="P59" s="52"/>
      <c r="Q59" s="43"/>
      <c r="R59" s="39"/>
      <c r="S59" s="54"/>
      <c r="T59" s="47">
        <f t="shared" si="3"/>
        <v>0</v>
      </c>
    </row>
    <row r="60" spans="1:20" s="49" customFormat="1" ht="13.5" customHeight="1" x14ac:dyDescent="0.3">
      <c r="A60" s="179" t="s">
        <v>103</v>
      </c>
      <c r="B60" s="180" t="s">
        <v>553</v>
      </c>
      <c r="C60" s="180" t="s">
        <v>111</v>
      </c>
      <c r="D60" s="181" t="s">
        <v>66</v>
      </c>
      <c r="E60" s="232" t="s">
        <v>105</v>
      </c>
      <c r="F60" s="183">
        <v>20000</v>
      </c>
      <c r="G60" s="179">
        <v>800</v>
      </c>
      <c r="H60" s="179" t="s">
        <v>57</v>
      </c>
      <c r="I60" s="179" t="s">
        <v>101</v>
      </c>
      <c r="J60" s="120"/>
      <c r="K60" s="322">
        <v>263</v>
      </c>
      <c r="L60" s="233"/>
      <c r="M60" s="234"/>
      <c r="N60" s="235"/>
      <c r="O60" s="183"/>
      <c r="P60" s="183"/>
      <c r="Q60" s="180"/>
      <c r="R60" s="186"/>
      <c r="S60" s="188">
        <v>44500</v>
      </c>
      <c r="T60" s="47">
        <f t="shared" si="3"/>
        <v>890000</v>
      </c>
    </row>
    <row r="61" spans="1:20" s="49" customFormat="1" ht="13.5" customHeight="1" x14ac:dyDescent="0.3">
      <c r="A61" s="50"/>
      <c r="B61" s="43"/>
      <c r="C61" s="43"/>
      <c r="D61" s="4"/>
      <c r="E61" s="42"/>
      <c r="F61" s="43"/>
      <c r="G61" s="50"/>
      <c r="H61" s="50"/>
      <c r="I61" s="50"/>
      <c r="J61" s="41"/>
      <c r="K61" s="256"/>
      <c r="L61" s="95"/>
      <c r="M61" s="39"/>
      <c r="N61" s="84"/>
      <c r="O61" s="43"/>
      <c r="P61" s="43"/>
      <c r="Q61" s="52"/>
      <c r="R61" s="39"/>
      <c r="S61" s="54"/>
      <c r="T61" s="47">
        <f t="shared" si="3"/>
        <v>0</v>
      </c>
    </row>
    <row r="62" spans="1:20" s="49" customFormat="1" ht="13.5" customHeight="1" x14ac:dyDescent="0.3">
      <c r="A62" s="179" t="s">
        <v>103</v>
      </c>
      <c r="B62" s="180" t="s">
        <v>554</v>
      </c>
      <c r="C62" s="180" t="s">
        <v>111</v>
      </c>
      <c r="D62" s="181" t="s">
        <v>66</v>
      </c>
      <c r="E62" s="232" t="s">
        <v>105</v>
      </c>
      <c r="F62" s="183">
        <v>10000</v>
      </c>
      <c r="G62" s="179">
        <v>400</v>
      </c>
      <c r="H62" s="179" t="s">
        <v>57</v>
      </c>
      <c r="I62" s="179" t="s">
        <v>144</v>
      </c>
      <c r="J62" s="120">
        <v>46132</v>
      </c>
      <c r="K62" s="322">
        <v>263</v>
      </c>
      <c r="L62" s="233"/>
      <c r="M62" s="234"/>
      <c r="N62" s="235"/>
      <c r="O62" s="183"/>
      <c r="P62" s="183"/>
      <c r="Q62" s="180"/>
      <c r="R62" s="186"/>
      <c r="S62" s="188">
        <v>44500</v>
      </c>
      <c r="T62" s="47">
        <f t="shared" ref="T62:T82" si="5">S62*F62/1000</f>
        <v>445000</v>
      </c>
    </row>
    <row r="63" spans="1:20" s="49" customFormat="1" ht="13.5" customHeight="1" x14ac:dyDescent="0.3">
      <c r="A63" s="179" t="s">
        <v>103</v>
      </c>
      <c r="B63" s="180" t="s">
        <v>554</v>
      </c>
      <c r="C63" s="180" t="s">
        <v>111</v>
      </c>
      <c r="D63" s="181" t="s">
        <v>65</v>
      </c>
      <c r="E63" s="232" t="s">
        <v>160</v>
      </c>
      <c r="F63" s="183">
        <v>7000</v>
      </c>
      <c r="G63" s="179">
        <v>280</v>
      </c>
      <c r="H63" s="179" t="s">
        <v>57</v>
      </c>
      <c r="I63" s="179" t="s">
        <v>101</v>
      </c>
      <c r="J63" s="120">
        <v>46132</v>
      </c>
      <c r="K63" s="322"/>
      <c r="L63" s="233"/>
      <c r="M63" s="234"/>
      <c r="N63" s="235"/>
      <c r="O63" s="183"/>
      <c r="P63" s="183"/>
      <c r="Q63" s="180"/>
      <c r="R63" s="186"/>
      <c r="S63" s="188">
        <v>249000</v>
      </c>
      <c r="T63" s="47">
        <f t="shared" si="5"/>
        <v>1743000</v>
      </c>
    </row>
    <row r="64" spans="1:20" s="49" customFormat="1" ht="13.5" customHeight="1" x14ac:dyDescent="0.3">
      <c r="A64" s="179" t="s">
        <v>103</v>
      </c>
      <c r="B64" s="180" t="s">
        <v>554</v>
      </c>
      <c r="C64" s="180" t="s">
        <v>111</v>
      </c>
      <c r="D64" s="181" t="s">
        <v>63</v>
      </c>
      <c r="E64" s="232" t="s">
        <v>555</v>
      </c>
      <c r="F64" s="183">
        <v>2400</v>
      </c>
      <c r="G64" s="179">
        <v>12</v>
      </c>
      <c r="H64" s="179" t="s">
        <v>57</v>
      </c>
      <c r="I64" s="179" t="s">
        <v>144</v>
      </c>
      <c r="J64" s="120">
        <v>46132</v>
      </c>
      <c r="K64" s="322"/>
      <c r="L64" s="233"/>
      <c r="M64" s="234"/>
      <c r="N64" s="235"/>
      <c r="O64" s="183"/>
      <c r="P64" s="183"/>
      <c r="Q64" s="180"/>
      <c r="R64" s="186"/>
      <c r="S64" s="188">
        <v>105000</v>
      </c>
      <c r="T64" s="47">
        <f t="shared" si="5"/>
        <v>252000</v>
      </c>
    </row>
    <row r="65" spans="1:20" s="49" customFormat="1" ht="13.5" customHeight="1" x14ac:dyDescent="0.3">
      <c r="A65" s="50"/>
      <c r="B65" s="43"/>
      <c r="C65" s="43"/>
      <c r="D65" s="4"/>
      <c r="E65" s="42"/>
      <c r="F65" s="43"/>
      <c r="G65" s="50"/>
      <c r="H65" s="50"/>
      <c r="I65" s="50"/>
      <c r="J65" s="41"/>
      <c r="K65" s="256"/>
      <c r="L65" s="95"/>
      <c r="M65" s="39"/>
      <c r="N65" s="84"/>
      <c r="O65" s="43"/>
      <c r="P65" s="43"/>
      <c r="Q65" s="52"/>
      <c r="R65" s="39"/>
      <c r="S65" s="54"/>
      <c r="T65" s="47">
        <f t="shared" si="5"/>
        <v>0</v>
      </c>
    </row>
    <row r="66" spans="1:20" s="49" customFormat="1" ht="13.5" customHeight="1" x14ac:dyDescent="0.3">
      <c r="A66" s="50"/>
      <c r="B66" s="43"/>
      <c r="C66" s="43"/>
      <c r="D66" s="4"/>
      <c r="E66" s="42"/>
      <c r="F66" s="43"/>
      <c r="G66" s="50"/>
      <c r="H66" s="50"/>
      <c r="I66" s="50"/>
      <c r="J66" s="41"/>
      <c r="K66" s="256"/>
      <c r="L66" s="95"/>
      <c r="M66" s="39"/>
      <c r="N66" s="84"/>
      <c r="O66" s="43"/>
      <c r="P66" s="43"/>
      <c r="Q66" s="52"/>
      <c r="R66" s="39"/>
      <c r="S66" s="54"/>
      <c r="T66" s="47">
        <f t="shared" si="5"/>
        <v>0</v>
      </c>
    </row>
    <row r="67" spans="1:20" s="49" customFormat="1" ht="13.5" customHeight="1" x14ac:dyDescent="0.3">
      <c r="A67" s="323" t="s">
        <v>103</v>
      </c>
      <c r="B67" s="324" t="s">
        <v>556</v>
      </c>
      <c r="C67" s="324" t="s">
        <v>111</v>
      </c>
      <c r="D67" s="325" t="s">
        <v>66</v>
      </c>
      <c r="E67" s="326" t="s">
        <v>105</v>
      </c>
      <c r="F67" s="327">
        <v>20000</v>
      </c>
      <c r="G67" s="323">
        <v>800</v>
      </c>
      <c r="H67" s="323" t="s">
        <v>88</v>
      </c>
      <c r="I67" s="323" t="s">
        <v>101</v>
      </c>
      <c r="J67" s="328"/>
      <c r="K67" s="329">
        <v>290</v>
      </c>
      <c r="L67" s="330"/>
      <c r="M67" s="331"/>
      <c r="N67" s="332"/>
      <c r="O67" s="327"/>
      <c r="P67" s="327"/>
      <c r="Q67" s="324"/>
      <c r="R67" s="197"/>
      <c r="S67" s="333">
        <v>44500</v>
      </c>
      <c r="T67" s="47">
        <f t="shared" si="5"/>
        <v>890000</v>
      </c>
    </row>
    <row r="68" spans="1:20" s="49" customFormat="1" ht="13.5" customHeight="1" x14ac:dyDescent="0.3">
      <c r="A68" s="50"/>
      <c r="B68" s="43"/>
      <c r="C68" s="43"/>
      <c r="D68" s="4"/>
      <c r="E68" s="42"/>
      <c r="F68" s="43"/>
      <c r="G68" s="50"/>
      <c r="H68" s="50"/>
      <c r="I68" s="50"/>
      <c r="J68" s="41"/>
      <c r="K68" s="256"/>
      <c r="L68" s="95"/>
      <c r="M68" s="39"/>
      <c r="N68" s="84"/>
      <c r="O68" s="43"/>
      <c r="P68" s="43"/>
      <c r="Q68" s="52"/>
      <c r="R68" s="39"/>
      <c r="S68" s="54"/>
      <c r="T68" s="47">
        <f t="shared" si="5"/>
        <v>0</v>
      </c>
    </row>
    <row r="69" spans="1:20" s="49" customFormat="1" ht="13.5" customHeight="1" x14ac:dyDescent="0.3">
      <c r="A69" s="50"/>
      <c r="B69" s="43"/>
      <c r="C69" s="43"/>
      <c r="D69" s="4"/>
      <c r="E69" s="42"/>
      <c r="F69" s="43"/>
      <c r="G69" s="50"/>
      <c r="H69" s="50"/>
      <c r="I69" s="50"/>
      <c r="J69" s="41"/>
      <c r="K69" s="256"/>
      <c r="L69" s="95"/>
      <c r="M69" s="39"/>
      <c r="N69" s="84"/>
      <c r="O69" s="43"/>
      <c r="P69" s="43"/>
      <c r="Q69" s="52"/>
      <c r="R69" s="39"/>
      <c r="S69" s="54"/>
      <c r="T69" s="47">
        <f t="shared" si="5"/>
        <v>0</v>
      </c>
    </row>
    <row r="70" spans="1:20" s="49" customFormat="1" ht="13.5" customHeight="1" x14ac:dyDescent="0.3">
      <c r="A70" s="359" t="s">
        <v>103</v>
      </c>
      <c r="B70" s="360" t="s">
        <v>580</v>
      </c>
      <c r="C70" s="360" t="s">
        <v>111</v>
      </c>
      <c r="D70" s="361" t="s">
        <v>132</v>
      </c>
      <c r="E70" s="362" t="s">
        <v>579</v>
      </c>
      <c r="F70" s="363">
        <v>3600</v>
      </c>
      <c r="G70" s="359">
        <v>120</v>
      </c>
      <c r="H70" s="359" t="s">
        <v>57</v>
      </c>
      <c r="I70" s="359" t="s">
        <v>144</v>
      </c>
      <c r="J70" s="364">
        <v>46133</v>
      </c>
      <c r="K70" s="365"/>
      <c r="L70" s="366"/>
      <c r="M70" s="367"/>
      <c r="N70" s="368"/>
      <c r="O70" s="363"/>
      <c r="P70" s="363"/>
      <c r="Q70" s="360"/>
      <c r="R70" s="369"/>
      <c r="S70" s="370">
        <v>250000</v>
      </c>
      <c r="T70" s="47">
        <f t="shared" ref="T70" si="6">S70*F70/1000</f>
        <v>900000</v>
      </c>
    </row>
    <row r="71" spans="1:20" s="49" customFormat="1" ht="13.5" customHeight="1" x14ac:dyDescent="0.3">
      <c r="A71" s="138" t="s">
        <v>103</v>
      </c>
      <c r="B71" s="139" t="s">
        <v>125</v>
      </c>
      <c r="C71" s="139" t="s">
        <v>89</v>
      </c>
      <c r="D71" s="140" t="s">
        <v>132</v>
      </c>
      <c r="E71" s="339" t="s">
        <v>579</v>
      </c>
      <c r="F71" s="141">
        <v>5040</v>
      </c>
      <c r="G71" s="138">
        <v>168</v>
      </c>
      <c r="H71" s="138" t="s">
        <v>57</v>
      </c>
      <c r="I71" s="142" t="s">
        <v>144</v>
      </c>
      <c r="J71" s="142">
        <v>46133</v>
      </c>
      <c r="K71" s="258"/>
      <c r="L71" s="143"/>
      <c r="M71" s="144"/>
      <c r="N71" s="145"/>
      <c r="O71" s="141"/>
      <c r="P71" s="152"/>
      <c r="Q71" s="141"/>
      <c r="R71" s="146"/>
      <c r="S71" s="147">
        <v>250000</v>
      </c>
      <c r="T71" s="47">
        <f t="shared" si="5"/>
        <v>1260000</v>
      </c>
    </row>
    <row r="72" spans="1:20" s="49" customFormat="1" ht="13.5" customHeight="1" x14ac:dyDescent="0.3">
      <c r="A72" s="50"/>
      <c r="B72" s="43"/>
      <c r="C72" s="43"/>
      <c r="D72" s="4"/>
      <c r="E72" s="42"/>
      <c r="F72" s="43"/>
      <c r="G72" s="50"/>
      <c r="H72" s="50"/>
      <c r="I72" s="50"/>
      <c r="J72" s="41"/>
      <c r="K72" s="256"/>
      <c r="L72" s="95"/>
      <c r="M72" s="39"/>
      <c r="N72" s="84"/>
      <c r="O72" s="43"/>
      <c r="P72" s="43"/>
      <c r="Q72" s="52"/>
      <c r="R72" s="39"/>
      <c r="S72" s="54"/>
      <c r="T72" s="47">
        <f t="shared" si="5"/>
        <v>0</v>
      </c>
    </row>
    <row r="73" spans="1:20" s="49" customFormat="1" ht="13.5" customHeight="1" x14ac:dyDescent="0.3">
      <c r="A73" s="50"/>
      <c r="B73" s="43"/>
      <c r="C73" s="43"/>
      <c r="D73" s="53"/>
      <c r="E73" s="42"/>
      <c r="F73" s="52"/>
      <c r="G73" s="50"/>
      <c r="H73" s="50"/>
      <c r="I73" s="50"/>
      <c r="J73" s="41"/>
      <c r="K73" s="155"/>
      <c r="L73" s="155"/>
      <c r="M73" s="156"/>
      <c r="N73" s="75"/>
      <c r="O73" s="52"/>
      <c r="P73" s="52"/>
      <c r="Q73" s="52"/>
      <c r="R73" s="39"/>
      <c r="S73" s="54"/>
      <c r="T73" s="47">
        <f t="shared" si="5"/>
        <v>0</v>
      </c>
    </row>
    <row r="74" spans="1:20" s="49" customFormat="1" ht="13.5" customHeight="1" x14ac:dyDescent="0.3">
      <c r="A74" s="86" t="s">
        <v>103</v>
      </c>
      <c r="B74" s="87" t="s">
        <v>425</v>
      </c>
      <c r="C74" s="87" t="s">
        <v>90</v>
      </c>
      <c r="D74" s="88" t="s">
        <v>70</v>
      </c>
      <c r="E74" s="89" t="s">
        <v>139</v>
      </c>
      <c r="F74" s="87">
        <v>20000</v>
      </c>
      <c r="G74" s="86">
        <v>800</v>
      </c>
      <c r="H74" s="86" t="s">
        <v>57</v>
      </c>
      <c r="I74" s="90" t="s">
        <v>101</v>
      </c>
      <c r="J74" s="90" t="s">
        <v>453</v>
      </c>
      <c r="K74" s="259"/>
      <c r="L74" s="92"/>
      <c r="M74" s="91"/>
      <c r="N74" s="93"/>
      <c r="O74" s="91"/>
      <c r="P74" s="87"/>
      <c r="Q74" s="87"/>
      <c r="R74" s="91"/>
      <c r="S74" s="94">
        <v>41500</v>
      </c>
      <c r="T74" s="47">
        <f t="shared" si="5"/>
        <v>830000</v>
      </c>
    </row>
    <row r="75" spans="1:20" s="49" customFormat="1" ht="13.5" customHeight="1" x14ac:dyDescent="0.3">
      <c r="A75" s="50"/>
      <c r="B75" s="43"/>
      <c r="C75" s="43"/>
      <c r="D75" s="53"/>
      <c r="E75" s="42"/>
      <c r="F75" s="52"/>
      <c r="G75" s="50"/>
      <c r="H75" s="50"/>
      <c r="I75" s="50"/>
      <c r="J75" s="41"/>
      <c r="K75" s="155"/>
      <c r="L75" s="155"/>
      <c r="M75" s="156"/>
      <c r="N75" s="75"/>
      <c r="O75" s="52"/>
      <c r="P75" s="52"/>
      <c r="Q75" s="52"/>
      <c r="R75" s="39"/>
      <c r="S75" s="54"/>
      <c r="T75" s="47">
        <f t="shared" si="5"/>
        <v>0</v>
      </c>
    </row>
    <row r="76" spans="1:20" s="49" customFormat="1" ht="13.5" customHeight="1" x14ac:dyDescent="0.3">
      <c r="A76" s="247" t="s">
        <v>103</v>
      </c>
      <c r="B76" s="248" t="s">
        <v>454</v>
      </c>
      <c r="C76" s="248" t="s">
        <v>90</v>
      </c>
      <c r="D76" s="249" t="s">
        <v>70</v>
      </c>
      <c r="E76" s="250" t="s">
        <v>445</v>
      </c>
      <c r="F76" s="248">
        <v>20000</v>
      </c>
      <c r="G76" s="247">
        <v>800</v>
      </c>
      <c r="H76" s="247" t="s">
        <v>57</v>
      </c>
      <c r="I76" s="251" t="s">
        <v>101</v>
      </c>
      <c r="J76" s="251" t="s">
        <v>453</v>
      </c>
      <c r="K76" s="260"/>
      <c r="L76" s="253"/>
      <c r="M76" s="252"/>
      <c r="N76" s="254"/>
      <c r="O76" s="252"/>
      <c r="P76" s="248"/>
      <c r="Q76" s="248"/>
      <c r="R76" s="252"/>
      <c r="S76" s="255">
        <v>40000</v>
      </c>
      <c r="T76" s="47">
        <f t="shared" si="5"/>
        <v>800000</v>
      </c>
    </row>
    <row r="77" spans="1:20" s="49" customFormat="1" ht="13.5" customHeight="1" x14ac:dyDescent="0.3">
      <c r="A77" s="50"/>
      <c r="B77" s="43"/>
      <c r="C77" s="43"/>
      <c r="D77" s="4"/>
      <c r="E77" s="42"/>
      <c r="F77" s="43"/>
      <c r="G77" s="50"/>
      <c r="H77" s="50"/>
      <c r="I77" s="41"/>
      <c r="J77" s="41"/>
      <c r="K77" s="261"/>
      <c r="L77" s="157"/>
      <c r="M77" s="39"/>
      <c r="N77" s="84"/>
      <c r="O77" s="39"/>
      <c r="P77" s="43"/>
      <c r="Q77" s="43"/>
      <c r="R77" s="39"/>
      <c r="S77" s="54"/>
      <c r="T77" s="47">
        <f t="shared" si="5"/>
        <v>0</v>
      </c>
    </row>
    <row r="78" spans="1:20" s="49" customFormat="1" ht="13.5" customHeight="1" x14ac:dyDescent="0.3">
      <c r="A78" s="247" t="s">
        <v>103</v>
      </c>
      <c r="B78" s="248" t="s">
        <v>455</v>
      </c>
      <c r="C78" s="248" t="s">
        <v>90</v>
      </c>
      <c r="D78" s="249" t="s">
        <v>70</v>
      </c>
      <c r="E78" s="250" t="s">
        <v>456</v>
      </c>
      <c r="F78" s="248">
        <v>20000</v>
      </c>
      <c r="G78" s="247">
        <v>800</v>
      </c>
      <c r="H78" s="247" t="s">
        <v>57</v>
      </c>
      <c r="I78" s="251" t="s">
        <v>101</v>
      </c>
      <c r="J78" s="251" t="s">
        <v>453</v>
      </c>
      <c r="K78" s="260"/>
      <c r="L78" s="253"/>
      <c r="M78" s="252"/>
      <c r="N78" s="254"/>
      <c r="O78" s="252"/>
      <c r="P78" s="248"/>
      <c r="Q78" s="248"/>
      <c r="R78" s="252"/>
      <c r="S78" s="255">
        <v>40000</v>
      </c>
      <c r="T78" s="47">
        <f t="shared" si="5"/>
        <v>800000</v>
      </c>
    </row>
    <row r="79" spans="1:20" s="49" customFormat="1" ht="13.5" customHeight="1" x14ac:dyDescent="0.3">
      <c r="A79" s="50"/>
      <c r="B79" s="43"/>
      <c r="C79" s="43"/>
      <c r="D79" s="53"/>
      <c r="E79" s="42"/>
      <c r="F79" s="52"/>
      <c r="G79" s="50"/>
      <c r="H79" s="50"/>
      <c r="I79" s="50"/>
      <c r="J79" s="41"/>
      <c r="K79" s="155"/>
      <c r="L79" s="155"/>
      <c r="M79" s="156"/>
      <c r="N79" s="75"/>
      <c r="O79" s="52"/>
      <c r="P79" s="52"/>
      <c r="Q79" s="52"/>
      <c r="R79" s="39"/>
      <c r="S79" s="54"/>
      <c r="T79" s="47">
        <f t="shared" si="5"/>
        <v>0</v>
      </c>
    </row>
    <row r="80" spans="1:20" s="49" customFormat="1" ht="13.5" customHeight="1" x14ac:dyDescent="0.3">
      <c r="A80" s="50"/>
      <c r="B80" s="43"/>
      <c r="C80" s="43"/>
      <c r="D80" s="53"/>
      <c r="E80" s="42"/>
      <c r="F80" s="52"/>
      <c r="G80" s="50"/>
      <c r="H80" s="50"/>
      <c r="I80" s="50"/>
      <c r="J80" s="41"/>
      <c r="K80" s="155"/>
      <c r="L80" s="155"/>
      <c r="M80" s="156"/>
      <c r="N80" s="75"/>
      <c r="O80" s="52"/>
      <c r="P80" s="52"/>
      <c r="Q80" s="52"/>
      <c r="R80" s="39"/>
      <c r="S80" s="54"/>
      <c r="T80" s="47">
        <f t="shared" si="5"/>
        <v>0</v>
      </c>
    </row>
    <row r="81" spans="1:20" s="49" customFormat="1" ht="13.5" customHeight="1" x14ac:dyDescent="0.3">
      <c r="A81" s="179" t="s">
        <v>103</v>
      </c>
      <c r="B81" s="180" t="s">
        <v>327</v>
      </c>
      <c r="C81" s="180" t="s">
        <v>161</v>
      </c>
      <c r="D81" s="181" t="s">
        <v>52</v>
      </c>
      <c r="E81" s="182" t="s">
        <v>299</v>
      </c>
      <c r="F81" s="183"/>
      <c r="G81" s="179"/>
      <c r="H81" s="179" t="s">
        <v>162</v>
      </c>
      <c r="I81" s="184" t="s">
        <v>302</v>
      </c>
      <c r="J81" s="190">
        <v>2400</v>
      </c>
      <c r="K81" s="262">
        <v>12</v>
      </c>
      <c r="L81" s="185"/>
      <c r="M81" s="186"/>
      <c r="N81" s="187"/>
      <c r="O81" s="180"/>
      <c r="P81" s="180"/>
      <c r="Q81" s="183"/>
      <c r="R81" s="186"/>
      <c r="S81" s="188">
        <v>85500</v>
      </c>
      <c r="T81" s="47">
        <f t="shared" si="5"/>
        <v>0</v>
      </c>
    </row>
    <row r="82" spans="1:20" s="49" customFormat="1" ht="13.5" customHeight="1" x14ac:dyDescent="0.3">
      <c r="A82" s="179" t="s">
        <v>103</v>
      </c>
      <c r="B82" s="180" t="s">
        <v>327</v>
      </c>
      <c r="C82" s="180" t="s">
        <v>161</v>
      </c>
      <c r="D82" s="181" t="s">
        <v>52</v>
      </c>
      <c r="E82" s="182" t="s">
        <v>306</v>
      </c>
      <c r="F82" s="183"/>
      <c r="G82" s="179"/>
      <c r="H82" s="179" t="s">
        <v>162</v>
      </c>
      <c r="I82" s="184" t="s">
        <v>302</v>
      </c>
      <c r="J82" s="190">
        <v>6400</v>
      </c>
      <c r="K82" s="262">
        <v>32</v>
      </c>
      <c r="L82" s="185"/>
      <c r="M82" s="186"/>
      <c r="N82" s="187"/>
      <c r="O82" s="180"/>
      <c r="P82" s="180"/>
      <c r="Q82" s="183"/>
      <c r="R82" s="186"/>
      <c r="S82" s="188">
        <v>85500</v>
      </c>
      <c r="T82" s="47">
        <f t="shared" si="5"/>
        <v>0</v>
      </c>
    </row>
    <row r="83" spans="1:20" s="49" customFormat="1" ht="13.5" customHeight="1" x14ac:dyDescent="0.3">
      <c r="A83" s="179" t="s">
        <v>103</v>
      </c>
      <c r="B83" s="180" t="s">
        <v>327</v>
      </c>
      <c r="C83" s="180" t="s">
        <v>161</v>
      </c>
      <c r="D83" s="181" t="s">
        <v>52</v>
      </c>
      <c r="E83" s="182" t="s">
        <v>307</v>
      </c>
      <c r="F83" s="183"/>
      <c r="G83" s="179"/>
      <c r="H83" s="179" t="s">
        <v>162</v>
      </c>
      <c r="I83" s="184" t="s">
        <v>302</v>
      </c>
      <c r="J83" s="190">
        <v>7200</v>
      </c>
      <c r="K83" s="262">
        <v>36</v>
      </c>
      <c r="L83" s="185"/>
      <c r="M83" s="186"/>
      <c r="N83" s="187"/>
      <c r="O83" s="180"/>
      <c r="P83" s="180"/>
      <c r="Q83" s="183"/>
      <c r="R83" s="186"/>
      <c r="S83" s="188">
        <v>85500</v>
      </c>
      <c r="T83" s="47">
        <f t="shared" ref="T83:T112" si="7">S83*F83/1000</f>
        <v>0</v>
      </c>
    </row>
    <row r="84" spans="1:20" s="49" customFormat="1" ht="13.5" customHeight="1" x14ac:dyDescent="0.3">
      <c r="A84" s="179" t="s">
        <v>103</v>
      </c>
      <c r="B84" s="180" t="s">
        <v>327</v>
      </c>
      <c r="C84" s="180" t="s">
        <v>161</v>
      </c>
      <c r="D84" s="181" t="s">
        <v>52</v>
      </c>
      <c r="E84" s="182" t="s">
        <v>324</v>
      </c>
      <c r="F84" s="183"/>
      <c r="G84" s="179"/>
      <c r="H84" s="179" t="s">
        <v>162</v>
      </c>
      <c r="I84" s="184" t="s">
        <v>302</v>
      </c>
      <c r="J84" s="190">
        <v>7200</v>
      </c>
      <c r="K84" s="262">
        <v>36</v>
      </c>
      <c r="L84" s="185"/>
      <c r="M84" s="186"/>
      <c r="N84" s="187"/>
      <c r="O84" s="180"/>
      <c r="P84" s="180"/>
      <c r="Q84" s="183"/>
      <c r="R84" s="186"/>
      <c r="S84" s="188">
        <v>85500</v>
      </c>
      <c r="T84" s="47">
        <f t="shared" si="7"/>
        <v>0</v>
      </c>
    </row>
    <row r="85" spans="1:20" s="49" customFormat="1" ht="13.5" customHeight="1" x14ac:dyDescent="0.3">
      <c r="A85" s="179" t="s">
        <v>103</v>
      </c>
      <c r="B85" s="180" t="s">
        <v>327</v>
      </c>
      <c r="C85" s="180" t="s">
        <v>161</v>
      </c>
      <c r="D85" s="181" t="s">
        <v>52</v>
      </c>
      <c r="E85" s="182" t="s">
        <v>325</v>
      </c>
      <c r="F85" s="183"/>
      <c r="G85" s="179"/>
      <c r="H85" s="179" t="s">
        <v>162</v>
      </c>
      <c r="I85" s="184" t="s">
        <v>302</v>
      </c>
      <c r="J85" s="190">
        <v>6400</v>
      </c>
      <c r="K85" s="262">
        <v>32</v>
      </c>
      <c r="L85" s="185"/>
      <c r="M85" s="186"/>
      <c r="N85" s="187"/>
      <c r="O85" s="180"/>
      <c r="P85" s="180"/>
      <c r="Q85" s="183"/>
      <c r="R85" s="186"/>
      <c r="S85" s="188">
        <v>85500</v>
      </c>
      <c r="T85" s="47">
        <f t="shared" si="7"/>
        <v>0</v>
      </c>
    </row>
    <row r="86" spans="1:20" s="49" customFormat="1" ht="13.5" customHeight="1" x14ac:dyDescent="0.3">
      <c r="A86" s="179" t="s">
        <v>103</v>
      </c>
      <c r="B86" s="180" t="s">
        <v>327</v>
      </c>
      <c r="C86" s="180" t="s">
        <v>161</v>
      </c>
      <c r="D86" s="181" t="s">
        <v>52</v>
      </c>
      <c r="E86" s="182" t="s">
        <v>326</v>
      </c>
      <c r="F86" s="183"/>
      <c r="G86" s="179"/>
      <c r="H86" s="179" t="s">
        <v>162</v>
      </c>
      <c r="I86" s="184" t="s">
        <v>302</v>
      </c>
      <c r="J86" s="190">
        <v>7200</v>
      </c>
      <c r="K86" s="262">
        <v>36</v>
      </c>
      <c r="L86" s="185"/>
      <c r="M86" s="186"/>
      <c r="N86" s="187"/>
      <c r="O86" s="180"/>
      <c r="P86" s="180"/>
      <c r="Q86" s="183"/>
      <c r="R86" s="186"/>
      <c r="S86" s="188">
        <v>85500</v>
      </c>
      <c r="T86" s="47">
        <f t="shared" si="7"/>
        <v>0</v>
      </c>
    </row>
    <row r="87" spans="1:20" s="49" customFormat="1" ht="13.5" customHeight="1" x14ac:dyDescent="0.3">
      <c r="A87" s="179" t="s">
        <v>103</v>
      </c>
      <c r="B87" s="180" t="s">
        <v>327</v>
      </c>
      <c r="C87" s="180" t="s">
        <v>161</v>
      </c>
      <c r="D87" s="181" t="s">
        <v>52</v>
      </c>
      <c r="E87" s="182" t="s">
        <v>417</v>
      </c>
      <c r="F87" s="183"/>
      <c r="G87" s="179"/>
      <c r="H87" s="179" t="s">
        <v>162</v>
      </c>
      <c r="I87" s="184" t="s">
        <v>302</v>
      </c>
      <c r="J87" s="190">
        <v>5600</v>
      </c>
      <c r="K87" s="262">
        <v>28</v>
      </c>
      <c r="L87" s="185"/>
      <c r="M87" s="186"/>
      <c r="N87" s="187"/>
      <c r="O87" s="180"/>
      <c r="P87" s="180"/>
      <c r="Q87" s="183"/>
      <c r="R87" s="186"/>
      <c r="S87" s="188">
        <v>85500</v>
      </c>
      <c r="T87" s="47">
        <f t="shared" si="7"/>
        <v>0</v>
      </c>
    </row>
    <row r="88" spans="1:20" s="49" customFormat="1" ht="13.5" customHeight="1" x14ac:dyDescent="0.3">
      <c r="A88" s="179" t="s">
        <v>103</v>
      </c>
      <c r="B88" s="180" t="s">
        <v>327</v>
      </c>
      <c r="C88" s="180" t="s">
        <v>161</v>
      </c>
      <c r="D88" s="181" t="s">
        <v>52</v>
      </c>
      <c r="E88" s="182" t="s">
        <v>417</v>
      </c>
      <c r="F88" s="183"/>
      <c r="G88" s="179"/>
      <c r="H88" s="179" t="s">
        <v>162</v>
      </c>
      <c r="I88" s="184" t="s">
        <v>302</v>
      </c>
      <c r="J88" s="190">
        <v>7200</v>
      </c>
      <c r="K88" s="262">
        <v>36</v>
      </c>
      <c r="L88" s="185"/>
      <c r="M88" s="186"/>
      <c r="N88" s="187"/>
      <c r="O88" s="180"/>
      <c r="P88" s="180"/>
      <c r="Q88" s="183"/>
      <c r="R88" s="186"/>
      <c r="S88" s="188">
        <v>85500</v>
      </c>
      <c r="T88" s="47">
        <f t="shared" si="7"/>
        <v>0</v>
      </c>
    </row>
    <row r="89" spans="1:20" s="49" customFormat="1" ht="13.5" customHeight="1" x14ac:dyDescent="0.3">
      <c r="A89" s="179" t="s">
        <v>103</v>
      </c>
      <c r="B89" s="180" t="s">
        <v>327</v>
      </c>
      <c r="C89" s="180" t="s">
        <v>161</v>
      </c>
      <c r="D89" s="181" t="s">
        <v>52</v>
      </c>
      <c r="E89" s="182" t="s">
        <v>395</v>
      </c>
      <c r="F89" s="183"/>
      <c r="G89" s="179"/>
      <c r="H89" s="179" t="s">
        <v>162</v>
      </c>
      <c r="I89" s="184" t="s">
        <v>302</v>
      </c>
      <c r="J89" s="190">
        <v>7200</v>
      </c>
      <c r="K89" s="262">
        <v>36</v>
      </c>
      <c r="L89" s="185"/>
      <c r="M89" s="186"/>
      <c r="N89" s="187"/>
      <c r="O89" s="180"/>
      <c r="P89" s="180"/>
      <c r="Q89" s="183"/>
      <c r="R89" s="186"/>
      <c r="S89" s="188">
        <v>85500</v>
      </c>
      <c r="T89" s="47">
        <f t="shared" si="7"/>
        <v>0</v>
      </c>
    </row>
    <row r="90" spans="1:20" s="49" customFormat="1" ht="13.5" customHeight="1" x14ac:dyDescent="0.3">
      <c r="A90" s="179" t="s">
        <v>103</v>
      </c>
      <c r="B90" s="180" t="s">
        <v>327</v>
      </c>
      <c r="C90" s="180" t="s">
        <v>161</v>
      </c>
      <c r="D90" s="181" t="s">
        <v>52</v>
      </c>
      <c r="E90" s="182" t="s">
        <v>398</v>
      </c>
      <c r="F90" s="183"/>
      <c r="G90" s="179"/>
      <c r="H90" s="179" t="s">
        <v>162</v>
      </c>
      <c r="I90" s="184" t="s">
        <v>302</v>
      </c>
      <c r="J90" s="190">
        <v>6400</v>
      </c>
      <c r="K90" s="262">
        <v>32</v>
      </c>
      <c r="L90" s="185"/>
      <c r="M90" s="186"/>
      <c r="N90" s="187"/>
      <c r="O90" s="180"/>
      <c r="P90" s="180"/>
      <c r="Q90" s="183"/>
      <c r="R90" s="186"/>
      <c r="S90" s="188">
        <v>85500</v>
      </c>
      <c r="T90" s="47">
        <f t="shared" si="7"/>
        <v>0</v>
      </c>
    </row>
    <row r="91" spans="1:20" s="49" customFormat="1" ht="13.5" customHeight="1" x14ac:dyDescent="0.3">
      <c r="A91" s="179" t="s">
        <v>103</v>
      </c>
      <c r="B91" s="180" t="s">
        <v>327</v>
      </c>
      <c r="C91" s="180" t="s">
        <v>161</v>
      </c>
      <c r="D91" s="181" t="s">
        <v>52</v>
      </c>
      <c r="E91" s="182" t="s">
        <v>436</v>
      </c>
      <c r="F91" s="183"/>
      <c r="G91" s="179"/>
      <c r="H91" s="179" t="s">
        <v>162</v>
      </c>
      <c r="I91" s="184" t="s">
        <v>302</v>
      </c>
      <c r="J91" s="190">
        <v>6400</v>
      </c>
      <c r="K91" s="262">
        <v>32</v>
      </c>
      <c r="L91" s="185"/>
      <c r="M91" s="186"/>
      <c r="N91" s="187"/>
      <c r="O91" s="180"/>
      <c r="P91" s="180"/>
      <c r="Q91" s="183"/>
      <c r="R91" s="186"/>
      <c r="S91" s="188">
        <v>85500</v>
      </c>
      <c r="T91" s="47">
        <f t="shared" si="7"/>
        <v>0</v>
      </c>
    </row>
    <row r="92" spans="1:20" s="49" customFormat="1" ht="13.5" customHeight="1" x14ac:dyDescent="0.3">
      <c r="A92" s="179" t="s">
        <v>103</v>
      </c>
      <c r="B92" s="180" t="s">
        <v>327</v>
      </c>
      <c r="C92" s="180" t="s">
        <v>161</v>
      </c>
      <c r="D92" s="181" t="s">
        <v>52</v>
      </c>
      <c r="E92" s="182" t="s">
        <v>437</v>
      </c>
      <c r="F92" s="183"/>
      <c r="G92" s="179"/>
      <c r="H92" s="179" t="s">
        <v>162</v>
      </c>
      <c r="I92" s="184" t="s">
        <v>302</v>
      </c>
      <c r="J92" s="190">
        <v>6400</v>
      </c>
      <c r="K92" s="262">
        <v>32</v>
      </c>
      <c r="L92" s="185"/>
      <c r="M92" s="186"/>
      <c r="N92" s="187"/>
      <c r="O92" s="180"/>
      <c r="P92" s="180"/>
      <c r="Q92" s="183"/>
      <c r="R92" s="186"/>
      <c r="S92" s="188">
        <v>85500</v>
      </c>
      <c r="T92" s="47">
        <f t="shared" si="7"/>
        <v>0</v>
      </c>
    </row>
    <row r="93" spans="1:20" s="49" customFormat="1" ht="13.5" customHeight="1" x14ac:dyDescent="0.3">
      <c r="A93" s="179" t="s">
        <v>103</v>
      </c>
      <c r="B93" s="180" t="s">
        <v>327</v>
      </c>
      <c r="C93" s="180" t="s">
        <v>161</v>
      </c>
      <c r="D93" s="181" t="s">
        <v>52</v>
      </c>
      <c r="E93" s="182" t="s">
        <v>437</v>
      </c>
      <c r="F93" s="183"/>
      <c r="G93" s="179"/>
      <c r="H93" s="179" t="s">
        <v>162</v>
      </c>
      <c r="I93" s="184" t="s">
        <v>302</v>
      </c>
      <c r="J93" s="190">
        <v>6400</v>
      </c>
      <c r="K93" s="262">
        <v>32</v>
      </c>
      <c r="L93" s="185"/>
      <c r="M93" s="186"/>
      <c r="N93" s="187"/>
      <c r="O93" s="180"/>
      <c r="P93" s="180"/>
      <c r="Q93" s="183"/>
      <c r="R93" s="186"/>
      <c r="S93" s="188">
        <v>85500</v>
      </c>
      <c r="T93" s="47">
        <f t="shared" si="7"/>
        <v>0</v>
      </c>
    </row>
    <row r="94" spans="1:20" s="49" customFormat="1" ht="13.5" customHeight="1" x14ac:dyDescent="0.3">
      <c r="A94" s="179" t="s">
        <v>103</v>
      </c>
      <c r="B94" s="180" t="s">
        <v>327</v>
      </c>
      <c r="C94" s="180" t="s">
        <v>161</v>
      </c>
      <c r="D94" s="181" t="s">
        <v>52</v>
      </c>
      <c r="E94" s="182" t="s">
        <v>459</v>
      </c>
      <c r="F94" s="183"/>
      <c r="G94" s="179"/>
      <c r="H94" s="179" t="s">
        <v>162</v>
      </c>
      <c r="I94" s="184" t="s">
        <v>302</v>
      </c>
      <c r="J94" s="190">
        <v>7200</v>
      </c>
      <c r="K94" s="262">
        <v>36</v>
      </c>
      <c r="L94" s="185"/>
      <c r="M94" s="186"/>
      <c r="N94" s="187"/>
      <c r="O94" s="180"/>
      <c r="P94" s="180"/>
      <c r="Q94" s="183"/>
      <c r="R94" s="186"/>
      <c r="S94" s="188">
        <v>85500</v>
      </c>
      <c r="T94" s="47">
        <f t="shared" si="7"/>
        <v>0</v>
      </c>
    </row>
    <row r="95" spans="1:20" s="49" customFormat="1" ht="13.5" customHeight="1" x14ac:dyDescent="0.3">
      <c r="A95" s="50"/>
      <c r="B95" s="43"/>
      <c r="C95" s="43"/>
      <c r="D95" s="4"/>
      <c r="E95" s="42"/>
      <c r="F95" s="43"/>
      <c r="G95" s="50"/>
      <c r="H95" s="50"/>
      <c r="I95" s="50"/>
      <c r="J95" s="41"/>
      <c r="K95" s="263"/>
      <c r="L95" s="95"/>
      <c r="M95" s="39"/>
      <c r="N95" s="84"/>
      <c r="O95" s="43"/>
      <c r="P95" s="43"/>
      <c r="Q95" s="52"/>
      <c r="R95" s="39"/>
      <c r="S95" s="54"/>
      <c r="T95" s="47">
        <f t="shared" si="7"/>
        <v>0</v>
      </c>
    </row>
    <row r="96" spans="1:20" s="49" customFormat="1" ht="13.5" customHeight="1" x14ac:dyDescent="0.3">
      <c r="A96" s="179" t="s">
        <v>103</v>
      </c>
      <c r="B96" s="180" t="s">
        <v>328</v>
      </c>
      <c r="C96" s="180" t="s">
        <v>161</v>
      </c>
      <c r="D96" s="181" t="s">
        <v>58</v>
      </c>
      <c r="E96" s="182" t="s">
        <v>216</v>
      </c>
      <c r="F96" s="183"/>
      <c r="G96" s="179"/>
      <c r="H96" s="179" t="s">
        <v>162</v>
      </c>
      <c r="I96" s="184" t="s">
        <v>302</v>
      </c>
      <c r="J96" s="190">
        <v>2400</v>
      </c>
      <c r="K96" s="262">
        <v>12</v>
      </c>
      <c r="L96" s="185"/>
      <c r="M96" s="186"/>
      <c r="N96" s="187"/>
      <c r="O96" s="180"/>
      <c r="P96" s="180"/>
      <c r="Q96" s="183"/>
      <c r="R96" s="186"/>
      <c r="S96" s="188">
        <v>94500</v>
      </c>
      <c r="T96" s="47">
        <f t="shared" si="7"/>
        <v>0</v>
      </c>
    </row>
    <row r="97" spans="1:20" s="49" customFormat="1" ht="13.5" customHeight="1" x14ac:dyDescent="0.3">
      <c r="A97" s="179" t="s">
        <v>103</v>
      </c>
      <c r="B97" s="180" t="s">
        <v>328</v>
      </c>
      <c r="C97" s="180" t="s">
        <v>161</v>
      </c>
      <c r="D97" s="181" t="s">
        <v>58</v>
      </c>
      <c r="E97" s="182" t="s">
        <v>197</v>
      </c>
      <c r="F97" s="183"/>
      <c r="G97" s="179"/>
      <c r="H97" s="179" t="s">
        <v>162</v>
      </c>
      <c r="I97" s="184" t="s">
        <v>302</v>
      </c>
      <c r="J97" s="190">
        <v>3200</v>
      </c>
      <c r="K97" s="262">
        <v>16</v>
      </c>
      <c r="L97" s="185"/>
      <c r="M97" s="186"/>
      <c r="N97" s="187"/>
      <c r="O97" s="180"/>
      <c r="P97" s="180"/>
      <c r="Q97" s="183"/>
      <c r="R97" s="186"/>
      <c r="S97" s="188">
        <v>94500</v>
      </c>
      <c r="T97" s="47">
        <f t="shared" si="7"/>
        <v>0</v>
      </c>
    </row>
    <row r="98" spans="1:20" s="49" customFormat="1" ht="13.5" customHeight="1" x14ac:dyDescent="0.3">
      <c r="A98" s="179" t="s">
        <v>103</v>
      </c>
      <c r="B98" s="180" t="s">
        <v>328</v>
      </c>
      <c r="C98" s="180" t="s">
        <v>161</v>
      </c>
      <c r="D98" s="181" t="s">
        <v>58</v>
      </c>
      <c r="E98" s="182" t="s">
        <v>307</v>
      </c>
      <c r="F98" s="183"/>
      <c r="G98" s="179"/>
      <c r="H98" s="179" t="s">
        <v>162</v>
      </c>
      <c r="I98" s="184" t="s">
        <v>302</v>
      </c>
      <c r="J98" s="190">
        <v>8800</v>
      </c>
      <c r="K98" s="262">
        <v>44</v>
      </c>
      <c r="L98" s="185"/>
      <c r="M98" s="186"/>
      <c r="N98" s="187"/>
      <c r="O98" s="180"/>
      <c r="P98" s="180"/>
      <c r="Q98" s="183"/>
      <c r="R98" s="186"/>
      <c r="S98" s="188">
        <v>94500</v>
      </c>
      <c r="T98" s="47">
        <f t="shared" si="7"/>
        <v>0</v>
      </c>
    </row>
    <row r="99" spans="1:20" s="49" customFormat="1" ht="13.5" customHeight="1" x14ac:dyDescent="0.3">
      <c r="A99" s="179" t="s">
        <v>103</v>
      </c>
      <c r="B99" s="180" t="s">
        <v>328</v>
      </c>
      <c r="C99" s="180" t="s">
        <v>161</v>
      </c>
      <c r="D99" s="181" t="s">
        <v>58</v>
      </c>
      <c r="E99" s="182" t="s">
        <v>326</v>
      </c>
      <c r="F99" s="183"/>
      <c r="G99" s="179"/>
      <c r="H99" s="179" t="s">
        <v>162</v>
      </c>
      <c r="I99" s="184" t="s">
        <v>302</v>
      </c>
      <c r="J99" s="190">
        <v>8800</v>
      </c>
      <c r="K99" s="262">
        <v>44</v>
      </c>
      <c r="L99" s="185"/>
      <c r="M99" s="186"/>
      <c r="N99" s="187"/>
      <c r="O99" s="180"/>
      <c r="P99" s="180"/>
      <c r="Q99" s="183"/>
      <c r="R99" s="186"/>
      <c r="S99" s="188">
        <v>94500</v>
      </c>
      <c r="T99" s="47">
        <f t="shared" si="7"/>
        <v>0</v>
      </c>
    </row>
    <row r="100" spans="1:20" s="49" customFormat="1" ht="13.5" customHeight="1" x14ac:dyDescent="0.3">
      <c r="A100" s="179" t="s">
        <v>103</v>
      </c>
      <c r="B100" s="180" t="s">
        <v>328</v>
      </c>
      <c r="C100" s="180" t="s">
        <v>161</v>
      </c>
      <c r="D100" s="181" t="s">
        <v>58</v>
      </c>
      <c r="E100" s="182" t="s">
        <v>360</v>
      </c>
      <c r="F100" s="183"/>
      <c r="G100" s="179"/>
      <c r="H100" s="179" t="s">
        <v>162</v>
      </c>
      <c r="I100" s="184" t="s">
        <v>302</v>
      </c>
      <c r="J100" s="190">
        <v>8000</v>
      </c>
      <c r="K100" s="262">
        <v>40</v>
      </c>
      <c r="L100" s="185"/>
      <c r="M100" s="186"/>
      <c r="N100" s="187"/>
      <c r="O100" s="180"/>
      <c r="P100" s="180"/>
      <c r="Q100" s="183"/>
      <c r="R100" s="186"/>
      <c r="S100" s="188">
        <v>94500</v>
      </c>
      <c r="T100" s="47">
        <f t="shared" si="7"/>
        <v>0</v>
      </c>
    </row>
    <row r="101" spans="1:20" s="49" customFormat="1" ht="13.5" customHeight="1" x14ac:dyDescent="0.3">
      <c r="A101" s="179" t="s">
        <v>103</v>
      </c>
      <c r="B101" s="180" t="s">
        <v>328</v>
      </c>
      <c r="C101" s="180" t="s">
        <v>161</v>
      </c>
      <c r="D101" s="181" t="s">
        <v>58</v>
      </c>
      <c r="E101" s="182" t="s">
        <v>341</v>
      </c>
      <c r="F101" s="183"/>
      <c r="G101" s="179"/>
      <c r="H101" s="179" t="s">
        <v>162</v>
      </c>
      <c r="I101" s="184" t="s">
        <v>302</v>
      </c>
      <c r="J101" s="190">
        <v>8800</v>
      </c>
      <c r="K101" s="262">
        <v>44</v>
      </c>
      <c r="L101" s="185"/>
      <c r="M101" s="186"/>
      <c r="N101" s="187"/>
      <c r="O101" s="180"/>
      <c r="P101" s="180"/>
      <c r="Q101" s="183"/>
      <c r="R101" s="186"/>
      <c r="S101" s="188">
        <v>94500</v>
      </c>
      <c r="T101" s="47">
        <f t="shared" si="7"/>
        <v>0</v>
      </c>
    </row>
    <row r="102" spans="1:20" s="49" customFormat="1" ht="13.5" customHeight="1" x14ac:dyDescent="0.3">
      <c r="A102" s="179" t="s">
        <v>103</v>
      </c>
      <c r="B102" s="180" t="s">
        <v>328</v>
      </c>
      <c r="C102" s="180" t="s">
        <v>161</v>
      </c>
      <c r="D102" s="181" t="s">
        <v>58</v>
      </c>
      <c r="E102" s="182" t="s">
        <v>361</v>
      </c>
      <c r="F102" s="183"/>
      <c r="G102" s="179"/>
      <c r="H102" s="179" t="s">
        <v>162</v>
      </c>
      <c r="I102" s="184" t="s">
        <v>302</v>
      </c>
      <c r="J102" s="190">
        <v>8800</v>
      </c>
      <c r="K102" s="262">
        <v>44</v>
      </c>
      <c r="L102" s="185"/>
      <c r="M102" s="186"/>
      <c r="N102" s="187"/>
      <c r="O102" s="180"/>
      <c r="P102" s="180"/>
      <c r="Q102" s="183"/>
      <c r="R102" s="186"/>
      <c r="S102" s="188">
        <v>94500</v>
      </c>
      <c r="T102" s="47">
        <f t="shared" si="7"/>
        <v>0</v>
      </c>
    </row>
    <row r="103" spans="1:20" s="49" customFormat="1" ht="13.5" customHeight="1" x14ac:dyDescent="0.3">
      <c r="A103" s="179" t="s">
        <v>103</v>
      </c>
      <c r="B103" s="180" t="s">
        <v>328</v>
      </c>
      <c r="C103" s="180" t="s">
        <v>161</v>
      </c>
      <c r="D103" s="181" t="s">
        <v>58</v>
      </c>
      <c r="E103" s="182" t="s">
        <v>358</v>
      </c>
      <c r="F103" s="183"/>
      <c r="G103" s="179"/>
      <c r="H103" s="179" t="s">
        <v>162</v>
      </c>
      <c r="I103" s="184" t="s">
        <v>302</v>
      </c>
      <c r="J103" s="190">
        <v>8800</v>
      </c>
      <c r="K103" s="262">
        <v>44</v>
      </c>
      <c r="L103" s="185"/>
      <c r="M103" s="186"/>
      <c r="N103" s="187"/>
      <c r="O103" s="180"/>
      <c r="P103" s="180"/>
      <c r="Q103" s="183"/>
      <c r="R103" s="186"/>
      <c r="S103" s="188">
        <v>94500</v>
      </c>
      <c r="T103" s="47">
        <f t="shared" si="7"/>
        <v>0</v>
      </c>
    </row>
    <row r="104" spans="1:20" s="49" customFormat="1" ht="13.5" customHeight="1" x14ac:dyDescent="0.3">
      <c r="A104" s="50"/>
      <c r="B104" s="43"/>
      <c r="C104" s="43"/>
      <c r="D104" s="4"/>
      <c r="E104" s="42"/>
      <c r="F104" s="43"/>
      <c r="G104" s="50"/>
      <c r="H104" s="50"/>
      <c r="I104" s="50"/>
      <c r="J104" s="41"/>
      <c r="K104" s="256"/>
      <c r="L104" s="95"/>
      <c r="M104" s="39"/>
      <c r="N104" s="84"/>
      <c r="O104" s="43"/>
      <c r="P104" s="43"/>
      <c r="Q104" s="52"/>
      <c r="R104" s="39"/>
      <c r="S104" s="54"/>
      <c r="T104" s="47">
        <f t="shared" si="7"/>
        <v>0</v>
      </c>
    </row>
    <row r="105" spans="1:20" s="49" customFormat="1" ht="13.5" customHeight="1" x14ac:dyDescent="0.3">
      <c r="A105" s="50"/>
      <c r="B105" s="43"/>
      <c r="C105" s="43"/>
      <c r="D105" s="4"/>
      <c r="E105" s="42"/>
      <c r="F105" s="43"/>
      <c r="G105" s="50"/>
      <c r="H105" s="50"/>
      <c r="I105" s="50"/>
      <c r="J105" s="41"/>
      <c r="K105" s="256"/>
      <c r="L105" s="95"/>
      <c r="M105" s="39"/>
      <c r="N105" s="84"/>
      <c r="O105" s="43"/>
      <c r="P105" s="43"/>
      <c r="Q105" s="52"/>
      <c r="R105" s="39"/>
      <c r="S105" s="54"/>
      <c r="T105" s="47">
        <f t="shared" si="7"/>
        <v>0</v>
      </c>
    </row>
    <row r="106" spans="1:20" s="49" customFormat="1" ht="13.5" customHeight="1" x14ac:dyDescent="0.3">
      <c r="A106" s="106" t="s">
        <v>103</v>
      </c>
      <c r="B106" s="107"/>
      <c r="C106" s="107"/>
      <c r="D106" s="108" t="s">
        <v>52</v>
      </c>
      <c r="E106" s="109" t="s">
        <v>151</v>
      </c>
      <c r="F106" s="110"/>
      <c r="G106" s="106"/>
      <c r="H106" s="106" t="s">
        <v>122</v>
      </c>
      <c r="I106" s="106"/>
      <c r="J106" s="110">
        <v>4600</v>
      </c>
      <c r="K106" s="264">
        <v>23</v>
      </c>
      <c r="L106" s="153"/>
      <c r="M106" s="112"/>
      <c r="N106" s="113"/>
      <c r="O106" s="110"/>
      <c r="P106" s="107"/>
      <c r="Q106" s="110"/>
      <c r="R106" s="112"/>
      <c r="S106" s="114">
        <v>82000</v>
      </c>
      <c r="T106" s="47">
        <f t="shared" si="7"/>
        <v>0</v>
      </c>
    </row>
    <row r="107" spans="1:20" s="49" customFormat="1" ht="13.5" customHeight="1" x14ac:dyDescent="0.3">
      <c r="A107" s="106" t="s">
        <v>103</v>
      </c>
      <c r="B107" s="107"/>
      <c r="C107" s="107"/>
      <c r="D107" s="108" t="s">
        <v>52</v>
      </c>
      <c r="E107" s="109" t="s">
        <v>138</v>
      </c>
      <c r="F107" s="110"/>
      <c r="G107" s="106"/>
      <c r="H107" s="106" t="s">
        <v>122</v>
      </c>
      <c r="I107" s="110"/>
      <c r="J107" s="110">
        <v>7200</v>
      </c>
      <c r="K107" s="264">
        <v>36</v>
      </c>
      <c r="L107" s="111"/>
      <c r="M107" s="112"/>
      <c r="N107" s="113"/>
      <c r="O107" s="110"/>
      <c r="P107" s="107"/>
      <c r="Q107" s="110"/>
      <c r="R107" s="112"/>
      <c r="S107" s="114">
        <v>82000</v>
      </c>
      <c r="T107" s="47">
        <f t="shared" si="7"/>
        <v>0</v>
      </c>
    </row>
    <row r="108" spans="1:20" s="49" customFormat="1" ht="13.5" customHeight="1" x14ac:dyDescent="0.3">
      <c r="A108" s="106" t="s">
        <v>103</v>
      </c>
      <c r="B108" s="107"/>
      <c r="C108" s="107"/>
      <c r="D108" s="108" t="s">
        <v>52</v>
      </c>
      <c r="E108" s="109" t="s">
        <v>139</v>
      </c>
      <c r="F108" s="110"/>
      <c r="G108" s="106"/>
      <c r="H108" s="106" t="s">
        <v>122</v>
      </c>
      <c r="I108" s="110"/>
      <c r="J108" s="110">
        <v>6400</v>
      </c>
      <c r="K108" s="264">
        <v>32</v>
      </c>
      <c r="L108" s="111"/>
      <c r="M108" s="112"/>
      <c r="N108" s="113"/>
      <c r="O108" s="110"/>
      <c r="P108" s="107"/>
      <c r="Q108" s="110"/>
      <c r="R108" s="112"/>
      <c r="S108" s="114">
        <v>82000</v>
      </c>
      <c r="T108" s="47">
        <f t="shared" si="7"/>
        <v>0</v>
      </c>
    </row>
    <row r="109" spans="1:20" s="49" customFormat="1" ht="13.5" customHeight="1" x14ac:dyDescent="0.3">
      <c r="A109" s="106" t="s">
        <v>103</v>
      </c>
      <c r="B109" s="107"/>
      <c r="C109" s="107"/>
      <c r="D109" s="108" t="s">
        <v>52</v>
      </c>
      <c r="E109" s="109" t="s">
        <v>140</v>
      </c>
      <c r="F109" s="110"/>
      <c r="G109" s="106"/>
      <c r="H109" s="106" t="s">
        <v>122</v>
      </c>
      <c r="I109" s="110"/>
      <c r="J109" s="110">
        <v>7200</v>
      </c>
      <c r="K109" s="264">
        <v>36</v>
      </c>
      <c r="L109" s="111"/>
      <c r="M109" s="112"/>
      <c r="N109" s="113"/>
      <c r="O109" s="110"/>
      <c r="P109" s="107"/>
      <c r="Q109" s="110"/>
      <c r="R109" s="112"/>
      <c r="S109" s="114">
        <v>82000</v>
      </c>
      <c r="T109" s="47">
        <f t="shared" si="7"/>
        <v>0</v>
      </c>
    </row>
    <row r="110" spans="1:20" s="49" customFormat="1" ht="13.5" customHeight="1" x14ac:dyDescent="0.3">
      <c r="A110" s="50"/>
      <c r="B110" s="43"/>
      <c r="C110" s="43"/>
      <c r="D110" s="4"/>
      <c r="E110" s="42"/>
      <c r="F110" s="43"/>
      <c r="G110" s="50"/>
      <c r="H110" s="50"/>
      <c r="I110" s="50"/>
      <c r="J110" s="41"/>
      <c r="K110" s="256"/>
      <c r="L110" s="95"/>
      <c r="M110" s="39"/>
      <c r="N110" s="84"/>
      <c r="O110" s="43"/>
      <c r="P110" s="43"/>
      <c r="Q110" s="52"/>
      <c r="R110" s="39"/>
      <c r="S110" s="54"/>
      <c r="T110" s="47">
        <f t="shared" si="7"/>
        <v>0</v>
      </c>
    </row>
    <row r="111" spans="1:20" s="49" customFormat="1" ht="13.5" customHeight="1" x14ac:dyDescent="0.3">
      <c r="A111" s="50"/>
      <c r="B111" s="43"/>
      <c r="C111" s="43"/>
      <c r="D111" s="53"/>
      <c r="E111" s="42"/>
      <c r="F111" s="52"/>
      <c r="G111" s="50"/>
      <c r="H111" s="50"/>
      <c r="I111" s="50"/>
      <c r="J111" s="41"/>
      <c r="K111" s="128"/>
      <c r="L111" s="85"/>
      <c r="M111" s="48"/>
      <c r="N111" s="75"/>
      <c r="O111" s="52"/>
      <c r="P111" s="52"/>
      <c r="Q111" s="43"/>
      <c r="R111" s="39"/>
      <c r="S111" s="54"/>
      <c r="T111" s="47">
        <f t="shared" si="7"/>
        <v>0</v>
      </c>
    </row>
    <row r="112" spans="1:20" s="49" customFormat="1" ht="13.5" customHeight="1" x14ac:dyDescent="0.35">
      <c r="A112" s="121"/>
      <c r="B112" s="122"/>
      <c r="C112" s="122"/>
      <c r="D112" s="123"/>
      <c r="E112" s="124"/>
      <c r="F112" s="122"/>
      <c r="G112" s="121"/>
      <c r="H112" s="121"/>
      <c r="I112" s="121"/>
      <c r="J112" s="125"/>
      <c r="K112" s="121"/>
      <c r="L112" s="126"/>
      <c r="M112" s="122"/>
      <c r="N112" s="122"/>
      <c r="O112" s="122"/>
      <c r="P112" s="122"/>
      <c r="Q112" s="122"/>
      <c r="R112" s="122"/>
      <c r="S112" s="127"/>
      <c r="T112" s="47">
        <f t="shared" si="7"/>
        <v>0</v>
      </c>
    </row>
    <row r="113" spans="1:20" ht="21" customHeight="1" x14ac:dyDescent="0.35">
      <c r="A113" s="74" t="s">
        <v>14</v>
      </c>
      <c r="B113" s="57">
        <f>SUM($F$5:$F$112)/1000</f>
        <v>473.33199999999999</v>
      </c>
      <c r="C113" s="40" t="s">
        <v>13</v>
      </c>
      <c r="T113" s="127">
        <f>SUM(T5:T112)</f>
        <v>43583960</v>
      </c>
    </row>
    <row r="114" spans="1:20" ht="21" customHeight="1" x14ac:dyDescent="0.35">
      <c r="A114" s="63" t="s">
        <v>15</v>
      </c>
      <c r="B114" s="58">
        <f>$B$115+$B$116+$B$117</f>
        <v>206.84</v>
      </c>
      <c r="C114" s="1" t="s">
        <v>13</v>
      </c>
      <c r="E114" s="129"/>
      <c r="F114" s="73" t="s">
        <v>86</v>
      </c>
      <c r="G114" s="73"/>
    </row>
    <row r="115" spans="1:20" ht="23.25" customHeight="1" x14ac:dyDescent="0.35">
      <c r="A115" s="64" t="s">
        <v>16</v>
      </c>
      <c r="B115" s="56">
        <f>SUM(O5:O112)/1000</f>
        <v>97.5</v>
      </c>
      <c r="C115" s="2" t="s">
        <v>13</v>
      </c>
      <c r="D115" s="81"/>
      <c r="E115" s="228"/>
      <c r="F115" s="73" t="s">
        <v>85</v>
      </c>
      <c r="G115" s="73"/>
    </row>
    <row r="116" spans="1:20" ht="23.25" customHeight="1" x14ac:dyDescent="0.35">
      <c r="A116" s="64" t="s">
        <v>48</v>
      </c>
      <c r="B116" s="56">
        <f>SUM(P5:P112)/1000</f>
        <v>0</v>
      </c>
      <c r="C116" s="2" t="s">
        <v>13</v>
      </c>
      <c r="E116" s="79"/>
      <c r="F116" s="73" t="s">
        <v>84</v>
      </c>
      <c r="G116" s="73"/>
    </row>
    <row r="117" spans="1:20" ht="23.25" customHeight="1" x14ac:dyDescent="0.35">
      <c r="A117" s="64" t="s">
        <v>23</v>
      </c>
      <c r="B117" s="56">
        <f>SUM(Q5:Q112)/1000</f>
        <v>109.34</v>
      </c>
      <c r="C117" s="2" t="s">
        <v>13</v>
      </c>
      <c r="E117" s="80"/>
      <c r="F117" s="73" t="s">
        <v>87</v>
      </c>
    </row>
    <row r="118" spans="1:20" ht="23.25" customHeight="1" thickBot="1" x14ac:dyDescent="0.4">
      <c r="A118" s="65" t="s">
        <v>19</v>
      </c>
      <c r="B118" s="59">
        <f>$B$113-$B$114</f>
        <v>266.49199999999996</v>
      </c>
      <c r="C118" s="3" t="s">
        <v>13</v>
      </c>
      <c r="E118" s="96"/>
      <c r="F118" s="73" t="s">
        <v>107</v>
      </c>
    </row>
    <row r="119" spans="1:20" ht="23.25" customHeight="1" x14ac:dyDescent="0.3"/>
  </sheetData>
  <sheetProtection formatCells="0" formatColumns="0" formatRows="0" insertColumns="0" insertRows="0" insertHyperlinks="0" deleteColumns="0" deleteRows="0" sort="0" autoFilter="0" pivotTables="0"/>
  <autoFilter ref="D1:D118"/>
  <mergeCells count="13">
    <mergeCell ref="F2:G2"/>
    <mergeCell ref="A2:A3"/>
    <mergeCell ref="B2:B3"/>
    <mergeCell ref="C2:C3"/>
    <mergeCell ref="D2:D3"/>
    <mergeCell ref="E2:E3"/>
    <mergeCell ref="S2:S3"/>
    <mergeCell ref="H2:H3"/>
    <mergeCell ref="I2:I3"/>
    <mergeCell ref="J2:J3"/>
    <mergeCell ref="K2:M2"/>
    <mergeCell ref="O2:Q2"/>
    <mergeCell ref="R2:R3"/>
  </mergeCells>
  <phoneticPr fontId="44" type="noConversion"/>
  <pageMargins left="0.7" right="0.7" top="0.75" bottom="0.75" header="0.3" footer="0.3"/>
  <pageSetup paperSize="9" scale="36" orientation="landscape" r:id="rId1"/>
  <colBreaks count="1" manualBreakCount="1">
    <brk id="1" max="87" man="1"/>
  </col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#REF!</xm:f>
          </x14:formula1>
          <xm:sqref>D1:D36 D39:D1048576</xm:sqref>
        </x14:dataValidation>
        <x14:dataValidation type="list" allowBlank="1" showInputMessage="1" showErrorMessage="1">
          <x14:formula1>
            <xm:f>#REF!</xm:f>
          </x14:formula1>
          <xm:sqref>D37:D38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63"/>
  <sheetViews>
    <sheetView zoomScale="70" zoomScaleNormal="70" zoomScaleSheetLayoutView="70" workbookViewId="0">
      <pane ySplit="3" topLeftCell="A4" activePane="bottomLeft" state="frozen"/>
      <selection pane="bottomLeft" activeCell="M24" sqref="K24:M24"/>
    </sheetView>
  </sheetViews>
  <sheetFormatPr defaultRowHeight="14.4" x14ac:dyDescent="0.3"/>
  <cols>
    <col min="1" max="1" width="18" style="66" customWidth="1"/>
    <col min="2" max="2" width="22.33203125" customWidth="1"/>
    <col min="3" max="3" width="17" customWidth="1"/>
    <col min="4" max="4" width="48.33203125" bestFit="1" customWidth="1"/>
    <col min="5" max="5" width="28.6640625" style="78" customWidth="1"/>
    <col min="6" max="6" width="11.109375" customWidth="1"/>
    <col min="7" max="7" width="13.33203125" customWidth="1"/>
    <col min="8" max="8" width="20.109375" customWidth="1"/>
    <col min="9" max="9" width="17.109375" customWidth="1"/>
    <col min="10" max="10" width="19.33203125" customWidth="1"/>
    <col min="11" max="11" width="30.109375" customWidth="1"/>
    <col min="12" max="12" width="28.6640625" customWidth="1"/>
    <col min="13" max="13" width="23.109375" customWidth="1"/>
    <col min="14" max="14" width="18.44140625" style="67" customWidth="1"/>
    <col min="15" max="16" width="8.88671875" customWidth="1"/>
    <col min="17" max="17" width="8" customWidth="1"/>
    <col min="18" max="18" width="10.88671875" customWidth="1"/>
    <col min="19" max="19" width="12.5546875" customWidth="1"/>
    <col min="20" max="20" width="17.33203125" customWidth="1"/>
    <col min="21" max="21" width="15.44140625" customWidth="1"/>
  </cols>
  <sheetData>
    <row r="1" spans="1:20" s="45" customFormat="1" ht="17.399999999999999" x14ac:dyDescent="0.35">
      <c r="A1" s="62"/>
      <c r="B1" s="44" t="s">
        <v>47</v>
      </c>
      <c r="C1" s="51">
        <v>46082</v>
      </c>
      <c r="D1" s="44"/>
      <c r="E1" s="77"/>
      <c r="F1" s="44"/>
      <c r="H1" s="44"/>
      <c r="I1" s="44"/>
      <c r="J1" s="44"/>
      <c r="K1" s="46"/>
      <c r="L1" s="46"/>
      <c r="M1" s="46"/>
      <c r="N1" s="60"/>
      <c r="O1" s="46"/>
      <c r="P1" s="46"/>
      <c r="Q1" s="46"/>
    </row>
    <row r="2" spans="1:20" ht="25.5" customHeight="1" x14ac:dyDescent="0.3">
      <c r="A2" s="388" t="s">
        <v>53</v>
      </c>
      <c r="B2" s="390" t="s">
        <v>17</v>
      </c>
      <c r="C2" s="392" t="s">
        <v>51</v>
      </c>
      <c r="D2" s="394" t="s">
        <v>4</v>
      </c>
      <c r="E2" s="396" t="s">
        <v>5</v>
      </c>
      <c r="F2" s="386" t="s">
        <v>0</v>
      </c>
      <c r="G2" s="387"/>
      <c r="H2" s="372" t="s">
        <v>2</v>
      </c>
      <c r="I2" s="374" t="s">
        <v>3</v>
      </c>
      <c r="J2" s="376" t="s">
        <v>6</v>
      </c>
      <c r="K2" s="378" t="s">
        <v>7</v>
      </c>
      <c r="L2" s="379"/>
      <c r="M2" s="380"/>
      <c r="N2" s="61" t="s">
        <v>9</v>
      </c>
      <c r="O2" s="381" t="s">
        <v>11</v>
      </c>
      <c r="P2" s="382"/>
      <c r="Q2" s="383"/>
      <c r="R2" s="384" t="s">
        <v>46</v>
      </c>
      <c r="S2" s="371" t="s">
        <v>54</v>
      </c>
      <c r="T2" s="55"/>
    </row>
    <row r="3" spans="1:20" x14ac:dyDescent="0.3">
      <c r="A3" s="389"/>
      <c r="B3" s="391"/>
      <c r="C3" s="393"/>
      <c r="D3" s="395"/>
      <c r="E3" s="397"/>
      <c r="F3" s="68" t="s">
        <v>1</v>
      </c>
      <c r="G3" s="68" t="s">
        <v>50</v>
      </c>
      <c r="H3" s="373"/>
      <c r="I3" s="375"/>
      <c r="J3" s="377"/>
      <c r="K3" s="201" t="s">
        <v>8</v>
      </c>
      <c r="L3" s="201" t="s">
        <v>20</v>
      </c>
      <c r="M3" s="201" t="s">
        <v>10</v>
      </c>
      <c r="N3" s="69" t="s">
        <v>104</v>
      </c>
      <c r="O3" s="70" t="s">
        <v>12</v>
      </c>
      <c r="P3" s="70" t="s">
        <v>49</v>
      </c>
      <c r="Q3" s="71" t="s">
        <v>22</v>
      </c>
      <c r="R3" s="385"/>
      <c r="S3" s="371"/>
      <c r="T3" s="72" t="s">
        <v>55</v>
      </c>
    </row>
    <row r="4" spans="1:20" s="81" customFormat="1" x14ac:dyDescent="0.3">
      <c r="A4" s="97"/>
      <c r="B4" s="98"/>
      <c r="C4" s="98"/>
      <c r="D4" s="98"/>
      <c r="E4" s="99"/>
      <c r="F4" s="100"/>
      <c r="G4" s="100"/>
      <c r="H4" s="98"/>
      <c r="I4" s="98"/>
      <c r="J4" s="97"/>
      <c r="K4" s="100"/>
      <c r="L4" s="100"/>
      <c r="M4" s="100"/>
      <c r="N4" s="101"/>
      <c r="O4" s="100"/>
      <c r="P4" s="100"/>
      <c r="Q4" s="102"/>
      <c r="R4" s="103"/>
      <c r="S4" s="104"/>
      <c r="T4" s="105"/>
    </row>
    <row r="5" spans="1:20" s="49" customFormat="1" ht="13.5" customHeight="1" x14ac:dyDescent="0.3">
      <c r="A5" s="50" t="s">
        <v>185</v>
      </c>
      <c r="B5" s="43" t="s">
        <v>294</v>
      </c>
      <c r="C5" s="43" t="s">
        <v>111</v>
      </c>
      <c r="D5" s="53" t="s">
        <v>66</v>
      </c>
      <c r="E5" s="42" t="s">
        <v>105</v>
      </c>
      <c r="F5" s="52">
        <v>20000</v>
      </c>
      <c r="G5" s="50">
        <v>800</v>
      </c>
      <c r="H5" s="50" t="s">
        <v>57</v>
      </c>
      <c r="I5" s="50" t="s">
        <v>263</v>
      </c>
      <c r="J5" s="41">
        <v>46084</v>
      </c>
      <c r="K5" s="215" t="s">
        <v>309</v>
      </c>
      <c r="L5" s="85">
        <v>89216700606</v>
      </c>
      <c r="M5" s="48" t="s">
        <v>308</v>
      </c>
      <c r="N5" s="75"/>
      <c r="O5" s="52">
        <v>20000</v>
      </c>
      <c r="P5" s="52"/>
      <c r="Q5" s="43"/>
      <c r="R5" s="39" t="s">
        <v>178</v>
      </c>
      <c r="S5" s="54">
        <v>44500</v>
      </c>
      <c r="T5" s="47">
        <f t="shared" ref="T5:T44" si="0">S5*F5/1000</f>
        <v>890000</v>
      </c>
    </row>
    <row r="6" spans="1:20" s="49" customFormat="1" ht="13.5" customHeight="1" x14ac:dyDescent="0.3">
      <c r="A6" s="50" t="s">
        <v>403</v>
      </c>
      <c r="B6" s="43" t="s">
        <v>318</v>
      </c>
      <c r="C6" s="43" t="s">
        <v>316</v>
      </c>
      <c r="D6" s="4" t="s">
        <v>76</v>
      </c>
      <c r="E6" s="42" t="s">
        <v>358</v>
      </c>
      <c r="F6" s="43">
        <v>17600</v>
      </c>
      <c r="G6" s="50">
        <v>88</v>
      </c>
      <c r="H6" s="50" t="s">
        <v>317</v>
      </c>
      <c r="I6" s="50" t="s">
        <v>263</v>
      </c>
      <c r="J6" s="41">
        <v>46084</v>
      </c>
      <c r="K6" s="216" t="s">
        <v>404</v>
      </c>
      <c r="L6" s="217">
        <v>89194506037</v>
      </c>
      <c r="M6" s="39" t="s">
        <v>405</v>
      </c>
      <c r="N6" s="84"/>
      <c r="O6" s="43"/>
      <c r="P6" s="43"/>
      <c r="Q6" s="43">
        <v>17600</v>
      </c>
      <c r="R6" s="39" t="s">
        <v>178</v>
      </c>
      <c r="S6" s="54">
        <v>369000</v>
      </c>
      <c r="T6" s="47">
        <f t="shared" si="0"/>
        <v>6494400</v>
      </c>
    </row>
    <row r="7" spans="1:20" s="49" customFormat="1" ht="13.5" customHeight="1" x14ac:dyDescent="0.3">
      <c r="A7" s="50" t="s">
        <v>193</v>
      </c>
      <c r="B7" s="43" t="s">
        <v>356</v>
      </c>
      <c r="C7" s="43" t="s">
        <v>357</v>
      </c>
      <c r="D7" s="53" t="s">
        <v>68</v>
      </c>
      <c r="E7" s="42" t="s">
        <v>358</v>
      </c>
      <c r="F7" s="52">
        <v>504</v>
      </c>
      <c r="G7" s="50">
        <v>28</v>
      </c>
      <c r="H7" s="50" t="s">
        <v>193</v>
      </c>
      <c r="I7" s="50" t="s">
        <v>263</v>
      </c>
      <c r="J7" s="41">
        <v>46087</v>
      </c>
      <c r="K7" s="155" t="s">
        <v>416</v>
      </c>
      <c r="L7" s="155"/>
      <c r="M7" s="156"/>
      <c r="N7" s="75"/>
      <c r="O7" s="52"/>
      <c r="P7" s="52">
        <v>504</v>
      </c>
      <c r="Q7" s="52"/>
      <c r="R7" s="39" t="s">
        <v>178</v>
      </c>
      <c r="S7" s="54">
        <v>245000</v>
      </c>
      <c r="T7" s="47">
        <f t="shared" si="0"/>
        <v>123480</v>
      </c>
    </row>
    <row r="8" spans="1:20" s="49" customFormat="1" ht="13.5" customHeight="1" x14ac:dyDescent="0.3">
      <c r="A8" s="50" t="s">
        <v>238</v>
      </c>
      <c r="B8" s="43" t="s">
        <v>359</v>
      </c>
      <c r="C8" s="43" t="s">
        <v>91</v>
      </c>
      <c r="D8" s="53" t="s">
        <v>83</v>
      </c>
      <c r="E8" s="42" t="s">
        <v>331</v>
      </c>
      <c r="F8" s="52">
        <v>14400</v>
      </c>
      <c r="G8" s="50">
        <v>72</v>
      </c>
      <c r="H8" s="50" t="s">
        <v>315</v>
      </c>
      <c r="I8" s="50" t="s">
        <v>263</v>
      </c>
      <c r="J8" s="41">
        <v>46087</v>
      </c>
      <c r="K8" s="155" t="s">
        <v>345</v>
      </c>
      <c r="L8" s="155">
        <v>89195966929</v>
      </c>
      <c r="M8" s="156" t="s">
        <v>346</v>
      </c>
      <c r="N8" s="75"/>
      <c r="O8" s="52"/>
      <c r="P8" s="52"/>
      <c r="Q8" s="52">
        <v>14400</v>
      </c>
      <c r="R8" s="39" t="s">
        <v>178</v>
      </c>
      <c r="S8" s="54">
        <v>122000</v>
      </c>
      <c r="T8" s="47">
        <f t="shared" si="0"/>
        <v>1756800</v>
      </c>
    </row>
    <row r="9" spans="1:20" s="49" customFormat="1" ht="13.5" customHeight="1" x14ac:dyDescent="0.3">
      <c r="A9" s="50" t="s">
        <v>238</v>
      </c>
      <c r="B9" s="43" t="s">
        <v>359</v>
      </c>
      <c r="C9" s="43" t="s">
        <v>91</v>
      </c>
      <c r="D9" s="53" t="s">
        <v>106</v>
      </c>
      <c r="E9" s="42" t="s">
        <v>330</v>
      </c>
      <c r="F9" s="52">
        <v>720</v>
      </c>
      <c r="G9" s="50">
        <v>40</v>
      </c>
      <c r="H9" s="50" t="s">
        <v>315</v>
      </c>
      <c r="I9" s="50" t="s">
        <v>263</v>
      </c>
      <c r="J9" s="41">
        <v>46087</v>
      </c>
      <c r="K9" s="155" t="s">
        <v>345</v>
      </c>
      <c r="L9" s="155">
        <v>89195966929</v>
      </c>
      <c r="M9" s="156" t="s">
        <v>346</v>
      </c>
      <c r="N9" s="75"/>
      <c r="O9" s="52"/>
      <c r="P9" s="52">
        <v>720</v>
      </c>
      <c r="Q9" s="52"/>
      <c r="R9" s="39" t="s">
        <v>178</v>
      </c>
      <c r="S9" s="54">
        <v>220000</v>
      </c>
      <c r="T9" s="47">
        <f t="shared" si="0"/>
        <v>158400</v>
      </c>
    </row>
    <row r="10" spans="1:20" s="49" customFormat="1" ht="13.5" customHeight="1" x14ac:dyDescent="0.3">
      <c r="A10" s="50" t="s">
        <v>238</v>
      </c>
      <c r="B10" s="43" t="s">
        <v>359</v>
      </c>
      <c r="C10" s="43" t="s">
        <v>91</v>
      </c>
      <c r="D10" s="53" t="s">
        <v>59</v>
      </c>
      <c r="E10" s="42" t="s">
        <v>331</v>
      </c>
      <c r="F10" s="52">
        <v>1600</v>
      </c>
      <c r="G10" s="50">
        <v>8</v>
      </c>
      <c r="H10" s="50" t="s">
        <v>315</v>
      </c>
      <c r="I10" s="50" t="s">
        <v>263</v>
      </c>
      <c r="J10" s="41">
        <v>46087</v>
      </c>
      <c r="K10" s="155" t="s">
        <v>345</v>
      </c>
      <c r="L10" s="155">
        <v>89195966929</v>
      </c>
      <c r="M10" s="156" t="s">
        <v>346</v>
      </c>
      <c r="N10" s="75"/>
      <c r="O10" s="52"/>
      <c r="P10" s="52"/>
      <c r="Q10" s="52">
        <v>1600</v>
      </c>
      <c r="R10" s="39" t="s">
        <v>178</v>
      </c>
      <c r="S10" s="54">
        <v>157000</v>
      </c>
      <c r="T10" s="47">
        <f t="shared" si="0"/>
        <v>251200</v>
      </c>
    </row>
    <row r="11" spans="1:20" s="49" customFormat="1" ht="13.5" customHeight="1" x14ac:dyDescent="0.3">
      <c r="A11" s="50" t="s">
        <v>217</v>
      </c>
      <c r="B11" s="43" t="s">
        <v>311</v>
      </c>
      <c r="C11" s="43" t="s">
        <v>89</v>
      </c>
      <c r="D11" s="4" t="s">
        <v>66</v>
      </c>
      <c r="E11" s="42" t="s">
        <v>341</v>
      </c>
      <c r="F11" s="52">
        <v>20000</v>
      </c>
      <c r="G11" s="50">
        <v>800</v>
      </c>
      <c r="H11" s="50" t="s">
        <v>223</v>
      </c>
      <c r="I11" s="50" t="s">
        <v>263</v>
      </c>
      <c r="J11" s="41">
        <v>46091</v>
      </c>
      <c r="K11" s="230" t="s">
        <v>419</v>
      </c>
      <c r="L11" s="85">
        <v>89058517997</v>
      </c>
      <c r="M11" s="48" t="s">
        <v>418</v>
      </c>
      <c r="N11" s="75"/>
      <c r="O11" s="52">
        <v>20000</v>
      </c>
      <c r="P11" s="52"/>
      <c r="Q11" s="52"/>
      <c r="R11" s="39" t="s">
        <v>178</v>
      </c>
      <c r="S11" s="54">
        <v>44500</v>
      </c>
      <c r="T11" s="47">
        <f t="shared" si="0"/>
        <v>890000</v>
      </c>
    </row>
    <row r="12" spans="1:20" s="49" customFormat="1" ht="13.5" customHeight="1" x14ac:dyDescent="0.3">
      <c r="A12" s="50" t="s">
        <v>185</v>
      </c>
      <c r="B12" s="43" t="s">
        <v>396</v>
      </c>
      <c r="C12" s="43" t="s">
        <v>56</v>
      </c>
      <c r="D12" s="4" t="s">
        <v>80</v>
      </c>
      <c r="E12" s="76" t="s">
        <v>394</v>
      </c>
      <c r="F12" s="43">
        <v>7700</v>
      </c>
      <c r="G12" s="50">
        <v>44</v>
      </c>
      <c r="H12" s="50" t="s">
        <v>393</v>
      </c>
      <c r="I12" s="41" t="s">
        <v>263</v>
      </c>
      <c r="J12" s="231">
        <v>46091</v>
      </c>
      <c r="K12" s="160" t="s">
        <v>301</v>
      </c>
      <c r="L12" s="160">
        <v>89090041850</v>
      </c>
      <c r="M12" s="39" t="s">
        <v>364</v>
      </c>
      <c r="N12" s="229"/>
      <c r="O12" s="43"/>
      <c r="P12" s="43"/>
      <c r="Q12" s="43">
        <v>7700</v>
      </c>
      <c r="R12" s="197" t="s">
        <v>178</v>
      </c>
      <c r="S12" s="54">
        <v>255000</v>
      </c>
      <c r="T12" s="47">
        <f t="shared" si="0"/>
        <v>1963500</v>
      </c>
    </row>
    <row r="13" spans="1:20" s="49" customFormat="1" ht="13.5" customHeight="1" x14ac:dyDescent="0.3">
      <c r="A13" s="50" t="s">
        <v>185</v>
      </c>
      <c r="B13" s="43" t="s">
        <v>396</v>
      </c>
      <c r="C13" s="43" t="s">
        <v>56</v>
      </c>
      <c r="D13" s="4" t="s">
        <v>80</v>
      </c>
      <c r="E13" s="76" t="s">
        <v>395</v>
      </c>
      <c r="F13" s="43">
        <v>7700</v>
      </c>
      <c r="G13" s="50">
        <v>44</v>
      </c>
      <c r="H13" s="50" t="s">
        <v>393</v>
      </c>
      <c r="I13" s="41" t="s">
        <v>263</v>
      </c>
      <c r="J13" s="231">
        <v>46091</v>
      </c>
      <c r="K13" s="160" t="s">
        <v>301</v>
      </c>
      <c r="L13" s="160">
        <v>89090041850</v>
      </c>
      <c r="M13" s="39" t="s">
        <v>364</v>
      </c>
      <c r="N13" s="229"/>
      <c r="O13" s="43"/>
      <c r="P13" s="43"/>
      <c r="Q13" s="43">
        <v>7700</v>
      </c>
      <c r="R13" s="197" t="s">
        <v>178</v>
      </c>
      <c r="S13" s="54">
        <v>255000</v>
      </c>
      <c r="T13" s="47">
        <f t="shared" si="0"/>
        <v>1963500</v>
      </c>
    </row>
    <row r="14" spans="1:20" s="49" customFormat="1" ht="13.5" customHeight="1" x14ac:dyDescent="0.3">
      <c r="A14" s="50" t="s">
        <v>369</v>
      </c>
      <c r="B14" s="43" t="s">
        <v>375</v>
      </c>
      <c r="C14" s="43" t="s">
        <v>371</v>
      </c>
      <c r="D14" s="4" t="s">
        <v>63</v>
      </c>
      <c r="E14" s="42" t="s">
        <v>372</v>
      </c>
      <c r="F14" s="43">
        <v>16000</v>
      </c>
      <c r="G14" s="50">
        <v>80</v>
      </c>
      <c r="H14" s="50" t="s">
        <v>370</v>
      </c>
      <c r="I14" s="50" t="s">
        <v>263</v>
      </c>
      <c r="J14" s="41">
        <v>46092</v>
      </c>
      <c r="K14" s="83" t="s">
        <v>386</v>
      </c>
      <c r="L14" s="95"/>
      <c r="M14" s="39"/>
      <c r="N14" s="75" t="s">
        <v>400</v>
      </c>
      <c r="O14" s="43"/>
      <c r="P14" s="43"/>
      <c r="Q14" s="43">
        <v>16000</v>
      </c>
      <c r="R14" s="39" t="s">
        <v>178</v>
      </c>
      <c r="S14" s="54">
        <v>155000</v>
      </c>
      <c r="T14" s="47">
        <f t="shared" si="0"/>
        <v>2480000</v>
      </c>
    </row>
    <row r="15" spans="1:20" s="49" customFormat="1" ht="13.5" customHeight="1" x14ac:dyDescent="0.3">
      <c r="A15" s="50" t="s">
        <v>369</v>
      </c>
      <c r="B15" s="43" t="s">
        <v>376</v>
      </c>
      <c r="C15" s="43" t="s">
        <v>371</v>
      </c>
      <c r="D15" s="4" t="s">
        <v>73</v>
      </c>
      <c r="E15" s="42" t="s">
        <v>353</v>
      </c>
      <c r="F15" s="43">
        <v>6600</v>
      </c>
      <c r="G15" s="50">
        <v>330</v>
      </c>
      <c r="H15" s="50" t="s">
        <v>370</v>
      </c>
      <c r="I15" s="50" t="s">
        <v>263</v>
      </c>
      <c r="J15" s="41">
        <v>46092</v>
      </c>
      <c r="K15" s="236" t="s">
        <v>379</v>
      </c>
      <c r="L15" s="237"/>
      <c r="M15" s="39"/>
      <c r="N15" s="75" t="s">
        <v>401</v>
      </c>
      <c r="O15" s="43"/>
      <c r="P15" s="43">
        <v>6600</v>
      </c>
      <c r="Q15" s="52"/>
      <c r="R15" s="39" t="s">
        <v>178</v>
      </c>
      <c r="S15" s="54">
        <v>87500</v>
      </c>
      <c r="T15" s="47">
        <f t="shared" si="0"/>
        <v>577500</v>
      </c>
    </row>
    <row r="16" spans="1:20" s="49" customFormat="1" ht="13.5" customHeight="1" x14ac:dyDescent="0.3">
      <c r="A16" s="50" t="s">
        <v>369</v>
      </c>
      <c r="B16" s="43" t="s">
        <v>376</v>
      </c>
      <c r="C16" s="43" t="s">
        <v>371</v>
      </c>
      <c r="D16" s="4" t="s">
        <v>95</v>
      </c>
      <c r="E16" s="42" t="s">
        <v>374</v>
      </c>
      <c r="F16" s="43">
        <v>3000</v>
      </c>
      <c r="G16" s="50">
        <v>120</v>
      </c>
      <c r="H16" s="50" t="s">
        <v>370</v>
      </c>
      <c r="I16" s="50" t="s">
        <v>263</v>
      </c>
      <c r="J16" s="41">
        <v>46092</v>
      </c>
      <c r="K16" s="83" t="s">
        <v>380</v>
      </c>
      <c r="L16" s="237"/>
      <c r="M16" s="39"/>
      <c r="N16" s="75" t="s">
        <v>401</v>
      </c>
      <c r="O16" s="43"/>
      <c r="P16" s="43">
        <v>3000</v>
      </c>
      <c r="Q16" s="52"/>
      <c r="R16" s="39" t="s">
        <v>178</v>
      </c>
      <c r="S16" s="54">
        <v>206000</v>
      </c>
      <c r="T16" s="47">
        <f t="shared" si="0"/>
        <v>618000</v>
      </c>
    </row>
    <row r="17" spans="1:20" s="49" customFormat="1" ht="13.5" customHeight="1" x14ac:dyDescent="0.3">
      <c r="A17" s="50" t="s">
        <v>369</v>
      </c>
      <c r="B17" s="43" t="s">
        <v>376</v>
      </c>
      <c r="C17" s="43" t="s">
        <v>371</v>
      </c>
      <c r="D17" s="4" t="s">
        <v>93</v>
      </c>
      <c r="E17" s="42" t="s">
        <v>374</v>
      </c>
      <c r="F17" s="43">
        <v>2250</v>
      </c>
      <c r="G17" s="50">
        <v>90</v>
      </c>
      <c r="H17" s="50" t="s">
        <v>370</v>
      </c>
      <c r="I17" s="50" t="s">
        <v>263</v>
      </c>
      <c r="J17" s="41">
        <v>46092</v>
      </c>
      <c r="K17" s="83" t="s">
        <v>381</v>
      </c>
      <c r="L17" s="237"/>
      <c r="M17" s="39"/>
      <c r="N17" s="75" t="s">
        <v>401</v>
      </c>
      <c r="O17" s="43"/>
      <c r="P17" s="43">
        <v>2250</v>
      </c>
      <c r="Q17" s="52"/>
      <c r="R17" s="39" t="s">
        <v>178</v>
      </c>
      <c r="S17" s="54">
        <v>206000</v>
      </c>
      <c r="T17" s="47">
        <f t="shared" si="0"/>
        <v>463500</v>
      </c>
    </row>
    <row r="18" spans="1:20" s="49" customFormat="1" ht="13.5" customHeight="1" x14ac:dyDescent="0.3">
      <c r="A18" s="50" t="s">
        <v>369</v>
      </c>
      <c r="B18" s="43" t="s">
        <v>376</v>
      </c>
      <c r="C18" s="43" t="s">
        <v>371</v>
      </c>
      <c r="D18" s="4" t="s">
        <v>94</v>
      </c>
      <c r="E18" s="42" t="s">
        <v>374</v>
      </c>
      <c r="F18" s="43">
        <v>1250</v>
      </c>
      <c r="G18" s="50">
        <v>50</v>
      </c>
      <c r="H18" s="50" t="s">
        <v>370</v>
      </c>
      <c r="I18" s="50" t="s">
        <v>263</v>
      </c>
      <c r="J18" s="41">
        <v>46092</v>
      </c>
      <c r="K18" s="83" t="s">
        <v>385</v>
      </c>
      <c r="L18" s="237"/>
      <c r="M18" s="39"/>
      <c r="N18" s="75" t="s">
        <v>401</v>
      </c>
      <c r="O18" s="43"/>
      <c r="P18" s="43">
        <v>1250</v>
      </c>
      <c r="Q18" s="52"/>
      <c r="R18" s="39" t="s">
        <v>178</v>
      </c>
      <c r="S18" s="54">
        <v>206000</v>
      </c>
      <c r="T18" s="47">
        <f t="shared" si="0"/>
        <v>257500</v>
      </c>
    </row>
    <row r="19" spans="1:20" s="49" customFormat="1" ht="13.5" customHeight="1" x14ac:dyDescent="0.3">
      <c r="A19" s="50" t="s">
        <v>369</v>
      </c>
      <c r="B19" s="43" t="s">
        <v>377</v>
      </c>
      <c r="C19" s="43" t="s">
        <v>371</v>
      </c>
      <c r="D19" s="4" t="s">
        <v>74</v>
      </c>
      <c r="E19" s="42" t="s">
        <v>373</v>
      </c>
      <c r="F19" s="43">
        <v>11600</v>
      </c>
      <c r="G19" s="50">
        <v>580</v>
      </c>
      <c r="H19" s="50" t="s">
        <v>370</v>
      </c>
      <c r="I19" s="50" t="s">
        <v>263</v>
      </c>
      <c r="J19" s="41">
        <v>46092</v>
      </c>
      <c r="K19" s="83" t="s">
        <v>384</v>
      </c>
      <c r="L19" s="39"/>
      <c r="M19" s="39"/>
      <c r="N19" s="75" t="s">
        <v>407</v>
      </c>
      <c r="O19" s="43"/>
      <c r="P19" s="43">
        <v>11600</v>
      </c>
      <c r="Q19" s="52"/>
      <c r="R19" s="39" t="s">
        <v>178</v>
      </c>
      <c r="S19" s="54">
        <v>78500</v>
      </c>
      <c r="T19" s="47">
        <f t="shared" si="0"/>
        <v>910600</v>
      </c>
    </row>
    <row r="20" spans="1:20" s="49" customFormat="1" ht="13.5" customHeight="1" x14ac:dyDescent="0.3">
      <c r="A20" s="50" t="s">
        <v>369</v>
      </c>
      <c r="B20" s="43" t="s">
        <v>377</v>
      </c>
      <c r="C20" s="43" t="s">
        <v>371</v>
      </c>
      <c r="D20" s="4" t="s">
        <v>73</v>
      </c>
      <c r="E20" s="42" t="s">
        <v>353</v>
      </c>
      <c r="F20" s="43">
        <v>400</v>
      </c>
      <c r="G20" s="50">
        <v>20</v>
      </c>
      <c r="H20" s="50" t="s">
        <v>370</v>
      </c>
      <c r="I20" s="50" t="s">
        <v>263</v>
      </c>
      <c r="J20" s="41">
        <v>46092</v>
      </c>
      <c r="K20" s="236" t="s">
        <v>383</v>
      </c>
      <c r="L20" s="238"/>
      <c r="M20" s="39"/>
      <c r="N20" s="75" t="s">
        <v>407</v>
      </c>
      <c r="O20" s="43"/>
      <c r="P20" s="43">
        <v>400</v>
      </c>
      <c r="Q20" s="52"/>
      <c r="R20" s="39" t="s">
        <v>178</v>
      </c>
      <c r="S20" s="54">
        <v>87500</v>
      </c>
      <c r="T20" s="47">
        <f t="shared" si="0"/>
        <v>35000</v>
      </c>
    </row>
    <row r="21" spans="1:20" s="49" customFormat="1" ht="13.5" customHeight="1" x14ac:dyDescent="0.3">
      <c r="A21" s="50" t="s">
        <v>369</v>
      </c>
      <c r="B21" s="43" t="s">
        <v>378</v>
      </c>
      <c r="C21" s="43" t="s">
        <v>371</v>
      </c>
      <c r="D21" s="4" t="s">
        <v>73</v>
      </c>
      <c r="E21" s="42" t="s">
        <v>353</v>
      </c>
      <c r="F21" s="43">
        <v>12000</v>
      </c>
      <c r="G21" s="50">
        <v>600</v>
      </c>
      <c r="H21" s="50" t="s">
        <v>370</v>
      </c>
      <c r="I21" s="50" t="s">
        <v>263</v>
      </c>
      <c r="J21" s="41">
        <v>46092</v>
      </c>
      <c r="K21" s="83" t="s">
        <v>386</v>
      </c>
      <c r="L21" s="39"/>
      <c r="M21" s="39"/>
      <c r="N21" s="75" t="s">
        <v>408</v>
      </c>
      <c r="O21" s="43"/>
      <c r="P21" s="43">
        <v>12000</v>
      </c>
      <c r="Q21" s="52"/>
      <c r="R21" s="39" t="s">
        <v>178</v>
      </c>
      <c r="S21" s="54">
        <v>87500</v>
      </c>
      <c r="T21" s="47">
        <f t="shared" si="0"/>
        <v>1050000</v>
      </c>
    </row>
    <row r="22" spans="1:20" s="49" customFormat="1" ht="13.5" customHeight="1" x14ac:dyDescent="0.3">
      <c r="A22" s="50" t="s">
        <v>369</v>
      </c>
      <c r="B22" s="43" t="s">
        <v>382</v>
      </c>
      <c r="C22" s="43" t="s">
        <v>371</v>
      </c>
      <c r="D22" s="4" t="s">
        <v>74</v>
      </c>
      <c r="E22" s="42" t="s">
        <v>373</v>
      </c>
      <c r="F22" s="43">
        <v>12000</v>
      </c>
      <c r="G22" s="50">
        <v>600</v>
      </c>
      <c r="H22" s="50" t="s">
        <v>370</v>
      </c>
      <c r="I22" s="50" t="s">
        <v>263</v>
      </c>
      <c r="J22" s="41">
        <v>46092</v>
      </c>
      <c r="K22" s="83" t="s">
        <v>386</v>
      </c>
      <c r="L22" s="39"/>
      <c r="M22" s="39"/>
      <c r="N22" s="75" t="s">
        <v>409</v>
      </c>
      <c r="O22" s="43"/>
      <c r="P22" s="43">
        <v>12000</v>
      </c>
      <c r="Q22" s="52"/>
      <c r="R22" s="39" t="s">
        <v>178</v>
      </c>
      <c r="S22" s="54">
        <v>78500</v>
      </c>
      <c r="T22" s="47">
        <f t="shared" si="0"/>
        <v>942000</v>
      </c>
    </row>
    <row r="23" spans="1:20" s="49" customFormat="1" ht="13.5" customHeight="1" x14ac:dyDescent="0.3">
      <c r="A23" s="53" t="s">
        <v>193</v>
      </c>
      <c r="B23" s="52" t="s">
        <v>411</v>
      </c>
      <c r="C23" s="52" t="s">
        <v>410</v>
      </c>
      <c r="D23" s="53" t="s">
        <v>102</v>
      </c>
      <c r="E23" s="148" t="s">
        <v>422</v>
      </c>
      <c r="F23" s="52">
        <v>600</v>
      </c>
      <c r="G23" s="53">
        <v>3</v>
      </c>
      <c r="H23" s="53" t="s">
        <v>193</v>
      </c>
      <c r="I23" s="239" t="s">
        <v>263</v>
      </c>
      <c r="J23" s="239">
        <v>46094</v>
      </c>
      <c r="K23" s="240" t="s">
        <v>427</v>
      </c>
      <c r="L23" s="85">
        <v>89128578010</v>
      </c>
      <c r="M23" s="85" t="s">
        <v>426</v>
      </c>
      <c r="N23" s="241"/>
      <c r="O23" s="52"/>
      <c r="P23" s="52"/>
      <c r="Q23" s="52">
        <v>600</v>
      </c>
      <c r="R23" s="242" t="s">
        <v>178</v>
      </c>
      <c r="S23" s="243">
        <v>330000</v>
      </c>
      <c r="T23" s="47">
        <f>S23*F23/1000</f>
        <v>198000</v>
      </c>
    </row>
    <row r="24" spans="1:20" s="49" customFormat="1" ht="13.5" customHeight="1" x14ac:dyDescent="0.3">
      <c r="A24" s="50" t="s">
        <v>428</v>
      </c>
      <c r="B24" s="43" t="s">
        <v>312</v>
      </c>
      <c r="C24" s="43" t="s">
        <v>89</v>
      </c>
      <c r="D24" s="4" t="s">
        <v>66</v>
      </c>
      <c r="E24" s="42" t="s">
        <v>341</v>
      </c>
      <c r="F24" s="52">
        <v>20000</v>
      </c>
      <c r="G24" s="50">
        <v>800</v>
      </c>
      <c r="H24" s="50" t="s">
        <v>223</v>
      </c>
      <c r="I24" s="50" t="s">
        <v>263</v>
      </c>
      <c r="J24" s="41">
        <v>46098</v>
      </c>
      <c r="K24" s="189" t="s">
        <v>298</v>
      </c>
      <c r="L24" s="85">
        <v>89115800204</v>
      </c>
      <c r="M24" s="48" t="s">
        <v>297</v>
      </c>
      <c r="N24" s="75"/>
      <c r="O24" s="52">
        <v>20000</v>
      </c>
      <c r="P24" s="52"/>
      <c r="Q24" s="52"/>
      <c r="R24" s="39" t="s">
        <v>178</v>
      </c>
      <c r="S24" s="54">
        <v>44500</v>
      </c>
      <c r="T24" s="47">
        <f>S24*F24/1000</f>
        <v>890000</v>
      </c>
    </row>
    <row r="25" spans="1:20" s="49" customFormat="1" ht="13.5" customHeight="1" x14ac:dyDescent="0.3">
      <c r="A25" s="50" t="s">
        <v>296</v>
      </c>
      <c r="B25" s="43" t="s">
        <v>397</v>
      </c>
      <c r="C25" s="43" t="s">
        <v>56</v>
      </c>
      <c r="D25" s="4" t="s">
        <v>128</v>
      </c>
      <c r="E25" s="76" t="s">
        <v>398</v>
      </c>
      <c r="F25" s="43">
        <v>17500</v>
      </c>
      <c r="G25" s="50">
        <v>700</v>
      </c>
      <c r="H25" s="50" t="s">
        <v>315</v>
      </c>
      <c r="I25" s="41" t="s">
        <v>263</v>
      </c>
      <c r="J25" s="41">
        <v>46098</v>
      </c>
      <c r="K25" s="50"/>
      <c r="L25" s="268" t="s">
        <v>429</v>
      </c>
      <c r="M25" s="39"/>
      <c r="N25" s="229" t="s">
        <v>435</v>
      </c>
      <c r="O25" s="43"/>
      <c r="P25" s="43">
        <v>17500</v>
      </c>
      <c r="Q25" s="43"/>
      <c r="R25" s="197" t="s">
        <v>178</v>
      </c>
      <c r="S25" s="54">
        <v>265000</v>
      </c>
      <c r="T25" s="47">
        <f t="shared" si="0"/>
        <v>4637500</v>
      </c>
    </row>
    <row r="26" spans="1:20" s="49" customFormat="1" ht="13.5" customHeight="1" x14ac:dyDescent="0.3">
      <c r="A26" s="50" t="s">
        <v>227</v>
      </c>
      <c r="B26" s="43" t="s">
        <v>313</v>
      </c>
      <c r="C26" s="43" t="s">
        <v>89</v>
      </c>
      <c r="D26" s="4" t="s">
        <v>66</v>
      </c>
      <c r="E26" s="42" t="s">
        <v>341</v>
      </c>
      <c r="F26" s="52">
        <v>20000</v>
      </c>
      <c r="G26" s="50">
        <v>800</v>
      </c>
      <c r="H26" s="50" t="s">
        <v>223</v>
      </c>
      <c r="I26" s="50" t="s">
        <v>263</v>
      </c>
      <c r="J26" s="41">
        <v>46099</v>
      </c>
      <c r="K26" s="269" t="s">
        <v>438</v>
      </c>
      <c r="L26" s="85">
        <v>89177372854</v>
      </c>
      <c r="M26" s="48" t="s">
        <v>439</v>
      </c>
      <c r="N26" s="75"/>
      <c r="O26" s="52">
        <v>20000</v>
      </c>
      <c r="P26" s="52"/>
      <c r="Q26" s="52"/>
      <c r="R26" s="39" t="s">
        <v>178</v>
      </c>
      <c r="S26" s="54">
        <v>44500</v>
      </c>
      <c r="T26" s="47">
        <f t="shared" si="0"/>
        <v>890000</v>
      </c>
    </row>
    <row r="27" spans="1:20" s="49" customFormat="1" ht="13.5" customHeight="1" x14ac:dyDescent="0.3">
      <c r="A27" s="50" t="s">
        <v>110</v>
      </c>
      <c r="B27" s="43" t="s">
        <v>420</v>
      </c>
      <c r="C27" s="43" t="s">
        <v>56</v>
      </c>
      <c r="D27" s="4" t="s">
        <v>81</v>
      </c>
      <c r="E27" s="76" t="s">
        <v>112</v>
      </c>
      <c r="F27" s="43">
        <v>4375</v>
      </c>
      <c r="G27" s="50">
        <v>175</v>
      </c>
      <c r="H27" s="50" t="s">
        <v>421</v>
      </c>
      <c r="I27" s="41" t="s">
        <v>263</v>
      </c>
      <c r="J27" s="231">
        <v>46099</v>
      </c>
      <c r="K27" s="160" t="s">
        <v>441</v>
      </c>
      <c r="L27" s="257">
        <v>89815516137</v>
      </c>
      <c r="M27" s="39" t="s">
        <v>440</v>
      </c>
      <c r="N27" s="229" t="s">
        <v>451</v>
      </c>
      <c r="O27" s="43">
        <v>4375</v>
      </c>
      <c r="P27" s="43"/>
      <c r="Q27" s="43"/>
      <c r="R27" s="197" t="s">
        <v>178</v>
      </c>
      <c r="S27" s="54">
        <v>41000</v>
      </c>
      <c r="T27" s="47">
        <f t="shared" si="0"/>
        <v>179375</v>
      </c>
    </row>
    <row r="28" spans="1:20" s="49" customFormat="1" ht="13.5" customHeight="1" x14ac:dyDescent="0.3">
      <c r="A28" s="50" t="s">
        <v>110</v>
      </c>
      <c r="B28" s="43" t="s">
        <v>420</v>
      </c>
      <c r="C28" s="43" t="s">
        <v>56</v>
      </c>
      <c r="D28" s="4" t="s">
        <v>81</v>
      </c>
      <c r="E28" s="76" t="s">
        <v>113</v>
      </c>
      <c r="F28" s="43">
        <v>4375</v>
      </c>
      <c r="G28" s="50">
        <v>175</v>
      </c>
      <c r="H28" s="50" t="s">
        <v>421</v>
      </c>
      <c r="I28" s="41" t="s">
        <v>263</v>
      </c>
      <c r="J28" s="231">
        <v>46099</v>
      </c>
      <c r="K28" s="160" t="s">
        <v>441</v>
      </c>
      <c r="L28" s="257">
        <v>89815516137</v>
      </c>
      <c r="M28" s="39" t="s">
        <v>440</v>
      </c>
      <c r="N28" s="229" t="s">
        <v>451</v>
      </c>
      <c r="O28" s="43">
        <v>4375</v>
      </c>
      <c r="P28" s="43"/>
      <c r="Q28" s="43"/>
      <c r="R28" s="197" t="s">
        <v>178</v>
      </c>
      <c r="S28" s="54">
        <v>41000</v>
      </c>
      <c r="T28" s="47">
        <f t="shared" si="0"/>
        <v>179375</v>
      </c>
    </row>
    <row r="29" spans="1:20" s="49" customFormat="1" ht="13.5" customHeight="1" x14ac:dyDescent="0.3">
      <c r="A29" s="50" t="s">
        <v>110</v>
      </c>
      <c r="B29" s="43" t="s">
        <v>420</v>
      </c>
      <c r="C29" s="43" t="s">
        <v>56</v>
      </c>
      <c r="D29" s="4" t="s">
        <v>81</v>
      </c>
      <c r="E29" s="76" t="s">
        <v>114</v>
      </c>
      <c r="F29" s="43">
        <v>4375</v>
      </c>
      <c r="G29" s="50">
        <v>175</v>
      </c>
      <c r="H29" s="50" t="s">
        <v>421</v>
      </c>
      <c r="I29" s="41" t="s">
        <v>263</v>
      </c>
      <c r="J29" s="231">
        <v>46099</v>
      </c>
      <c r="K29" s="160" t="s">
        <v>441</v>
      </c>
      <c r="L29" s="257">
        <v>89815516137</v>
      </c>
      <c r="M29" s="39" t="s">
        <v>440</v>
      </c>
      <c r="N29" s="229" t="s">
        <v>451</v>
      </c>
      <c r="O29" s="43">
        <v>4375</v>
      </c>
      <c r="P29" s="43"/>
      <c r="Q29" s="43"/>
      <c r="R29" s="197" t="s">
        <v>178</v>
      </c>
      <c r="S29" s="54">
        <v>41000</v>
      </c>
      <c r="T29" s="47">
        <f t="shared" si="0"/>
        <v>179375</v>
      </c>
    </row>
    <row r="30" spans="1:20" s="49" customFormat="1" ht="13.5" customHeight="1" x14ac:dyDescent="0.3">
      <c r="A30" s="50" t="s">
        <v>110</v>
      </c>
      <c r="B30" s="43" t="s">
        <v>420</v>
      </c>
      <c r="C30" s="43" t="s">
        <v>56</v>
      </c>
      <c r="D30" s="4" t="s">
        <v>81</v>
      </c>
      <c r="E30" s="76" t="s">
        <v>115</v>
      </c>
      <c r="F30" s="43">
        <v>4375</v>
      </c>
      <c r="G30" s="50">
        <v>175</v>
      </c>
      <c r="H30" s="50" t="s">
        <v>421</v>
      </c>
      <c r="I30" s="41" t="s">
        <v>263</v>
      </c>
      <c r="J30" s="231">
        <v>46099</v>
      </c>
      <c r="K30" s="160" t="s">
        <v>441</v>
      </c>
      <c r="L30" s="257">
        <v>89815516137</v>
      </c>
      <c r="M30" s="39" t="s">
        <v>440</v>
      </c>
      <c r="N30" s="229" t="s">
        <v>451</v>
      </c>
      <c r="O30" s="43">
        <v>4375</v>
      </c>
      <c r="P30" s="43"/>
      <c r="Q30" s="43"/>
      <c r="R30" s="197" t="s">
        <v>178</v>
      </c>
      <c r="S30" s="54">
        <v>41000</v>
      </c>
      <c r="T30" s="47">
        <f t="shared" si="0"/>
        <v>179375</v>
      </c>
    </row>
    <row r="31" spans="1:20" s="49" customFormat="1" ht="13.5" customHeight="1" x14ac:dyDescent="0.3">
      <c r="A31" s="50" t="s">
        <v>110</v>
      </c>
      <c r="B31" s="43" t="s">
        <v>423</v>
      </c>
      <c r="C31" s="43" t="s">
        <v>56</v>
      </c>
      <c r="D31" s="4" t="s">
        <v>81</v>
      </c>
      <c r="E31" s="76" t="s">
        <v>117</v>
      </c>
      <c r="F31" s="43">
        <v>4375</v>
      </c>
      <c r="G31" s="50">
        <v>175</v>
      </c>
      <c r="H31" s="50" t="s">
        <v>421</v>
      </c>
      <c r="I31" s="41" t="s">
        <v>263</v>
      </c>
      <c r="J31" s="231">
        <v>46099</v>
      </c>
      <c r="K31" s="160" t="s">
        <v>441</v>
      </c>
      <c r="L31" s="257">
        <v>89815516137</v>
      </c>
      <c r="M31" s="39" t="s">
        <v>440</v>
      </c>
      <c r="N31" s="229" t="s">
        <v>452</v>
      </c>
      <c r="O31" s="43">
        <v>4375</v>
      </c>
      <c r="P31" s="43"/>
      <c r="Q31" s="43"/>
      <c r="R31" s="197" t="s">
        <v>178</v>
      </c>
      <c r="S31" s="54">
        <v>41000</v>
      </c>
      <c r="T31" s="47">
        <f t="shared" si="0"/>
        <v>179375</v>
      </c>
    </row>
    <row r="32" spans="1:20" s="49" customFormat="1" ht="13.5" customHeight="1" x14ac:dyDescent="0.3">
      <c r="A32" s="50" t="s">
        <v>110</v>
      </c>
      <c r="B32" s="43" t="s">
        <v>423</v>
      </c>
      <c r="C32" s="43" t="s">
        <v>56</v>
      </c>
      <c r="D32" s="4" t="s">
        <v>81</v>
      </c>
      <c r="E32" s="76" t="s">
        <v>118</v>
      </c>
      <c r="F32" s="43">
        <v>4375</v>
      </c>
      <c r="G32" s="50">
        <v>175</v>
      </c>
      <c r="H32" s="50" t="s">
        <v>421</v>
      </c>
      <c r="I32" s="41" t="s">
        <v>263</v>
      </c>
      <c r="J32" s="231">
        <v>46099</v>
      </c>
      <c r="K32" s="160" t="s">
        <v>441</v>
      </c>
      <c r="L32" s="257">
        <v>89815516137</v>
      </c>
      <c r="M32" s="39" t="s">
        <v>440</v>
      </c>
      <c r="N32" s="229" t="s">
        <v>452</v>
      </c>
      <c r="O32" s="43">
        <v>4375</v>
      </c>
      <c r="P32" s="43"/>
      <c r="Q32" s="43"/>
      <c r="R32" s="197" t="s">
        <v>178</v>
      </c>
      <c r="S32" s="54">
        <v>41000</v>
      </c>
      <c r="T32" s="47">
        <f t="shared" si="0"/>
        <v>179375</v>
      </c>
    </row>
    <row r="33" spans="1:20" s="49" customFormat="1" ht="13.5" customHeight="1" x14ac:dyDescent="0.3">
      <c r="A33" s="50" t="s">
        <v>110</v>
      </c>
      <c r="B33" s="43" t="s">
        <v>423</v>
      </c>
      <c r="C33" s="43" t="s">
        <v>56</v>
      </c>
      <c r="D33" s="4" t="s">
        <v>81</v>
      </c>
      <c r="E33" s="76" t="s">
        <v>119</v>
      </c>
      <c r="F33" s="43">
        <v>4375</v>
      </c>
      <c r="G33" s="50">
        <v>175</v>
      </c>
      <c r="H33" s="50" t="s">
        <v>421</v>
      </c>
      <c r="I33" s="41" t="s">
        <v>263</v>
      </c>
      <c r="J33" s="231">
        <v>46099</v>
      </c>
      <c r="K33" s="160" t="s">
        <v>441</v>
      </c>
      <c r="L33" s="257">
        <v>89815516137</v>
      </c>
      <c r="M33" s="39" t="s">
        <v>440</v>
      </c>
      <c r="N33" s="229" t="s">
        <v>452</v>
      </c>
      <c r="O33" s="43">
        <v>4375</v>
      </c>
      <c r="P33" s="43"/>
      <c r="Q33" s="43"/>
      <c r="R33" s="197" t="s">
        <v>178</v>
      </c>
      <c r="S33" s="54">
        <v>41000</v>
      </c>
      <c r="T33" s="47">
        <f t="shared" si="0"/>
        <v>179375</v>
      </c>
    </row>
    <row r="34" spans="1:20" s="49" customFormat="1" ht="13.5" customHeight="1" x14ac:dyDescent="0.3">
      <c r="A34" s="50" t="s">
        <v>110</v>
      </c>
      <c r="B34" s="43" t="s">
        <v>423</v>
      </c>
      <c r="C34" s="43" t="s">
        <v>56</v>
      </c>
      <c r="D34" s="4" t="s">
        <v>81</v>
      </c>
      <c r="E34" s="76" t="s">
        <v>120</v>
      </c>
      <c r="F34" s="43">
        <v>4375</v>
      </c>
      <c r="G34" s="50">
        <v>175</v>
      </c>
      <c r="H34" s="50" t="s">
        <v>421</v>
      </c>
      <c r="I34" s="41" t="s">
        <v>263</v>
      </c>
      <c r="J34" s="231">
        <v>46099</v>
      </c>
      <c r="K34" s="160" t="s">
        <v>441</v>
      </c>
      <c r="L34" s="257">
        <v>89815516137</v>
      </c>
      <c r="M34" s="39" t="s">
        <v>440</v>
      </c>
      <c r="N34" s="229" t="s">
        <v>452</v>
      </c>
      <c r="O34" s="43">
        <v>4375</v>
      </c>
      <c r="P34" s="43"/>
      <c r="Q34" s="43"/>
      <c r="R34" s="197" t="s">
        <v>178</v>
      </c>
      <c r="S34" s="54">
        <v>41000</v>
      </c>
      <c r="T34" s="47">
        <f t="shared" si="0"/>
        <v>179375</v>
      </c>
    </row>
    <row r="35" spans="1:20" s="49" customFormat="1" ht="13.5" customHeight="1" x14ac:dyDescent="0.3">
      <c r="A35" s="50" t="s">
        <v>226</v>
      </c>
      <c r="B35" s="43" t="s">
        <v>424</v>
      </c>
      <c r="C35" s="43" t="s">
        <v>111</v>
      </c>
      <c r="D35" s="53" t="s">
        <v>66</v>
      </c>
      <c r="E35" s="42" t="s">
        <v>105</v>
      </c>
      <c r="F35" s="52">
        <v>20000</v>
      </c>
      <c r="G35" s="50">
        <v>800</v>
      </c>
      <c r="H35" s="50" t="s">
        <v>88</v>
      </c>
      <c r="I35" s="50" t="s">
        <v>263</v>
      </c>
      <c r="J35" s="41">
        <v>46104</v>
      </c>
      <c r="K35" s="215" t="s">
        <v>309</v>
      </c>
      <c r="L35" s="85">
        <v>89216700606</v>
      </c>
      <c r="M35" s="48" t="s">
        <v>308</v>
      </c>
      <c r="N35" s="75"/>
      <c r="O35" s="52">
        <v>20000</v>
      </c>
      <c r="P35" s="52"/>
      <c r="Q35" s="43"/>
      <c r="R35" s="39" t="s">
        <v>178</v>
      </c>
      <c r="S35" s="54">
        <v>44500</v>
      </c>
      <c r="T35" s="47">
        <f>S35*F35/1000</f>
        <v>890000</v>
      </c>
    </row>
    <row r="36" spans="1:20" s="49" customFormat="1" ht="13.5" customHeight="1" x14ac:dyDescent="0.3">
      <c r="A36" s="50" t="s">
        <v>227</v>
      </c>
      <c r="B36" s="43" t="s">
        <v>406</v>
      </c>
      <c r="C36" s="43" t="s">
        <v>89</v>
      </c>
      <c r="D36" s="4" t="s">
        <v>79</v>
      </c>
      <c r="E36" s="42" t="s">
        <v>198</v>
      </c>
      <c r="F36" s="52">
        <v>4000</v>
      </c>
      <c r="G36" s="50">
        <v>20</v>
      </c>
      <c r="H36" s="50" t="s">
        <v>200</v>
      </c>
      <c r="I36" s="50" t="s">
        <v>263</v>
      </c>
      <c r="J36" s="41">
        <v>46104</v>
      </c>
      <c r="K36" s="270" t="s">
        <v>461</v>
      </c>
      <c r="L36" s="85">
        <v>89179672527</v>
      </c>
      <c r="M36" s="48" t="s">
        <v>460</v>
      </c>
      <c r="N36" s="75"/>
      <c r="O36" s="52"/>
      <c r="P36" s="52"/>
      <c r="Q36" s="52">
        <v>4000</v>
      </c>
      <c r="R36" s="39" t="s">
        <v>178</v>
      </c>
      <c r="S36" s="54">
        <v>127000</v>
      </c>
      <c r="T36" s="47">
        <f>S36*F36/1000</f>
        <v>508000</v>
      </c>
    </row>
    <row r="37" spans="1:20" s="49" customFormat="1" ht="13.5" customHeight="1" x14ac:dyDescent="0.3">
      <c r="A37" s="50" t="s">
        <v>227</v>
      </c>
      <c r="B37" s="43" t="s">
        <v>406</v>
      </c>
      <c r="C37" s="43" t="s">
        <v>89</v>
      </c>
      <c r="D37" s="4" t="s">
        <v>78</v>
      </c>
      <c r="E37" s="42" t="s">
        <v>201</v>
      </c>
      <c r="F37" s="52">
        <v>4000</v>
      </c>
      <c r="G37" s="50">
        <v>20</v>
      </c>
      <c r="H37" s="50" t="s">
        <v>200</v>
      </c>
      <c r="I37" s="50" t="s">
        <v>263</v>
      </c>
      <c r="J37" s="41">
        <v>46104</v>
      </c>
      <c r="K37" s="270" t="s">
        <v>461</v>
      </c>
      <c r="L37" s="85">
        <v>89179672527</v>
      </c>
      <c r="M37" s="48" t="s">
        <v>460</v>
      </c>
      <c r="N37" s="75"/>
      <c r="O37" s="52"/>
      <c r="P37" s="52"/>
      <c r="Q37" s="52">
        <v>4000</v>
      </c>
      <c r="R37" s="39" t="s">
        <v>178</v>
      </c>
      <c r="S37" s="54">
        <v>97000</v>
      </c>
      <c r="T37" s="47">
        <f>S37*F37/1000</f>
        <v>388000</v>
      </c>
    </row>
    <row r="38" spans="1:20" s="49" customFormat="1" ht="13.5" customHeight="1" x14ac:dyDescent="0.3">
      <c r="A38" s="50" t="s">
        <v>227</v>
      </c>
      <c r="B38" s="43" t="s">
        <v>406</v>
      </c>
      <c r="C38" s="43" t="s">
        <v>89</v>
      </c>
      <c r="D38" s="4" t="s">
        <v>66</v>
      </c>
      <c r="E38" s="42" t="s">
        <v>341</v>
      </c>
      <c r="F38" s="52">
        <v>12000</v>
      </c>
      <c r="G38" s="50">
        <v>480</v>
      </c>
      <c r="H38" s="50" t="s">
        <v>200</v>
      </c>
      <c r="I38" s="50" t="s">
        <v>263</v>
      </c>
      <c r="J38" s="41">
        <v>46104</v>
      </c>
      <c r="K38" s="270" t="s">
        <v>461</v>
      </c>
      <c r="L38" s="85">
        <v>89179672527</v>
      </c>
      <c r="M38" s="48" t="s">
        <v>460</v>
      </c>
      <c r="N38" s="84"/>
      <c r="O38" s="52">
        <v>12000</v>
      </c>
      <c r="P38" s="43"/>
      <c r="Q38" s="52"/>
      <c r="R38" s="39" t="s">
        <v>178</v>
      </c>
      <c r="S38" s="54">
        <v>44500</v>
      </c>
      <c r="T38" s="47">
        <f>S38*F38/1000</f>
        <v>534000</v>
      </c>
    </row>
    <row r="39" spans="1:20" s="49" customFormat="1" ht="13.5" customHeight="1" x14ac:dyDescent="0.3">
      <c r="A39" s="50" t="s">
        <v>185</v>
      </c>
      <c r="B39" s="43" t="s">
        <v>352</v>
      </c>
      <c r="C39" s="43" t="s">
        <v>56</v>
      </c>
      <c r="D39" s="4" t="s">
        <v>511</v>
      </c>
      <c r="E39" s="76" t="s">
        <v>399</v>
      </c>
      <c r="F39" s="43">
        <v>8360</v>
      </c>
      <c r="G39" s="50">
        <v>44</v>
      </c>
      <c r="H39" s="50" t="s">
        <v>57</v>
      </c>
      <c r="I39" s="41" t="s">
        <v>263</v>
      </c>
      <c r="J39" s="41">
        <v>46105</v>
      </c>
      <c r="K39" s="151" t="s">
        <v>301</v>
      </c>
      <c r="L39" s="257">
        <v>89090041850</v>
      </c>
      <c r="M39" s="39" t="s">
        <v>364</v>
      </c>
      <c r="N39" s="244"/>
      <c r="O39" s="43"/>
      <c r="P39" s="43"/>
      <c r="Q39" s="43">
        <v>8360</v>
      </c>
      <c r="R39" s="197" t="s">
        <v>473</v>
      </c>
      <c r="S39" s="54">
        <v>125000</v>
      </c>
      <c r="T39" s="47">
        <f t="shared" si="0"/>
        <v>1045000</v>
      </c>
    </row>
    <row r="40" spans="1:20" s="49" customFormat="1" ht="13.5" customHeight="1" x14ac:dyDescent="0.3">
      <c r="A40" s="50" t="s">
        <v>185</v>
      </c>
      <c r="B40" s="43" t="s">
        <v>352</v>
      </c>
      <c r="C40" s="43" t="s">
        <v>56</v>
      </c>
      <c r="D40" s="4" t="s">
        <v>511</v>
      </c>
      <c r="E40" s="76" t="s">
        <v>353</v>
      </c>
      <c r="F40" s="43">
        <v>8360</v>
      </c>
      <c r="G40" s="50">
        <v>44</v>
      </c>
      <c r="H40" s="50" t="s">
        <v>57</v>
      </c>
      <c r="I40" s="41" t="s">
        <v>263</v>
      </c>
      <c r="J40" s="41">
        <v>46105</v>
      </c>
      <c r="K40" s="151" t="s">
        <v>301</v>
      </c>
      <c r="L40" s="257">
        <v>89090041850</v>
      </c>
      <c r="M40" s="39" t="s">
        <v>364</v>
      </c>
      <c r="N40" s="244"/>
      <c r="O40" s="43"/>
      <c r="P40" s="43"/>
      <c r="Q40" s="43">
        <v>8360</v>
      </c>
      <c r="R40" s="197" t="s">
        <v>473</v>
      </c>
      <c r="S40" s="54">
        <v>125000</v>
      </c>
      <c r="T40" s="47">
        <f t="shared" si="0"/>
        <v>1045000</v>
      </c>
    </row>
    <row r="41" spans="1:20" s="49" customFormat="1" ht="13.5" customHeight="1" x14ac:dyDescent="0.3">
      <c r="A41" s="50" t="s">
        <v>217</v>
      </c>
      <c r="B41" s="43" t="s">
        <v>434</v>
      </c>
      <c r="C41" s="43" t="s">
        <v>89</v>
      </c>
      <c r="D41" s="4" t="s">
        <v>66</v>
      </c>
      <c r="E41" s="42" t="s">
        <v>341</v>
      </c>
      <c r="F41" s="52">
        <v>20000</v>
      </c>
      <c r="G41" s="50">
        <v>800</v>
      </c>
      <c r="H41" s="50" t="s">
        <v>57</v>
      </c>
      <c r="I41" s="50" t="s">
        <v>263</v>
      </c>
      <c r="J41" s="41">
        <v>46105</v>
      </c>
      <c r="K41" s="270" t="s">
        <v>470</v>
      </c>
      <c r="L41" s="271">
        <v>89877987973</v>
      </c>
      <c r="M41" s="48" t="s">
        <v>469</v>
      </c>
      <c r="N41" s="75"/>
      <c r="O41" s="52">
        <v>20000</v>
      </c>
      <c r="P41" s="52"/>
      <c r="Q41" s="52"/>
      <c r="R41" s="39" t="s">
        <v>178</v>
      </c>
      <c r="S41" s="54">
        <v>44500</v>
      </c>
      <c r="T41" s="47">
        <f t="shared" si="0"/>
        <v>890000</v>
      </c>
    </row>
    <row r="42" spans="1:20" s="49" customFormat="1" ht="13.5" customHeight="1" x14ac:dyDescent="0.3">
      <c r="A42" s="50" t="s">
        <v>193</v>
      </c>
      <c r="B42" s="43" t="s">
        <v>463</v>
      </c>
      <c r="C42" s="43" t="s">
        <v>464</v>
      </c>
      <c r="D42" s="4" t="s">
        <v>66</v>
      </c>
      <c r="E42" s="42" t="s">
        <v>465</v>
      </c>
      <c r="F42" s="43">
        <v>20000</v>
      </c>
      <c r="G42" s="50">
        <v>800</v>
      </c>
      <c r="H42" s="50" t="s">
        <v>193</v>
      </c>
      <c r="I42" s="50" t="s">
        <v>263</v>
      </c>
      <c r="J42" s="41">
        <v>46106</v>
      </c>
      <c r="K42" s="256" t="s">
        <v>477</v>
      </c>
      <c r="L42" s="95">
        <v>89127517516</v>
      </c>
      <c r="M42" s="39" t="s">
        <v>476</v>
      </c>
      <c r="N42" s="84"/>
      <c r="O42" s="43">
        <v>20000</v>
      </c>
      <c r="P42" s="43"/>
      <c r="Q42" s="52"/>
      <c r="R42" s="39" t="s">
        <v>178</v>
      </c>
      <c r="S42" s="54">
        <v>41000</v>
      </c>
      <c r="T42" s="47">
        <f>S42*F42/1000</f>
        <v>820000</v>
      </c>
    </row>
    <row r="43" spans="1:20" s="49" customFormat="1" ht="13.5" customHeight="1" x14ac:dyDescent="0.3">
      <c r="A43" s="50" t="s">
        <v>185</v>
      </c>
      <c r="B43" s="43" t="s">
        <v>446</v>
      </c>
      <c r="C43" s="43" t="s">
        <v>56</v>
      </c>
      <c r="D43" s="4" t="s">
        <v>80</v>
      </c>
      <c r="E43" s="76" t="s">
        <v>520</v>
      </c>
      <c r="F43" s="43">
        <v>7000</v>
      </c>
      <c r="G43" s="50">
        <v>40</v>
      </c>
      <c r="H43" s="50" t="s">
        <v>480</v>
      </c>
      <c r="I43" s="41" t="s">
        <v>263</v>
      </c>
      <c r="J43" s="231">
        <v>46106</v>
      </c>
      <c r="K43" s="257" t="s">
        <v>475</v>
      </c>
      <c r="L43" s="160">
        <v>89505643387</v>
      </c>
      <c r="M43" s="39" t="s">
        <v>474</v>
      </c>
      <c r="N43" s="229"/>
      <c r="O43" s="43"/>
      <c r="P43" s="43"/>
      <c r="Q43" s="43">
        <v>7000</v>
      </c>
      <c r="R43" s="197" t="s">
        <v>486</v>
      </c>
      <c r="S43" s="54">
        <v>255000</v>
      </c>
      <c r="T43" s="47">
        <f t="shared" si="0"/>
        <v>1785000</v>
      </c>
    </row>
    <row r="44" spans="1:20" s="49" customFormat="1" ht="13.5" customHeight="1" x14ac:dyDescent="0.3">
      <c r="A44" s="50" t="s">
        <v>185</v>
      </c>
      <c r="B44" s="43" t="s">
        <v>446</v>
      </c>
      <c r="C44" s="43" t="s">
        <v>56</v>
      </c>
      <c r="D44" s="4" t="s">
        <v>80</v>
      </c>
      <c r="E44" s="76" t="s">
        <v>521</v>
      </c>
      <c r="F44" s="43">
        <v>7000</v>
      </c>
      <c r="G44" s="50">
        <v>40</v>
      </c>
      <c r="H44" s="50" t="s">
        <v>480</v>
      </c>
      <c r="I44" s="41" t="s">
        <v>263</v>
      </c>
      <c r="J44" s="231">
        <v>46106</v>
      </c>
      <c r="K44" s="257" t="s">
        <v>475</v>
      </c>
      <c r="L44" s="160">
        <v>89505643387</v>
      </c>
      <c r="M44" s="39" t="s">
        <v>474</v>
      </c>
      <c r="N44" s="229"/>
      <c r="O44" s="43"/>
      <c r="P44" s="43"/>
      <c r="Q44" s="43">
        <v>7000</v>
      </c>
      <c r="R44" s="197" t="s">
        <v>486</v>
      </c>
      <c r="S44" s="54">
        <v>255000</v>
      </c>
      <c r="T44" s="47">
        <f t="shared" si="0"/>
        <v>1785000</v>
      </c>
    </row>
    <row r="45" spans="1:20" s="49" customFormat="1" ht="13.5" customHeight="1" x14ac:dyDescent="0.3">
      <c r="A45" s="50" t="s">
        <v>182</v>
      </c>
      <c r="B45" s="43" t="s">
        <v>471</v>
      </c>
      <c r="C45" s="43" t="s">
        <v>56</v>
      </c>
      <c r="D45" s="4" t="s">
        <v>81</v>
      </c>
      <c r="E45" s="76" t="s">
        <v>522</v>
      </c>
      <c r="F45" s="43">
        <v>1750</v>
      </c>
      <c r="G45" s="50">
        <v>70</v>
      </c>
      <c r="H45" s="50" t="s">
        <v>480</v>
      </c>
      <c r="I45" s="41" t="s">
        <v>263</v>
      </c>
      <c r="J45" s="231">
        <v>46108</v>
      </c>
      <c r="K45" s="257" t="s">
        <v>481</v>
      </c>
      <c r="L45" s="257">
        <v>89216004800</v>
      </c>
      <c r="M45" s="39" t="s">
        <v>482</v>
      </c>
      <c r="N45" s="229"/>
      <c r="O45" s="43">
        <v>1750</v>
      </c>
      <c r="P45" s="43"/>
      <c r="Q45" s="43"/>
      <c r="R45" s="197" t="s">
        <v>492</v>
      </c>
      <c r="S45" s="54">
        <v>41000</v>
      </c>
      <c r="T45" s="47">
        <f t="shared" ref="T45:T56" si="1">S45*F45/1000</f>
        <v>71750</v>
      </c>
    </row>
    <row r="46" spans="1:20" s="49" customFormat="1" ht="13.5" customHeight="1" x14ac:dyDescent="0.3">
      <c r="A46" s="50" t="s">
        <v>182</v>
      </c>
      <c r="B46" s="43" t="s">
        <v>471</v>
      </c>
      <c r="C46" s="43" t="s">
        <v>56</v>
      </c>
      <c r="D46" s="4" t="s">
        <v>81</v>
      </c>
      <c r="E46" s="76" t="s">
        <v>523</v>
      </c>
      <c r="F46" s="43">
        <v>875</v>
      </c>
      <c r="G46" s="50">
        <v>35</v>
      </c>
      <c r="H46" s="50" t="s">
        <v>480</v>
      </c>
      <c r="I46" s="41" t="s">
        <v>263</v>
      </c>
      <c r="J46" s="231">
        <v>46108</v>
      </c>
      <c r="K46" s="257" t="s">
        <v>481</v>
      </c>
      <c r="L46" s="257">
        <v>89216004800</v>
      </c>
      <c r="M46" s="39" t="s">
        <v>482</v>
      </c>
      <c r="N46" s="229"/>
      <c r="O46" s="43">
        <v>875</v>
      </c>
      <c r="P46" s="43"/>
      <c r="Q46" s="43"/>
      <c r="R46" s="197" t="s">
        <v>492</v>
      </c>
      <c r="S46" s="54">
        <v>41000</v>
      </c>
      <c r="T46" s="47">
        <f t="shared" si="1"/>
        <v>35875</v>
      </c>
    </row>
    <row r="47" spans="1:20" s="49" customFormat="1" ht="13.5" customHeight="1" x14ac:dyDescent="0.3">
      <c r="A47" s="50" t="s">
        <v>182</v>
      </c>
      <c r="B47" s="43" t="s">
        <v>471</v>
      </c>
      <c r="C47" s="43" t="s">
        <v>56</v>
      </c>
      <c r="D47" s="4" t="s">
        <v>81</v>
      </c>
      <c r="E47" s="76" t="s">
        <v>524</v>
      </c>
      <c r="F47" s="43">
        <v>4375</v>
      </c>
      <c r="G47" s="266">
        <v>175</v>
      </c>
      <c r="H47" s="50" t="s">
        <v>480</v>
      </c>
      <c r="I47" s="41" t="s">
        <v>263</v>
      </c>
      <c r="J47" s="231">
        <v>46108</v>
      </c>
      <c r="K47" s="257" t="s">
        <v>481</v>
      </c>
      <c r="L47" s="257">
        <v>89216004800</v>
      </c>
      <c r="M47" s="39" t="s">
        <v>482</v>
      </c>
      <c r="N47" s="229"/>
      <c r="O47" s="43">
        <v>4375</v>
      </c>
      <c r="P47" s="43"/>
      <c r="Q47" s="43"/>
      <c r="R47" s="197" t="s">
        <v>492</v>
      </c>
      <c r="S47" s="54">
        <v>41000</v>
      </c>
      <c r="T47" s="47">
        <f t="shared" si="1"/>
        <v>179375</v>
      </c>
    </row>
    <row r="48" spans="1:20" s="49" customFormat="1" ht="13.5" customHeight="1" x14ac:dyDescent="0.3">
      <c r="A48" s="50" t="s">
        <v>182</v>
      </c>
      <c r="B48" s="43" t="s">
        <v>471</v>
      </c>
      <c r="C48" s="43" t="s">
        <v>56</v>
      </c>
      <c r="D48" s="4" t="s">
        <v>81</v>
      </c>
      <c r="E48" s="76" t="s">
        <v>525</v>
      </c>
      <c r="F48" s="43">
        <v>4375</v>
      </c>
      <c r="G48" s="266">
        <v>175</v>
      </c>
      <c r="H48" s="50" t="s">
        <v>480</v>
      </c>
      <c r="I48" s="41" t="s">
        <v>263</v>
      </c>
      <c r="J48" s="231">
        <v>46108</v>
      </c>
      <c r="K48" s="257" t="s">
        <v>481</v>
      </c>
      <c r="L48" s="257">
        <v>89216004800</v>
      </c>
      <c r="M48" s="39" t="s">
        <v>482</v>
      </c>
      <c r="N48" s="229"/>
      <c r="O48" s="43">
        <v>4375</v>
      </c>
      <c r="P48" s="43"/>
      <c r="Q48" s="43"/>
      <c r="R48" s="197" t="s">
        <v>492</v>
      </c>
      <c r="S48" s="54">
        <v>41000</v>
      </c>
      <c r="T48" s="47">
        <f t="shared" si="1"/>
        <v>179375</v>
      </c>
    </row>
    <row r="49" spans="1:20" s="49" customFormat="1" ht="13.5" customHeight="1" x14ac:dyDescent="0.3">
      <c r="A49" s="50" t="s">
        <v>182</v>
      </c>
      <c r="B49" s="43" t="s">
        <v>471</v>
      </c>
      <c r="C49" s="43" t="s">
        <v>56</v>
      </c>
      <c r="D49" s="4" t="s">
        <v>81</v>
      </c>
      <c r="E49" s="76" t="s">
        <v>526</v>
      </c>
      <c r="F49" s="43">
        <v>4375</v>
      </c>
      <c r="G49" s="266">
        <v>175</v>
      </c>
      <c r="H49" s="50" t="s">
        <v>480</v>
      </c>
      <c r="I49" s="41" t="s">
        <v>263</v>
      </c>
      <c r="J49" s="231">
        <v>46108</v>
      </c>
      <c r="K49" s="257" t="s">
        <v>481</v>
      </c>
      <c r="L49" s="257">
        <v>89216004800</v>
      </c>
      <c r="M49" s="39" t="s">
        <v>482</v>
      </c>
      <c r="N49" s="229"/>
      <c r="O49" s="43">
        <v>4375</v>
      </c>
      <c r="P49" s="43"/>
      <c r="Q49" s="43"/>
      <c r="R49" s="197" t="s">
        <v>492</v>
      </c>
      <c r="S49" s="54">
        <v>41000</v>
      </c>
      <c r="T49" s="47">
        <f t="shared" si="1"/>
        <v>179375</v>
      </c>
    </row>
    <row r="50" spans="1:20" s="49" customFormat="1" ht="13.5" customHeight="1" x14ac:dyDescent="0.3">
      <c r="A50" s="50" t="s">
        <v>182</v>
      </c>
      <c r="B50" s="43" t="s">
        <v>471</v>
      </c>
      <c r="C50" s="43" t="s">
        <v>56</v>
      </c>
      <c r="D50" s="4" t="s">
        <v>81</v>
      </c>
      <c r="E50" s="76" t="s">
        <v>527</v>
      </c>
      <c r="F50" s="43">
        <v>4375</v>
      </c>
      <c r="G50" s="266">
        <v>175</v>
      </c>
      <c r="H50" s="50" t="s">
        <v>480</v>
      </c>
      <c r="I50" s="41" t="s">
        <v>263</v>
      </c>
      <c r="J50" s="231">
        <v>46108</v>
      </c>
      <c r="K50" s="257" t="s">
        <v>481</v>
      </c>
      <c r="L50" s="257">
        <v>89216004800</v>
      </c>
      <c r="M50" s="39" t="s">
        <v>482</v>
      </c>
      <c r="N50" s="229"/>
      <c r="O50" s="43">
        <v>4375</v>
      </c>
      <c r="P50" s="43"/>
      <c r="Q50" s="43"/>
      <c r="R50" s="197" t="s">
        <v>492</v>
      </c>
      <c r="S50" s="54">
        <v>41000</v>
      </c>
      <c r="T50" s="47">
        <f t="shared" si="1"/>
        <v>179375</v>
      </c>
    </row>
    <row r="51" spans="1:20" s="49" customFormat="1" ht="13.5" customHeight="1" x14ac:dyDescent="0.3">
      <c r="A51" s="50" t="s">
        <v>185</v>
      </c>
      <c r="B51" s="43" t="s">
        <v>433</v>
      </c>
      <c r="C51" s="43" t="s">
        <v>89</v>
      </c>
      <c r="D51" s="4" t="s">
        <v>66</v>
      </c>
      <c r="E51" s="42" t="s">
        <v>341</v>
      </c>
      <c r="F51" s="52">
        <v>20000</v>
      </c>
      <c r="G51" s="50">
        <v>800</v>
      </c>
      <c r="H51" s="50" t="s">
        <v>450</v>
      </c>
      <c r="I51" s="50" t="s">
        <v>263</v>
      </c>
      <c r="J51" s="41">
        <v>46111</v>
      </c>
      <c r="K51" s="273" t="s">
        <v>478</v>
      </c>
      <c r="L51" s="85">
        <v>89638667943</v>
      </c>
      <c r="M51" s="48" t="s">
        <v>479</v>
      </c>
      <c r="N51" s="75"/>
      <c r="O51" s="52">
        <v>20000</v>
      </c>
      <c r="P51" s="52"/>
      <c r="Q51" s="52"/>
      <c r="R51" s="39" t="s">
        <v>178</v>
      </c>
      <c r="S51" s="54">
        <v>44500</v>
      </c>
      <c r="T51" s="47">
        <f t="shared" si="1"/>
        <v>890000</v>
      </c>
    </row>
    <row r="52" spans="1:20" s="49" customFormat="1" ht="13.5" customHeight="1" x14ac:dyDescent="0.3">
      <c r="A52" s="50" t="s">
        <v>217</v>
      </c>
      <c r="B52" s="43" t="s">
        <v>457</v>
      </c>
      <c r="C52" s="43" t="s">
        <v>458</v>
      </c>
      <c r="D52" s="4" t="s">
        <v>72</v>
      </c>
      <c r="E52" s="42" t="s">
        <v>442</v>
      </c>
      <c r="F52" s="43">
        <v>10000</v>
      </c>
      <c r="G52" s="50">
        <v>400</v>
      </c>
      <c r="H52" s="50" t="s">
        <v>200</v>
      </c>
      <c r="I52" s="50" t="s">
        <v>263</v>
      </c>
      <c r="J52" s="41">
        <v>46111</v>
      </c>
      <c r="K52" s="274" t="s">
        <v>487</v>
      </c>
      <c r="L52" s="95">
        <v>89015051787</v>
      </c>
      <c r="M52" s="39" t="s">
        <v>488</v>
      </c>
      <c r="N52" s="84"/>
      <c r="O52" s="43">
        <v>10000</v>
      </c>
      <c r="P52" s="43"/>
      <c r="Q52" s="52"/>
      <c r="R52" s="39" t="s">
        <v>178</v>
      </c>
      <c r="S52" s="54">
        <v>39000</v>
      </c>
      <c r="T52" s="47">
        <f t="shared" si="1"/>
        <v>390000</v>
      </c>
    </row>
    <row r="53" spans="1:20" s="49" customFormat="1" ht="13.5" customHeight="1" x14ac:dyDescent="0.3">
      <c r="A53" s="50" t="s">
        <v>217</v>
      </c>
      <c r="B53" s="43" t="s">
        <v>457</v>
      </c>
      <c r="C53" s="43" t="s">
        <v>458</v>
      </c>
      <c r="D53" s="4" t="s">
        <v>75</v>
      </c>
      <c r="E53" s="42" t="s">
        <v>444</v>
      </c>
      <c r="F53" s="43">
        <v>9600</v>
      </c>
      <c r="G53" s="50">
        <v>48</v>
      </c>
      <c r="H53" s="50" t="s">
        <v>200</v>
      </c>
      <c r="I53" s="50" t="s">
        <v>263</v>
      </c>
      <c r="J53" s="41">
        <v>46111</v>
      </c>
      <c r="K53" s="274" t="s">
        <v>487</v>
      </c>
      <c r="L53" s="95">
        <v>89015051787</v>
      </c>
      <c r="M53" s="39" t="s">
        <v>488</v>
      </c>
      <c r="N53" s="84"/>
      <c r="O53" s="43"/>
      <c r="P53" s="43"/>
      <c r="Q53" s="43">
        <v>9600</v>
      </c>
      <c r="R53" s="39" t="s">
        <v>178</v>
      </c>
      <c r="S53" s="54">
        <v>250000</v>
      </c>
      <c r="T53" s="47">
        <f t="shared" si="1"/>
        <v>2400000</v>
      </c>
    </row>
    <row r="54" spans="1:20" s="49" customFormat="1" ht="13.5" customHeight="1" x14ac:dyDescent="0.3">
      <c r="A54" s="50" t="s">
        <v>217</v>
      </c>
      <c r="B54" s="43" t="s">
        <v>472</v>
      </c>
      <c r="C54" s="43" t="s">
        <v>91</v>
      </c>
      <c r="D54" s="53" t="s">
        <v>109</v>
      </c>
      <c r="E54" s="42" t="s">
        <v>443</v>
      </c>
      <c r="F54" s="52">
        <v>20000</v>
      </c>
      <c r="G54" s="50">
        <v>800</v>
      </c>
      <c r="H54" s="50" t="s">
        <v>200</v>
      </c>
      <c r="I54" s="50" t="s">
        <v>263</v>
      </c>
      <c r="J54" s="41">
        <v>46111</v>
      </c>
      <c r="K54" s="155" t="s">
        <v>489</v>
      </c>
      <c r="L54" s="155">
        <v>89207597671</v>
      </c>
      <c r="M54" s="156" t="s">
        <v>490</v>
      </c>
      <c r="N54" s="75"/>
      <c r="O54" s="52">
        <v>20000</v>
      </c>
      <c r="P54" s="52"/>
      <c r="Q54" s="52"/>
      <c r="R54" s="39" t="s">
        <v>178</v>
      </c>
      <c r="S54" s="54">
        <v>44300</v>
      </c>
      <c r="T54" s="47">
        <f t="shared" si="1"/>
        <v>886000</v>
      </c>
    </row>
    <row r="55" spans="1:20" s="49" customFormat="1" ht="13.5" customHeight="1" x14ac:dyDescent="0.3">
      <c r="A55" s="50" t="s">
        <v>226</v>
      </c>
      <c r="B55" s="43" t="s">
        <v>430</v>
      </c>
      <c r="C55" s="43" t="s">
        <v>111</v>
      </c>
      <c r="D55" s="53" t="s">
        <v>66</v>
      </c>
      <c r="E55" s="42" t="s">
        <v>105</v>
      </c>
      <c r="F55" s="52">
        <v>20000</v>
      </c>
      <c r="G55" s="50">
        <v>800</v>
      </c>
      <c r="H55" s="50" t="s">
        <v>57</v>
      </c>
      <c r="I55" s="50" t="s">
        <v>263</v>
      </c>
      <c r="J55" s="41">
        <v>46112</v>
      </c>
      <c r="K55" s="287" t="s">
        <v>219</v>
      </c>
      <c r="L55" s="85">
        <v>89116825992</v>
      </c>
      <c r="M55" s="48" t="s">
        <v>218</v>
      </c>
      <c r="N55" s="75"/>
      <c r="O55" s="52">
        <v>20000</v>
      </c>
      <c r="P55" s="52"/>
      <c r="Q55" s="43"/>
      <c r="R55" s="39" t="s">
        <v>178</v>
      </c>
      <c r="S55" s="54">
        <v>44500</v>
      </c>
      <c r="T55" s="47">
        <f t="shared" si="1"/>
        <v>890000</v>
      </c>
    </row>
    <row r="56" spans="1:20" s="49" customFormat="1" ht="13.5" customHeight="1" x14ac:dyDescent="0.3">
      <c r="A56" s="50" t="s">
        <v>193</v>
      </c>
      <c r="B56" s="43" t="s">
        <v>483</v>
      </c>
      <c r="C56" s="43" t="s">
        <v>464</v>
      </c>
      <c r="D56" s="4" t="s">
        <v>66</v>
      </c>
      <c r="E56" s="42" t="s">
        <v>465</v>
      </c>
      <c r="F56" s="43">
        <v>18000</v>
      </c>
      <c r="G56" s="50">
        <v>720</v>
      </c>
      <c r="H56" s="50" t="s">
        <v>193</v>
      </c>
      <c r="I56" s="50" t="s">
        <v>263</v>
      </c>
      <c r="J56" s="41">
        <v>46112</v>
      </c>
      <c r="K56" s="256" t="s">
        <v>497</v>
      </c>
      <c r="L56" s="95">
        <v>89821240570</v>
      </c>
      <c r="M56" s="39" t="s">
        <v>498</v>
      </c>
      <c r="N56" s="84"/>
      <c r="O56" s="43">
        <v>18000</v>
      </c>
      <c r="P56" s="43"/>
      <c r="Q56" s="52"/>
      <c r="R56" s="39" t="s">
        <v>178</v>
      </c>
      <c r="S56" s="54">
        <v>41000</v>
      </c>
      <c r="T56" s="47">
        <f t="shared" si="1"/>
        <v>738000</v>
      </c>
    </row>
    <row r="57" spans="1:20" ht="21" customHeight="1" x14ac:dyDescent="0.35">
      <c r="A57" s="121"/>
      <c r="B57" s="122"/>
      <c r="C57" s="122"/>
      <c r="D57" s="123"/>
      <c r="E57" s="124"/>
      <c r="F57" s="122"/>
      <c r="G57" s="121"/>
      <c r="H57" s="121"/>
      <c r="I57" s="121"/>
      <c r="J57" s="125"/>
      <c r="K57" s="121"/>
      <c r="L57" s="126"/>
      <c r="M57" s="122"/>
      <c r="N57" s="122"/>
      <c r="O57" s="122"/>
      <c r="P57" s="122"/>
      <c r="Q57" s="122"/>
      <c r="R57" s="122"/>
      <c r="S57" s="127"/>
      <c r="T57" s="127">
        <f>SUM(T6:T56)</f>
        <v>45695005</v>
      </c>
    </row>
    <row r="58" spans="1:20" ht="21" customHeight="1" x14ac:dyDescent="0.35">
      <c r="A58" s="74" t="s">
        <v>14</v>
      </c>
      <c r="B58" s="57">
        <f>SUM($F$5:$F$57)/1000</f>
        <v>476.86900000000003</v>
      </c>
      <c r="C58" s="40" t="s">
        <v>13</v>
      </c>
    </row>
    <row r="59" spans="1:20" ht="23.25" customHeight="1" x14ac:dyDescent="0.35">
      <c r="A59" s="63" t="s">
        <v>15</v>
      </c>
      <c r="B59" s="58">
        <f>$B$60+$B$61+$B$62</f>
        <v>476.86900000000003</v>
      </c>
      <c r="C59" s="1" t="s">
        <v>13</v>
      </c>
      <c r="E59" s="129"/>
      <c r="F59" s="73" t="s">
        <v>86</v>
      </c>
      <c r="G59" s="73"/>
    </row>
    <row r="60" spans="1:20" ht="23.25" customHeight="1" x14ac:dyDescent="0.35">
      <c r="A60" s="64" t="s">
        <v>16</v>
      </c>
      <c r="B60" s="56">
        <f>SUM(O5:O57)/1000</f>
        <v>295.125</v>
      </c>
      <c r="C60" s="2" t="s">
        <v>13</v>
      </c>
      <c r="D60" s="81"/>
      <c r="E60" s="228"/>
      <c r="F60" s="73" t="s">
        <v>85</v>
      </c>
      <c r="G60" s="73"/>
    </row>
    <row r="61" spans="1:20" ht="23.25" customHeight="1" x14ac:dyDescent="0.35">
      <c r="A61" s="64" t="s">
        <v>48</v>
      </c>
      <c r="B61" s="56">
        <f>SUM(P5:P57)/1000</f>
        <v>67.823999999999998</v>
      </c>
      <c r="C61" s="2" t="s">
        <v>13</v>
      </c>
      <c r="E61" s="79"/>
      <c r="F61" s="73" t="s">
        <v>84</v>
      </c>
      <c r="G61" s="73"/>
    </row>
    <row r="62" spans="1:20" ht="23.25" customHeight="1" x14ac:dyDescent="0.35">
      <c r="A62" s="64" t="s">
        <v>23</v>
      </c>
      <c r="B62" s="56">
        <f>SUM(Q5:Q57)/1000</f>
        <v>113.92</v>
      </c>
      <c r="C62" s="2" t="s">
        <v>13</v>
      </c>
      <c r="E62" s="80"/>
      <c r="F62" s="73" t="s">
        <v>87</v>
      </c>
    </row>
    <row r="63" spans="1:20" ht="23.25" customHeight="1" thickBot="1" x14ac:dyDescent="0.4">
      <c r="A63" s="65" t="s">
        <v>19</v>
      </c>
      <c r="B63" s="59">
        <f>$B$58-$B$59</f>
        <v>0</v>
      </c>
      <c r="C63" s="3" t="s">
        <v>13</v>
      </c>
      <c r="E63" s="96"/>
      <c r="F63" s="73" t="s">
        <v>107</v>
      </c>
    </row>
  </sheetData>
  <sheetProtection formatCells="0" formatColumns="0" formatRows="0" insertColumns="0" insertRows="0" insertHyperlinks="0" deleteColumns="0" deleteRows="0" sort="0" autoFilter="0" pivotTables="0"/>
  <autoFilter ref="D1:D63"/>
  <mergeCells count="13">
    <mergeCell ref="F2:G2"/>
    <mergeCell ref="A2:A3"/>
    <mergeCell ref="B2:B3"/>
    <mergeCell ref="C2:C3"/>
    <mergeCell ref="D2:D3"/>
    <mergeCell ref="E2:E3"/>
    <mergeCell ref="S2:S3"/>
    <mergeCell ref="H2:H3"/>
    <mergeCell ref="I2:I3"/>
    <mergeCell ref="J2:J3"/>
    <mergeCell ref="K2:M2"/>
    <mergeCell ref="O2:Q2"/>
    <mergeCell ref="R2:R3"/>
  </mergeCells>
  <phoneticPr fontId="44" type="noConversion"/>
  <dataValidations count="1">
    <dataValidation type="list" allowBlank="1" showInputMessage="1" showErrorMessage="1" sqref="D36:D37">
      <formula1>$E$2:$E$134</formula1>
    </dataValidation>
  </dataValidations>
  <pageMargins left="0.7" right="0.7" top="0.75" bottom="0.75" header="0.3" footer="0.3"/>
  <pageSetup paperSize="9" scale="28" orientation="landscape" r:id="rId1"/>
  <colBreaks count="1" manualBreakCount="1">
    <brk id="1" max="87" man="1"/>
  </col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[1]справочник!#REF!</xm:f>
          </x14:formula1>
          <xm:sqref>D23</xm:sqref>
        </x14:dataValidation>
        <x14:dataValidation type="list" allowBlank="1" showInputMessage="1" showErrorMessage="1">
          <x14:formula1>
            <xm:f>#REF!</xm:f>
          </x14:formula1>
          <xm:sqref>D1:D1048576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64"/>
  <sheetViews>
    <sheetView zoomScale="70" zoomScaleNormal="70" zoomScaleSheetLayoutView="70" workbookViewId="0">
      <pane ySplit="3" topLeftCell="A10" activePane="bottomLeft" state="frozen"/>
      <selection pane="bottomLeft" activeCell="A55" sqref="A55:XFD55"/>
    </sheetView>
  </sheetViews>
  <sheetFormatPr defaultRowHeight="14.4" x14ac:dyDescent="0.3"/>
  <cols>
    <col min="1" max="1" width="18" style="66" customWidth="1"/>
    <col min="2" max="2" width="27.44140625" bestFit="1" customWidth="1"/>
    <col min="3" max="3" width="17" customWidth="1"/>
    <col min="4" max="4" width="41" customWidth="1"/>
    <col min="5" max="5" width="15.5546875" style="78" customWidth="1"/>
    <col min="6" max="6" width="13" bestFit="1" customWidth="1"/>
    <col min="7" max="7" width="15.5546875" customWidth="1"/>
    <col min="8" max="8" width="22.44140625" customWidth="1"/>
    <col min="9" max="9" width="24.33203125" customWidth="1"/>
    <col min="10" max="10" width="20.33203125" customWidth="1"/>
    <col min="11" max="11" width="29.6640625" customWidth="1"/>
    <col min="12" max="12" width="26.6640625" customWidth="1"/>
    <col min="13" max="13" width="28.6640625" customWidth="1"/>
    <col min="14" max="14" width="18.44140625" style="67" customWidth="1"/>
    <col min="15" max="16" width="8.88671875" customWidth="1"/>
    <col min="17" max="17" width="8" customWidth="1"/>
    <col min="18" max="18" width="10.88671875" customWidth="1"/>
    <col min="19" max="19" width="13.88671875" customWidth="1"/>
    <col min="20" max="20" width="17.33203125" customWidth="1"/>
    <col min="21" max="21" width="15.44140625" customWidth="1"/>
  </cols>
  <sheetData>
    <row r="1" spans="1:20" s="45" customFormat="1" ht="17.399999999999999" x14ac:dyDescent="0.35">
      <c r="A1" s="62"/>
      <c r="B1" s="44" t="s">
        <v>47</v>
      </c>
      <c r="C1" s="51">
        <v>46054</v>
      </c>
      <c r="D1" s="44"/>
      <c r="E1" s="77"/>
      <c r="F1" s="44"/>
      <c r="H1" s="44"/>
      <c r="I1" s="44"/>
      <c r="J1" s="44"/>
      <c r="K1" s="46"/>
      <c r="L1" s="46"/>
      <c r="M1" s="46"/>
      <c r="N1" s="60"/>
      <c r="O1" s="46"/>
      <c r="P1" s="46"/>
      <c r="Q1" s="46"/>
    </row>
    <row r="2" spans="1:20" ht="25.5" customHeight="1" x14ac:dyDescent="0.3">
      <c r="A2" s="388" t="s">
        <v>53</v>
      </c>
      <c r="B2" s="390" t="s">
        <v>17</v>
      </c>
      <c r="C2" s="392" t="s">
        <v>51</v>
      </c>
      <c r="D2" s="394" t="s">
        <v>4</v>
      </c>
      <c r="E2" s="396" t="s">
        <v>5</v>
      </c>
      <c r="F2" s="386" t="s">
        <v>0</v>
      </c>
      <c r="G2" s="387"/>
      <c r="H2" s="372" t="s">
        <v>2</v>
      </c>
      <c r="I2" s="374" t="s">
        <v>3</v>
      </c>
      <c r="J2" s="376" t="s">
        <v>6</v>
      </c>
      <c r="K2" s="378" t="s">
        <v>7</v>
      </c>
      <c r="L2" s="379"/>
      <c r="M2" s="380"/>
      <c r="N2" s="61" t="s">
        <v>9</v>
      </c>
      <c r="O2" s="381" t="s">
        <v>11</v>
      </c>
      <c r="P2" s="382"/>
      <c r="Q2" s="383"/>
      <c r="R2" s="384" t="s">
        <v>46</v>
      </c>
      <c r="S2" s="371" t="s">
        <v>54</v>
      </c>
      <c r="T2" s="55"/>
    </row>
    <row r="3" spans="1:20" x14ac:dyDescent="0.3">
      <c r="A3" s="389"/>
      <c r="B3" s="391"/>
      <c r="C3" s="393"/>
      <c r="D3" s="395"/>
      <c r="E3" s="397"/>
      <c r="F3" s="68" t="s">
        <v>1</v>
      </c>
      <c r="G3" s="68" t="s">
        <v>50</v>
      </c>
      <c r="H3" s="373"/>
      <c r="I3" s="375"/>
      <c r="J3" s="377"/>
      <c r="K3" s="162" t="s">
        <v>8</v>
      </c>
      <c r="L3" s="162" t="s">
        <v>20</v>
      </c>
      <c r="M3" s="162" t="s">
        <v>10</v>
      </c>
      <c r="N3" s="69" t="s">
        <v>104</v>
      </c>
      <c r="O3" s="70" t="s">
        <v>12</v>
      </c>
      <c r="P3" s="70" t="s">
        <v>49</v>
      </c>
      <c r="Q3" s="71" t="s">
        <v>22</v>
      </c>
      <c r="R3" s="385"/>
      <c r="S3" s="371"/>
      <c r="T3" s="72" t="s">
        <v>55</v>
      </c>
    </row>
    <row r="4" spans="1:20" s="81" customFormat="1" x14ac:dyDescent="0.3">
      <c r="A4" s="97"/>
      <c r="B4" s="98"/>
      <c r="C4" s="98"/>
      <c r="D4" s="98"/>
      <c r="E4" s="99"/>
      <c r="F4" s="100"/>
      <c r="G4" s="100"/>
      <c r="H4" s="98"/>
      <c r="I4" s="98"/>
      <c r="J4" s="97"/>
      <c r="K4" s="100"/>
      <c r="L4" s="100"/>
      <c r="M4" s="100"/>
      <c r="N4" s="101"/>
      <c r="O4" s="100"/>
      <c r="P4" s="100"/>
      <c r="Q4" s="102"/>
      <c r="R4" s="103"/>
      <c r="S4" s="104"/>
      <c r="T4" s="105"/>
    </row>
    <row r="5" spans="1:20" s="49" customFormat="1" ht="13.5" customHeight="1" x14ac:dyDescent="0.3">
      <c r="A5" s="50" t="s">
        <v>185</v>
      </c>
      <c r="B5" s="43" t="s">
        <v>168</v>
      </c>
      <c r="C5" s="43" t="s">
        <v>161</v>
      </c>
      <c r="D5" s="53" t="s">
        <v>52</v>
      </c>
      <c r="E5" s="148" t="s">
        <v>209</v>
      </c>
      <c r="F5" s="52">
        <v>2400</v>
      </c>
      <c r="G5" s="50">
        <v>12</v>
      </c>
      <c r="H5" s="50" t="s">
        <v>162</v>
      </c>
      <c r="I5" s="159" t="s">
        <v>263</v>
      </c>
      <c r="J5" s="41">
        <v>46055</v>
      </c>
      <c r="K5" s="160" t="s">
        <v>246</v>
      </c>
      <c r="L5" s="161">
        <v>89966862434</v>
      </c>
      <c r="M5" s="39" t="s">
        <v>247</v>
      </c>
      <c r="N5" s="84"/>
      <c r="O5" s="43"/>
      <c r="P5" s="43"/>
      <c r="Q5" s="52">
        <v>2400</v>
      </c>
      <c r="R5" s="39" t="s">
        <v>178</v>
      </c>
      <c r="S5" s="54">
        <v>85500</v>
      </c>
      <c r="T5" s="47">
        <f>S5*F5/1000</f>
        <v>205200</v>
      </c>
    </row>
    <row r="6" spans="1:20" s="49" customFormat="1" ht="13.5" customHeight="1" x14ac:dyDescent="0.3">
      <c r="A6" s="50" t="s">
        <v>185</v>
      </c>
      <c r="B6" s="43" t="s">
        <v>168</v>
      </c>
      <c r="C6" s="43" t="s">
        <v>161</v>
      </c>
      <c r="D6" s="53" t="s">
        <v>52</v>
      </c>
      <c r="E6" s="148" t="s">
        <v>210</v>
      </c>
      <c r="F6" s="52">
        <v>7200</v>
      </c>
      <c r="G6" s="50">
        <v>36</v>
      </c>
      <c r="H6" s="50" t="s">
        <v>162</v>
      </c>
      <c r="I6" s="159" t="s">
        <v>263</v>
      </c>
      <c r="J6" s="41">
        <v>46055</v>
      </c>
      <c r="K6" s="160" t="s">
        <v>246</v>
      </c>
      <c r="L6" s="161">
        <v>89966862434</v>
      </c>
      <c r="M6" s="39" t="s">
        <v>247</v>
      </c>
      <c r="N6" s="84"/>
      <c r="O6" s="43"/>
      <c r="P6" s="43"/>
      <c r="Q6" s="52">
        <v>7200</v>
      </c>
      <c r="R6" s="39" t="s">
        <v>178</v>
      </c>
      <c r="S6" s="54">
        <v>85500</v>
      </c>
      <c r="T6" s="47">
        <f>S6*F6/1000</f>
        <v>615600</v>
      </c>
    </row>
    <row r="7" spans="1:20" s="49" customFormat="1" ht="13.5" customHeight="1" x14ac:dyDescent="0.3">
      <c r="A7" s="50" t="s">
        <v>185</v>
      </c>
      <c r="B7" s="43" t="s">
        <v>168</v>
      </c>
      <c r="C7" s="43" t="s">
        <v>161</v>
      </c>
      <c r="D7" s="53" t="s">
        <v>52</v>
      </c>
      <c r="E7" s="148" t="s">
        <v>211</v>
      </c>
      <c r="F7" s="52">
        <v>4800</v>
      </c>
      <c r="G7" s="50">
        <v>24</v>
      </c>
      <c r="H7" s="50" t="s">
        <v>162</v>
      </c>
      <c r="I7" s="159" t="s">
        <v>263</v>
      </c>
      <c r="J7" s="41">
        <v>46055</v>
      </c>
      <c r="K7" s="160" t="s">
        <v>246</v>
      </c>
      <c r="L7" s="161">
        <v>89966862434</v>
      </c>
      <c r="M7" s="39" t="s">
        <v>247</v>
      </c>
      <c r="N7" s="84"/>
      <c r="O7" s="43"/>
      <c r="P7" s="43"/>
      <c r="Q7" s="52">
        <v>4800</v>
      </c>
      <c r="R7" s="39" t="s">
        <v>178</v>
      </c>
      <c r="S7" s="54">
        <v>85500</v>
      </c>
      <c r="T7" s="47">
        <f>S7*F7/1000</f>
        <v>410400</v>
      </c>
    </row>
    <row r="8" spans="1:20" s="49" customFormat="1" ht="13.5" customHeight="1" x14ac:dyDescent="0.3">
      <c r="A8" s="50" t="s">
        <v>185</v>
      </c>
      <c r="B8" s="43" t="s">
        <v>168</v>
      </c>
      <c r="C8" s="43" t="s">
        <v>161</v>
      </c>
      <c r="D8" s="53" t="s">
        <v>52</v>
      </c>
      <c r="E8" s="148" t="s">
        <v>216</v>
      </c>
      <c r="F8" s="52">
        <v>3200</v>
      </c>
      <c r="G8" s="50">
        <v>16</v>
      </c>
      <c r="H8" s="50" t="s">
        <v>162</v>
      </c>
      <c r="I8" s="159" t="s">
        <v>263</v>
      </c>
      <c r="J8" s="41">
        <v>46055</v>
      </c>
      <c r="K8" s="160" t="s">
        <v>246</v>
      </c>
      <c r="L8" s="161">
        <v>89966862434</v>
      </c>
      <c r="M8" s="39" t="s">
        <v>247</v>
      </c>
      <c r="N8" s="84"/>
      <c r="O8" s="43"/>
      <c r="P8" s="43"/>
      <c r="Q8" s="52">
        <v>3200</v>
      </c>
      <c r="R8" s="39" t="s">
        <v>178</v>
      </c>
      <c r="S8" s="54">
        <v>85500</v>
      </c>
      <c r="T8" s="47">
        <f>S8*F8/1000</f>
        <v>273600</v>
      </c>
    </row>
    <row r="9" spans="1:20" s="49" customFormat="1" ht="13.5" customHeight="1" x14ac:dyDescent="0.3">
      <c r="A9" s="50" t="s">
        <v>217</v>
      </c>
      <c r="B9" s="43" t="s">
        <v>137</v>
      </c>
      <c r="C9" s="43" t="s">
        <v>90</v>
      </c>
      <c r="D9" s="4" t="s">
        <v>70</v>
      </c>
      <c r="E9" s="42" t="s">
        <v>138</v>
      </c>
      <c r="F9" s="43">
        <v>20000</v>
      </c>
      <c r="G9" s="50">
        <v>800</v>
      </c>
      <c r="H9" s="50" t="s">
        <v>57</v>
      </c>
      <c r="I9" s="41" t="s">
        <v>263</v>
      </c>
      <c r="J9" s="41">
        <v>46055</v>
      </c>
      <c r="K9" s="39" t="s">
        <v>260</v>
      </c>
      <c r="L9" s="157">
        <v>89228293405</v>
      </c>
      <c r="M9" s="39" t="s">
        <v>259</v>
      </c>
      <c r="N9" s="84"/>
      <c r="O9" s="43">
        <v>20000</v>
      </c>
      <c r="P9" s="43"/>
      <c r="Q9" s="43"/>
      <c r="R9" s="39" t="s">
        <v>178</v>
      </c>
      <c r="S9" s="54">
        <v>41500</v>
      </c>
      <c r="T9" s="47">
        <f t="shared" ref="T9:T16" si="0">S9*F9/1000</f>
        <v>830000</v>
      </c>
    </row>
    <row r="10" spans="1:20" s="49" customFormat="1" ht="13.5" customHeight="1" x14ac:dyDescent="0.3">
      <c r="A10" s="50" t="s">
        <v>217</v>
      </c>
      <c r="B10" s="43" t="s">
        <v>220</v>
      </c>
      <c r="C10" s="43" t="s">
        <v>89</v>
      </c>
      <c r="D10" s="4" t="s">
        <v>66</v>
      </c>
      <c r="E10" s="42" t="s">
        <v>222</v>
      </c>
      <c r="F10" s="52">
        <v>10000</v>
      </c>
      <c r="G10" s="50">
        <v>400</v>
      </c>
      <c r="H10" s="50" t="s">
        <v>223</v>
      </c>
      <c r="I10" s="50" t="s">
        <v>263</v>
      </c>
      <c r="J10" s="41">
        <v>46055</v>
      </c>
      <c r="K10" s="178" t="s">
        <v>262</v>
      </c>
      <c r="L10" s="85">
        <v>89923370709</v>
      </c>
      <c r="M10" s="48" t="s">
        <v>261</v>
      </c>
      <c r="N10" s="75"/>
      <c r="O10" s="52">
        <v>10000</v>
      </c>
      <c r="P10" s="52"/>
      <c r="Q10" s="52"/>
      <c r="R10" s="39" t="s">
        <v>178</v>
      </c>
      <c r="S10" s="54">
        <v>44500</v>
      </c>
      <c r="T10" s="47">
        <f t="shared" si="0"/>
        <v>445000</v>
      </c>
    </row>
    <row r="11" spans="1:20" s="49" customFormat="1" ht="13.5" customHeight="1" x14ac:dyDescent="0.3">
      <c r="A11" s="50" t="s">
        <v>217</v>
      </c>
      <c r="B11" s="43" t="s">
        <v>220</v>
      </c>
      <c r="C11" s="43" t="s">
        <v>89</v>
      </c>
      <c r="D11" s="4" t="s">
        <v>58</v>
      </c>
      <c r="E11" s="42" t="s">
        <v>221</v>
      </c>
      <c r="F11" s="43">
        <v>9600</v>
      </c>
      <c r="G11" s="50">
        <v>48</v>
      </c>
      <c r="H11" s="50" t="s">
        <v>223</v>
      </c>
      <c r="I11" s="50" t="s">
        <v>263</v>
      </c>
      <c r="J11" s="41">
        <v>46055</v>
      </c>
      <c r="K11" s="178" t="s">
        <v>262</v>
      </c>
      <c r="L11" s="95">
        <v>89923370709</v>
      </c>
      <c r="M11" s="48" t="s">
        <v>261</v>
      </c>
      <c r="N11" s="84"/>
      <c r="O11" s="43"/>
      <c r="P11" s="43"/>
      <c r="Q11" s="43">
        <v>9600</v>
      </c>
      <c r="R11" s="39" t="s">
        <v>178</v>
      </c>
      <c r="S11" s="54">
        <v>89000</v>
      </c>
      <c r="T11" s="47">
        <f t="shared" si="0"/>
        <v>854400</v>
      </c>
    </row>
    <row r="12" spans="1:20" s="49" customFormat="1" ht="13.5" customHeight="1" x14ac:dyDescent="0.3">
      <c r="A12" s="50" t="s">
        <v>185</v>
      </c>
      <c r="B12" s="43" t="s">
        <v>169</v>
      </c>
      <c r="C12" s="43" t="s">
        <v>161</v>
      </c>
      <c r="D12" s="53" t="s">
        <v>52</v>
      </c>
      <c r="E12" s="148" t="s">
        <v>216</v>
      </c>
      <c r="F12" s="52">
        <v>3200</v>
      </c>
      <c r="G12" s="50">
        <v>16</v>
      </c>
      <c r="H12" s="50" t="s">
        <v>162</v>
      </c>
      <c r="I12" s="159" t="s">
        <v>263</v>
      </c>
      <c r="J12" s="159">
        <v>46056</v>
      </c>
      <c r="K12" s="160" t="s">
        <v>265</v>
      </c>
      <c r="L12" s="161">
        <v>89174985876</v>
      </c>
      <c r="M12" s="39" t="s">
        <v>264</v>
      </c>
      <c r="N12" s="84"/>
      <c r="O12" s="43"/>
      <c r="P12" s="43"/>
      <c r="Q12" s="52">
        <v>3200</v>
      </c>
      <c r="R12" s="39" t="s">
        <v>178</v>
      </c>
      <c r="S12" s="54">
        <v>85500</v>
      </c>
      <c r="T12" s="47">
        <f t="shared" si="0"/>
        <v>273600</v>
      </c>
    </row>
    <row r="13" spans="1:20" s="49" customFormat="1" ht="13.5" customHeight="1" x14ac:dyDescent="0.3">
      <c r="A13" s="50" t="s">
        <v>185</v>
      </c>
      <c r="B13" s="43" t="s">
        <v>169</v>
      </c>
      <c r="C13" s="43" t="s">
        <v>161</v>
      </c>
      <c r="D13" s="53" t="s">
        <v>52</v>
      </c>
      <c r="E13" s="148" t="s">
        <v>197</v>
      </c>
      <c r="F13" s="52">
        <v>7200</v>
      </c>
      <c r="G13" s="50">
        <v>36</v>
      </c>
      <c r="H13" s="50" t="s">
        <v>162</v>
      </c>
      <c r="I13" s="159" t="s">
        <v>263</v>
      </c>
      <c r="J13" s="159">
        <v>46056</v>
      </c>
      <c r="K13" s="160" t="s">
        <v>265</v>
      </c>
      <c r="L13" s="161">
        <v>89174985876</v>
      </c>
      <c r="M13" s="39" t="s">
        <v>264</v>
      </c>
      <c r="N13" s="84"/>
      <c r="O13" s="43"/>
      <c r="P13" s="43"/>
      <c r="Q13" s="52">
        <v>7200</v>
      </c>
      <c r="R13" s="39" t="s">
        <v>178</v>
      </c>
      <c r="S13" s="54">
        <v>85500</v>
      </c>
      <c r="T13" s="47">
        <f t="shared" si="0"/>
        <v>615600</v>
      </c>
    </row>
    <row r="14" spans="1:20" s="49" customFormat="1" ht="13.5" customHeight="1" x14ac:dyDescent="0.3">
      <c r="A14" s="50" t="s">
        <v>185</v>
      </c>
      <c r="B14" s="43" t="s">
        <v>169</v>
      </c>
      <c r="C14" s="43" t="s">
        <v>161</v>
      </c>
      <c r="D14" s="53" t="s">
        <v>52</v>
      </c>
      <c r="E14" s="148" t="s">
        <v>245</v>
      </c>
      <c r="F14" s="52">
        <v>6400</v>
      </c>
      <c r="G14" s="50">
        <v>32</v>
      </c>
      <c r="H14" s="50" t="s">
        <v>162</v>
      </c>
      <c r="I14" s="159" t="s">
        <v>263</v>
      </c>
      <c r="J14" s="159">
        <v>46056</v>
      </c>
      <c r="K14" s="160" t="s">
        <v>265</v>
      </c>
      <c r="L14" s="161">
        <v>89174985876</v>
      </c>
      <c r="M14" s="39" t="s">
        <v>264</v>
      </c>
      <c r="N14" s="84"/>
      <c r="O14" s="43"/>
      <c r="P14" s="43"/>
      <c r="Q14" s="52">
        <v>6400</v>
      </c>
      <c r="R14" s="39" t="s">
        <v>178</v>
      </c>
      <c r="S14" s="54">
        <v>85500</v>
      </c>
      <c r="T14" s="47">
        <f t="shared" si="0"/>
        <v>547200</v>
      </c>
    </row>
    <row r="15" spans="1:20" s="49" customFormat="1" ht="13.5" customHeight="1" x14ac:dyDescent="0.3">
      <c r="A15" s="50" t="s">
        <v>185</v>
      </c>
      <c r="B15" s="43" t="s">
        <v>169</v>
      </c>
      <c r="C15" s="43" t="s">
        <v>161</v>
      </c>
      <c r="D15" s="53" t="s">
        <v>52</v>
      </c>
      <c r="E15" s="148" t="s">
        <v>248</v>
      </c>
      <c r="F15" s="52">
        <v>800</v>
      </c>
      <c r="G15" s="50">
        <v>4</v>
      </c>
      <c r="H15" s="50" t="s">
        <v>162</v>
      </c>
      <c r="I15" s="159" t="s">
        <v>263</v>
      </c>
      <c r="J15" s="159">
        <v>46056</v>
      </c>
      <c r="K15" s="160" t="s">
        <v>265</v>
      </c>
      <c r="L15" s="161">
        <v>89174985876</v>
      </c>
      <c r="M15" s="39" t="s">
        <v>264</v>
      </c>
      <c r="N15" s="84"/>
      <c r="O15" s="43"/>
      <c r="P15" s="43"/>
      <c r="Q15" s="52">
        <v>800</v>
      </c>
      <c r="R15" s="39" t="s">
        <v>178</v>
      </c>
      <c r="S15" s="54">
        <v>85500</v>
      </c>
      <c r="T15" s="47">
        <f t="shared" si="0"/>
        <v>68400</v>
      </c>
    </row>
    <row r="16" spans="1:20" s="49" customFormat="1" ht="13.5" customHeight="1" x14ac:dyDescent="0.3">
      <c r="A16" s="50" t="s">
        <v>217</v>
      </c>
      <c r="B16" s="43" t="s">
        <v>249</v>
      </c>
      <c r="C16" s="43" t="s">
        <v>154</v>
      </c>
      <c r="D16" s="4" t="s">
        <v>109</v>
      </c>
      <c r="E16" s="76" t="s">
        <v>248</v>
      </c>
      <c r="F16" s="43">
        <v>20000</v>
      </c>
      <c r="G16" s="50">
        <v>800</v>
      </c>
      <c r="H16" s="50" t="s">
        <v>155</v>
      </c>
      <c r="I16" s="41" t="s">
        <v>263</v>
      </c>
      <c r="J16" s="41">
        <v>46056</v>
      </c>
      <c r="K16" s="39" t="s">
        <v>267</v>
      </c>
      <c r="L16" s="157">
        <v>89371557300</v>
      </c>
      <c r="M16" s="39" t="s">
        <v>266</v>
      </c>
      <c r="N16" s="84"/>
      <c r="O16" s="43">
        <v>20000</v>
      </c>
      <c r="P16" s="43"/>
      <c r="Q16" s="43"/>
      <c r="R16" s="39" t="s">
        <v>178</v>
      </c>
      <c r="S16" s="54">
        <v>43500</v>
      </c>
      <c r="T16" s="47">
        <f t="shared" si="0"/>
        <v>870000</v>
      </c>
    </row>
    <row r="17" spans="1:20" s="49" customFormat="1" ht="13.5" customHeight="1" x14ac:dyDescent="0.3">
      <c r="A17" s="50" t="s">
        <v>185</v>
      </c>
      <c r="B17" s="43" t="s">
        <v>250</v>
      </c>
      <c r="C17" s="43" t="s">
        <v>154</v>
      </c>
      <c r="D17" s="4" t="s">
        <v>109</v>
      </c>
      <c r="E17" s="76" t="s">
        <v>273</v>
      </c>
      <c r="F17" s="43">
        <v>20000</v>
      </c>
      <c r="G17" s="50">
        <v>800</v>
      </c>
      <c r="H17" s="50" t="s">
        <v>155</v>
      </c>
      <c r="I17" s="41" t="s">
        <v>263</v>
      </c>
      <c r="J17" s="41">
        <v>46057</v>
      </c>
      <c r="K17" s="39" t="s">
        <v>277</v>
      </c>
      <c r="L17" s="157">
        <v>89068273915</v>
      </c>
      <c r="M17" s="39" t="s">
        <v>276</v>
      </c>
      <c r="N17" s="84"/>
      <c r="O17" s="43">
        <v>20000</v>
      </c>
      <c r="P17" s="43"/>
      <c r="Q17" s="43"/>
      <c r="R17" s="39" t="s">
        <v>178</v>
      </c>
      <c r="S17" s="54">
        <v>43500</v>
      </c>
      <c r="T17" s="47">
        <f t="shared" ref="T17:T32" si="1">S17*F17/1000</f>
        <v>870000</v>
      </c>
    </row>
    <row r="18" spans="1:20" s="49" customFormat="1" ht="13.5" customHeight="1" x14ac:dyDescent="0.3">
      <c r="A18" s="50" t="s">
        <v>287</v>
      </c>
      <c r="B18" s="43" t="s">
        <v>170</v>
      </c>
      <c r="C18" s="43" t="s">
        <v>161</v>
      </c>
      <c r="D18" s="53" t="s">
        <v>52</v>
      </c>
      <c r="E18" s="148" t="s">
        <v>248</v>
      </c>
      <c r="F18" s="52">
        <v>6400</v>
      </c>
      <c r="G18" s="50">
        <v>32</v>
      </c>
      <c r="H18" s="50" t="s">
        <v>162</v>
      </c>
      <c r="I18" s="159" t="s">
        <v>263</v>
      </c>
      <c r="J18" s="41">
        <v>46058</v>
      </c>
      <c r="K18" s="160" t="s">
        <v>285</v>
      </c>
      <c r="L18" s="161">
        <v>89080063420</v>
      </c>
      <c r="M18" s="39" t="s">
        <v>284</v>
      </c>
      <c r="N18" s="84"/>
      <c r="O18" s="43"/>
      <c r="P18" s="43"/>
      <c r="Q18" s="52">
        <v>6400</v>
      </c>
      <c r="R18" s="39" t="s">
        <v>178</v>
      </c>
      <c r="S18" s="54">
        <v>85500</v>
      </c>
      <c r="T18" s="47">
        <f t="shared" si="1"/>
        <v>547200</v>
      </c>
    </row>
    <row r="19" spans="1:20" s="49" customFormat="1" ht="13.5" customHeight="1" x14ac:dyDescent="0.3">
      <c r="A19" s="50" t="s">
        <v>287</v>
      </c>
      <c r="B19" s="43" t="s">
        <v>170</v>
      </c>
      <c r="C19" s="43" t="s">
        <v>161</v>
      </c>
      <c r="D19" s="53" t="s">
        <v>52</v>
      </c>
      <c r="E19" s="148" t="s">
        <v>257</v>
      </c>
      <c r="F19" s="52">
        <v>7200</v>
      </c>
      <c r="G19" s="50">
        <v>36</v>
      </c>
      <c r="H19" s="50" t="s">
        <v>162</v>
      </c>
      <c r="I19" s="159" t="s">
        <v>263</v>
      </c>
      <c r="J19" s="41">
        <v>46058</v>
      </c>
      <c r="K19" s="160" t="s">
        <v>285</v>
      </c>
      <c r="L19" s="161">
        <v>89080063420</v>
      </c>
      <c r="M19" s="39" t="s">
        <v>284</v>
      </c>
      <c r="N19" s="84"/>
      <c r="O19" s="43"/>
      <c r="P19" s="43"/>
      <c r="Q19" s="52">
        <v>7200</v>
      </c>
      <c r="R19" s="39" t="s">
        <v>178</v>
      </c>
      <c r="S19" s="54">
        <v>85500</v>
      </c>
      <c r="T19" s="47">
        <f t="shared" si="1"/>
        <v>615600</v>
      </c>
    </row>
    <row r="20" spans="1:20" s="49" customFormat="1" ht="13.5" customHeight="1" x14ac:dyDescent="0.3">
      <c r="A20" s="50" t="s">
        <v>287</v>
      </c>
      <c r="B20" s="43" t="s">
        <v>170</v>
      </c>
      <c r="C20" s="43" t="s">
        <v>161</v>
      </c>
      <c r="D20" s="53" t="s">
        <v>52</v>
      </c>
      <c r="E20" s="148" t="s">
        <v>258</v>
      </c>
      <c r="F20" s="52">
        <v>4000</v>
      </c>
      <c r="G20" s="50">
        <v>20</v>
      </c>
      <c r="H20" s="50" t="s">
        <v>162</v>
      </c>
      <c r="I20" s="159" t="s">
        <v>263</v>
      </c>
      <c r="J20" s="41">
        <v>46058</v>
      </c>
      <c r="K20" s="160" t="s">
        <v>285</v>
      </c>
      <c r="L20" s="161">
        <v>89080063420</v>
      </c>
      <c r="M20" s="39" t="s">
        <v>284</v>
      </c>
      <c r="N20" s="84"/>
      <c r="O20" s="43"/>
      <c r="P20" s="43"/>
      <c r="Q20" s="52">
        <v>4000</v>
      </c>
      <c r="R20" s="39" t="s">
        <v>178</v>
      </c>
      <c r="S20" s="54">
        <v>85500</v>
      </c>
      <c r="T20" s="47">
        <f t="shared" si="1"/>
        <v>342000</v>
      </c>
    </row>
    <row r="21" spans="1:20" s="49" customFormat="1" ht="13.5" customHeight="1" x14ac:dyDescent="0.3">
      <c r="A21" s="50" t="s">
        <v>286</v>
      </c>
      <c r="B21" s="43" t="s">
        <v>251</v>
      </c>
      <c r="C21" s="43" t="s">
        <v>154</v>
      </c>
      <c r="D21" s="4" t="s">
        <v>109</v>
      </c>
      <c r="E21" s="76" t="s">
        <v>272</v>
      </c>
      <c r="F21" s="43">
        <v>20000</v>
      </c>
      <c r="G21" s="50">
        <v>800</v>
      </c>
      <c r="H21" s="50" t="s">
        <v>155</v>
      </c>
      <c r="I21" s="41" t="s">
        <v>263</v>
      </c>
      <c r="J21" s="41">
        <v>46058</v>
      </c>
      <c r="K21" s="39" t="s">
        <v>289</v>
      </c>
      <c r="L21" s="157">
        <v>89125754867</v>
      </c>
      <c r="M21" s="39" t="s">
        <v>288</v>
      </c>
      <c r="N21" s="84"/>
      <c r="O21" s="43">
        <v>20000</v>
      </c>
      <c r="P21" s="43"/>
      <c r="Q21" s="43"/>
      <c r="R21" s="39" t="s">
        <v>178</v>
      </c>
      <c r="S21" s="54">
        <v>43500</v>
      </c>
      <c r="T21" s="47">
        <f t="shared" si="1"/>
        <v>870000</v>
      </c>
    </row>
    <row r="22" spans="1:20" s="49" customFormat="1" ht="13.5" customHeight="1" x14ac:dyDescent="0.3">
      <c r="A22" s="50" t="s">
        <v>268</v>
      </c>
      <c r="B22" s="43" t="s">
        <v>269</v>
      </c>
      <c r="C22" s="43" t="s">
        <v>270</v>
      </c>
      <c r="D22" s="4" t="s">
        <v>62</v>
      </c>
      <c r="E22" s="42" t="s">
        <v>273</v>
      </c>
      <c r="F22" s="43">
        <v>11520</v>
      </c>
      <c r="G22" s="50">
        <v>64</v>
      </c>
      <c r="H22" s="50" t="s">
        <v>193</v>
      </c>
      <c r="I22" s="50" t="s">
        <v>263</v>
      </c>
      <c r="J22" s="41">
        <v>46058</v>
      </c>
      <c r="K22" s="83" t="s">
        <v>291</v>
      </c>
      <c r="L22" s="95"/>
      <c r="M22" s="39" t="s">
        <v>290</v>
      </c>
      <c r="N22" s="84"/>
      <c r="O22" s="43"/>
      <c r="P22" s="43"/>
      <c r="Q22" s="43">
        <v>11520</v>
      </c>
      <c r="R22" s="39" t="s">
        <v>178</v>
      </c>
      <c r="S22" s="54">
        <v>127500</v>
      </c>
      <c r="T22" s="47">
        <f t="shared" si="1"/>
        <v>1468800</v>
      </c>
    </row>
    <row r="23" spans="1:20" s="49" customFormat="1" ht="13.5" customHeight="1" x14ac:dyDescent="0.3">
      <c r="A23" s="50" t="s">
        <v>268</v>
      </c>
      <c r="B23" s="43" t="s">
        <v>269</v>
      </c>
      <c r="C23" s="43" t="s">
        <v>270</v>
      </c>
      <c r="D23" s="4" t="s">
        <v>271</v>
      </c>
      <c r="E23" s="42" t="s">
        <v>272</v>
      </c>
      <c r="F23" s="43">
        <v>2880</v>
      </c>
      <c r="G23" s="50">
        <v>16</v>
      </c>
      <c r="H23" s="50" t="s">
        <v>193</v>
      </c>
      <c r="I23" s="50" t="s">
        <v>263</v>
      </c>
      <c r="J23" s="41">
        <v>46058</v>
      </c>
      <c r="K23" s="83" t="s">
        <v>291</v>
      </c>
      <c r="L23" s="95"/>
      <c r="M23" s="39" t="s">
        <v>290</v>
      </c>
      <c r="N23" s="84"/>
      <c r="O23" s="43"/>
      <c r="P23" s="43"/>
      <c r="Q23" s="43">
        <v>2880</v>
      </c>
      <c r="R23" s="39" t="s">
        <v>178</v>
      </c>
      <c r="S23" s="54">
        <v>160000</v>
      </c>
      <c r="T23" s="47">
        <f t="shared" si="1"/>
        <v>460800</v>
      </c>
    </row>
    <row r="24" spans="1:20" s="49" customFormat="1" ht="13.5" customHeight="1" x14ac:dyDescent="0.3">
      <c r="A24" s="50" t="s">
        <v>296</v>
      </c>
      <c r="B24" s="43" t="s">
        <v>295</v>
      </c>
      <c r="C24" s="43" t="s">
        <v>89</v>
      </c>
      <c r="D24" s="4" t="s">
        <v>66</v>
      </c>
      <c r="E24" s="42" t="s">
        <v>203</v>
      </c>
      <c r="F24" s="52">
        <v>20000</v>
      </c>
      <c r="G24" s="50">
        <v>800</v>
      </c>
      <c r="H24" s="50" t="s">
        <v>200</v>
      </c>
      <c r="I24" s="50" t="s">
        <v>263</v>
      </c>
      <c r="J24" s="41">
        <v>46059</v>
      </c>
      <c r="K24" s="189" t="s">
        <v>298</v>
      </c>
      <c r="L24" s="85">
        <v>89115800204</v>
      </c>
      <c r="M24" s="48" t="s">
        <v>297</v>
      </c>
      <c r="N24" s="75"/>
      <c r="O24" s="52">
        <v>20000</v>
      </c>
      <c r="P24" s="52"/>
      <c r="Q24" s="52"/>
      <c r="R24" s="39" t="s">
        <v>178</v>
      </c>
      <c r="S24" s="54">
        <v>44500</v>
      </c>
      <c r="T24" s="47">
        <f t="shared" si="1"/>
        <v>890000</v>
      </c>
    </row>
    <row r="25" spans="1:20" s="49" customFormat="1" ht="13.5" customHeight="1" x14ac:dyDescent="0.3">
      <c r="A25" s="50" t="s">
        <v>185</v>
      </c>
      <c r="B25" s="43" t="s">
        <v>171</v>
      </c>
      <c r="C25" s="43" t="s">
        <v>161</v>
      </c>
      <c r="D25" s="53" t="s">
        <v>52</v>
      </c>
      <c r="E25" s="148" t="s">
        <v>258</v>
      </c>
      <c r="F25" s="52">
        <v>2400</v>
      </c>
      <c r="G25" s="50">
        <v>12</v>
      </c>
      <c r="H25" s="50" t="s">
        <v>162</v>
      </c>
      <c r="I25" s="159" t="s">
        <v>263</v>
      </c>
      <c r="J25" s="41">
        <v>46059</v>
      </c>
      <c r="K25" s="160" t="s">
        <v>301</v>
      </c>
      <c r="L25" s="161">
        <v>89090041850</v>
      </c>
      <c r="M25" s="39" t="s">
        <v>300</v>
      </c>
      <c r="N25" s="84"/>
      <c r="O25" s="43"/>
      <c r="P25" s="43"/>
      <c r="Q25" s="52">
        <v>2400</v>
      </c>
      <c r="R25" s="39" t="s">
        <v>178</v>
      </c>
      <c r="S25" s="54">
        <v>85500</v>
      </c>
      <c r="T25" s="47">
        <f t="shared" si="1"/>
        <v>205200</v>
      </c>
    </row>
    <row r="26" spans="1:20" s="49" customFormat="1" ht="13.5" customHeight="1" x14ac:dyDescent="0.3">
      <c r="A26" s="50" t="s">
        <v>185</v>
      </c>
      <c r="B26" s="43" t="s">
        <v>171</v>
      </c>
      <c r="C26" s="43" t="s">
        <v>161</v>
      </c>
      <c r="D26" s="53" t="s">
        <v>58</v>
      </c>
      <c r="E26" s="148" t="s">
        <v>211</v>
      </c>
      <c r="F26" s="52">
        <v>8800</v>
      </c>
      <c r="G26" s="50">
        <v>44</v>
      </c>
      <c r="H26" s="50" t="s">
        <v>162</v>
      </c>
      <c r="I26" s="159" t="s">
        <v>263</v>
      </c>
      <c r="J26" s="41">
        <v>46059</v>
      </c>
      <c r="K26" s="160" t="s">
        <v>301</v>
      </c>
      <c r="L26" s="161">
        <v>89090041850</v>
      </c>
      <c r="M26" s="39" t="s">
        <v>300</v>
      </c>
      <c r="N26" s="84"/>
      <c r="O26" s="43"/>
      <c r="P26" s="43"/>
      <c r="Q26" s="52">
        <v>8800</v>
      </c>
      <c r="R26" s="39" t="s">
        <v>178</v>
      </c>
      <c r="S26" s="54">
        <v>94500</v>
      </c>
      <c r="T26" s="47">
        <f t="shared" si="1"/>
        <v>831600</v>
      </c>
    </row>
    <row r="27" spans="1:20" s="49" customFormat="1" ht="13.5" customHeight="1" x14ac:dyDescent="0.3">
      <c r="A27" s="50" t="s">
        <v>185</v>
      </c>
      <c r="B27" s="43" t="s">
        <v>171</v>
      </c>
      <c r="C27" s="43" t="s">
        <v>161</v>
      </c>
      <c r="D27" s="53" t="s">
        <v>58</v>
      </c>
      <c r="E27" s="148" t="s">
        <v>216</v>
      </c>
      <c r="F27" s="52">
        <v>6400</v>
      </c>
      <c r="G27" s="50">
        <v>32</v>
      </c>
      <c r="H27" s="50" t="s">
        <v>162</v>
      </c>
      <c r="I27" s="159" t="s">
        <v>263</v>
      </c>
      <c r="J27" s="41">
        <v>46059</v>
      </c>
      <c r="K27" s="160" t="s">
        <v>301</v>
      </c>
      <c r="L27" s="161">
        <v>89090041850</v>
      </c>
      <c r="M27" s="39" t="s">
        <v>300</v>
      </c>
      <c r="N27" s="84"/>
      <c r="O27" s="43"/>
      <c r="P27" s="43"/>
      <c r="Q27" s="52">
        <v>6400</v>
      </c>
      <c r="R27" s="39" t="s">
        <v>178</v>
      </c>
      <c r="S27" s="54">
        <v>94500</v>
      </c>
      <c r="T27" s="47">
        <f t="shared" si="1"/>
        <v>604800</v>
      </c>
    </row>
    <row r="28" spans="1:20" s="49" customFormat="1" ht="13.5" customHeight="1" x14ac:dyDescent="0.3">
      <c r="A28" s="50" t="s">
        <v>303</v>
      </c>
      <c r="B28" s="43" t="s">
        <v>280</v>
      </c>
      <c r="C28" s="43" t="s">
        <v>278</v>
      </c>
      <c r="D28" s="53" t="s">
        <v>71</v>
      </c>
      <c r="E28" s="42" t="s">
        <v>281</v>
      </c>
      <c r="F28" s="52">
        <v>14000</v>
      </c>
      <c r="G28" s="52">
        <v>1000</v>
      </c>
      <c r="H28" s="50" t="s">
        <v>279</v>
      </c>
      <c r="I28" s="50" t="s">
        <v>263</v>
      </c>
      <c r="J28" s="41">
        <v>46063</v>
      </c>
      <c r="K28" s="189" t="s">
        <v>305</v>
      </c>
      <c r="L28" s="85" t="s">
        <v>329</v>
      </c>
      <c r="M28" s="48" t="s">
        <v>304</v>
      </c>
      <c r="N28" s="75"/>
      <c r="O28" s="52"/>
      <c r="P28" s="52">
        <v>14000</v>
      </c>
      <c r="Q28" s="43"/>
      <c r="R28" s="39" t="s">
        <v>178</v>
      </c>
      <c r="S28" s="54">
        <v>317000</v>
      </c>
      <c r="T28" s="47">
        <f t="shared" si="1"/>
        <v>4438000</v>
      </c>
    </row>
    <row r="29" spans="1:20" s="49" customFormat="1" ht="13.5" customHeight="1" x14ac:dyDescent="0.3">
      <c r="A29" s="50" t="s">
        <v>226</v>
      </c>
      <c r="B29" s="43" t="s">
        <v>172</v>
      </c>
      <c r="C29" s="43" t="s">
        <v>161</v>
      </c>
      <c r="D29" s="53" t="s">
        <v>52</v>
      </c>
      <c r="E29" s="148" t="s">
        <v>258</v>
      </c>
      <c r="F29" s="52">
        <v>800</v>
      </c>
      <c r="G29" s="50">
        <v>4</v>
      </c>
      <c r="H29" s="50" t="s">
        <v>162</v>
      </c>
      <c r="I29" s="159" t="s">
        <v>263</v>
      </c>
      <c r="J29" s="159">
        <v>46063</v>
      </c>
      <c r="K29" s="160" t="s">
        <v>309</v>
      </c>
      <c r="L29" s="161">
        <v>89216700606</v>
      </c>
      <c r="M29" s="39" t="s">
        <v>308</v>
      </c>
      <c r="N29" s="84"/>
      <c r="O29" s="43"/>
      <c r="P29" s="43"/>
      <c r="Q29" s="52">
        <v>800</v>
      </c>
      <c r="R29" s="39" t="s">
        <v>178</v>
      </c>
      <c r="S29" s="54">
        <v>85500</v>
      </c>
      <c r="T29" s="47">
        <f t="shared" si="1"/>
        <v>68400</v>
      </c>
    </row>
    <row r="30" spans="1:20" s="49" customFormat="1" ht="13.5" customHeight="1" x14ac:dyDescent="0.3">
      <c r="A30" s="50" t="s">
        <v>226</v>
      </c>
      <c r="B30" s="43" t="s">
        <v>172</v>
      </c>
      <c r="C30" s="43" t="s">
        <v>161</v>
      </c>
      <c r="D30" s="53" t="s">
        <v>52</v>
      </c>
      <c r="E30" s="148" t="s">
        <v>274</v>
      </c>
      <c r="F30" s="52">
        <v>4800</v>
      </c>
      <c r="G30" s="50">
        <v>24</v>
      </c>
      <c r="H30" s="50" t="s">
        <v>162</v>
      </c>
      <c r="I30" s="159" t="s">
        <v>263</v>
      </c>
      <c r="J30" s="159">
        <v>46063</v>
      </c>
      <c r="K30" s="160" t="s">
        <v>309</v>
      </c>
      <c r="L30" s="161">
        <v>89216700606</v>
      </c>
      <c r="M30" s="39" t="s">
        <v>308</v>
      </c>
      <c r="N30" s="84"/>
      <c r="O30" s="43"/>
      <c r="P30" s="43"/>
      <c r="Q30" s="52">
        <v>4800</v>
      </c>
      <c r="R30" s="39" t="s">
        <v>178</v>
      </c>
      <c r="S30" s="54">
        <v>85500</v>
      </c>
      <c r="T30" s="47">
        <f t="shared" si="1"/>
        <v>410400</v>
      </c>
    </row>
    <row r="31" spans="1:20" s="49" customFormat="1" ht="13.5" customHeight="1" x14ac:dyDescent="0.3">
      <c r="A31" s="50" t="s">
        <v>226</v>
      </c>
      <c r="B31" s="43" t="s">
        <v>172</v>
      </c>
      <c r="C31" s="43" t="s">
        <v>161</v>
      </c>
      <c r="D31" s="53" t="s">
        <v>52</v>
      </c>
      <c r="E31" s="148" t="s">
        <v>275</v>
      </c>
      <c r="F31" s="52">
        <v>7200</v>
      </c>
      <c r="G31" s="50">
        <v>36</v>
      </c>
      <c r="H31" s="50" t="s">
        <v>162</v>
      </c>
      <c r="I31" s="159" t="s">
        <v>263</v>
      </c>
      <c r="J31" s="159">
        <v>46063</v>
      </c>
      <c r="K31" s="160" t="s">
        <v>309</v>
      </c>
      <c r="L31" s="161">
        <v>89216700606</v>
      </c>
      <c r="M31" s="39" t="s">
        <v>308</v>
      </c>
      <c r="N31" s="84"/>
      <c r="O31" s="43"/>
      <c r="P31" s="43"/>
      <c r="Q31" s="52">
        <v>7200</v>
      </c>
      <c r="R31" s="39" t="s">
        <v>178</v>
      </c>
      <c r="S31" s="54">
        <v>85500</v>
      </c>
      <c r="T31" s="47">
        <f t="shared" si="1"/>
        <v>615600</v>
      </c>
    </row>
    <row r="32" spans="1:20" s="49" customFormat="1" ht="13.5" customHeight="1" x14ac:dyDescent="0.3">
      <c r="A32" s="50" t="s">
        <v>226</v>
      </c>
      <c r="B32" s="43" t="s">
        <v>172</v>
      </c>
      <c r="C32" s="43" t="s">
        <v>161</v>
      </c>
      <c r="D32" s="53" t="s">
        <v>52</v>
      </c>
      <c r="E32" s="148" t="s">
        <v>299</v>
      </c>
      <c r="F32" s="52">
        <v>4800</v>
      </c>
      <c r="G32" s="50">
        <v>24</v>
      </c>
      <c r="H32" s="50" t="s">
        <v>162</v>
      </c>
      <c r="I32" s="159" t="s">
        <v>263</v>
      </c>
      <c r="J32" s="159">
        <v>46063</v>
      </c>
      <c r="K32" s="160" t="s">
        <v>309</v>
      </c>
      <c r="L32" s="161">
        <v>89216700606</v>
      </c>
      <c r="M32" s="39" t="s">
        <v>308</v>
      </c>
      <c r="N32" s="84"/>
      <c r="O32" s="43"/>
      <c r="P32" s="43"/>
      <c r="Q32" s="52">
        <v>4800</v>
      </c>
      <c r="R32" s="39" t="s">
        <v>178</v>
      </c>
      <c r="S32" s="54">
        <v>85500</v>
      </c>
      <c r="T32" s="47">
        <f t="shared" si="1"/>
        <v>410400</v>
      </c>
    </row>
    <row r="33" spans="1:20" s="49" customFormat="1" ht="13.5" customHeight="1" x14ac:dyDescent="0.3">
      <c r="A33" s="50" t="s">
        <v>182</v>
      </c>
      <c r="B33" s="43" t="s">
        <v>252</v>
      </c>
      <c r="C33" s="43" t="s">
        <v>154</v>
      </c>
      <c r="D33" s="4" t="s">
        <v>109</v>
      </c>
      <c r="E33" s="76" t="s">
        <v>402</v>
      </c>
      <c r="F33" s="43">
        <v>20000</v>
      </c>
      <c r="G33" s="50">
        <v>800</v>
      </c>
      <c r="H33" s="50" t="s">
        <v>155</v>
      </c>
      <c r="I33" s="41" t="s">
        <v>263</v>
      </c>
      <c r="J33" s="41">
        <v>46065</v>
      </c>
      <c r="K33" s="39" t="s">
        <v>323</v>
      </c>
      <c r="L33" s="157">
        <v>89212974613</v>
      </c>
      <c r="M33" s="39" t="s">
        <v>322</v>
      </c>
      <c r="N33" s="84"/>
      <c r="O33" s="43">
        <v>20000</v>
      </c>
      <c r="P33" s="43"/>
      <c r="Q33" s="43"/>
      <c r="R33" s="39" t="s">
        <v>178</v>
      </c>
      <c r="S33" s="54">
        <v>43500</v>
      </c>
      <c r="T33" s="47">
        <f t="shared" ref="T33:T57" si="2">S33*F33/1000</f>
        <v>870000</v>
      </c>
    </row>
    <row r="34" spans="1:20" s="49" customFormat="1" ht="13.5" customHeight="1" x14ac:dyDescent="0.3">
      <c r="A34" s="50" t="s">
        <v>193</v>
      </c>
      <c r="B34" s="43" t="s">
        <v>336</v>
      </c>
      <c r="C34" s="43" t="s">
        <v>319</v>
      </c>
      <c r="D34" s="4" t="s">
        <v>58</v>
      </c>
      <c r="E34" s="42" t="s">
        <v>320</v>
      </c>
      <c r="F34" s="43">
        <v>2000</v>
      </c>
      <c r="G34" s="50">
        <v>10</v>
      </c>
      <c r="H34" s="191" t="s">
        <v>215</v>
      </c>
      <c r="I34" s="50" t="s">
        <v>263</v>
      </c>
      <c r="J34" s="41">
        <v>46066</v>
      </c>
      <c r="K34" s="83" t="s">
        <v>337</v>
      </c>
      <c r="L34" s="95">
        <v>89398007409</v>
      </c>
      <c r="M34" s="39" t="s">
        <v>338</v>
      </c>
      <c r="N34" s="84"/>
      <c r="O34" s="43"/>
      <c r="P34" s="43"/>
      <c r="Q34" s="43">
        <v>2000</v>
      </c>
      <c r="R34" s="39" t="s">
        <v>178</v>
      </c>
      <c r="S34" s="54">
        <v>111000</v>
      </c>
      <c r="T34" s="47">
        <f>S34*F34/1000</f>
        <v>222000</v>
      </c>
    </row>
    <row r="35" spans="1:20" s="49" customFormat="1" ht="13.5" customHeight="1" x14ac:dyDescent="0.3">
      <c r="A35" s="50" t="s">
        <v>185</v>
      </c>
      <c r="B35" s="43" t="s">
        <v>253</v>
      </c>
      <c r="C35" s="43" t="s">
        <v>154</v>
      </c>
      <c r="D35" s="4" t="s">
        <v>109</v>
      </c>
      <c r="E35" s="76" t="s">
        <v>299</v>
      </c>
      <c r="F35" s="43">
        <v>20000</v>
      </c>
      <c r="G35" s="50">
        <v>800</v>
      </c>
      <c r="H35" s="50" t="s">
        <v>155</v>
      </c>
      <c r="I35" s="41" t="s">
        <v>263</v>
      </c>
      <c r="J35" s="41">
        <v>46069</v>
      </c>
      <c r="K35" s="39" t="s">
        <v>333</v>
      </c>
      <c r="L35" s="157">
        <v>89827655793</v>
      </c>
      <c r="M35" s="39" t="s">
        <v>236</v>
      </c>
      <c r="N35" s="84"/>
      <c r="O35" s="43">
        <v>20000</v>
      </c>
      <c r="P35" s="43"/>
      <c r="Q35" s="43"/>
      <c r="R35" s="39" t="s">
        <v>178</v>
      </c>
      <c r="S35" s="54">
        <v>43500</v>
      </c>
      <c r="T35" s="47">
        <f>S35*F35/1000</f>
        <v>870000</v>
      </c>
    </row>
    <row r="36" spans="1:20" s="49" customFormat="1" ht="13.5" customHeight="1" x14ac:dyDescent="0.3">
      <c r="A36" s="50" t="s">
        <v>217</v>
      </c>
      <c r="B36" s="43" t="s">
        <v>254</v>
      </c>
      <c r="C36" s="43" t="s">
        <v>154</v>
      </c>
      <c r="D36" s="4" t="s">
        <v>109</v>
      </c>
      <c r="E36" s="76" t="s">
        <v>326</v>
      </c>
      <c r="F36" s="43">
        <v>20000</v>
      </c>
      <c r="G36" s="50">
        <v>800</v>
      </c>
      <c r="H36" s="50" t="s">
        <v>155</v>
      </c>
      <c r="I36" s="41" t="s">
        <v>263</v>
      </c>
      <c r="J36" s="41">
        <v>46069</v>
      </c>
      <c r="K36" s="39" t="s">
        <v>262</v>
      </c>
      <c r="L36" s="157">
        <v>89923370709</v>
      </c>
      <c r="M36" s="39" t="s">
        <v>261</v>
      </c>
      <c r="N36" s="84"/>
      <c r="O36" s="43">
        <v>20000</v>
      </c>
      <c r="P36" s="43"/>
      <c r="Q36" s="43"/>
      <c r="R36" s="39" t="s">
        <v>178</v>
      </c>
      <c r="S36" s="54">
        <v>43500</v>
      </c>
      <c r="T36" s="47">
        <f>S36*F36/1000</f>
        <v>870000</v>
      </c>
    </row>
    <row r="37" spans="1:20" s="49" customFormat="1" ht="13.5" customHeight="1" x14ac:dyDescent="0.3">
      <c r="A37" s="50" t="s">
        <v>185</v>
      </c>
      <c r="B37" s="43" t="s">
        <v>314</v>
      </c>
      <c r="C37" s="43" t="s">
        <v>91</v>
      </c>
      <c r="D37" s="53" t="s">
        <v>83</v>
      </c>
      <c r="E37" s="42" t="s">
        <v>331</v>
      </c>
      <c r="F37" s="52">
        <v>12000</v>
      </c>
      <c r="G37" s="50">
        <v>60</v>
      </c>
      <c r="H37" s="50" t="s">
        <v>315</v>
      </c>
      <c r="I37" s="50" t="s">
        <v>263</v>
      </c>
      <c r="J37" s="41">
        <v>46069</v>
      </c>
      <c r="K37" s="155" t="s">
        <v>187</v>
      </c>
      <c r="L37" s="155">
        <v>89129296888</v>
      </c>
      <c r="M37" s="156" t="s">
        <v>186</v>
      </c>
      <c r="N37" s="75"/>
      <c r="O37" s="52"/>
      <c r="P37" s="52"/>
      <c r="Q37" s="52">
        <v>12000</v>
      </c>
      <c r="R37" s="39" t="s">
        <v>178</v>
      </c>
      <c r="S37" s="54">
        <v>122000</v>
      </c>
      <c r="T37" s="47">
        <f t="shared" si="2"/>
        <v>1464000</v>
      </c>
    </row>
    <row r="38" spans="1:20" s="49" customFormat="1" ht="13.5" customHeight="1" x14ac:dyDescent="0.3">
      <c r="A38" s="50" t="s">
        <v>185</v>
      </c>
      <c r="B38" s="43" t="s">
        <v>314</v>
      </c>
      <c r="C38" s="43" t="s">
        <v>91</v>
      </c>
      <c r="D38" s="53" t="s">
        <v>106</v>
      </c>
      <c r="E38" s="42" t="s">
        <v>330</v>
      </c>
      <c r="F38" s="52">
        <v>2880</v>
      </c>
      <c r="G38" s="50">
        <v>160</v>
      </c>
      <c r="H38" s="50" t="s">
        <v>315</v>
      </c>
      <c r="I38" s="50" t="s">
        <v>263</v>
      </c>
      <c r="J38" s="41">
        <v>46069</v>
      </c>
      <c r="K38" s="155" t="s">
        <v>187</v>
      </c>
      <c r="L38" s="155">
        <v>89129296888</v>
      </c>
      <c r="M38" s="156" t="s">
        <v>186</v>
      </c>
      <c r="N38" s="75"/>
      <c r="O38" s="52"/>
      <c r="P38" s="52">
        <v>2880</v>
      </c>
      <c r="Q38" s="52"/>
      <c r="R38" s="39" t="s">
        <v>178</v>
      </c>
      <c r="S38" s="54">
        <v>220000</v>
      </c>
      <c r="T38" s="47">
        <f t="shared" si="2"/>
        <v>633600</v>
      </c>
    </row>
    <row r="39" spans="1:20" s="49" customFormat="1" ht="13.5" customHeight="1" x14ac:dyDescent="0.3">
      <c r="A39" s="50" t="s">
        <v>185</v>
      </c>
      <c r="B39" s="43" t="s">
        <v>314</v>
      </c>
      <c r="C39" s="43" t="s">
        <v>91</v>
      </c>
      <c r="D39" s="53" t="s">
        <v>59</v>
      </c>
      <c r="E39" s="42" t="s">
        <v>331</v>
      </c>
      <c r="F39" s="52">
        <v>2400</v>
      </c>
      <c r="G39" s="50">
        <v>12</v>
      </c>
      <c r="H39" s="50" t="s">
        <v>315</v>
      </c>
      <c r="I39" s="50" t="s">
        <v>263</v>
      </c>
      <c r="J39" s="41">
        <v>46069</v>
      </c>
      <c r="K39" s="150" t="s">
        <v>187</v>
      </c>
      <c r="L39" s="155">
        <v>89129296888</v>
      </c>
      <c r="M39" s="156" t="s">
        <v>186</v>
      </c>
      <c r="N39" s="75"/>
      <c r="O39" s="52"/>
      <c r="P39" s="52"/>
      <c r="Q39" s="52">
        <v>2400</v>
      </c>
      <c r="R39" s="39" t="s">
        <v>178</v>
      </c>
      <c r="S39" s="54">
        <v>157000</v>
      </c>
      <c r="T39" s="47">
        <f t="shared" si="2"/>
        <v>376800</v>
      </c>
    </row>
    <row r="40" spans="1:20" s="49" customFormat="1" ht="13.5" customHeight="1" x14ac:dyDescent="0.3">
      <c r="A40" s="50" t="s">
        <v>227</v>
      </c>
      <c r="B40" s="43" t="s">
        <v>282</v>
      </c>
      <c r="C40" s="43" t="s">
        <v>111</v>
      </c>
      <c r="D40" s="53" t="s">
        <v>66</v>
      </c>
      <c r="E40" s="42" t="s">
        <v>105</v>
      </c>
      <c r="F40" s="52">
        <v>10000</v>
      </c>
      <c r="G40" s="50">
        <v>400</v>
      </c>
      <c r="H40" s="50" t="s">
        <v>88</v>
      </c>
      <c r="I40" s="50" t="s">
        <v>263</v>
      </c>
      <c r="J40" s="41">
        <v>46070</v>
      </c>
      <c r="K40" s="198" t="s">
        <v>334</v>
      </c>
      <c r="L40" s="85">
        <v>89273333787</v>
      </c>
      <c r="M40" s="48" t="s">
        <v>335</v>
      </c>
      <c r="N40" s="75"/>
      <c r="O40" s="52">
        <v>10000</v>
      </c>
      <c r="P40" s="52"/>
      <c r="Q40" s="43"/>
      <c r="R40" s="39" t="s">
        <v>178</v>
      </c>
      <c r="S40" s="54">
        <v>44500</v>
      </c>
      <c r="T40" s="47">
        <f t="shared" si="2"/>
        <v>445000</v>
      </c>
    </row>
    <row r="41" spans="1:20" s="49" customFormat="1" ht="13.5" customHeight="1" x14ac:dyDescent="0.3">
      <c r="A41" s="50" t="s">
        <v>227</v>
      </c>
      <c r="B41" s="43" t="s">
        <v>282</v>
      </c>
      <c r="C41" s="43" t="s">
        <v>111</v>
      </c>
      <c r="D41" s="53" t="s">
        <v>65</v>
      </c>
      <c r="E41" s="42" t="s">
        <v>160</v>
      </c>
      <c r="F41" s="52">
        <v>10000</v>
      </c>
      <c r="G41" s="50">
        <v>400</v>
      </c>
      <c r="H41" s="50" t="s">
        <v>88</v>
      </c>
      <c r="I41" s="50" t="s">
        <v>263</v>
      </c>
      <c r="J41" s="41">
        <v>46070</v>
      </c>
      <c r="K41" s="198" t="s">
        <v>334</v>
      </c>
      <c r="L41" s="85">
        <v>89273333787</v>
      </c>
      <c r="M41" s="48" t="s">
        <v>335</v>
      </c>
      <c r="N41" s="177"/>
      <c r="O41" s="52"/>
      <c r="P41" s="52">
        <v>10000</v>
      </c>
      <c r="Q41" s="43"/>
      <c r="R41" s="39" t="s">
        <v>178</v>
      </c>
      <c r="S41" s="54">
        <v>250000</v>
      </c>
      <c r="T41" s="47">
        <f t="shared" si="2"/>
        <v>2500000</v>
      </c>
    </row>
    <row r="42" spans="1:20" s="49" customFormat="1" ht="13.5" customHeight="1" x14ac:dyDescent="0.3">
      <c r="A42" s="50" t="s">
        <v>344</v>
      </c>
      <c r="B42" s="43" t="s">
        <v>255</v>
      </c>
      <c r="C42" s="43" t="s">
        <v>154</v>
      </c>
      <c r="D42" s="4" t="s">
        <v>109</v>
      </c>
      <c r="E42" s="76" t="s">
        <v>116</v>
      </c>
      <c r="F42" s="43">
        <v>20000</v>
      </c>
      <c r="G42" s="50">
        <v>800</v>
      </c>
      <c r="H42" s="50" t="s">
        <v>155</v>
      </c>
      <c r="I42" s="41" t="s">
        <v>263</v>
      </c>
      <c r="J42" s="41">
        <v>46070</v>
      </c>
      <c r="K42" s="39" t="s">
        <v>345</v>
      </c>
      <c r="L42" s="157">
        <v>89195966929</v>
      </c>
      <c r="M42" s="39" t="s">
        <v>346</v>
      </c>
      <c r="N42" s="84"/>
      <c r="O42" s="43">
        <v>20000</v>
      </c>
      <c r="P42" s="43"/>
      <c r="Q42" s="43"/>
      <c r="R42" s="39" t="s">
        <v>178</v>
      </c>
      <c r="S42" s="54">
        <v>43500</v>
      </c>
      <c r="T42" s="47">
        <f t="shared" si="2"/>
        <v>870000</v>
      </c>
    </row>
    <row r="43" spans="1:20" s="49" customFormat="1" ht="13.5" customHeight="1" x14ac:dyDescent="0.3">
      <c r="A43" s="50" t="s">
        <v>217</v>
      </c>
      <c r="B43" s="43" t="s">
        <v>256</v>
      </c>
      <c r="C43" s="43" t="s">
        <v>154</v>
      </c>
      <c r="D43" s="4" t="s">
        <v>109</v>
      </c>
      <c r="E43" s="76" t="s">
        <v>121</v>
      </c>
      <c r="F43" s="43">
        <v>20000</v>
      </c>
      <c r="G43" s="50">
        <v>800</v>
      </c>
      <c r="H43" s="50" t="s">
        <v>155</v>
      </c>
      <c r="I43" s="41" t="s">
        <v>263</v>
      </c>
      <c r="J43" s="41">
        <v>46070</v>
      </c>
      <c r="K43" s="39" t="s">
        <v>347</v>
      </c>
      <c r="L43" s="157">
        <v>89127084822</v>
      </c>
      <c r="M43" s="39" t="s">
        <v>348</v>
      </c>
      <c r="N43" s="84"/>
      <c r="O43" s="43">
        <v>20000</v>
      </c>
      <c r="P43" s="43"/>
      <c r="Q43" s="43"/>
      <c r="R43" s="39" t="s">
        <v>178</v>
      </c>
      <c r="S43" s="54">
        <v>43500</v>
      </c>
      <c r="T43" s="47">
        <f t="shared" si="2"/>
        <v>870000</v>
      </c>
    </row>
    <row r="44" spans="1:20" s="49" customFormat="1" ht="13.5" customHeight="1" x14ac:dyDescent="0.3">
      <c r="A44" s="50" t="s">
        <v>227</v>
      </c>
      <c r="B44" s="43" t="s">
        <v>321</v>
      </c>
      <c r="C44" s="43" t="s">
        <v>154</v>
      </c>
      <c r="D44" s="4" t="s">
        <v>109</v>
      </c>
      <c r="E44" s="76" t="s">
        <v>341</v>
      </c>
      <c r="F44" s="43">
        <v>20000</v>
      </c>
      <c r="G44" s="50">
        <v>800</v>
      </c>
      <c r="H44" s="50" t="s">
        <v>155</v>
      </c>
      <c r="I44" s="41" t="s">
        <v>263</v>
      </c>
      <c r="J44" s="41">
        <v>46071</v>
      </c>
      <c r="K44" s="39" t="s">
        <v>350</v>
      </c>
      <c r="L44" s="157">
        <v>89197105004</v>
      </c>
      <c r="M44" s="39" t="s">
        <v>349</v>
      </c>
      <c r="N44" s="84"/>
      <c r="O44" s="43">
        <v>20000</v>
      </c>
      <c r="P44" s="43"/>
      <c r="Q44" s="43"/>
      <c r="R44" s="39" t="s">
        <v>178</v>
      </c>
      <c r="S44" s="54">
        <v>43500</v>
      </c>
      <c r="T44" s="47">
        <f>S44*F44/1000</f>
        <v>870000</v>
      </c>
    </row>
    <row r="45" spans="1:20" s="49" customFormat="1" ht="13.5" customHeight="1" x14ac:dyDescent="0.3">
      <c r="A45" s="50" t="s">
        <v>226</v>
      </c>
      <c r="B45" s="43" t="s">
        <v>292</v>
      </c>
      <c r="C45" s="43" t="s">
        <v>111</v>
      </c>
      <c r="D45" s="53" t="s">
        <v>66</v>
      </c>
      <c r="E45" s="42" t="s">
        <v>105</v>
      </c>
      <c r="F45" s="52">
        <v>15000</v>
      </c>
      <c r="G45" s="50">
        <v>600</v>
      </c>
      <c r="H45" s="50" t="s">
        <v>57</v>
      </c>
      <c r="I45" s="50" t="s">
        <v>263</v>
      </c>
      <c r="J45" s="41">
        <v>46071</v>
      </c>
      <c r="K45" s="199" t="s">
        <v>219</v>
      </c>
      <c r="L45" s="85">
        <v>89116825992</v>
      </c>
      <c r="M45" s="48" t="s">
        <v>218</v>
      </c>
      <c r="N45" s="75"/>
      <c r="O45" s="52">
        <v>15000</v>
      </c>
      <c r="P45" s="52"/>
      <c r="Q45" s="43"/>
      <c r="R45" s="39" t="s">
        <v>178</v>
      </c>
      <c r="S45" s="54">
        <v>44500</v>
      </c>
      <c r="T45" s="47">
        <f t="shared" si="2"/>
        <v>667500</v>
      </c>
    </row>
    <row r="46" spans="1:20" s="49" customFormat="1" ht="13.5" customHeight="1" x14ac:dyDescent="0.3">
      <c r="A46" s="50" t="s">
        <v>226</v>
      </c>
      <c r="B46" s="43" t="s">
        <v>292</v>
      </c>
      <c r="C46" s="43" t="s">
        <v>111</v>
      </c>
      <c r="D46" s="53" t="s">
        <v>65</v>
      </c>
      <c r="E46" s="42" t="s">
        <v>160</v>
      </c>
      <c r="F46" s="52">
        <v>5000</v>
      </c>
      <c r="G46" s="50">
        <v>200</v>
      </c>
      <c r="H46" s="50" t="s">
        <v>57</v>
      </c>
      <c r="I46" s="50" t="s">
        <v>263</v>
      </c>
      <c r="J46" s="41">
        <v>46071</v>
      </c>
      <c r="K46" s="199" t="s">
        <v>219</v>
      </c>
      <c r="L46" s="85">
        <v>89116825992</v>
      </c>
      <c r="M46" s="48" t="s">
        <v>218</v>
      </c>
      <c r="N46" s="177"/>
      <c r="O46" s="52"/>
      <c r="P46" s="52">
        <v>5000</v>
      </c>
      <c r="Q46" s="43"/>
      <c r="R46" s="39" t="s">
        <v>178</v>
      </c>
      <c r="S46" s="54">
        <v>250000</v>
      </c>
      <c r="T46" s="47">
        <f t="shared" si="2"/>
        <v>1250000</v>
      </c>
    </row>
    <row r="47" spans="1:20" s="49" customFormat="1" ht="13.5" customHeight="1" x14ac:dyDescent="0.3">
      <c r="A47" s="50" t="s">
        <v>193</v>
      </c>
      <c r="B47" s="43" t="s">
        <v>354</v>
      </c>
      <c r="C47" s="43" t="s">
        <v>351</v>
      </c>
      <c r="D47" s="4" t="s">
        <v>75</v>
      </c>
      <c r="E47" s="42" t="s">
        <v>341</v>
      </c>
      <c r="F47" s="43">
        <v>1000</v>
      </c>
      <c r="G47" s="50">
        <v>5</v>
      </c>
      <c r="H47" s="50" t="s">
        <v>193</v>
      </c>
      <c r="I47" s="50" t="s">
        <v>101</v>
      </c>
      <c r="J47" s="41">
        <v>46072</v>
      </c>
      <c r="K47" s="83" t="s">
        <v>387</v>
      </c>
      <c r="L47" s="95"/>
      <c r="M47" s="39" t="s">
        <v>388</v>
      </c>
      <c r="N47" s="84"/>
      <c r="O47" s="43"/>
      <c r="P47" s="43"/>
      <c r="Q47" s="43">
        <v>1000</v>
      </c>
      <c r="R47" s="39" t="s">
        <v>178</v>
      </c>
      <c r="S47" s="54">
        <v>235000</v>
      </c>
      <c r="T47" s="47">
        <f>S47*F47/1000</f>
        <v>235000</v>
      </c>
    </row>
    <row r="48" spans="1:20" s="49" customFormat="1" ht="13.5" customHeight="1" x14ac:dyDescent="0.3">
      <c r="A48" s="50" t="s">
        <v>296</v>
      </c>
      <c r="B48" s="43" t="s">
        <v>339</v>
      </c>
      <c r="C48" s="43" t="s">
        <v>89</v>
      </c>
      <c r="D48" s="4" t="s">
        <v>66</v>
      </c>
      <c r="E48" s="42" t="s">
        <v>222</v>
      </c>
      <c r="F48" s="52">
        <v>10000</v>
      </c>
      <c r="G48" s="50">
        <v>400</v>
      </c>
      <c r="H48" s="50" t="s">
        <v>235</v>
      </c>
      <c r="I48" s="50" t="s">
        <v>263</v>
      </c>
      <c r="J48" s="41">
        <v>46073</v>
      </c>
      <c r="K48" s="189" t="s">
        <v>298</v>
      </c>
      <c r="L48" s="85">
        <v>89115800204</v>
      </c>
      <c r="M48" s="48" t="s">
        <v>297</v>
      </c>
      <c r="N48" s="75"/>
      <c r="O48" s="52">
        <v>10000</v>
      </c>
      <c r="P48" s="52"/>
      <c r="Q48" s="52"/>
      <c r="R48" s="39" t="s">
        <v>178</v>
      </c>
      <c r="S48" s="54">
        <v>44500</v>
      </c>
      <c r="T48" s="47">
        <f t="shared" si="2"/>
        <v>445000</v>
      </c>
    </row>
    <row r="49" spans="1:20" s="49" customFormat="1" ht="13.5" customHeight="1" x14ac:dyDescent="0.3">
      <c r="A49" s="50" t="s">
        <v>296</v>
      </c>
      <c r="B49" s="43" t="s">
        <v>339</v>
      </c>
      <c r="C49" s="43" t="s">
        <v>89</v>
      </c>
      <c r="D49" s="4" t="s">
        <v>58</v>
      </c>
      <c r="E49" s="42" t="s">
        <v>340</v>
      </c>
      <c r="F49" s="43">
        <v>9600</v>
      </c>
      <c r="G49" s="50">
        <v>48</v>
      </c>
      <c r="H49" s="50" t="s">
        <v>223</v>
      </c>
      <c r="I49" s="50" t="s">
        <v>263</v>
      </c>
      <c r="J49" s="41">
        <v>46073</v>
      </c>
      <c r="K49" s="189" t="s">
        <v>298</v>
      </c>
      <c r="L49" s="85">
        <v>89115800204</v>
      </c>
      <c r="M49" s="48" t="s">
        <v>297</v>
      </c>
      <c r="N49" s="84"/>
      <c r="O49" s="43"/>
      <c r="P49" s="43"/>
      <c r="Q49" s="43">
        <v>9600</v>
      </c>
      <c r="R49" s="39" t="s">
        <v>178</v>
      </c>
      <c r="S49" s="54">
        <v>85000</v>
      </c>
      <c r="T49" s="47">
        <f t="shared" si="2"/>
        <v>816000</v>
      </c>
    </row>
    <row r="50" spans="1:20" s="49" customFormat="1" ht="13.5" customHeight="1" x14ac:dyDescent="0.3">
      <c r="A50" s="50" t="s">
        <v>185</v>
      </c>
      <c r="B50" s="43" t="s">
        <v>293</v>
      </c>
      <c r="C50" s="43" t="s">
        <v>111</v>
      </c>
      <c r="D50" s="53" t="s">
        <v>66</v>
      </c>
      <c r="E50" s="42" t="s">
        <v>105</v>
      </c>
      <c r="F50" s="52">
        <v>20000</v>
      </c>
      <c r="G50" s="50">
        <v>800</v>
      </c>
      <c r="H50" s="50" t="s">
        <v>57</v>
      </c>
      <c r="I50" s="50" t="s">
        <v>263</v>
      </c>
      <c r="J50" s="41">
        <v>46077</v>
      </c>
      <c r="K50" s="85" t="s">
        <v>365</v>
      </c>
      <c r="L50" s="85">
        <v>89090041850</v>
      </c>
      <c r="M50" s="48" t="s">
        <v>364</v>
      </c>
      <c r="N50" s="75"/>
      <c r="O50" s="52">
        <v>20000</v>
      </c>
      <c r="P50" s="52"/>
      <c r="Q50" s="43"/>
      <c r="R50" s="39" t="s">
        <v>178</v>
      </c>
      <c r="S50" s="54">
        <v>44500</v>
      </c>
      <c r="T50" s="47">
        <f>S50*F50/1000</f>
        <v>890000</v>
      </c>
    </row>
    <row r="51" spans="1:20" s="49" customFormat="1" ht="13.5" customHeight="1" x14ac:dyDescent="0.3">
      <c r="A51" s="50" t="s">
        <v>185</v>
      </c>
      <c r="B51" s="43" t="s">
        <v>283</v>
      </c>
      <c r="C51" s="43" t="s">
        <v>111</v>
      </c>
      <c r="D51" s="53" t="s">
        <v>66</v>
      </c>
      <c r="E51" s="42" t="s">
        <v>105</v>
      </c>
      <c r="F51" s="52">
        <v>20000</v>
      </c>
      <c r="G51" s="50">
        <v>800</v>
      </c>
      <c r="H51" s="50" t="s">
        <v>88</v>
      </c>
      <c r="I51" s="50" t="s">
        <v>263</v>
      </c>
      <c r="J51" s="41">
        <v>46077</v>
      </c>
      <c r="K51" s="200" t="s">
        <v>368</v>
      </c>
      <c r="L51" s="85" t="s">
        <v>367</v>
      </c>
      <c r="M51" s="48" t="s">
        <v>366</v>
      </c>
      <c r="N51" s="75"/>
      <c r="O51" s="52">
        <v>20000</v>
      </c>
      <c r="P51" s="52"/>
      <c r="Q51" s="43"/>
      <c r="R51" s="39" t="s">
        <v>178</v>
      </c>
      <c r="S51" s="54">
        <v>44500</v>
      </c>
      <c r="T51" s="47">
        <f>S51*F51/1000</f>
        <v>890000</v>
      </c>
    </row>
    <row r="52" spans="1:20" s="49" customFormat="1" ht="13.5" customHeight="1" x14ac:dyDescent="0.3">
      <c r="A52" s="50" t="s">
        <v>185</v>
      </c>
      <c r="B52" s="43" t="s">
        <v>332</v>
      </c>
      <c r="C52" s="43" t="s">
        <v>91</v>
      </c>
      <c r="D52" s="53" t="s">
        <v>83</v>
      </c>
      <c r="E52" s="42" t="s">
        <v>108</v>
      </c>
      <c r="F52" s="52">
        <v>12800</v>
      </c>
      <c r="G52" s="50">
        <v>64</v>
      </c>
      <c r="H52" s="50" t="s">
        <v>92</v>
      </c>
      <c r="I52" s="50" t="s">
        <v>263</v>
      </c>
      <c r="J52" s="41">
        <v>46077</v>
      </c>
      <c r="K52" s="155" t="s">
        <v>363</v>
      </c>
      <c r="L52" s="155">
        <v>89297116272</v>
      </c>
      <c r="M52" s="156" t="s">
        <v>362</v>
      </c>
      <c r="N52" s="75"/>
      <c r="O52" s="52"/>
      <c r="P52" s="52"/>
      <c r="Q52" s="52">
        <v>12800</v>
      </c>
      <c r="R52" s="39" t="s">
        <v>178</v>
      </c>
      <c r="S52" s="54">
        <v>122000</v>
      </c>
      <c r="T52" s="47">
        <f t="shared" si="2"/>
        <v>1561600</v>
      </c>
    </row>
    <row r="53" spans="1:20" s="49" customFormat="1" ht="13.5" customHeight="1" x14ac:dyDescent="0.3">
      <c r="A53" s="50" t="s">
        <v>185</v>
      </c>
      <c r="B53" s="43" t="s">
        <v>332</v>
      </c>
      <c r="C53" s="43" t="s">
        <v>91</v>
      </c>
      <c r="D53" s="53" t="s">
        <v>106</v>
      </c>
      <c r="E53" s="42" t="s">
        <v>343</v>
      </c>
      <c r="F53" s="52">
        <v>2160</v>
      </c>
      <c r="G53" s="50">
        <v>120</v>
      </c>
      <c r="H53" s="50" t="s">
        <v>92</v>
      </c>
      <c r="I53" s="50" t="s">
        <v>263</v>
      </c>
      <c r="J53" s="41">
        <v>46077</v>
      </c>
      <c r="K53" s="155" t="s">
        <v>363</v>
      </c>
      <c r="L53" s="155">
        <v>89297116272</v>
      </c>
      <c r="M53" s="156" t="s">
        <v>362</v>
      </c>
      <c r="N53" s="75"/>
      <c r="O53" s="52"/>
      <c r="P53" s="52">
        <v>2160</v>
      </c>
      <c r="Q53" s="52"/>
      <c r="R53" s="39" t="s">
        <v>178</v>
      </c>
      <c r="S53" s="54">
        <v>220000</v>
      </c>
      <c r="T53" s="47">
        <f t="shared" si="2"/>
        <v>475200</v>
      </c>
    </row>
    <row r="54" spans="1:20" s="49" customFormat="1" ht="13.5" customHeight="1" x14ac:dyDescent="0.3">
      <c r="A54" s="50" t="s">
        <v>185</v>
      </c>
      <c r="B54" s="43" t="s">
        <v>332</v>
      </c>
      <c r="C54" s="43" t="s">
        <v>91</v>
      </c>
      <c r="D54" s="53" t="s">
        <v>59</v>
      </c>
      <c r="E54" s="42" t="s">
        <v>342</v>
      </c>
      <c r="F54" s="52">
        <v>2400</v>
      </c>
      <c r="G54" s="50">
        <v>12</v>
      </c>
      <c r="H54" s="50" t="s">
        <v>92</v>
      </c>
      <c r="I54" s="50" t="s">
        <v>263</v>
      </c>
      <c r="J54" s="41">
        <v>46077</v>
      </c>
      <c r="K54" s="155" t="s">
        <v>363</v>
      </c>
      <c r="L54" s="155">
        <v>89297116272</v>
      </c>
      <c r="M54" s="156" t="s">
        <v>362</v>
      </c>
      <c r="N54" s="75"/>
      <c r="O54" s="52"/>
      <c r="P54" s="52"/>
      <c r="Q54" s="52">
        <v>2400</v>
      </c>
      <c r="R54" s="39" t="s">
        <v>178</v>
      </c>
      <c r="S54" s="54">
        <v>157000</v>
      </c>
      <c r="T54" s="47">
        <f t="shared" si="2"/>
        <v>376800</v>
      </c>
    </row>
    <row r="55" spans="1:20" s="49" customFormat="1" ht="13.5" customHeight="1" x14ac:dyDescent="0.3">
      <c r="A55" s="50" t="s">
        <v>193</v>
      </c>
      <c r="B55" s="43" t="s">
        <v>194</v>
      </c>
      <c r="C55" s="43" t="s">
        <v>195</v>
      </c>
      <c r="D55" s="4" t="s">
        <v>58</v>
      </c>
      <c r="E55" s="42" t="s">
        <v>196</v>
      </c>
      <c r="F55" s="43">
        <v>1200</v>
      </c>
      <c r="G55" s="50">
        <v>6</v>
      </c>
      <c r="H55" s="191" t="s">
        <v>215</v>
      </c>
      <c r="I55" s="50" t="s">
        <v>263</v>
      </c>
      <c r="J55" s="41">
        <v>46080</v>
      </c>
      <c r="K55" s="83" t="s">
        <v>389</v>
      </c>
      <c r="L55" s="95">
        <v>89509632458</v>
      </c>
      <c r="M55" s="39" t="s">
        <v>390</v>
      </c>
      <c r="N55" s="84"/>
      <c r="O55" s="43"/>
      <c r="P55" s="43"/>
      <c r="Q55" s="43">
        <v>1200</v>
      </c>
      <c r="R55" s="39" t="s">
        <v>178</v>
      </c>
      <c r="S55" s="54">
        <v>89900</v>
      </c>
      <c r="T55" s="47">
        <f t="shared" si="2"/>
        <v>107880</v>
      </c>
    </row>
    <row r="56" spans="1:20" s="49" customFormat="1" ht="13.5" customHeight="1" x14ac:dyDescent="0.3">
      <c r="A56" s="50" t="s">
        <v>193</v>
      </c>
      <c r="B56" s="43" t="s">
        <v>194</v>
      </c>
      <c r="C56" s="43" t="s">
        <v>195</v>
      </c>
      <c r="D56" s="4" t="s">
        <v>58</v>
      </c>
      <c r="E56" s="42" t="s">
        <v>197</v>
      </c>
      <c r="F56" s="43">
        <v>5200</v>
      </c>
      <c r="G56" s="50">
        <v>26</v>
      </c>
      <c r="H56" s="191" t="s">
        <v>215</v>
      </c>
      <c r="I56" s="50" t="s">
        <v>263</v>
      </c>
      <c r="J56" s="41">
        <v>46080</v>
      </c>
      <c r="K56" s="83" t="s">
        <v>389</v>
      </c>
      <c r="L56" s="95">
        <v>89509632458</v>
      </c>
      <c r="M56" s="39" t="s">
        <v>390</v>
      </c>
      <c r="N56" s="84"/>
      <c r="O56" s="43"/>
      <c r="P56" s="43"/>
      <c r="Q56" s="43">
        <v>5200</v>
      </c>
      <c r="R56" s="39" t="s">
        <v>178</v>
      </c>
      <c r="S56" s="54">
        <v>89900</v>
      </c>
      <c r="T56" s="47">
        <f t="shared" si="2"/>
        <v>467480</v>
      </c>
    </row>
    <row r="57" spans="1:20" s="49" customFormat="1" ht="13.5" customHeight="1" x14ac:dyDescent="0.3">
      <c r="A57" s="50" t="s">
        <v>185</v>
      </c>
      <c r="B57" s="43" t="s">
        <v>310</v>
      </c>
      <c r="C57" s="43" t="s">
        <v>89</v>
      </c>
      <c r="D57" s="4" t="s">
        <v>66</v>
      </c>
      <c r="E57" s="42" t="s">
        <v>341</v>
      </c>
      <c r="F57" s="52">
        <v>20000</v>
      </c>
      <c r="G57" s="50">
        <v>800</v>
      </c>
      <c r="H57" s="50" t="s">
        <v>223</v>
      </c>
      <c r="I57" s="50" t="s">
        <v>263</v>
      </c>
      <c r="J57" s="41">
        <v>46080</v>
      </c>
      <c r="K57" s="202" t="s">
        <v>392</v>
      </c>
      <c r="L57" s="85">
        <v>89134212454</v>
      </c>
      <c r="M57" s="48" t="s">
        <v>391</v>
      </c>
      <c r="N57" s="75"/>
      <c r="O57" s="52">
        <v>20000</v>
      </c>
      <c r="P57" s="52"/>
      <c r="Q57" s="52"/>
      <c r="R57" s="39" t="s">
        <v>178</v>
      </c>
      <c r="S57" s="54">
        <v>44500</v>
      </c>
      <c r="T57" s="47">
        <f t="shared" si="2"/>
        <v>890000</v>
      </c>
    </row>
    <row r="58" spans="1:20" ht="21" customHeight="1" x14ac:dyDescent="0.35">
      <c r="A58" s="121"/>
      <c r="B58" s="122"/>
      <c r="C58" s="122"/>
      <c r="D58" s="123"/>
      <c r="E58" s="124"/>
      <c r="F58" s="122"/>
      <c r="G58" s="121"/>
      <c r="H58" s="121"/>
      <c r="I58" s="121"/>
      <c r="J58" s="125"/>
      <c r="K58" s="121"/>
      <c r="L58" s="126"/>
      <c r="M58" s="122"/>
      <c r="N58" s="122"/>
      <c r="O58" s="122"/>
      <c r="P58" s="122"/>
      <c r="Q58" s="122"/>
      <c r="R58" s="122"/>
      <c r="S58" s="127"/>
      <c r="T58" s="127">
        <f>SUM(T5:T57)</f>
        <v>39591660</v>
      </c>
    </row>
    <row r="59" spans="1:20" ht="21" customHeight="1" x14ac:dyDescent="0.35">
      <c r="A59" s="74" t="s">
        <v>14</v>
      </c>
      <c r="B59" s="57">
        <f>SUM($F$5:$F$58)/1000</f>
        <v>519.64</v>
      </c>
      <c r="C59" s="40" t="s">
        <v>13</v>
      </c>
    </row>
    <row r="60" spans="1:20" ht="23.25" customHeight="1" x14ac:dyDescent="0.35">
      <c r="A60" s="63" t="s">
        <v>15</v>
      </c>
      <c r="B60" s="58">
        <f>$B$61+$B$62+$B$63</f>
        <v>519.64</v>
      </c>
      <c r="C60" s="1" t="s">
        <v>13</v>
      </c>
      <c r="E60" s="129"/>
      <c r="F60" s="73" t="s">
        <v>86</v>
      </c>
      <c r="G60" s="73"/>
    </row>
    <row r="61" spans="1:20" ht="23.25" customHeight="1" x14ac:dyDescent="0.35">
      <c r="A61" s="64" t="s">
        <v>16</v>
      </c>
      <c r="B61" s="56">
        <f>SUM(O5:O58)/1000</f>
        <v>325</v>
      </c>
      <c r="C61" s="2" t="s">
        <v>13</v>
      </c>
      <c r="D61" s="81"/>
      <c r="E61" s="82"/>
      <c r="F61" s="73" t="s">
        <v>85</v>
      </c>
      <c r="G61" s="73"/>
    </row>
    <row r="62" spans="1:20" ht="23.25" customHeight="1" x14ac:dyDescent="0.35">
      <c r="A62" s="64" t="s">
        <v>48</v>
      </c>
      <c r="B62" s="56">
        <f>SUM(P5:P58)/1000</f>
        <v>34.04</v>
      </c>
      <c r="C62" s="2" t="s">
        <v>13</v>
      </c>
      <c r="E62" s="79"/>
      <c r="F62" s="73" t="s">
        <v>84</v>
      </c>
      <c r="G62" s="73"/>
    </row>
    <row r="63" spans="1:20" ht="23.25" customHeight="1" x14ac:dyDescent="0.35">
      <c r="A63" s="64" t="s">
        <v>23</v>
      </c>
      <c r="B63" s="56">
        <f>SUM(Q5:Q58)/1000</f>
        <v>160.6</v>
      </c>
      <c r="C63" s="2" t="s">
        <v>13</v>
      </c>
      <c r="E63" s="80"/>
      <c r="F63" s="73" t="s">
        <v>87</v>
      </c>
    </row>
    <row r="64" spans="1:20" ht="23.25" customHeight="1" thickBot="1" x14ac:dyDescent="0.4">
      <c r="A64" s="65" t="s">
        <v>19</v>
      </c>
      <c r="B64" s="59">
        <f>$B$59-$B$60</f>
        <v>0</v>
      </c>
      <c r="C64" s="3" t="s">
        <v>13</v>
      </c>
      <c r="E64" s="96"/>
      <c r="F64" s="73" t="s">
        <v>107</v>
      </c>
    </row>
  </sheetData>
  <sheetProtection formatCells="0" formatColumns="0" formatRows="0" insertColumns="0" insertRows="0" insertHyperlinks="0" deleteColumns="0" deleteRows="0" sort="0" autoFilter="0" pivotTables="0"/>
  <autoFilter ref="D1:D64"/>
  <mergeCells count="13">
    <mergeCell ref="S2:S3"/>
    <mergeCell ref="H2:H3"/>
    <mergeCell ref="I2:I3"/>
    <mergeCell ref="J2:J3"/>
    <mergeCell ref="K2:M2"/>
    <mergeCell ref="O2:Q2"/>
    <mergeCell ref="R2:R3"/>
    <mergeCell ref="F2:G2"/>
    <mergeCell ref="A2:A3"/>
    <mergeCell ref="B2:B3"/>
    <mergeCell ref="C2:C3"/>
    <mergeCell ref="D2:D3"/>
    <mergeCell ref="E2:E3"/>
  </mergeCells>
  <phoneticPr fontId="44" type="noConversion"/>
  <pageMargins left="0.7" right="0.7" top="0.75" bottom="0.75" header="0.3" footer="0.3"/>
  <pageSetup paperSize="9" scale="24" orientation="landscape" r:id="rId1"/>
  <colBreaks count="1" manualBreakCount="1">
    <brk id="1" max="87" man="1"/>
  </col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#REF!</xm:f>
          </x14:formula1>
          <xm:sqref>D1:D1048576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52"/>
  <sheetViews>
    <sheetView tabSelected="1" zoomScale="70" zoomScaleNormal="70" zoomScaleSheetLayoutView="70" workbookViewId="0">
      <pane ySplit="3" topLeftCell="A4" activePane="bottomLeft" state="frozen"/>
      <selection pane="bottomLeft" activeCell="D31" sqref="D31"/>
    </sheetView>
  </sheetViews>
  <sheetFormatPr defaultRowHeight="14.4" x14ac:dyDescent="0.3"/>
  <cols>
    <col min="1" max="1" width="18" style="66" customWidth="1"/>
    <col min="2" max="2" width="19.88671875" customWidth="1"/>
    <col min="3" max="3" width="17" customWidth="1"/>
    <col min="4" max="4" width="41" customWidth="1"/>
    <col min="5" max="5" width="15.5546875" style="78" customWidth="1"/>
    <col min="6" max="6" width="13" bestFit="1" customWidth="1"/>
    <col min="7" max="7" width="15.5546875" customWidth="1"/>
    <col min="8" max="8" width="22.44140625" customWidth="1"/>
    <col min="9" max="9" width="24.33203125" customWidth="1"/>
    <col min="10" max="10" width="20.33203125" customWidth="1"/>
    <col min="11" max="11" width="25.109375" customWidth="1"/>
    <col min="12" max="12" width="24.6640625" customWidth="1"/>
    <col min="13" max="13" width="32.109375" customWidth="1"/>
    <col min="14" max="14" width="18.44140625" style="67" customWidth="1"/>
    <col min="15" max="16" width="8.88671875" customWidth="1"/>
    <col min="17" max="17" width="8" customWidth="1"/>
    <col min="18" max="18" width="10.88671875" customWidth="1"/>
    <col min="19" max="19" width="13.88671875" customWidth="1"/>
    <col min="20" max="20" width="17.33203125" customWidth="1"/>
    <col min="21" max="21" width="15.44140625" customWidth="1"/>
  </cols>
  <sheetData>
    <row r="1" spans="1:20" s="45" customFormat="1" ht="17.399999999999999" x14ac:dyDescent="0.35">
      <c r="A1" s="62"/>
      <c r="B1" s="44" t="s">
        <v>47</v>
      </c>
      <c r="C1" s="51">
        <v>46023</v>
      </c>
      <c r="D1" s="44"/>
      <c r="E1" s="77"/>
      <c r="F1" s="44"/>
      <c r="H1" s="44"/>
      <c r="I1" s="44"/>
      <c r="J1" s="44"/>
      <c r="K1" s="46"/>
      <c r="L1" s="46"/>
      <c r="M1" s="46"/>
      <c r="N1" s="60"/>
      <c r="O1" s="46"/>
      <c r="P1" s="46"/>
      <c r="Q1" s="46"/>
    </row>
    <row r="2" spans="1:20" ht="25.5" customHeight="1" x14ac:dyDescent="0.3">
      <c r="A2" s="388" t="s">
        <v>53</v>
      </c>
      <c r="B2" s="390" t="s">
        <v>17</v>
      </c>
      <c r="C2" s="392" t="s">
        <v>51</v>
      </c>
      <c r="D2" s="394" t="s">
        <v>4</v>
      </c>
      <c r="E2" s="396" t="s">
        <v>5</v>
      </c>
      <c r="F2" s="386" t="s">
        <v>0</v>
      </c>
      <c r="G2" s="387"/>
      <c r="H2" s="372" t="s">
        <v>2</v>
      </c>
      <c r="I2" s="374" t="s">
        <v>3</v>
      </c>
      <c r="J2" s="376" t="s">
        <v>6</v>
      </c>
      <c r="K2" s="378" t="s">
        <v>7</v>
      </c>
      <c r="L2" s="379"/>
      <c r="M2" s="380"/>
      <c r="N2" s="61" t="s">
        <v>9</v>
      </c>
      <c r="O2" s="381" t="s">
        <v>11</v>
      </c>
      <c r="P2" s="382"/>
      <c r="Q2" s="383"/>
      <c r="R2" s="384" t="s">
        <v>46</v>
      </c>
      <c r="S2" s="371" t="s">
        <v>54</v>
      </c>
      <c r="T2" s="55"/>
    </row>
    <row r="3" spans="1:20" x14ac:dyDescent="0.3">
      <c r="A3" s="389"/>
      <c r="B3" s="391"/>
      <c r="C3" s="393"/>
      <c r="D3" s="395"/>
      <c r="E3" s="397"/>
      <c r="F3" s="68" t="s">
        <v>1</v>
      </c>
      <c r="G3" s="68" t="s">
        <v>50</v>
      </c>
      <c r="H3" s="373"/>
      <c r="I3" s="375"/>
      <c r="J3" s="377"/>
      <c r="K3" s="137" t="s">
        <v>8</v>
      </c>
      <c r="L3" s="137" t="s">
        <v>20</v>
      </c>
      <c r="M3" s="137" t="s">
        <v>10</v>
      </c>
      <c r="N3" s="69" t="s">
        <v>104</v>
      </c>
      <c r="O3" s="70" t="s">
        <v>12</v>
      </c>
      <c r="P3" s="70" t="s">
        <v>49</v>
      </c>
      <c r="Q3" s="71" t="s">
        <v>22</v>
      </c>
      <c r="R3" s="385"/>
      <c r="S3" s="371"/>
      <c r="T3" s="72" t="s">
        <v>55</v>
      </c>
    </row>
    <row r="4" spans="1:20" x14ac:dyDescent="0.3">
      <c r="A4" s="167"/>
      <c r="B4" s="168"/>
      <c r="C4" s="170"/>
      <c r="D4" s="171"/>
      <c r="E4" s="172"/>
      <c r="F4" s="68"/>
      <c r="G4" s="68"/>
      <c r="H4" s="163"/>
      <c r="I4" s="164"/>
      <c r="J4" s="165"/>
      <c r="K4" s="169"/>
      <c r="L4" s="169"/>
      <c r="M4" s="169"/>
      <c r="N4" s="69"/>
      <c r="O4" s="70"/>
      <c r="P4" s="70"/>
      <c r="Q4" s="71"/>
      <c r="R4" s="166"/>
      <c r="S4" s="173"/>
      <c r="T4" s="72"/>
    </row>
    <row r="5" spans="1:20" s="49" customFormat="1" ht="13.5" customHeight="1" x14ac:dyDescent="0.3">
      <c r="A5" s="50" t="s">
        <v>143</v>
      </c>
      <c r="B5" s="43" t="s">
        <v>129</v>
      </c>
      <c r="C5" s="43" t="s">
        <v>111</v>
      </c>
      <c r="D5" s="53" t="s">
        <v>66</v>
      </c>
      <c r="E5" s="42" t="s">
        <v>105</v>
      </c>
      <c r="F5" s="52">
        <v>20000</v>
      </c>
      <c r="G5" s="50">
        <v>800</v>
      </c>
      <c r="H5" s="50" t="s">
        <v>57</v>
      </c>
      <c r="I5" s="50" t="s">
        <v>181</v>
      </c>
      <c r="J5" s="41">
        <v>46034</v>
      </c>
      <c r="K5" s="154" t="s">
        <v>145</v>
      </c>
      <c r="L5" s="85">
        <v>89991681050</v>
      </c>
      <c r="M5" s="48" t="s">
        <v>147</v>
      </c>
      <c r="N5" s="75"/>
      <c r="O5" s="52">
        <v>20000</v>
      </c>
      <c r="P5" s="52"/>
      <c r="Q5" s="43"/>
      <c r="R5" s="39" t="s">
        <v>178</v>
      </c>
      <c r="S5" s="54">
        <v>44500</v>
      </c>
      <c r="T5" s="47">
        <f t="shared" ref="T5:T12" si="0">S5*F5/1000</f>
        <v>890000</v>
      </c>
    </row>
    <row r="6" spans="1:20" s="49" customFormat="1" ht="13.5" customHeight="1" x14ac:dyDescent="0.3">
      <c r="A6" s="50" t="s">
        <v>143</v>
      </c>
      <c r="B6" s="43" t="s">
        <v>130</v>
      </c>
      <c r="C6" s="43" t="s">
        <v>111</v>
      </c>
      <c r="D6" s="53" t="s">
        <v>66</v>
      </c>
      <c r="E6" s="42" t="s">
        <v>105</v>
      </c>
      <c r="F6" s="52">
        <v>20000</v>
      </c>
      <c r="G6" s="50">
        <v>800</v>
      </c>
      <c r="H6" s="50" t="s">
        <v>57</v>
      </c>
      <c r="I6" s="50" t="s">
        <v>181</v>
      </c>
      <c r="J6" s="41">
        <v>46034</v>
      </c>
      <c r="K6" s="154" t="s">
        <v>149</v>
      </c>
      <c r="L6" s="85">
        <v>89214819561</v>
      </c>
      <c r="M6" s="48" t="s">
        <v>150</v>
      </c>
      <c r="N6" s="75"/>
      <c r="O6" s="52">
        <v>20000</v>
      </c>
      <c r="P6" s="52"/>
      <c r="Q6" s="43"/>
      <c r="R6" s="39" t="s">
        <v>178</v>
      </c>
      <c r="S6" s="54">
        <v>44500</v>
      </c>
      <c r="T6" s="47">
        <f t="shared" si="0"/>
        <v>890000</v>
      </c>
    </row>
    <row r="7" spans="1:20" s="49" customFormat="1" ht="13.5" customHeight="1" x14ac:dyDescent="0.3">
      <c r="A7" s="50" t="s">
        <v>143</v>
      </c>
      <c r="B7" s="43" t="s">
        <v>131</v>
      </c>
      <c r="C7" s="43" t="s">
        <v>111</v>
      </c>
      <c r="D7" s="53" t="s">
        <v>66</v>
      </c>
      <c r="E7" s="42" t="s">
        <v>105</v>
      </c>
      <c r="F7" s="52">
        <v>20000</v>
      </c>
      <c r="G7" s="50">
        <v>800</v>
      </c>
      <c r="H7" s="50" t="s">
        <v>88</v>
      </c>
      <c r="I7" s="50" t="s">
        <v>181</v>
      </c>
      <c r="J7" s="41">
        <v>46034</v>
      </c>
      <c r="K7" s="154" t="s">
        <v>146</v>
      </c>
      <c r="L7" s="85">
        <v>89116853405</v>
      </c>
      <c r="M7" s="48" t="s">
        <v>148</v>
      </c>
      <c r="N7" s="75"/>
      <c r="O7" s="52">
        <v>20000</v>
      </c>
      <c r="P7" s="52"/>
      <c r="Q7" s="43"/>
      <c r="R7" s="39" t="s">
        <v>178</v>
      </c>
      <c r="S7" s="54">
        <v>44500</v>
      </c>
      <c r="T7" s="47">
        <f t="shared" si="0"/>
        <v>890000</v>
      </c>
    </row>
    <row r="8" spans="1:20" s="49" customFormat="1" ht="13.5" customHeight="1" x14ac:dyDescent="0.3">
      <c r="A8" s="50" t="s">
        <v>143</v>
      </c>
      <c r="B8" s="43" t="s">
        <v>141</v>
      </c>
      <c r="C8" s="43" t="s">
        <v>91</v>
      </c>
      <c r="D8" s="53" t="s">
        <v>83</v>
      </c>
      <c r="E8" s="42" t="s">
        <v>108</v>
      </c>
      <c r="F8" s="52">
        <v>17600</v>
      </c>
      <c r="G8" s="50">
        <v>88</v>
      </c>
      <c r="H8" s="50" t="s">
        <v>92</v>
      </c>
      <c r="I8" s="50" t="s">
        <v>181</v>
      </c>
      <c r="J8" s="41">
        <v>46035</v>
      </c>
      <c r="K8" s="155" t="s">
        <v>153</v>
      </c>
      <c r="L8" s="155">
        <v>89116853272</v>
      </c>
      <c r="M8" s="156" t="s">
        <v>152</v>
      </c>
      <c r="N8" s="75"/>
      <c r="O8" s="52"/>
      <c r="P8" s="52"/>
      <c r="Q8" s="52">
        <v>17600</v>
      </c>
      <c r="R8" s="39" t="s">
        <v>178</v>
      </c>
      <c r="S8" s="54">
        <v>128000</v>
      </c>
      <c r="T8" s="47">
        <f t="shared" si="0"/>
        <v>2252800</v>
      </c>
    </row>
    <row r="9" spans="1:20" s="49" customFormat="1" ht="13.5" customHeight="1" x14ac:dyDescent="0.3">
      <c r="A9" s="50" t="s">
        <v>98</v>
      </c>
      <c r="B9" s="43" t="s">
        <v>123</v>
      </c>
      <c r="C9" s="43" t="s">
        <v>96</v>
      </c>
      <c r="D9" s="53" t="s">
        <v>52</v>
      </c>
      <c r="E9" s="148" t="s">
        <v>134</v>
      </c>
      <c r="F9" s="52">
        <v>800</v>
      </c>
      <c r="G9" s="50">
        <v>4</v>
      </c>
      <c r="H9" s="50" t="s">
        <v>97</v>
      </c>
      <c r="I9" s="50" t="s">
        <v>181</v>
      </c>
      <c r="J9" s="41">
        <v>46037</v>
      </c>
      <c r="K9" s="149" t="s">
        <v>174</v>
      </c>
      <c r="L9" s="150">
        <v>89773804045</v>
      </c>
      <c r="M9" s="39" t="s">
        <v>173</v>
      </c>
      <c r="N9" s="151"/>
      <c r="O9" s="52"/>
      <c r="P9" s="43"/>
      <c r="Q9" s="52">
        <v>800</v>
      </c>
      <c r="R9" s="39" t="s">
        <v>178</v>
      </c>
      <c r="S9" s="54">
        <v>82000</v>
      </c>
      <c r="T9" s="47">
        <f t="shared" si="0"/>
        <v>65600</v>
      </c>
    </row>
    <row r="10" spans="1:20" s="49" customFormat="1" ht="13.5" customHeight="1" x14ac:dyDescent="0.3">
      <c r="A10" s="50" t="s">
        <v>98</v>
      </c>
      <c r="B10" s="43" t="s">
        <v>123</v>
      </c>
      <c r="C10" s="43" t="s">
        <v>96</v>
      </c>
      <c r="D10" s="53" t="s">
        <v>52</v>
      </c>
      <c r="E10" s="148" t="s">
        <v>135</v>
      </c>
      <c r="F10" s="52">
        <v>6400</v>
      </c>
      <c r="G10" s="50">
        <v>32</v>
      </c>
      <c r="H10" s="50" t="s">
        <v>97</v>
      </c>
      <c r="I10" s="50" t="s">
        <v>181</v>
      </c>
      <c r="J10" s="41">
        <v>46037</v>
      </c>
      <c r="K10" s="149" t="s">
        <v>174</v>
      </c>
      <c r="L10" s="150">
        <v>89773804045</v>
      </c>
      <c r="M10" s="39" t="s">
        <v>173</v>
      </c>
      <c r="N10" s="151"/>
      <c r="O10" s="52"/>
      <c r="P10" s="43"/>
      <c r="Q10" s="52">
        <v>6400</v>
      </c>
      <c r="R10" s="39" t="s">
        <v>178</v>
      </c>
      <c r="S10" s="54">
        <v>82000</v>
      </c>
      <c r="T10" s="47">
        <f t="shared" si="0"/>
        <v>524800</v>
      </c>
    </row>
    <row r="11" spans="1:20" s="49" customFormat="1" ht="13.5" customHeight="1" x14ac:dyDescent="0.3">
      <c r="A11" s="50" t="s">
        <v>98</v>
      </c>
      <c r="B11" s="43" t="s">
        <v>123</v>
      </c>
      <c r="C11" s="43" t="s">
        <v>96</v>
      </c>
      <c r="D11" s="53" t="s">
        <v>52</v>
      </c>
      <c r="E11" s="148" t="s">
        <v>136</v>
      </c>
      <c r="F11" s="52">
        <v>7200</v>
      </c>
      <c r="G11" s="50">
        <v>36</v>
      </c>
      <c r="H11" s="50" t="s">
        <v>97</v>
      </c>
      <c r="I11" s="50" t="s">
        <v>181</v>
      </c>
      <c r="J11" s="41">
        <v>46037</v>
      </c>
      <c r="K11" s="149" t="s">
        <v>174</v>
      </c>
      <c r="L11" s="150">
        <v>89773804045</v>
      </c>
      <c r="M11" s="39" t="s">
        <v>173</v>
      </c>
      <c r="N11" s="151"/>
      <c r="O11" s="52"/>
      <c r="P11" s="43"/>
      <c r="Q11" s="52">
        <v>7200</v>
      </c>
      <c r="R11" s="39" t="s">
        <v>178</v>
      </c>
      <c r="S11" s="54">
        <v>82000</v>
      </c>
      <c r="T11" s="47">
        <f t="shared" si="0"/>
        <v>590400</v>
      </c>
    </row>
    <row r="12" spans="1:20" s="49" customFormat="1" ht="13.5" customHeight="1" x14ac:dyDescent="0.3">
      <c r="A12" s="50" t="s">
        <v>98</v>
      </c>
      <c r="B12" s="43" t="s">
        <v>123</v>
      </c>
      <c r="C12" s="43" t="s">
        <v>96</v>
      </c>
      <c r="D12" s="53" t="s">
        <v>52</v>
      </c>
      <c r="E12" s="148" t="s">
        <v>151</v>
      </c>
      <c r="F12" s="52">
        <v>3200</v>
      </c>
      <c r="G12" s="50">
        <v>16</v>
      </c>
      <c r="H12" s="50" t="s">
        <v>97</v>
      </c>
      <c r="I12" s="50" t="s">
        <v>181</v>
      </c>
      <c r="J12" s="41">
        <v>46037</v>
      </c>
      <c r="K12" s="149" t="s">
        <v>174</v>
      </c>
      <c r="L12" s="150">
        <v>89773804045</v>
      </c>
      <c r="M12" s="39" t="s">
        <v>173</v>
      </c>
      <c r="N12" s="151"/>
      <c r="O12" s="52"/>
      <c r="P12" s="43"/>
      <c r="Q12" s="52">
        <v>3200</v>
      </c>
      <c r="R12" s="39" t="s">
        <v>178</v>
      </c>
      <c r="S12" s="54">
        <v>82000</v>
      </c>
      <c r="T12" s="47">
        <f t="shared" si="0"/>
        <v>262400</v>
      </c>
    </row>
    <row r="13" spans="1:20" s="49" customFormat="1" ht="13.5" customHeight="1" x14ac:dyDescent="0.3">
      <c r="A13" s="50" t="s">
        <v>98</v>
      </c>
      <c r="B13" s="43" t="s">
        <v>124</v>
      </c>
      <c r="C13" s="43" t="s">
        <v>96</v>
      </c>
      <c r="D13" s="53" t="s">
        <v>52</v>
      </c>
      <c r="E13" s="148" t="s">
        <v>126</v>
      </c>
      <c r="F13" s="52">
        <v>2400</v>
      </c>
      <c r="G13" s="50">
        <v>12</v>
      </c>
      <c r="H13" s="50" t="s">
        <v>97</v>
      </c>
      <c r="I13" s="50" t="s">
        <v>181</v>
      </c>
      <c r="J13" s="41">
        <v>46038</v>
      </c>
      <c r="K13" s="149" t="s">
        <v>176</v>
      </c>
      <c r="L13" s="150" t="s">
        <v>177</v>
      </c>
      <c r="M13" s="39" t="s">
        <v>175</v>
      </c>
      <c r="N13" s="151"/>
      <c r="O13" s="52"/>
      <c r="P13" s="43"/>
      <c r="Q13" s="52">
        <v>2400</v>
      </c>
      <c r="R13" s="39" t="s">
        <v>178</v>
      </c>
      <c r="S13" s="54">
        <v>82000</v>
      </c>
      <c r="T13" s="47">
        <f t="shared" ref="T13:T44" si="1">S13*F13/1000</f>
        <v>196800</v>
      </c>
    </row>
    <row r="14" spans="1:20" s="49" customFormat="1" ht="13.5" customHeight="1" x14ac:dyDescent="0.3">
      <c r="A14" s="50" t="s">
        <v>98</v>
      </c>
      <c r="B14" s="43" t="s">
        <v>124</v>
      </c>
      <c r="C14" s="43" t="s">
        <v>96</v>
      </c>
      <c r="D14" s="53" t="s">
        <v>52</v>
      </c>
      <c r="E14" s="148" t="s">
        <v>127</v>
      </c>
      <c r="F14" s="52">
        <v>2400</v>
      </c>
      <c r="G14" s="50">
        <v>12</v>
      </c>
      <c r="H14" s="50" t="s">
        <v>97</v>
      </c>
      <c r="I14" s="50" t="s">
        <v>181</v>
      </c>
      <c r="J14" s="41">
        <v>46038</v>
      </c>
      <c r="K14" s="149" t="s">
        <v>176</v>
      </c>
      <c r="L14" s="150" t="s">
        <v>177</v>
      </c>
      <c r="M14" s="39" t="s">
        <v>175</v>
      </c>
      <c r="N14" s="151"/>
      <c r="O14" s="52"/>
      <c r="P14" s="43"/>
      <c r="Q14" s="52">
        <v>2400</v>
      </c>
      <c r="R14" s="39" t="s">
        <v>178</v>
      </c>
      <c r="S14" s="54">
        <v>82000</v>
      </c>
      <c r="T14" s="47">
        <f t="shared" si="1"/>
        <v>196800</v>
      </c>
    </row>
    <row r="15" spans="1:20" s="49" customFormat="1" ht="13.5" customHeight="1" x14ac:dyDescent="0.3">
      <c r="A15" s="50" t="s">
        <v>98</v>
      </c>
      <c r="B15" s="43" t="s">
        <v>124</v>
      </c>
      <c r="C15" s="43" t="s">
        <v>96</v>
      </c>
      <c r="D15" s="53" t="s">
        <v>52</v>
      </c>
      <c r="E15" s="148" t="s">
        <v>133</v>
      </c>
      <c r="F15" s="52">
        <v>6400</v>
      </c>
      <c r="G15" s="50">
        <v>32</v>
      </c>
      <c r="H15" s="50" t="s">
        <v>97</v>
      </c>
      <c r="I15" s="50" t="s">
        <v>181</v>
      </c>
      <c r="J15" s="41">
        <v>46038</v>
      </c>
      <c r="K15" s="149" t="s">
        <v>176</v>
      </c>
      <c r="L15" s="150" t="s">
        <v>177</v>
      </c>
      <c r="M15" s="39" t="s">
        <v>175</v>
      </c>
      <c r="N15" s="151"/>
      <c r="O15" s="52"/>
      <c r="P15" s="43"/>
      <c r="Q15" s="52">
        <v>6400</v>
      </c>
      <c r="R15" s="39" t="s">
        <v>178</v>
      </c>
      <c r="S15" s="54">
        <v>82000</v>
      </c>
      <c r="T15" s="47">
        <f t="shared" si="1"/>
        <v>524800</v>
      </c>
    </row>
    <row r="16" spans="1:20" s="49" customFormat="1" ht="13.5" customHeight="1" x14ac:dyDescent="0.3">
      <c r="A16" s="50" t="s">
        <v>98</v>
      </c>
      <c r="B16" s="43" t="s">
        <v>124</v>
      </c>
      <c r="C16" s="43" t="s">
        <v>96</v>
      </c>
      <c r="D16" s="53" t="s">
        <v>52</v>
      </c>
      <c r="E16" s="148" t="s">
        <v>134</v>
      </c>
      <c r="F16" s="52">
        <v>6400</v>
      </c>
      <c r="G16" s="50">
        <v>32</v>
      </c>
      <c r="H16" s="50" t="s">
        <v>97</v>
      </c>
      <c r="I16" s="50" t="s">
        <v>181</v>
      </c>
      <c r="J16" s="41">
        <v>46038</v>
      </c>
      <c r="K16" s="149" t="s">
        <v>176</v>
      </c>
      <c r="L16" s="150" t="s">
        <v>177</v>
      </c>
      <c r="M16" s="39" t="s">
        <v>175</v>
      </c>
      <c r="N16" s="151"/>
      <c r="O16" s="52"/>
      <c r="P16" s="43"/>
      <c r="Q16" s="52">
        <v>6400</v>
      </c>
      <c r="R16" s="39" t="s">
        <v>178</v>
      </c>
      <c r="S16" s="54">
        <v>82000</v>
      </c>
      <c r="T16" s="47">
        <f t="shared" si="1"/>
        <v>524800</v>
      </c>
    </row>
    <row r="17" spans="1:20" s="49" customFormat="1" ht="13.5" customHeight="1" x14ac:dyDescent="0.3">
      <c r="A17" s="50" t="s">
        <v>182</v>
      </c>
      <c r="B17" s="43" t="s">
        <v>141</v>
      </c>
      <c r="C17" s="43" t="s">
        <v>91</v>
      </c>
      <c r="D17" s="53" t="s">
        <v>66</v>
      </c>
      <c r="E17" s="42" t="s">
        <v>142</v>
      </c>
      <c r="F17" s="52">
        <v>20000</v>
      </c>
      <c r="G17" s="50">
        <v>800</v>
      </c>
      <c r="H17" s="50" t="s">
        <v>92</v>
      </c>
      <c r="I17" s="50" t="s">
        <v>181</v>
      </c>
      <c r="J17" s="41">
        <v>46041</v>
      </c>
      <c r="K17" s="155" t="s">
        <v>184</v>
      </c>
      <c r="L17" s="155">
        <v>89991686190</v>
      </c>
      <c r="M17" s="156" t="s">
        <v>183</v>
      </c>
      <c r="N17" s="75"/>
      <c r="O17" s="52">
        <v>20000</v>
      </c>
      <c r="P17" s="52"/>
      <c r="Q17" s="52"/>
      <c r="R17" s="39" t="s">
        <v>178</v>
      </c>
      <c r="S17" s="54">
        <v>44300</v>
      </c>
      <c r="T17" s="47">
        <f t="shared" si="1"/>
        <v>886000</v>
      </c>
    </row>
    <row r="18" spans="1:20" s="49" customFormat="1" ht="13.5" customHeight="1" x14ac:dyDescent="0.3">
      <c r="A18" s="50" t="s">
        <v>185</v>
      </c>
      <c r="B18" s="43" t="s">
        <v>179</v>
      </c>
      <c r="C18" s="43" t="s">
        <v>154</v>
      </c>
      <c r="D18" s="4" t="s">
        <v>109</v>
      </c>
      <c r="E18" s="42" t="s">
        <v>156</v>
      </c>
      <c r="F18" s="43">
        <v>20000</v>
      </c>
      <c r="G18" s="50">
        <v>800</v>
      </c>
      <c r="H18" s="50" t="s">
        <v>155</v>
      </c>
      <c r="I18" s="41" t="s">
        <v>181</v>
      </c>
      <c r="J18" s="41">
        <v>46041</v>
      </c>
      <c r="K18" s="39" t="s">
        <v>187</v>
      </c>
      <c r="L18" s="157">
        <v>89129296888</v>
      </c>
      <c r="M18" s="39" t="s">
        <v>186</v>
      </c>
      <c r="N18" s="84"/>
      <c r="O18" s="43">
        <v>20000</v>
      </c>
      <c r="P18" s="43"/>
      <c r="Q18" s="43"/>
      <c r="R18" s="39" t="s">
        <v>178</v>
      </c>
      <c r="S18" s="54">
        <v>43500</v>
      </c>
      <c r="T18" s="47">
        <f t="shared" si="1"/>
        <v>870000</v>
      </c>
    </row>
    <row r="19" spans="1:20" s="49" customFormat="1" ht="13.5" customHeight="1" x14ac:dyDescent="0.3">
      <c r="A19" s="50" t="s">
        <v>212</v>
      </c>
      <c r="B19" s="43" t="s">
        <v>180</v>
      </c>
      <c r="C19" s="43" t="s">
        <v>154</v>
      </c>
      <c r="D19" s="4" t="s">
        <v>109</v>
      </c>
      <c r="E19" s="42" t="s">
        <v>157</v>
      </c>
      <c r="F19" s="43">
        <v>20000</v>
      </c>
      <c r="G19" s="50">
        <v>800</v>
      </c>
      <c r="H19" s="50" t="s">
        <v>155</v>
      </c>
      <c r="I19" s="41" t="s">
        <v>181</v>
      </c>
      <c r="J19" s="41">
        <v>46048</v>
      </c>
      <c r="K19" s="39" t="s">
        <v>214</v>
      </c>
      <c r="L19" s="157">
        <v>89197101726</v>
      </c>
      <c r="M19" s="39" t="s">
        <v>213</v>
      </c>
      <c r="N19" s="84"/>
      <c r="O19" s="43">
        <v>20000</v>
      </c>
      <c r="P19" s="43"/>
      <c r="Q19" s="43"/>
      <c r="R19" s="39" t="s">
        <v>178</v>
      </c>
      <c r="S19" s="54">
        <v>43500</v>
      </c>
      <c r="T19" s="47">
        <f>S19*F19/1000</f>
        <v>870000</v>
      </c>
    </row>
    <row r="20" spans="1:20" s="49" customFormat="1" ht="13.5" customHeight="1" x14ac:dyDescent="0.3">
      <c r="A20" s="50" t="s">
        <v>229</v>
      </c>
      <c r="B20" s="43" t="s">
        <v>163</v>
      </c>
      <c r="C20" s="43" t="s">
        <v>161</v>
      </c>
      <c r="D20" s="53" t="s">
        <v>58</v>
      </c>
      <c r="E20" s="148" t="s">
        <v>188</v>
      </c>
      <c r="F20" s="52">
        <v>8800</v>
      </c>
      <c r="G20" s="50">
        <v>44</v>
      </c>
      <c r="H20" s="50" t="s">
        <v>162</v>
      </c>
      <c r="I20" s="159" t="s">
        <v>181</v>
      </c>
      <c r="J20" s="159">
        <v>46049</v>
      </c>
      <c r="K20" s="160" t="s">
        <v>232</v>
      </c>
      <c r="L20" s="161">
        <v>89125770562</v>
      </c>
      <c r="M20" s="39" t="s">
        <v>231</v>
      </c>
      <c r="N20" s="84"/>
      <c r="O20" s="43"/>
      <c r="P20" s="43"/>
      <c r="Q20" s="52">
        <v>8800</v>
      </c>
      <c r="R20" s="39" t="s">
        <v>178</v>
      </c>
      <c r="S20" s="54">
        <v>94500</v>
      </c>
      <c r="T20" s="47">
        <f t="shared" si="1"/>
        <v>831600</v>
      </c>
    </row>
    <row r="21" spans="1:20" s="49" customFormat="1" ht="13.5" customHeight="1" x14ac:dyDescent="0.3">
      <c r="A21" s="50" t="s">
        <v>229</v>
      </c>
      <c r="B21" s="43" t="s">
        <v>163</v>
      </c>
      <c r="C21" s="43" t="s">
        <v>161</v>
      </c>
      <c r="D21" s="53" t="s">
        <v>58</v>
      </c>
      <c r="E21" s="148" t="s">
        <v>190</v>
      </c>
      <c r="F21" s="52">
        <v>8800</v>
      </c>
      <c r="G21" s="50">
        <v>44</v>
      </c>
      <c r="H21" s="50" t="s">
        <v>162</v>
      </c>
      <c r="I21" s="159" t="s">
        <v>181</v>
      </c>
      <c r="J21" s="159">
        <v>46049</v>
      </c>
      <c r="K21" s="160" t="s">
        <v>232</v>
      </c>
      <c r="L21" s="161">
        <v>89125770562</v>
      </c>
      <c r="M21" s="39" t="s">
        <v>231</v>
      </c>
      <c r="N21" s="84"/>
      <c r="O21" s="43"/>
      <c r="P21" s="43"/>
      <c r="Q21" s="52">
        <v>8800</v>
      </c>
      <c r="R21" s="39" t="s">
        <v>178</v>
      </c>
      <c r="S21" s="54">
        <v>94500</v>
      </c>
      <c r="T21" s="47">
        <f t="shared" si="1"/>
        <v>831600</v>
      </c>
    </row>
    <row r="22" spans="1:20" s="49" customFormat="1" ht="13.5" customHeight="1" x14ac:dyDescent="0.3">
      <c r="A22" s="50" t="s">
        <v>185</v>
      </c>
      <c r="B22" s="43" t="s">
        <v>158</v>
      </c>
      <c r="C22" s="43" t="s">
        <v>111</v>
      </c>
      <c r="D22" s="53" t="s">
        <v>66</v>
      </c>
      <c r="E22" s="42" t="s">
        <v>105</v>
      </c>
      <c r="F22" s="52">
        <v>20000</v>
      </c>
      <c r="G22" s="50">
        <v>800</v>
      </c>
      <c r="H22" s="50" t="s">
        <v>57</v>
      </c>
      <c r="I22" s="41" t="s">
        <v>181</v>
      </c>
      <c r="J22" s="41">
        <v>46050</v>
      </c>
      <c r="K22" s="158" t="s">
        <v>234</v>
      </c>
      <c r="L22" s="85">
        <v>89126616900</v>
      </c>
      <c r="M22" s="48" t="s">
        <v>233</v>
      </c>
      <c r="N22" s="75"/>
      <c r="O22" s="52">
        <v>20000</v>
      </c>
      <c r="P22" s="52"/>
      <c r="Q22" s="43"/>
      <c r="R22" s="39" t="s">
        <v>178</v>
      </c>
      <c r="S22" s="54">
        <v>44500</v>
      </c>
      <c r="T22" s="47">
        <f>S22*F22/1000</f>
        <v>890000</v>
      </c>
    </row>
    <row r="23" spans="1:20" s="49" customFormat="1" ht="13.5" customHeight="1" x14ac:dyDescent="0.3">
      <c r="A23" s="50" t="s">
        <v>217</v>
      </c>
      <c r="B23" s="43" t="s">
        <v>164</v>
      </c>
      <c r="C23" s="43" t="s">
        <v>161</v>
      </c>
      <c r="D23" s="53" t="s">
        <v>52</v>
      </c>
      <c r="E23" s="148" t="s">
        <v>156</v>
      </c>
      <c r="F23" s="52">
        <v>6400</v>
      </c>
      <c r="G23" s="50">
        <v>32</v>
      </c>
      <c r="H23" s="50" t="s">
        <v>162</v>
      </c>
      <c r="I23" s="159" t="s">
        <v>181</v>
      </c>
      <c r="J23" s="159">
        <v>46051</v>
      </c>
      <c r="K23" s="160" t="s">
        <v>225</v>
      </c>
      <c r="L23" s="161">
        <v>89235219222</v>
      </c>
      <c r="M23" s="39" t="s">
        <v>224</v>
      </c>
      <c r="N23" s="84"/>
      <c r="O23" s="43"/>
      <c r="P23" s="43"/>
      <c r="Q23" s="52">
        <v>6400</v>
      </c>
      <c r="R23" s="39" t="s">
        <v>178</v>
      </c>
      <c r="S23" s="54">
        <v>85500</v>
      </c>
      <c r="T23" s="47">
        <f>S23*F23/1000</f>
        <v>547200</v>
      </c>
    </row>
    <row r="24" spans="1:20" s="49" customFormat="1" ht="13.5" customHeight="1" x14ac:dyDescent="0.3">
      <c r="A24" s="50" t="s">
        <v>217</v>
      </c>
      <c r="B24" s="43" t="s">
        <v>164</v>
      </c>
      <c r="C24" s="43" t="s">
        <v>161</v>
      </c>
      <c r="D24" s="53" t="s">
        <v>52</v>
      </c>
      <c r="E24" s="148" t="s">
        <v>157</v>
      </c>
      <c r="F24" s="52">
        <v>7200</v>
      </c>
      <c r="G24" s="50">
        <v>36</v>
      </c>
      <c r="H24" s="50" t="s">
        <v>162</v>
      </c>
      <c r="I24" s="159" t="s">
        <v>181</v>
      </c>
      <c r="J24" s="159">
        <v>46051</v>
      </c>
      <c r="K24" s="160" t="s">
        <v>225</v>
      </c>
      <c r="L24" s="161">
        <v>89235219222</v>
      </c>
      <c r="M24" s="39" t="s">
        <v>224</v>
      </c>
      <c r="N24" s="84"/>
      <c r="O24" s="43"/>
      <c r="P24" s="43"/>
      <c r="Q24" s="52">
        <v>7200</v>
      </c>
      <c r="R24" s="39" t="s">
        <v>178</v>
      </c>
      <c r="S24" s="54">
        <v>85500</v>
      </c>
      <c r="T24" s="47">
        <f>S24*F24/1000</f>
        <v>615600</v>
      </c>
    </row>
    <row r="25" spans="1:20" s="49" customFormat="1" ht="13.5" customHeight="1" x14ac:dyDescent="0.3">
      <c r="A25" s="50" t="s">
        <v>217</v>
      </c>
      <c r="B25" s="43" t="s">
        <v>164</v>
      </c>
      <c r="C25" s="43" t="s">
        <v>161</v>
      </c>
      <c r="D25" s="53" t="s">
        <v>52</v>
      </c>
      <c r="E25" s="148" t="s">
        <v>188</v>
      </c>
      <c r="F25" s="52">
        <v>4000</v>
      </c>
      <c r="G25" s="50">
        <v>20</v>
      </c>
      <c r="H25" s="50" t="s">
        <v>162</v>
      </c>
      <c r="I25" s="159" t="s">
        <v>181</v>
      </c>
      <c r="J25" s="159">
        <v>46051</v>
      </c>
      <c r="K25" s="160" t="s">
        <v>225</v>
      </c>
      <c r="L25" s="161">
        <v>89235219222</v>
      </c>
      <c r="M25" s="39" t="s">
        <v>224</v>
      </c>
      <c r="N25" s="84"/>
      <c r="O25" s="43"/>
      <c r="P25" s="43"/>
      <c r="Q25" s="52">
        <v>4000</v>
      </c>
      <c r="R25" s="39" t="s">
        <v>178</v>
      </c>
      <c r="S25" s="54">
        <v>85500</v>
      </c>
      <c r="T25" s="47">
        <f>S25*F25/1000</f>
        <v>342000</v>
      </c>
    </row>
    <row r="26" spans="1:20" s="49" customFormat="1" ht="13.5" customHeight="1" x14ac:dyDescent="0.3">
      <c r="A26" s="50" t="s">
        <v>226</v>
      </c>
      <c r="B26" s="43" t="s">
        <v>165</v>
      </c>
      <c r="C26" s="43" t="s">
        <v>161</v>
      </c>
      <c r="D26" s="53" t="s">
        <v>52</v>
      </c>
      <c r="E26" s="148" t="s">
        <v>188</v>
      </c>
      <c r="F26" s="52">
        <v>2400</v>
      </c>
      <c r="G26" s="50">
        <v>12</v>
      </c>
      <c r="H26" s="50" t="s">
        <v>162</v>
      </c>
      <c r="I26" s="159" t="s">
        <v>181</v>
      </c>
      <c r="J26" s="159">
        <v>46051</v>
      </c>
      <c r="K26" s="160" t="s">
        <v>219</v>
      </c>
      <c r="L26" s="161">
        <v>89116825992</v>
      </c>
      <c r="M26" s="39" t="s">
        <v>218</v>
      </c>
      <c r="N26" s="84"/>
      <c r="O26" s="43"/>
      <c r="P26" s="43"/>
      <c r="Q26" s="52">
        <v>2400</v>
      </c>
      <c r="R26" s="39" t="s">
        <v>178</v>
      </c>
      <c r="S26" s="54">
        <v>85500</v>
      </c>
      <c r="T26" s="47">
        <f t="shared" si="1"/>
        <v>205200</v>
      </c>
    </row>
    <row r="27" spans="1:20" s="49" customFormat="1" ht="13.5" customHeight="1" x14ac:dyDescent="0.3">
      <c r="A27" s="50" t="s">
        <v>226</v>
      </c>
      <c r="B27" s="43" t="s">
        <v>165</v>
      </c>
      <c r="C27" s="43" t="s">
        <v>161</v>
      </c>
      <c r="D27" s="53" t="s">
        <v>52</v>
      </c>
      <c r="E27" s="148" t="s">
        <v>189</v>
      </c>
      <c r="F27" s="52">
        <v>8000</v>
      </c>
      <c r="G27" s="50">
        <v>40</v>
      </c>
      <c r="H27" s="50" t="s">
        <v>162</v>
      </c>
      <c r="I27" s="159" t="s">
        <v>181</v>
      </c>
      <c r="J27" s="159">
        <v>46051</v>
      </c>
      <c r="K27" s="160" t="s">
        <v>219</v>
      </c>
      <c r="L27" s="161">
        <v>89116825992</v>
      </c>
      <c r="M27" s="39" t="s">
        <v>218</v>
      </c>
      <c r="N27" s="84"/>
      <c r="O27" s="43"/>
      <c r="P27" s="43"/>
      <c r="Q27" s="52">
        <v>8000</v>
      </c>
      <c r="R27" s="39" t="s">
        <v>178</v>
      </c>
      <c r="S27" s="54">
        <v>85500</v>
      </c>
      <c r="T27" s="47">
        <f t="shared" si="1"/>
        <v>684000</v>
      </c>
    </row>
    <row r="28" spans="1:20" s="49" customFormat="1" ht="13.5" customHeight="1" x14ac:dyDescent="0.3">
      <c r="A28" s="50" t="s">
        <v>226</v>
      </c>
      <c r="B28" s="43" t="s">
        <v>165</v>
      </c>
      <c r="C28" s="43" t="s">
        <v>161</v>
      </c>
      <c r="D28" s="53" t="s">
        <v>52</v>
      </c>
      <c r="E28" s="148" t="s">
        <v>190</v>
      </c>
      <c r="F28" s="52">
        <v>6400</v>
      </c>
      <c r="G28" s="50">
        <v>32</v>
      </c>
      <c r="H28" s="50" t="s">
        <v>162</v>
      </c>
      <c r="I28" s="159" t="s">
        <v>181</v>
      </c>
      <c r="J28" s="159">
        <v>46051</v>
      </c>
      <c r="K28" s="160" t="s">
        <v>219</v>
      </c>
      <c r="L28" s="161">
        <v>89116825992</v>
      </c>
      <c r="M28" s="39" t="s">
        <v>218</v>
      </c>
      <c r="N28" s="84"/>
      <c r="O28" s="43"/>
      <c r="P28" s="43"/>
      <c r="Q28" s="52">
        <v>6400</v>
      </c>
      <c r="R28" s="39" t="s">
        <v>178</v>
      </c>
      <c r="S28" s="54">
        <v>85500</v>
      </c>
      <c r="T28" s="47">
        <f t="shared" si="1"/>
        <v>547200</v>
      </c>
    </row>
    <row r="29" spans="1:20" s="49" customFormat="1" ht="13.5" customHeight="1" x14ac:dyDescent="0.3">
      <c r="A29" s="50" t="s">
        <v>226</v>
      </c>
      <c r="B29" s="43" t="s">
        <v>165</v>
      </c>
      <c r="C29" s="43" t="s">
        <v>161</v>
      </c>
      <c r="D29" s="53" t="s">
        <v>52</v>
      </c>
      <c r="E29" s="148" t="s">
        <v>191</v>
      </c>
      <c r="F29" s="52">
        <v>800</v>
      </c>
      <c r="G29" s="50">
        <v>4</v>
      </c>
      <c r="H29" s="50" t="s">
        <v>162</v>
      </c>
      <c r="I29" s="159" t="s">
        <v>181</v>
      </c>
      <c r="J29" s="159">
        <v>46051</v>
      </c>
      <c r="K29" s="160" t="s">
        <v>219</v>
      </c>
      <c r="L29" s="161">
        <v>89116825992</v>
      </c>
      <c r="M29" s="39" t="s">
        <v>218</v>
      </c>
      <c r="N29" s="84"/>
      <c r="O29" s="43"/>
      <c r="P29" s="43"/>
      <c r="Q29" s="52">
        <v>800</v>
      </c>
      <c r="R29" s="39" t="s">
        <v>178</v>
      </c>
      <c r="S29" s="54">
        <v>85500</v>
      </c>
      <c r="T29" s="47">
        <f t="shared" si="1"/>
        <v>68400</v>
      </c>
    </row>
    <row r="30" spans="1:20" s="49" customFormat="1" ht="13.5" customHeight="1" x14ac:dyDescent="0.3">
      <c r="A30" s="50" t="s">
        <v>227</v>
      </c>
      <c r="B30" s="43" t="s">
        <v>166</v>
      </c>
      <c r="C30" s="43" t="s">
        <v>161</v>
      </c>
      <c r="D30" s="53" t="s">
        <v>52</v>
      </c>
      <c r="E30" s="148" t="s">
        <v>191</v>
      </c>
      <c r="F30" s="52">
        <v>6400</v>
      </c>
      <c r="G30" s="50">
        <v>32</v>
      </c>
      <c r="H30" s="50" t="s">
        <v>162</v>
      </c>
      <c r="I30" s="159" t="s">
        <v>181</v>
      </c>
      <c r="J30" s="159">
        <v>46051</v>
      </c>
      <c r="K30" s="160" t="s">
        <v>230</v>
      </c>
      <c r="L30" s="161">
        <v>89624401330</v>
      </c>
      <c r="M30" s="39" t="s">
        <v>228</v>
      </c>
      <c r="N30" s="84"/>
      <c r="O30" s="43"/>
      <c r="P30" s="43"/>
      <c r="Q30" s="52">
        <v>6400</v>
      </c>
      <c r="R30" s="39" t="s">
        <v>178</v>
      </c>
      <c r="S30" s="54">
        <v>85500</v>
      </c>
      <c r="T30" s="47">
        <f t="shared" si="1"/>
        <v>547200</v>
      </c>
    </row>
    <row r="31" spans="1:20" s="49" customFormat="1" ht="13.5" customHeight="1" x14ac:dyDescent="0.3">
      <c r="A31" s="50" t="s">
        <v>227</v>
      </c>
      <c r="B31" s="43" t="s">
        <v>166</v>
      </c>
      <c r="C31" s="43" t="s">
        <v>161</v>
      </c>
      <c r="D31" s="53" t="s">
        <v>52</v>
      </c>
      <c r="E31" s="148" t="s">
        <v>192</v>
      </c>
      <c r="F31" s="52">
        <v>7200</v>
      </c>
      <c r="G31" s="50">
        <v>36</v>
      </c>
      <c r="H31" s="50" t="s">
        <v>162</v>
      </c>
      <c r="I31" s="159" t="s">
        <v>181</v>
      </c>
      <c r="J31" s="159">
        <v>46051</v>
      </c>
      <c r="K31" s="160" t="s">
        <v>230</v>
      </c>
      <c r="L31" s="161">
        <v>89624401330</v>
      </c>
      <c r="M31" s="39" t="s">
        <v>228</v>
      </c>
      <c r="N31" s="84"/>
      <c r="O31" s="43"/>
      <c r="P31" s="43"/>
      <c r="Q31" s="52">
        <v>7200</v>
      </c>
      <c r="R31" s="39" t="s">
        <v>178</v>
      </c>
      <c r="S31" s="54">
        <v>85500</v>
      </c>
      <c r="T31" s="47">
        <f t="shared" si="1"/>
        <v>615600</v>
      </c>
    </row>
    <row r="32" spans="1:20" s="49" customFormat="1" ht="12.75" customHeight="1" x14ac:dyDescent="0.3">
      <c r="A32" s="50" t="s">
        <v>227</v>
      </c>
      <c r="B32" s="43" t="s">
        <v>166</v>
      </c>
      <c r="C32" s="43" t="s">
        <v>161</v>
      </c>
      <c r="D32" s="53" t="s">
        <v>52</v>
      </c>
      <c r="E32" s="148" t="s">
        <v>209</v>
      </c>
      <c r="F32" s="52">
        <v>4000</v>
      </c>
      <c r="G32" s="50">
        <v>20</v>
      </c>
      <c r="H32" s="50" t="s">
        <v>162</v>
      </c>
      <c r="I32" s="159" t="s">
        <v>181</v>
      </c>
      <c r="J32" s="159">
        <v>46051</v>
      </c>
      <c r="K32" s="160" t="s">
        <v>230</v>
      </c>
      <c r="L32" s="161">
        <v>89624401330</v>
      </c>
      <c r="M32" s="39" t="s">
        <v>228</v>
      </c>
      <c r="N32" s="84"/>
      <c r="O32" s="43"/>
      <c r="P32" s="43"/>
      <c r="Q32" s="52">
        <v>4000</v>
      </c>
      <c r="R32" s="39" t="s">
        <v>178</v>
      </c>
      <c r="S32" s="54">
        <v>85500</v>
      </c>
      <c r="T32" s="47">
        <f t="shared" si="1"/>
        <v>342000</v>
      </c>
    </row>
    <row r="33" spans="1:20" s="49" customFormat="1" ht="13.5" customHeight="1" x14ac:dyDescent="0.3">
      <c r="A33" s="50" t="s">
        <v>217</v>
      </c>
      <c r="B33" s="43" t="s">
        <v>199</v>
      </c>
      <c r="C33" s="43" t="s">
        <v>89</v>
      </c>
      <c r="D33" s="4" t="s">
        <v>79</v>
      </c>
      <c r="E33" s="42" t="s">
        <v>198</v>
      </c>
      <c r="F33" s="52">
        <v>6400</v>
      </c>
      <c r="G33" s="50">
        <v>32</v>
      </c>
      <c r="H33" s="50" t="s">
        <v>200</v>
      </c>
      <c r="I33" s="50" t="s">
        <v>181</v>
      </c>
      <c r="J33" s="41">
        <v>46051</v>
      </c>
      <c r="K33" s="174" t="s">
        <v>240</v>
      </c>
      <c r="L33" s="85">
        <v>89877134071</v>
      </c>
      <c r="M33" s="48" t="s">
        <v>239</v>
      </c>
      <c r="N33" s="75"/>
      <c r="O33" s="52"/>
      <c r="P33" s="52"/>
      <c r="Q33" s="52">
        <v>6400</v>
      </c>
      <c r="R33" s="39" t="s">
        <v>178</v>
      </c>
      <c r="S33" s="54">
        <v>127000</v>
      </c>
      <c r="T33" s="47">
        <f>S33*F33/1000</f>
        <v>812800</v>
      </c>
    </row>
    <row r="34" spans="1:20" s="49" customFormat="1" ht="13.5" customHeight="1" x14ac:dyDescent="0.3">
      <c r="A34" s="50" t="s">
        <v>217</v>
      </c>
      <c r="B34" s="43" t="s">
        <v>199</v>
      </c>
      <c r="C34" s="43" t="s">
        <v>89</v>
      </c>
      <c r="D34" s="4" t="s">
        <v>78</v>
      </c>
      <c r="E34" s="42" t="s">
        <v>201</v>
      </c>
      <c r="F34" s="52">
        <v>6400</v>
      </c>
      <c r="G34" s="50">
        <v>32</v>
      </c>
      <c r="H34" s="50" t="s">
        <v>200</v>
      </c>
      <c r="I34" s="50" t="s">
        <v>181</v>
      </c>
      <c r="J34" s="41">
        <v>46051</v>
      </c>
      <c r="K34" s="174" t="s">
        <v>240</v>
      </c>
      <c r="L34" s="85">
        <v>89877134071</v>
      </c>
      <c r="M34" s="48" t="s">
        <v>239</v>
      </c>
      <c r="N34" s="75"/>
      <c r="O34" s="52"/>
      <c r="P34" s="52"/>
      <c r="Q34" s="52">
        <v>6400</v>
      </c>
      <c r="R34" s="39" t="s">
        <v>178</v>
      </c>
      <c r="S34" s="54">
        <v>97000</v>
      </c>
      <c r="T34" s="47">
        <f>S34*F34/1000</f>
        <v>620800</v>
      </c>
    </row>
    <row r="35" spans="1:20" s="49" customFormat="1" ht="13.5" customHeight="1" x14ac:dyDescent="0.3">
      <c r="A35" s="50" t="s">
        <v>217</v>
      </c>
      <c r="B35" s="43" t="s">
        <v>199</v>
      </c>
      <c r="C35" s="43" t="s">
        <v>89</v>
      </c>
      <c r="D35" s="4" t="s">
        <v>67</v>
      </c>
      <c r="E35" s="42" t="s">
        <v>202</v>
      </c>
      <c r="F35" s="52">
        <v>2000</v>
      </c>
      <c r="G35" s="50">
        <v>80</v>
      </c>
      <c r="H35" s="50" t="s">
        <v>200</v>
      </c>
      <c r="I35" s="50" t="s">
        <v>181</v>
      </c>
      <c r="J35" s="41">
        <v>46051</v>
      </c>
      <c r="K35" s="174" t="s">
        <v>240</v>
      </c>
      <c r="L35" s="85">
        <v>89877134071</v>
      </c>
      <c r="M35" s="48" t="s">
        <v>239</v>
      </c>
      <c r="N35" s="75"/>
      <c r="O35" s="52"/>
      <c r="P35" s="52">
        <v>2000</v>
      </c>
      <c r="Q35" s="52"/>
      <c r="R35" s="39" t="s">
        <v>178</v>
      </c>
      <c r="S35" s="54">
        <v>250000</v>
      </c>
      <c r="T35" s="47">
        <f>S35*F35/1000</f>
        <v>500000</v>
      </c>
    </row>
    <row r="36" spans="1:20" s="49" customFormat="1" ht="13.5" customHeight="1" x14ac:dyDescent="0.3">
      <c r="A36" s="50" t="s">
        <v>217</v>
      </c>
      <c r="B36" s="43" t="s">
        <v>199</v>
      </c>
      <c r="C36" s="43" t="s">
        <v>89</v>
      </c>
      <c r="D36" s="4" t="s">
        <v>66</v>
      </c>
      <c r="E36" s="42" t="s">
        <v>203</v>
      </c>
      <c r="F36" s="52">
        <v>4000</v>
      </c>
      <c r="G36" s="50">
        <v>160</v>
      </c>
      <c r="H36" s="50" t="s">
        <v>200</v>
      </c>
      <c r="I36" s="50" t="s">
        <v>181</v>
      </c>
      <c r="J36" s="41">
        <v>46051</v>
      </c>
      <c r="K36" s="174" t="s">
        <v>240</v>
      </c>
      <c r="L36" s="85">
        <v>89877134071</v>
      </c>
      <c r="M36" s="48" t="s">
        <v>239</v>
      </c>
      <c r="N36" s="75"/>
      <c r="O36" s="52">
        <v>4000</v>
      </c>
      <c r="P36" s="52"/>
      <c r="Q36" s="52"/>
      <c r="R36" s="39" t="s">
        <v>178</v>
      </c>
      <c r="S36" s="54">
        <v>44500</v>
      </c>
      <c r="T36" s="47">
        <f>S36*F36/1000</f>
        <v>178000</v>
      </c>
    </row>
    <row r="37" spans="1:20" s="49" customFormat="1" ht="13.5" customHeight="1" x14ac:dyDescent="0.3">
      <c r="A37" s="50" t="s">
        <v>217</v>
      </c>
      <c r="B37" s="43" t="s">
        <v>204</v>
      </c>
      <c r="C37" s="43" t="s">
        <v>89</v>
      </c>
      <c r="D37" s="4" t="s">
        <v>69</v>
      </c>
      <c r="E37" s="42" t="s">
        <v>205</v>
      </c>
      <c r="F37" s="52">
        <v>3000</v>
      </c>
      <c r="G37" s="50">
        <v>150</v>
      </c>
      <c r="H37" s="50" t="s">
        <v>235</v>
      </c>
      <c r="I37" s="50" t="s">
        <v>181</v>
      </c>
      <c r="J37" s="41">
        <v>46052</v>
      </c>
      <c r="K37" s="174" t="s">
        <v>237</v>
      </c>
      <c r="L37" s="85">
        <v>89827655793</v>
      </c>
      <c r="M37" s="48" t="s">
        <v>236</v>
      </c>
      <c r="N37" s="75"/>
      <c r="O37" s="52"/>
      <c r="P37" s="52">
        <v>3000</v>
      </c>
      <c r="Q37" s="52"/>
      <c r="R37" s="39" t="s">
        <v>178</v>
      </c>
      <c r="S37" s="54">
        <v>270000</v>
      </c>
      <c r="T37" s="47">
        <f t="shared" si="1"/>
        <v>810000</v>
      </c>
    </row>
    <row r="38" spans="1:20" s="49" customFormat="1" ht="13.5" customHeight="1" x14ac:dyDescent="0.3">
      <c r="A38" s="50" t="s">
        <v>217</v>
      </c>
      <c r="B38" s="43" t="s">
        <v>204</v>
      </c>
      <c r="C38" s="43" t="s">
        <v>89</v>
      </c>
      <c r="D38" s="4" t="s">
        <v>77</v>
      </c>
      <c r="E38" s="42" t="s">
        <v>206</v>
      </c>
      <c r="F38" s="52">
        <v>2160</v>
      </c>
      <c r="G38" s="50">
        <v>12</v>
      </c>
      <c r="H38" s="50" t="s">
        <v>235</v>
      </c>
      <c r="I38" s="50" t="s">
        <v>181</v>
      </c>
      <c r="J38" s="41">
        <v>46052</v>
      </c>
      <c r="K38" s="174" t="s">
        <v>237</v>
      </c>
      <c r="L38" s="85">
        <v>89827655793</v>
      </c>
      <c r="M38" s="48" t="s">
        <v>236</v>
      </c>
      <c r="N38" s="75"/>
      <c r="O38" s="52"/>
      <c r="P38" s="52"/>
      <c r="Q38" s="52">
        <v>2160</v>
      </c>
      <c r="R38" s="39" t="s">
        <v>178</v>
      </c>
      <c r="S38" s="54">
        <v>310000</v>
      </c>
      <c r="T38" s="47">
        <f t="shared" si="1"/>
        <v>669600</v>
      </c>
    </row>
    <row r="39" spans="1:20" s="49" customFormat="1" ht="13.5" customHeight="1" x14ac:dyDescent="0.3">
      <c r="A39" s="50" t="s">
        <v>217</v>
      </c>
      <c r="B39" s="43" t="s">
        <v>204</v>
      </c>
      <c r="C39" s="43" t="s">
        <v>89</v>
      </c>
      <c r="D39" s="4" t="s">
        <v>64</v>
      </c>
      <c r="E39" s="42" t="s">
        <v>207</v>
      </c>
      <c r="F39" s="52">
        <v>3000</v>
      </c>
      <c r="G39" s="50">
        <v>120</v>
      </c>
      <c r="H39" s="50" t="s">
        <v>235</v>
      </c>
      <c r="I39" s="50" t="s">
        <v>181</v>
      </c>
      <c r="J39" s="41">
        <v>46052</v>
      </c>
      <c r="K39" s="174" t="s">
        <v>237</v>
      </c>
      <c r="L39" s="85">
        <v>89827655793</v>
      </c>
      <c r="M39" s="48" t="s">
        <v>236</v>
      </c>
      <c r="N39" s="75"/>
      <c r="O39" s="52"/>
      <c r="P39" s="52">
        <v>3000</v>
      </c>
      <c r="Q39" s="52"/>
      <c r="R39" s="39" t="s">
        <v>178</v>
      </c>
      <c r="S39" s="54">
        <v>70000</v>
      </c>
      <c r="T39" s="47">
        <f t="shared" si="1"/>
        <v>210000</v>
      </c>
    </row>
    <row r="40" spans="1:20" s="49" customFormat="1" ht="13.5" customHeight="1" x14ac:dyDescent="0.3">
      <c r="A40" s="50" t="s">
        <v>217</v>
      </c>
      <c r="B40" s="43" t="s">
        <v>204</v>
      </c>
      <c r="C40" s="43" t="s">
        <v>89</v>
      </c>
      <c r="D40" s="4" t="s">
        <v>83</v>
      </c>
      <c r="E40" s="42" t="s">
        <v>208</v>
      </c>
      <c r="F40" s="52">
        <v>5600</v>
      </c>
      <c r="G40" s="50">
        <v>28</v>
      </c>
      <c r="H40" s="50" t="s">
        <v>235</v>
      </c>
      <c r="I40" s="50" t="s">
        <v>181</v>
      </c>
      <c r="J40" s="41">
        <v>46052</v>
      </c>
      <c r="K40" s="174" t="s">
        <v>237</v>
      </c>
      <c r="L40" s="85">
        <v>89827655793</v>
      </c>
      <c r="M40" s="48" t="s">
        <v>236</v>
      </c>
      <c r="N40" s="75"/>
      <c r="O40" s="52"/>
      <c r="P40" s="52"/>
      <c r="Q40" s="52">
        <v>5600</v>
      </c>
      <c r="R40" s="39" t="s">
        <v>178</v>
      </c>
      <c r="S40" s="54">
        <v>135000</v>
      </c>
      <c r="T40" s="47">
        <f t="shared" si="1"/>
        <v>756000</v>
      </c>
    </row>
    <row r="41" spans="1:20" s="49" customFormat="1" ht="13.5" customHeight="1" x14ac:dyDescent="0.3">
      <c r="A41" s="50" t="s">
        <v>217</v>
      </c>
      <c r="B41" s="43" t="s">
        <v>204</v>
      </c>
      <c r="C41" s="43" t="s">
        <v>89</v>
      </c>
      <c r="D41" s="4" t="s">
        <v>66</v>
      </c>
      <c r="E41" s="42" t="s">
        <v>203</v>
      </c>
      <c r="F41" s="52">
        <v>6000</v>
      </c>
      <c r="G41" s="50">
        <v>240</v>
      </c>
      <c r="H41" s="50" t="s">
        <v>235</v>
      </c>
      <c r="I41" s="50" t="s">
        <v>181</v>
      </c>
      <c r="J41" s="41">
        <v>46052</v>
      </c>
      <c r="K41" s="174" t="s">
        <v>237</v>
      </c>
      <c r="L41" s="85">
        <v>89827655793</v>
      </c>
      <c r="M41" s="48" t="s">
        <v>236</v>
      </c>
      <c r="N41" s="75"/>
      <c r="O41" s="52">
        <v>6000</v>
      </c>
      <c r="P41" s="52"/>
      <c r="Q41" s="52"/>
      <c r="R41" s="39" t="s">
        <v>178</v>
      </c>
      <c r="S41" s="54">
        <v>44500</v>
      </c>
      <c r="T41" s="47">
        <f>S41*F41/1000</f>
        <v>267000</v>
      </c>
    </row>
    <row r="42" spans="1:20" s="49" customFormat="1" ht="13.5" customHeight="1" x14ac:dyDescent="0.3">
      <c r="A42" s="50" t="s">
        <v>238</v>
      </c>
      <c r="B42" s="43" t="s">
        <v>167</v>
      </c>
      <c r="C42" s="43" t="s">
        <v>161</v>
      </c>
      <c r="D42" s="53" t="s">
        <v>58</v>
      </c>
      <c r="E42" s="148" t="s">
        <v>192</v>
      </c>
      <c r="F42" s="52">
        <v>8800</v>
      </c>
      <c r="G42" s="50">
        <v>44</v>
      </c>
      <c r="H42" s="50" t="s">
        <v>162</v>
      </c>
      <c r="I42" s="50" t="s">
        <v>181</v>
      </c>
      <c r="J42" s="159">
        <v>46052</v>
      </c>
      <c r="K42" s="160" t="s">
        <v>241</v>
      </c>
      <c r="L42" s="161">
        <v>89195966929</v>
      </c>
      <c r="M42" s="39" t="s">
        <v>242</v>
      </c>
      <c r="N42" s="84"/>
      <c r="O42" s="43"/>
      <c r="P42" s="43"/>
      <c r="Q42" s="52">
        <f>F42</f>
        <v>8800</v>
      </c>
      <c r="R42" s="39" t="s">
        <v>178</v>
      </c>
      <c r="S42" s="54">
        <v>94500</v>
      </c>
      <c r="T42" s="47">
        <f t="shared" si="1"/>
        <v>831600</v>
      </c>
    </row>
    <row r="43" spans="1:20" s="49" customFormat="1" ht="13.5" customHeight="1" x14ac:dyDescent="0.3">
      <c r="A43" s="50" t="s">
        <v>238</v>
      </c>
      <c r="B43" s="43" t="s">
        <v>167</v>
      </c>
      <c r="C43" s="43" t="s">
        <v>161</v>
      </c>
      <c r="D43" s="53" t="s">
        <v>58</v>
      </c>
      <c r="E43" s="148" t="s">
        <v>210</v>
      </c>
      <c r="F43" s="52">
        <v>8000</v>
      </c>
      <c r="G43" s="50">
        <v>40</v>
      </c>
      <c r="H43" s="50" t="s">
        <v>162</v>
      </c>
      <c r="I43" s="50" t="s">
        <v>181</v>
      </c>
      <c r="J43" s="159">
        <v>46052</v>
      </c>
      <c r="K43" s="160" t="s">
        <v>241</v>
      </c>
      <c r="L43" s="161">
        <v>89195966929</v>
      </c>
      <c r="M43" s="39" t="s">
        <v>242</v>
      </c>
      <c r="N43" s="84"/>
      <c r="O43" s="43"/>
      <c r="P43" s="43"/>
      <c r="Q43" s="52">
        <f>F43</f>
        <v>8000</v>
      </c>
      <c r="R43" s="39" t="s">
        <v>178</v>
      </c>
      <c r="S43" s="54">
        <v>94500</v>
      </c>
      <c r="T43" s="47">
        <f t="shared" si="1"/>
        <v>756000</v>
      </c>
    </row>
    <row r="44" spans="1:20" s="49" customFormat="1" ht="13.5" customHeight="1" x14ac:dyDescent="0.3">
      <c r="A44" s="50" t="s">
        <v>238</v>
      </c>
      <c r="B44" s="43" t="s">
        <v>167</v>
      </c>
      <c r="C44" s="43" t="s">
        <v>161</v>
      </c>
      <c r="D44" s="53" t="s">
        <v>58</v>
      </c>
      <c r="E44" s="148" t="s">
        <v>211</v>
      </c>
      <c r="F44" s="52">
        <v>800</v>
      </c>
      <c r="G44" s="50">
        <v>4</v>
      </c>
      <c r="H44" s="50" t="s">
        <v>162</v>
      </c>
      <c r="I44" s="50" t="s">
        <v>181</v>
      </c>
      <c r="J44" s="159">
        <v>46052</v>
      </c>
      <c r="K44" s="160" t="s">
        <v>241</v>
      </c>
      <c r="L44" s="161">
        <v>89195966929</v>
      </c>
      <c r="M44" s="39" t="s">
        <v>242</v>
      </c>
      <c r="N44" s="84"/>
      <c r="O44" s="43"/>
      <c r="P44" s="43"/>
      <c r="Q44" s="52">
        <f>F44</f>
        <v>800</v>
      </c>
      <c r="R44" s="39" t="s">
        <v>178</v>
      </c>
      <c r="S44" s="54">
        <v>94500</v>
      </c>
      <c r="T44" s="47">
        <f t="shared" si="1"/>
        <v>75600</v>
      </c>
    </row>
    <row r="45" spans="1:20" s="49" customFormat="1" ht="13.5" customHeight="1" x14ac:dyDescent="0.3">
      <c r="A45" s="50" t="s">
        <v>185</v>
      </c>
      <c r="B45" s="43" t="s">
        <v>159</v>
      </c>
      <c r="C45" s="43" t="s">
        <v>111</v>
      </c>
      <c r="D45" s="53" t="s">
        <v>66</v>
      </c>
      <c r="E45" s="42" t="s">
        <v>105</v>
      </c>
      <c r="F45" s="52">
        <v>10000</v>
      </c>
      <c r="G45" s="50">
        <v>400</v>
      </c>
      <c r="H45" s="50" t="s">
        <v>57</v>
      </c>
      <c r="I45" s="50" t="s">
        <v>181</v>
      </c>
      <c r="J45" s="41">
        <v>46052</v>
      </c>
      <c r="K45" s="175" t="s">
        <v>244</v>
      </c>
      <c r="L45" s="85">
        <v>89502587842</v>
      </c>
      <c r="M45" s="48" t="s">
        <v>243</v>
      </c>
      <c r="N45" s="75"/>
      <c r="O45" s="52">
        <f>F45</f>
        <v>10000</v>
      </c>
      <c r="P45" s="52"/>
      <c r="Q45" s="43"/>
      <c r="R45" s="39" t="s">
        <v>178</v>
      </c>
      <c r="S45" s="54">
        <v>44500</v>
      </c>
      <c r="T45" s="47">
        <f>S45*F45/1000</f>
        <v>445000</v>
      </c>
    </row>
    <row r="46" spans="1:20" s="49" customFormat="1" ht="13.5" customHeight="1" x14ac:dyDescent="0.3">
      <c r="A46" s="50" t="s">
        <v>185</v>
      </c>
      <c r="B46" s="43" t="s">
        <v>159</v>
      </c>
      <c r="C46" s="43" t="s">
        <v>111</v>
      </c>
      <c r="D46" s="53" t="s">
        <v>65</v>
      </c>
      <c r="E46" s="42" t="s">
        <v>160</v>
      </c>
      <c r="F46" s="52">
        <v>10000</v>
      </c>
      <c r="G46" s="50">
        <v>400</v>
      </c>
      <c r="H46" s="50" t="s">
        <v>57</v>
      </c>
      <c r="I46" s="50" t="s">
        <v>181</v>
      </c>
      <c r="J46" s="41">
        <v>46052</v>
      </c>
      <c r="K46" s="176" t="s">
        <v>244</v>
      </c>
      <c r="L46" s="85">
        <v>89502587842</v>
      </c>
      <c r="M46" s="48" t="s">
        <v>243</v>
      </c>
      <c r="N46" s="177"/>
      <c r="O46" s="52"/>
      <c r="P46" s="52">
        <f>F46</f>
        <v>10000</v>
      </c>
      <c r="Q46" s="43"/>
      <c r="R46" s="39" t="s">
        <v>178</v>
      </c>
      <c r="S46" s="54">
        <v>250000</v>
      </c>
      <c r="T46" s="47">
        <f>S46*F46/1000</f>
        <v>2500000</v>
      </c>
    </row>
    <row r="47" spans="1:20" ht="21" customHeight="1" x14ac:dyDescent="0.35">
      <c r="A47" s="74" t="s">
        <v>14</v>
      </c>
      <c r="B47" s="57">
        <f>SUM($F$5:$F$46)/1000</f>
        <v>339.36</v>
      </c>
      <c r="C47" s="40" t="s">
        <v>13</v>
      </c>
      <c r="T47" s="227">
        <f>SUM(T5:T46)</f>
        <v>26935200</v>
      </c>
    </row>
    <row r="48" spans="1:20" ht="23.25" customHeight="1" x14ac:dyDescent="0.35">
      <c r="A48" s="63" t="s">
        <v>15</v>
      </c>
      <c r="B48" s="58">
        <f>$B$49+$B$50+$B$51</f>
        <v>339.36</v>
      </c>
      <c r="C48" s="1" t="s">
        <v>13</v>
      </c>
      <c r="E48" s="129"/>
      <c r="F48" s="73" t="s">
        <v>86</v>
      </c>
      <c r="G48" s="73"/>
    </row>
    <row r="49" spans="1:7" ht="23.25" customHeight="1" x14ac:dyDescent="0.35">
      <c r="A49" s="64" t="s">
        <v>16</v>
      </c>
      <c r="B49" s="56">
        <f>SUM(O5:O46)/1000</f>
        <v>160</v>
      </c>
      <c r="C49" s="2" t="s">
        <v>13</v>
      </c>
      <c r="D49" s="81"/>
      <c r="E49" s="82"/>
      <c r="F49" s="73" t="s">
        <v>85</v>
      </c>
      <c r="G49" s="73"/>
    </row>
    <row r="50" spans="1:7" ht="23.25" customHeight="1" x14ac:dyDescent="0.35">
      <c r="A50" s="64" t="s">
        <v>48</v>
      </c>
      <c r="B50" s="56">
        <f>SUM(P5:P46)/1000</f>
        <v>18</v>
      </c>
      <c r="C50" s="2" t="s">
        <v>13</v>
      </c>
      <c r="E50" s="79"/>
      <c r="F50" s="73" t="s">
        <v>84</v>
      </c>
      <c r="G50" s="73"/>
    </row>
    <row r="51" spans="1:7" ht="23.25" customHeight="1" x14ac:dyDescent="0.35">
      <c r="A51" s="64" t="s">
        <v>23</v>
      </c>
      <c r="B51" s="56">
        <f>SUM(Q5:Q46)/1000</f>
        <v>161.36000000000001</v>
      </c>
      <c r="C51" s="2" t="s">
        <v>13</v>
      </c>
      <c r="E51" s="80"/>
      <c r="F51" s="73" t="s">
        <v>87</v>
      </c>
    </row>
    <row r="52" spans="1:7" ht="23.25" customHeight="1" thickBot="1" x14ac:dyDescent="0.4">
      <c r="A52" s="65" t="s">
        <v>19</v>
      </c>
      <c r="B52" s="59">
        <f>$B$47-$B$48</f>
        <v>0</v>
      </c>
      <c r="C52" s="3" t="s">
        <v>13</v>
      </c>
      <c r="E52" s="96"/>
      <c r="F52" s="73" t="s">
        <v>107</v>
      </c>
    </row>
  </sheetData>
  <sheetProtection formatCells="0" formatColumns="0" formatRows="0" insertColumns="0" insertRows="0" insertHyperlinks="0" deleteColumns="0" deleteRows="0" sort="0" autoFilter="0" pivotTables="0"/>
  <autoFilter ref="D1:D52"/>
  <mergeCells count="13">
    <mergeCell ref="F2:G2"/>
    <mergeCell ref="A2:A3"/>
    <mergeCell ref="B2:B3"/>
    <mergeCell ref="C2:C3"/>
    <mergeCell ref="D2:D3"/>
    <mergeCell ref="E2:E3"/>
    <mergeCell ref="S2:S3"/>
    <mergeCell ref="H2:H3"/>
    <mergeCell ref="I2:I3"/>
    <mergeCell ref="J2:J3"/>
    <mergeCell ref="K2:M2"/>
    <mergeCell ref="O2:Q2"/>
    <mergeCell ref="R2:R3"/>
  </mergeCells>
  <phoneticPr fontId="44" type="noConversion"/>
  <dataValidations count="3">
    <dataValidation type="list" allowBlank="1" showInputMessage="1" showErrorMessage="1" sqref="D17 D8">
      <formula1>$E$2:$E$54</formula1>
    </dataValidation>
    <dataValidation type="list" allowBlank="1" showInputMessage="1" showErrorMessage="1" sqref="D17 D47:D1048576 D8">
      <formula1>$E$2:$E$179</formula1>
    </dataValidation>
    <dataValidation type="list" allowBlank="1" showInputMessage="1" showErrorMessage="1" sqref="D26:D46">
      <formula1>$E$2:$E$191</formula1>
    </dataValidation>
  </dataValidations>
  <pageMargins left="0.7" right="0.7" top="0.75" bottom="0.75" header="0.3" footer="0.3"/>
  <pageSetup paperSize="9" scale="27" orientation="landscape" r:id="rId1"/>
  <colBreaks count="1" manualBreakCount="1">
    <brk id="1" max="87" man="1"/>
  </col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[1]справочник!#REF!</xm:f>
          </x14:formula1>
          <xm:sqref>D42:D44 D23:D32 D20:D21</xm:sqref>
        </x14:dataValidation>
        <x14:dataValidation type="list" allowBlank="1" showInputMessage="1" showErrorMessage="1">
          <x14:formula1>
            <xm:f>#REF!</xm:f>
          </x14:formula1>
          <xm:sqref>D1:D4</xm:sqref>
        </x14:dataValidation>
        <x14:dataValidation type="list" allowBlank="1" showInputMessage="1" showErrorMessage="1">
          <x14:formula1>
            <xm:f>#REF!</xm:f>
          </x14:formula1>
          <xm:sqref>D5:D22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B1:AI26"/>
  <sheetViews>
    <sheetView zoomScale="80" zoomScaleNormal="80" workbookViewId="0">
      <selection activeCell="D3" sqref="D3"/>
    </sheetView>
  </sheetViews>
  <sheetFormatPr defaultRowHeight="14.4" x14ac:dyDescent="0.3"/>
  <cols>
    <col min="1" max="1" width="1.33203125" customWidth="1"/>
    <col min="2" max="2" width="26.88671875" customWidth="1"/>
    <col min="3" max="3" width="6.109375" customWidth="1"/>
    <col min="4" max="34" width="6" customWidth="1"/>
    <col min="35" max="35" width="6.109375" customWidth="1"/>
  </cols>
  <sheetData>
    <row r="1" spans="2:35" ht="15" thickBot="1" x14ac:dyDescent="0.35">
      <c r="D1" s="7">
        <v>43617</v>
      </c>
      <c r="E1" s="7">
        <v>43618</v>
      </c>
      <c r="F1" s="7">
        <v>43619</v>
      </c>
      <c r="G1" s="7">
        <v>43620</v>
      </c>
      <c r="H1" s="7">
        <v>43621</v>
      </c>
      <c r="I1" s="7">
        <v>43622</v>
      </c>
      <c r="J1" s="7">
        <v>43623</v>
      </c>
      <c r="K1" s="7">
        <v>43624</v>
      </c>
      <c r="L1" s="7">
        <v>43625</v>
      </c>
      <c r="M1" s="7">
        <v>43626</v>
      </c>
      <c r="N1" s="7">
        <v>43627</v>
      </c>
      <c r="O1" s="7">
        <v>43628</v>
      </c>
      <c r="P1" s="7">
        <v>43629</v>
      </c>
      <c r="Q1" s="7">
        <v>43630</v>
      </c>
      <c r="R1" s="7">
        <v>43631</v>
      </c>
      <c r="S1" s="7">
        <v>43632</v>
      </c>
      <c r="T1" s="7">
        <v>43633</v>
      </c>
      <c r="U1" s="7">
        <v>43634</v>
      </c>
      <c r="V1" s="7">
        <v>43635</v>
      </c>
      <c r="W1" s="7">
        <v>43636</v>
      </c>
      <c r="X1" s="7">
        <v>43637</v>
      </c>
      <c r="Y1" s="7">
        <v>43638</v>
      </c>
      <c r="Z1" s="7">
        <v>43639</v>
      </c>
      <c r="AA1" s="7">
        <v>43640</v>
      </c>
      <c r="AB1" s="7">
        <v>43641</v>
      </c>
      <c r="AC1" s="7">
        <v>43642</v>
      </c>
      <c r="AD1" s="7">
        <v>43643</v>
      </c>
      <c r="AE1" s="7">
        <v>43644</v>
      </c>
      <c r="AF1" s="7">
        <v>43645</v>
      </c>
      <c r="AG1" s="7">
        <v>43646</v>
      </c>
      <c r="AH1" s="7" t="s">
        <v>45</v>
      </c>
      <c r="AI1" s="8"/>
    </row>
    <row r="2" spans="2:35" ht="16.2" thickBot="1" x14ac:dyDescent="0.35">
      <c r="D2" s="30">
        <v>1</v>
      </c>
      <c r="E2" s="31">
        <v>2</v>
      </c>
      <c r="F2" s="30">
        <v>3</v>
      </c>
      <c r="G2" s="31">
        <v>4</v>
      </c>
      <c r="H2" s="30">
        <v>5</v>
      </c>
      <c r="I2" s="32">
        <v>6</v>
      </c>
      <c r="J2" s="33">
        <v>7</v>
      </c>
      <c r="K2" s="32">
        <v>8</v>
      </c>
      <c r="L2" s="30">
        <v>9</v>
      </c>
      <c r="M2" s="31">
        <v>10</v>
      </c>
      <c r="N2" s="30">
        <v>11</v>
      </c>
      <c r="O2" s="31">
        <v>12</v>
      </c>
      <c r="P2" s="33">
        <v>13</v>
      </c>
      <c r="Q2" s="32">
        <v>14</v>
      </c>
      <c r="R2" s="33">
        <v>15</v>
      </c>
      <c r="S2" s="32">
        <v>16</v>
      </c>
      <c r="T2" s="33">
        <v>17</v>
      </c>
      <c r="U2" s="31">
        <v>18</v>
      </c>
      <c r="V2" s="30">
        <v>19</v>
      </c>
      <c r="W2" s="32">
        <v>20</v>
      </c>
      <c r="X2" s="33">
        <v>21</v>
      </c>
      <c r="Y2" s="32">
        <v>22</v>
      </c>
      <c r="Z2" s="33">
        <v>23</v>
      </c>
      <c r="AA2" s="32">
        <v>24</v>
      </c>
      <c r="AB2" s="30">
        <v>25</v>
      </c>
      <c r="AC2" s="31">
        <v>26</v>
      </c>
      <c r="AD2" s="33">
        <v>27</v>
      </c>
      <c r="AE2" s="32">
        <v>28</v>
      </c>
      <c r="AF2" s="33">
        <v>29</v>
      </c>
      <c r="AG2" s="32">
        <v>30</v>
      </c>
      <c r="AH2" s="33">
        <v>31</v>
      </c>
      <c r="AI2" s="8"/>
    </row>
    <row r="3" spans="2:35" ht="15.6" x14ac:dyDescent="0.3">
      <c r="B3" s="20" t="s">
        <v>25</v>
      </c>
      <c r="C3" s="9">
        <v>22.68</v>
      </c>
      <c r="D3" s="26" t="e">
        <f>SUMIFS(#REF!,#REF!,$B3,#REF!,D$1)</f>
        <v>#REF!</v>
      </c>
      <c r="E3" s="26" t="e">
        <f>SUMIFS(#REF!,#REF!,$B3,#REF!,E$1)</f>
        <v>#REF!</v>
      </c>
      <c r="F3" s="26" t="e">
        <f>SUMIFS(#REF!,#REF!,$B3,#REF!,F$1)</f>
        <v>#REF!</v>
      </c>
      <c r="G3" s="26" t="e">
        <f>SUMIFS(#REF!,#REF!,$B3,#REF!,G$1)</f>
        <v>#REF!</v>
      </c>
      <c r="H3" s="26" t="e">
        <f>SUMIFS(#REF!,#REF!,$B3,#REF!,H$1)</f>
        <v>#REF!</v>
      </c>
      <c r="I3" s="26" t="e">
        <f>SUMIFS(#REF!,#REF!,$B3,#REF!,I$1)</f>
        <v>#REF!</v>
      </c>
      <c r="J3" s="26" t="e">
        <f>SUMIFS(#REF!,#REF!,$B3,#REF!,J$1)</f>
        <v>#REF!</v>
      </c>
      <c r="K3" s="26" t="e">
        <f>SUMIFS(#REF!,#REF!,$B3,#REF!,K$1)</f>
        <v>#REF!</v>
      </c>
      <c r="L3" s="26" t="e">
        <f>SUMIFS(#REF!,#REF!,$B3,#REF!,L$1)</f>
        <v>#REF!</v>
      </c>
      <c r="M3" s="26" t="e">
        <f>SUMIFS(#REF!,#REF!,$B3,#REF!,M$1)</f>
        <v>#REF!</v>
      </c>
      <c r="N3" s="26" t="e">
        <f>SUMIFS(#REF!,#REF!,$B3,#REF!,N$1)</f>
        <v>#REF!</v>
      </c>
      <c r="O3" s="26" t="e">
        <f>SUMIFS(#REF!,#REF!,$B3,#REF!,O$1)</f>
        <v>#REF!</v>
      </c>
      <c r="P3" s="26" t="e">
        <f>SUMIFS(#REF!,#REF!,$B3,#REF!,P$1)</f>
        <v>#REF!</v>
      </c>
      <c r="Q3" s="26" t="e">
        <f>SUMIFS(#REF!,#REF!,$B3,#REF!,Q$1)</f>
        <v>#REF!</v>
      </c>
      <c r="R3" s="26" t="e">
        <f>SUMIFS(#REF!,#REF!,$B3,#REF!,R$1)</f>
        <v>#REF!</v>
      </c>
      <c r="S3" s="26" t="e">
        <f>SUMIFS(#REF!,#REF!,$B3,#REF!,S$1)</f>
        <v>#REF!</v>
      </c>
      <c r="T3" s="26" t="e">
        <f>SUMIFS(#REF!,#REF!,$B3,#REF!,T$1)</f>
        <v>#REF!</v>
      </c>
      <c r="U3" s="26" t="e">
        <f>SUMIFS(#REF!,#REF!,$B3,#REF!,U$1)</f>
        <v>#REF!</v>
      </c>
      <c r="V3" s="26" t="e">
        <f>SUMIFS(#REF!,#REF!,$B3,#REF!,V$1)</f>
        <v>#REF!</v>
      </c>
      <c r="W3" s="26" t="e">
        <f>SUMIFS(#REF!,#REF!,$B3,#REF!,W$1)</f>
        <v>#REF!</v>
      </c>
      <c r="X3" s="26" t="e">
        <f>SUMIFS(#REF!,#REF!,$B3,#REF!,X$1)</f>
        <v>#REF!</v>
      </c>
      <c r="Y3" s="26" t="e">
        <f>SUMIFS(#REF!,#REF!,$B3,#REF!,Y$1)</f>
        <v>#REF!</v>
      </c>
      <c r="Z3" s="26" t="e">
        <f>SUMIFS(#REF!,#REF!,$B3,#REF!,Z$1)</f>
        <v>#REF!</v>
      </c>
      <c r="AA3" s="26" t="e">
        <f>SUMIFS(#REF!,#REF!,$B3,#REF!,AA$1)</f>
        <v>#REF!</v>
      </c>
      <c r="AB3" s="26" t="e">
        <f>SUMIFS(#REF!,#REF!,$B3,#REF!,AB$1)</f>
        <v>#REF!</v>
      </c>
      <c r="AC3" s="26" t="e">
        <f>SUMIFS(#REF!,#REF!,$B3,#REF!,AC$1)</f>
        <v>#REF!</v>
      </c>
      <c r="AD3" s="26" t="e">
        <f>SUMIFS(#REF!,#REF!,$B3,#REF!,AD$1)</f>
        <v>#REF!</v>
      </c>
      <c r="AE3" s="26" t="e">
        <f>SUMIFS(#REF!,#REF!,$B3,#REF!,AE$1)</f>
        <v>#REF!</v>
      </c>
      <c r="AF3" s="26" t="e">
        <f>SUMIFS(#REF!,#REF!,$B3,#REF!,AF$1)</f>
        <v>#REF!</v>
      </c>
      <c r="AG3" s="26" t="e">
        <f>SUMIFS(#REF!,#REF!,$B3,#REF!,AG$1)</f>
        <v>#REF!</v>
      </c>
      <c r="AH3" s="26" t="e">
        <f>SUMIFS(#REF!,#REF!,$B3,#REF!,AH$1)</f>
        <v>#REF!</v>
      </c>
      <c r="AI3" s="34" t="e">
        <f t="shared" ref="AI3:AI10" si="0">SUM(D3:AH3)</f>
        <v>#REF!</v>
      </c>
    </row>
    <row r="4" spans="2:35" ht="15.6" x14ac:dyDescent="0.3">
      <c r="B4" s="21" t="s">
        <v>26</v>
      </c>
      <c r="C4" s="10">
        <v>25</v>
      </c>
      <c r="D4" s="5" t="e">
        <f>SUMIFS(#REF!,#REF!,$B4,#REF!,D$1)</f>
        <v>#REF!</v>
      </c>
      <c r="E4" s="5" t="e">
        <f>SUMIFS(#REF!,#REF!,$B4,#REF!,E$1)</f>
        <v>#REF!</v>
      </c>
      <c r="F4" s="5" t="e">
        <f>SUMIFS(#REF!,#REF!,$B4,#REF!,F$1)</f>
        <v>#REF!</v>
      </c>
      <c r="G4" s="5" t="e">
        <f>SUMIFS(#REF!,#REF!,$B4,#REF!,G$1)</f>
        <v>#REF!</v>
      </c>
      <c r="H4" s="5" t="e">
        <f>SUMIFS(#REF!,#REF!,$B4,#REF!,H$1)</f>
        <v>#REF!</v>
      </c>
      <c r="I4" s="5" t="e">
        <f>SUMIFS(#REF!,#REF!,$B4,#REF!,I$1)</f>
        <v>#REF!</v>
      </c>
      <c r="J4" s="5" t="e">
        <f>SUMIFS(#REF!,#REF!,$B4,#REF!,J$1)</f>
        <v>#REF!</v>
      </c>
      <c r="K4" s="5" t="e">
        <f>SUMIFS(#REF!,#REF!,$B4,#REF!,K$1)</f>
        <v>#REF!</v>
      </c>
      <c r="L4" s="5" t="e">
        <f>SUMIFS(#REF!,#REF!,$B4,#REF!,L$1)</f>
        <v>#REF!</v>
      </c>
      <c r="M4" s="5" t="e">
        <f>SUMIFS(#REF!,#REF!,$B4,#REF!,M$1)</f>
        <v>#REF!</v>
      </c>
      <c r="N4" s="5" t="e">
        <f>SUMIFS(#REF!,#REF!,$B4,#REF!,N$1)</f>
        <v>#REF!</v>
      </c>
      <c r="O4" s="5" t="e">
        <f>SUMIFS(#REF!,#REF!,$B4,#REF!,O$1)</f>
        <v>#REF!</v>
      </c>
      <c r="P4" s="5" t="e">
        <f>SUMIFS(#REF!,#REF!,$B4,#REF!,P$1)</f>
        <v>#REF!</v>
      </c>
      <c r="Q4" s="5" t="e">
        <f>SUMIFS(#REF!,#REF!,$B4,#REF!,Q$1)</f>
        <v>#REF!</v>
      </c>
      <c r="R4" s="5" t="e">
        <f>SUMIFS(#REF!,#REF!,$B4,#REF!,R$1)</f>
        <v>#REF!</v>
      </c>
      <c r="S4" s="5" t="e">
        <f>SUMIFS(#REF!,#REF!,$B4,#REF!,S$1)</f>
        <v>#REF!</v>
      </c>
      <c r="T4" s="5" t="e">
        <f>SUMIFS(#REF!,#REF!,$B4,#REF!,T$1)</f>
        <v>#REF!</v>
      </c>
      <c r="U4" s="5" t="e">
        <f>SUMIFS(#REF!,#REF!,$B4,#REF!,U$1)</f>
        <v>#REF!</v>
      </c>
      <c r="V4" s="5" t="e">
        <f>SUMIFS(#REF!,#REF!,$B4,#REF!,V$1)</f>
        <v>#REF!</v>
      </c>
      <c r="W4" s="5" t="e">
        <f>SUMIFS(#REF!,#REF!,$B4,#REF!,W$1)</f>
        <v>#REF!</v>
      </c>
      <c r="X4" s="5" t="e">
        <f>SUMIFS(#REF!,#REF!,$B4,#REF!,X$1)</f>
        <v>#REF!</v>
      </c>
      <c r="Y4" s="5" t="e">
        <f>SUMIFS(#REF!,#REF!,$B4,#REF!,Y$1)</f>
        <v>#REF!</v>
      </c>
      <c r="Z4" s="5" t="e">
        <f>SUMIFS(#REF!,#REF!,$B4,#REF!,Z$1)</f>
        <v>#REF!</v>
      </c>
      <c r="AA4" s="5" t="e">
        <f>SUMIFS(#REF!,#REF!,$B4,#REF!,AA$1)</f>
        <v>#REF!</v>
      </c>
      <c r="AB4" s="5" t="e">
        <f>SUMIFS(#REF!,#REF!,$B4,#REF!,AB$1)</f>
        <v>#REF!</v>
      </c>
      <c r="AC4" s="5" t="e">
        <f>SUMIFS(#REF!,#REF!,$B4,#REF!,AC$1)</f>
        <v>#REF!</v>
      </c>
      <c r="AD4" s="5" t="e">
        <f>SUMIFS(#REF!,#REF!,$B4,#REF!,AD$1)</f>
        <v>#REF!</v>
      </c>
      <c r="AE4" s="5" t="e">
        <f>SUMIFS(#REF!,#REF!,$B4,#REF!,AE$1)</f>
        <v>#REF!</v>
      </c>
      <c r="AF4" s="5" t="e">
        <f>SUMIFS(#REF!,#REF!,$B4,#REF!,AF$1)</f>
        <v>#REF!</v>
      </c>
      <c r="AG4" s="5" t="e">
        <f>SUMIFS(#REF!,#REF!,$B4,#REF!,AG$1)</f>
        <v>#REF!</v>
      </c>
      <c r="AH4" s="5" t="e">
        <f>SUMIFS(#REF!,#REF!,$B4,#REF!,AH$1)</f>
        <v>#REF!</v>
      </c>
      <c r="AI4" s="6" t="e">
        <f t="shared" si="0"/>
        <v>#REF!</v>
      </c>
    </row>
    <row r="5" spans="2:35" ht="15.6" x14ac:dyDescent="0.3">
      <c r="B5" s="21" t="s">
        <v>27</v>
      </c>
      <c r="C5" s="10">
        <v>25</v>
      </c>
      <c r="D5" s="5" t="e">
        <f>SUMIFS(#REF!,#REF!,$B5,#REF!,D$1)</f>
        <v>#REF!</v>
      </c>
      <c r="E5" s="5" t="e">
        <f>SUMIFS(#REF!,#REF!,$B5,#REF!,E$1)</f>
        <v>#REF!</v>
      </c>
      <c r="F5" s="5" t="e">
        <f>SUMIFS(#REF!,#REF!,$B5,#REF!,F$1)</f>
        <v>#REF!</v>
      </c>
      <c r="G5" s="5" t="e">
        <f>SUMIFS(#REF!,#REF!,$B5,#REF!,G$1)</f>
        <v>#REF!</v>
      </c>
      <c r="H5" s="5" t="e">
        <f>SUMIFS(#REF!,#REF!,$B5,#REF!,H$1)</f>
        <v>#REF!</v>
      </c>
      <c r="I5" s="5" t="e">
        <f>SUMIFS(#REF!,#REF!,$B5,#REF!,I$1)</f>
        <v>#REF!</v>
      </c>
      <c r="J5" s="5" t="e">
        <f>SUMIFS(#REF!,#REF!,$B5,#REF!,J$1)</f>
        <v>#REF!</v>
      </c>
      <c r="K5" s="5" t="e">
        <f>SUMIFS(#REF!,#REF!,$B5,#REF!,K$1)</f>
        <v>#REF!</v>
      </c>
      <c r="L5" s="5" t="e">
        <f>SUMIFS(#REF!,#REF!,$B5,#REF!,L$1)</f>
        <v>#REF!</v>
      </c>
      <c r="M5" s="5" t="e">
        <f>SUMIFS(#REF!,#REF!,$B5,#REF!,M$1)</f>
        <v>#REF!</v>
      </c>
      <c r="N5" s="5" t="e">
        <f>SUMIFS(#REF!,#REF!,$B5,#REF!,N$1)</f>
        <v>#REF!</v>
      </c>
      <c r="O5" s="5" t="e">
        <f>SUMIFS(#REF!,#REF!,$B5,#REF!,O$1)</f>
        <v>#REF!</v>
      </c>
      <c r="P5" s="5" t="e">
        <f>SUMIFS(#REF!,#REF!,$B5,#REF!,P$1)</f>
        <v>#REF!</v>
      </c>
      <c r="Q5" s="5" t="e">
        <f>SUMIFS(#REF!,#REF!,$B5,#REF!,Q$1)</f>
        <v>#REF!</v>
      </c>
      <c r="R5" s="5" t="e">
        <f>SUMIFS(#REF!,#REF!,$B5,#REF!,R$1)</f>
        <v>#REF!</v>
      </c>
      <c r="S5" s="5" t="e">
        <f>SUMIFS(#REF!,#REF!,$B5,#REF!,S$1)</f>
        <v>#REF!</v>
      </c>
      <c r="T5" s="5" t="e">
        <f>SUMIFS(#REF!,#REF!,$B5,#REF!,T$1)</f>
        <v>#REF!</v>
      </c>
      <c r="U5" s="5" t="e">
        <f>SUMIFS(#REF!,#REF!,$B5,#REF!,U$1)</f>
        <v>#REF!</v>
      </c>
      <c r="V5" s="5" t="e">
        <f>SUMIFS(#REF!,#REF!,$B5,#REF!,V$1)</f>
        <v>#REF!</v>
      </c>
      <c r="W5" s="5" t="e">
        <f>SUMIFS(#REF!,#REF!,$B5,#REF!,W$1)</f>
        <v>#REF!</v>
      </c>
      <c r="X5" s="5" t="e">
        <f>SUMIFS(#REF!,#REF!,$B5,#REF!,X$1)</f>
        <v>#REF!</v>
      </c>
      <c r="Y5" s="5" t="e">
        <f>SUMIFS(#REF!,#REF!,$B5,#REF!,Y$1)</f>
        <v>#REF!</v>
      </c>
      <c r="Z5" s="5" t="e">
        <f>SUMIFS(#REF!,#REF!,$B5,#REF!,Z$1)</f>
        <v>#REF!</v>
      </c>
      <c r="AA5" s="5" t="e">
        <f>SUMIFS(#REF!,#REF!,$B5,#REF!,AA$1)</f>
        <v>#REF!</v>
      </c>
      <c r="AB5" s="5" t="e">
        <f>SUMIFS(#REF!,#REF!,$B5,#REF!,AB$1)</f>
        <v>#REF!</v>
      </c>
      <c r="AC5" s="5" t="e">
        <f>SUMIFS(#REF!,#REF!,$B5,#REF!,AC$1)</f>
        <v>#REF!</v>
      </c>
      <c r="AD5" s="5" t="e">
        <f>SUMIFS(#REF!,#REF!,$B5,#REF!,AD$1)</f>
        <v>#REF!</v>
      </c>
      <c r="AE5" s="5" t="e">
        <f>SUMIFS(#REF!,#REF!,$B5,#REF!,AE$1)</f>
        <v>#REF!</v>
      </c>
      <c r="AF5" s="5" t="e">
        <f>SUMIFS(#REF!,#REF!,$B5,#REF!,AF$1)</f>
        <v>#REF!</v>
      </c>
      <c r="AG5" s="5" t="e">
        <f>SUMIFS(#REF!,#REF!,$B5,#REF!,AG$1)</f>
        <v>#REF!</v>
      </c>
      <c r="AH5" s="5" t="e">
        <f>SUMIFS(#REF!,#REF!,$B5,#REF!,AH$1)</f>
        <v>#REF!</v>
      </c>
      <c r="AI5" s="6" t="e">
        <f t="shared" si="0"/>
        <v>#REF!</v>
      </c>
    </row>
    <row r="6" spans="2:35" ht="15.6" x14ac:dyDescent="0.3">
      <c r="B6" s="21" t="s">
        <v>28</v>
      </c>
      <c r="C6" s="10">
        <v>22.7</v>
      </c>
      <c r="D6" s="5" t="e">
        <f>SUMIFS(#REF!,#REF!,$B6,#REF!,D$1)</f>
        <v>#REF!</v>
      </c>
      <c r="E6" s="5" t="e">
        <f>SUMIFS(#REF!,#REF!,$B6,#REF!,E$1)</f>
        <v>#REF!</v>
      </c>
      <c r="F6" s="5" t="e">
        <f>SUMIFS(#REF!,#REF!,$B6,#REF!,F$1)</f>
        <v>#REF!</v>
      </c>
      <c r="G6" s="5" t="e">
        <f>SUMIFS(#REF!,#REF!,$B6,#REF!,G$1)</f>
        <v>#REF!</v>
      </c>
      <c r="H6" s="5" t="e">
        <f>SUMIFS(#REF!,#REF!,$B6,#REF!,H$1)</f>
        <v>#REF!</v>
      </c>
      <c r="I6" s="5" t="e">
        <f>SUMIFS(#REF!,#REF!,$B6,#REF!,I$1)</f>
        <v>#REF!</v>
      </c>
      <c r="J6" s="5" t="e">
        <f>SUMIFS(#REF!,#REF!,$B6,#REF!,J$1)</f>
        <v>#REF!</v>
      </c>
      <c r="K6" s="5" t="e">
        <f>SUMIFS(#REF!,#REF!,$B6,#REF!,K$1)</f>
        <v>#REF!</v>
      </c>
      <c r="L6" s="5" t="e">
        <f>SUMIFS(#REF!,#REF!,$B6,#REF!,L$1)</f>
        <v>#REF!</v>
      </c>
      <c r="M6" s="5" t="e">
        <f>SUMIFS(#REF!,#REF!,$B6,#REF!,M$1)</f>
        <v>#REF!</v>
      </c>
      <c r="N6" s="5" t="e">
        <f>SUMIFS(#REF!,#REF!,$B6,#REF!,N$1)</f>
        <v>#REF!</v>
      </c>
      <c r="O6" s="5" t="e">
        <f>SUMIFS(#REF!,#REF!,$B6,#REF!,O$1)</f>
        <v>#REF!</v>
      </c>
      <c r="P6" s="5" t="e">
        <f>SUMIFS(#REF!,#REF!,$B6,#REF!,P$1)</f>
        <v>#REF!</v>
      </c>
      <c r="Q6" s="5" t="e">
        <f>SUMIFS(#REF!,#REF!,$B6,#REF!,Q$1)</f>
        <v>#REF!</v>
      </c>
      <c r="R6" s="5" t="e">
        <f>SUMIFS(#REF!,#REF!,$B6,#REF!,R$1)</f>
        <v>#REF!</v>
      </c>
      <c r="S6" s="5" t="e">
        <f>SUMIFS(#REF!,#REF!,$B6,#REF!,S$1)</f>
        <v>#REF!</v>
      </c>
      <c r="T6" s="5" t="e">
        <f>SUMIFS(#REF!,#REF!,$B6,#REF!,T$1)</f>
        <v>#REF!</v>
      </c>
      <c r="U6" s="5" t="e">
        <f>SUMIFS(#REF!,#REF!,$B6,#REF!,U$1)</f>
        <v>#REF!</v>
      </c>
      <c r="V6" s="5" t="e">
        <f>SUMIFS(#REF!,#REF!,$B6,#REF!,V$1)</f>
        <v>#REF!</v>
      </c>
      <c r="W6" s="5" t="e">
        <f>SUMIFS(#REF!,#REF!,$B6,#REF!,W$1)</f>
        <v>#REF!</v>
      </c>
      <c r="X6" s="5" t="e">
        <f>SUMIFS(#REF!,#REF!,$B6,#REF!,X$1)</f>
        <v>#REF!</v>
      </c>
      <c r="Y6" s="5" t="e">
        <f>SUMIFS(#REF!,#REF!,$B6,#REF!,Y$1)</f>
        <v>#REF!</v>
      </c>
      <c r="Z6" s="5" t="e">
        <f>SUMIFS(#REF!,#REF!,$B6,#REF!,Z$1)</f>
        <v>#REF!</v>
      </c>
      <c r="AA6" s="5" t="e">
        <f>SUMIFS(#REF!,#REF!,$B6,#REF!,AA$1)</f>
        <v>#REF!</v>
      </c>
      <c r="AB6" s="5" t="e">
        <f>SUMIFS(#REF!,#REF!,$B6,#REF!,AB$1)</f>
        <v>#REF!</v>
      </c>
      <c r="AC6" s="5" t="e">
        <f>SUMIFS(#REF!,#REF!,$B6,#REF!,AC$1)</f>
        <v>#REF!</v>
      </c>
      <c r="AD6" s="5" t="e">
        <f>SUMIFS(#REF!,#REF!,$B6,#REF!,AD$1)</f>
        <v>#REF!</v>
      </c>
      <c r="AE6" s="5" t="e">
        <f>SUMIFS(#REF!,#REF!,$B6,#REF!,AE$1)</f>
        <v>#REF!</v>
      </c>
      <c r="AF6" s="5" t="e">
        <f>SUMIFS(#REF!,#REF!,$B6,#REF!,AF$1)</f>
        <v>#REF!</v>
      </c>
      <c r="AG6" s="5" t="e">
        <f>SUMIFS(#REF!,#REF!,$B6,#REF!,AG$1)</f>
        <v>#REF!</v>
      </c>
      <c r="AH6" s="5" t="e">
        <f>SUMIFS(#REF!,#REF!,$B6,#REF!,AH$1)</f>
        <v>#REF!</v>
      </c>
      <c r="AI6" s="6" t="e">
        <f>SUM(D6:AH6)</f>
        <v>#REF!</v>
      </c>
    </row>
    <row r="7" spans="2:35" ht="15.6" x14ac:dyDescent="0.3">
      <c r="B7" s="21" t="s">
        <v>29</v>
      </c>
      <c r="C7" s="10">
        <v>22.7</v>
      </c>
      <c r="D7" s="5" t="e">
        <f>SUMIFS(#REF!,#REF!,$B7,#REF!,D$1)</f>
        <v>#REF!</v>
      </c>
      <c r="E7" s="5" t="e">
        <f>SUMIFS(#REF!,#REF!,$B7,#REF!,E$1)</f>
        <v>#REF!</v>
      </c>
      <c r="F7" s="5" t="e">
        <f>SUMIFS(#REF!,#REF!,$B7,#REF!,F$1)</f>
        <v>#REF!</v>
      </c>
      <c r="G7" s="5" t="e">
        <f>SUMIFS(#REF!,#REF!,$B7,#REF!,G$1)</f>
        <v>#REF!</v>
      </c>
      <c r="H7" s="5" t="e">
        <f>SUMIFS(#REF!,#REF!,$B7,#REF!,H$1)</f>
        <v>#REF!</v>
      </c>
      <c r="I7" s="5" t="e">
        <f>SUMIFS(#REF!,#REF!,$B7,#REF!,I$1)</f>
        <v>#REF!</v>
      </c>
      <c r="J7" s="5" t="e">
        <f>SUMIFS(#REF!,#REF!,$B7,#REF!,J$1)</f>
        <v>#REF!</v>
      </c>
      <c r="K7" s="5" t="e">
        <f>SUMIFS(#REF!,#REF!,$B7,#REF!,K$1)</f>
        <v>#REF!</v>
      </c>
      <c r="L7" s="5" t="e">
        <f>SUMIFS(#REF!,#REF!,$B7,#REF!,L$1)</f>
        <v>#REF!</v>
      </c>
      <c r="M7" s="5" t="e">
        <f>SUMIFS(#REF!,#REF!,$B7,#REF!,M$1)</f>
        <v>#REF!</v>
      </c>
      <c r="N7" s="5" t="e">
        <f>SUMIFS(#REF!,#REF!,$B7,#REF!,N$1)</f>
        <v>#REF!</v>
      </c>
      <c r="O7" s="5" t="e">
        <f>SUMIFS(#REF!,#REF!,$B7,#REF!,O$1)</f>
        <v>#REF!</v>
      </c>
      <c r="P7" s="5" t="e">
        <f>SUMIFS(#REF!,#REF!,$B7,#REF!,P$1)</f>
        <v>#REF!</v>
      </c>
      <c r="Q7" s="5" t="e">
        <f>SUMIFS(#REF!,#REF!,$B7,#REF!,Q$1)</f>
        <v>#REF!</v>
      </c>
      <c r="R7" s="5" t="e">
        <f>SUMIFS(#REF!,#REF!,$B7,#REF!,R$1)</f>
        <v>#REF!</v>
      </c>
      <c r="S7" s="5" t="e">
        <f>SUMIFS(#REF!,#REF!,$B7,#REF!,S$1)</f>
        <v>#REF!</v>
      </c>
      <c r="T7" s="5" t="e">
        <f>SUMIFS(#REF!,#REF!,$B7,#REF!,T$1)</f>
        <v>#REF!</v>
      </c>
      <c r="U7" s="5" t="e">
        <f>SUMIFS(#REF!,#REF!,$B7,#REF!,U$1)</f>
        <v>#REF!</v>
      </c>
      <c r="V7" s="5" t="e">
        <f>SUMIFS(#REF!,#REF!,$B7,#REF!,V$1)</f>
        <v>#REF!</v>
      </c>
      <c r="W7" s="5" t="e">
        <f>SUMIFS(#REF!,#REF!,$B7,#REF!,W$1)</f>
        <v>#REF!</v>
      </c>
      <c r="X7" s="5" t="e">
        <f>SUMIFS(#REF!,#REF!,$B7,#REF!,X$1)</f>
        <v>#REF!</v>
      </c>
      <c r="Y7" s="5" t="e">
        <f>SUMIFS(#REF!,#REF!,$B7,#REF!,Y$1)</f>
        <v>#REF!</v>
      </c>
      <c r="Z7" s="5" t="e">
        <f>SUMIFS(#REF!,#REF!,$B7,#REF!,Z$1)</f>
        <v>#REF!</v>
      </c>
      <c r="AA7" s="5" t="e">
        <f>SUMIFS(#REF!,#REF!,$B7,#REF!,AA$1)</f>
        <v>#REF!</v>
      </c>
      <c r="AB7" s="5" t="e">
        <f>SUMIFS(#REF!,#REF!,$B7,#REF!,AB$1)</f>
        <v>#REF!</v>
      </c>
      <c r="AC7" s="5" t="e">
        <f>SUMIFS(#REF!,#REF!,$B7,#REF!,AC$1)</f>
        <v>#REF!</v>
      </c>
      <c r="AD7" s="5" t="e">
        <f>SUMIFS(#REF!,#REF!,$B7,#REF!,AD$1)</f>
        <v>#REF!</v>
      </c>
      <c r="AE7" s="5" t="e">
        <f>SUMIFS(#REF!,#REF!,$B7,#REF!,AE$1)</f>
        <v>#REF!</v>
      </c>
      <c r="AF7" s="5" t="e">
        <f>SUMIFS(#REF!,#REF!,$B7,#REF!,AF$1)</f>
        <v>#REF!</v>
      </c>
      <c r="AG7" s="5" t="e">
        <f>SUMIFS(#REF!,#REF!,$B7,#REF!,AG$1)</f>
        <v>#REF!</v>
      </c>
      <c r="AH7" s="5" t="e">
        <f>SUMIFS(#REF!,#REF!,$B7,#REF!,AH$1)</f>
        <v>#REF!</v>
      </c>
      <c r="AI7" s="6" t="e">
        <f t="shared" si="0"/>
        <v>#REF!</v>
      </c>
    </row>
    <row r="8" spans="2:35" ht="15.6" x14ac:dyDescent="0.3">
      <c r="B8" s="22" t="s">
        <v>18</v>
      </c>
      <c r="C8" s="10">
        <v>22.7</v>
      </c>
      <c r="D8" s="5" t="e">
        <f>SUMIFS(#REF!,#REF!,$B8,#REF!,D$1)</f>
        <v>#REF!</v>
      </c>
      <c r="E8" s="5" t="e">
        <f>SUMIFS(#REF!,#REF!,$B8,#REF!,E$1)</f>
        <v>#REF!</v>
      </c>
      <c r="F8" s="5" t="e">
        <f>SUMIFS(#REF!,#REF!,$B8,#REF!,F$1)</f>
        <v>#REF!</v>
      </c>
      <c r="G8" s="5" t="e">
        <f>SUMIFS(#REF!,#REF!,$B8,#REF!,G$1)</f>
        <v>#REF!</v>
      </c>
      <c r="H8" s="5" t="e">
        <f>SUMIFS(#REF!,#REF!,$B8,#REF!,H$1)</f>
        <v>#REF!</v>
      </c>
      <c r="I8" s="5" t="e">
        <f>SUMIFS(#REF!,#REF!,$B8,#REF!,I$1)</f>
        <v>#REF!</v>
      </c>
      <c r="J8" s="5" t="e">
        <f>SUMIFS(#REF!,#REF!,$B8,#REF!,J$1)</f>
        <v>#REF!</v>
      </c>
      <c r="K8" s="5" t="e">
        <f>SUMIFS(#REF!,#REF!,$B8,#REF!,K$1)</f>
        <v>#REF!</v>
      </c>
      <c r="L8" s="5" t="e">
        <f>SUMIFS(#REF!,#REF!,$B8,#REF!,L$1)</f>
        <v>#REF!</v>
      </c>
      <c r="M8" s="5" t="e">
        <f>SUMIFS(#REF!,#REF!,$B8,#REF!,M$1)</f>
        <v>#REF!</v>
      </c>
      <c r="N8" s="5" t="e">
        <f>SUMIFS(#REF!,#REF!,$B8,#REF!,N$1)</f>
        <v>#REF!</v>
      </c>
      <c r="O8" s="5" t="e">
        <f>SUMIFS(#REF!,#REF!,$B8,#REF!,O$1)</f>
        <v>#REF!</v>
      </c>
      <c r="P8" s="5" t="e">
        <f>SUMIFS(#REF!,#REF!,$B8,#REF!,P$1)</f>
        <v>#REF!</v>
      </c>
      <c r="Q8" s="5" t="e">
        <f>SUMIFS(#REF!,#REF!,$B8,#REF!,Q$1)</f>
        <v>#REF!</v>
      </c>
      <c r="R8" s="5" t="e">
        <f>SUMIFS(#REF!,#REF!,$B8,#REF!,R$1)</f>
        <v>#REF!</v>
      </c>
      <c r="S8" s="5" t="e">
        <f>SUMIFS(#REF!,#REF!,$B8,#REF!,S$1)</f>
        <v>#REF!</v>
      </c>
      <c r="T8" s="5" t="e">
        <f>SUMIFS(#REF!,#REF!,$B8,#REF!,T$1)</f>
        <v>#REF!</v>
      </c>
      <c r="U8" s="5" t="e">
        <f>SUMIFS(#REF!,#REF!,$B8,#REF!,U$1)</f>
        <v>#REF!</v>
      </c>
      <c r="V8" s="5" t="e">
        <f>SUMIFS(#REF!,#REF!,$B8,#REF!,V$1)</f>
        <v>#REF!</v>
      </c>
      <c r="W8" s="5" t="e">
        <f>SUMIFS(#REF!,#REF!,$B8,#REF!,W$1)</f>
        <v>#REF!</v>
      </c>
      <c r="X8" s="5" t="e">
        <f>SUMIFS(#REF!,#REF!,$B8,#REF!,X$1)</f>
        <v>#REF!</v>
      </c>
      <c r="Y8" s="5" t="e">
        <f>SUMIFS(#REF!,#REF!,$B8,#REF!,Y$1)</f>
        <v>#REF!</v>
      </c>
      <c r="Z8" s="5" t="e">
        <f>SUMIFS(#REF!,#REF!,$B8,#REF!,Z$1)</f>
        <v>#REF!</v>
      </c>
      <c r="AA8" s="5" t="e">
        <f>SUMIFS(#REF!,#REF!,$B8,#REF!,AA$1)</f>
        <v>#REF!</v>
      </c>
      <c r="AB8" s="5" t="e">
        <f>SUMIFS(#REF!,#REF!,$B8,#REF!,AB$1)</f>
        <v>#REF!</v>
      </c>
      <c r="AC8" s="5" t="e">
        <f>SUMIFS(#REF!,#REF!,$B8,#REF!,AC$1)</f>
        <v>#REF!</v>
      </c>
      <c r="AD8" s="5" t="e">
        <f>SUMIFS(#REF!,#REF!,$B8,#REF!,AD$1)</f>
        <v>#REF!</v>
      </c>
      <c r="AE8" s="5" t="e">
        <f>SUMIFS(#REF!,#REF!,$B8,#REF!,AE$1)</f>
        <v>#REF!</v>
      </c>
      <c r="AF8" s="5" t="e">
        <f>SUMIFS(#REF!,#REF!,$B8,#REF!,AF$1)</f>
        <v>#REF!</v>
      </c>
      <c r="AG8" s="5" t="e">
        <f>SUMIFS(#REF!,#REF!,$B8,#REF!,AG$1)</f>
        <v>#REF!</v>
      </c>
      <c r="AH8" s="5" t="e">
        <f>SUMIFS(#REF!,#REF!,$B8,#REF!,AH$1)</f>
        <v>#REF!</v>
      </c>
      <c r="AI8" s="6" t="e">
        <f>SUM(D8:AH8)</f>
        <v>#REF!</v>
      </c>
    </row>
    <row r="9" spans="2:35" ht="15.6" x14ac:dyDescent="0.3">
      <c r="B9" s="21" t="s">
        <v>30</v>
      </c>
      <c r="C9" s="10">
        <v>25</v>
      </c>
      <c r="D9" s="5" t="e">
        <f>SUMIFS(#REF!,#REF!,$B9,#REF!,D$1)</f>
        <v>#REF!</v>
      </c>
      <c r="E9" s="5" t="e">
        <f>SUMIFS(#REF!,#REF!,$B9,#REF!,E$1)</f>
        <v>#REF!</v>
      </c>
      <c r="F9" s="5" t="e">
        <f>SUMIFS(#REF!,#REF!,$B9,#REF!,F$1)</f>
        <v>#REF!</v>
      </c>
      <c r="G9" s="5" t="e">
        <f>SUMIFS(#REF!,#REF!,$B9,#REF!,G$1)</f>
        <v>#REF!</v>
      </c>
      <c r="H9" s="5" t="e">
        <f>SUMIFS(#REF!,#REF!,$B9,#REF!,H$1)</f>
        <v>#REF!</v>
      </c>
      <c r="I9" s="5" t="e">
        <f>SUMIFS(#REF!,#REF!,$B9,#REF!,I$1)</f>
        <v>#REF!</v>
      </c>
      <c r="J9" s="5" t="e">
        <f>SUMIFS(#REF!,#REF!,$B9,#REF!,J$1)</f>
        <v>#REF!</v>
      </c>
      <c r="K9" s="5" t="e">
        <f>SUMIFS(#REF!,#REF!,$B9,#REF!,K$1)</f>
        <v>#REF!</v>
      </c>
      <c r="L9" s="5" t="e">
        <f>SUMIFS(#REF!,#REF!,$B9,#REF!,L$1)</f>
        <v>#REF!</v>
      </c>
      <c r="M9" s="5" t="e">
        <f>SUMIFS(#REF!,#REF!,$B9,#REF!,M$1)</f>
        <v>#REF!</v>
      </c>
      <c r="N9" s="5" t="e">
        <f>SUMIFS(#REF!,#REF!,$B9,#REF!,N$1)</f>
        <v>#REF!</v>
      </c>
      <c r="O9" s="5" t="e">
        <f>SUMIFS(#REF!,#REF!,$B9,#REF!,O$1)</f>
        <v>#REF!</v>
      </c>
      <c r="P9" s="5" t="e">
        <f>SUMIFS(#REF!,#REF!,$B9,#REF!,P$1)</f>
        <v>#REF!</v>
      </c>
      <c r="Q9" s="5" t="e">
        <f>SUMIFS(#REF!,#REF!,$B9,#REF!,Q$1)</f>
        <v>#REF!</v>
      </c>
      <c r="R9" s="5" t="e">
        <f>SUMIFS(#REF!,#REF!,$B9,#REF!,R$1)</f>
        <v>#REF!</v>
      </c>
      <c r="S9" s="5" t="e">
        <f>SUMIFS(#REF!,#REF!,$B9,#REF!,S$1)</f>
        <v>#REF!</v>
      </c>
      <c r="T9" s="5" t="e">
        <f>SUMIFS(#REF!,#REF!,$B9,#REF!,T$1)</f>
        <v>#REF!</v>
      </c>
      <c r="U9" s="5" t="e">
        <f>SUMIFS(#REF!,#REF!,$B9,#REF!,U$1)</f>
        <v>#REF!</v>
      </c>
      <c r="V9" s="5" t="e">
        <f>SUMIFS(#REF!,#REF!,$B9,#REF!,V$1)</f>
        <v>#REF!</v>
      </c>
      <c r="W9" s="5" t="e">
        <f>SUMIFS(#REF!,#REF!,$B9,#REF!,W$1)</f>
        <v>#REF!</v>
      </c>
      <c r="X9" s="5" t="e">
        <f>SUMIFS(#REF!,#REF!,$B9,#REF!,X$1)</f>
        <v>#REF!</v>
      </c>
      <c r="Y9" s="5" t="e">
        <f>SUMIFS(#REF!,#REF!,$B9,#REF!,Y$1)</f>
        <v>#REF!</v>
      </c>
      <c r="Z9" s="5" t="e">
        <f>SUMIFS(#REF!,#REF!,$B9,#REF!,Z$1)</f>
        <v>#REF!</v>
      </c>
      <c r="AA9" s="5" t="e">
        <f>SUMIFS(#REF!,#REF!,$B9,#REF!,AA$1)</f>
        <v>#REF!</v>
      </c>
      <c r="AB9" s="5" t="e">
        <f>SUMIFS(#REF!,#REF!,$B9,#REF!,AB$1)</f>
        <v>#REF!</v>
      </c>
      <c r="AC9" s="5" t="e">
        <f>SUMIFS(#REF!,#REF!,$B9,#REF!,AC$1)</f>
        <v>#REF!</v>
      </c>
      <c r="AD9" s="5" t="e">
        <f>SUMIFS(#REF!,#REF!,$B9,#REF!,AD$1)</f>
        <v>#REF!</v>
      </c>
      <c r="AE9" s="5" t="e">
        <f>SUMIFS(#REF!,#REF!,$B9,#REF!,AE$1)</f>
        <v>#REF!</v>
      </c>
      <c r="AF9" s="5" t="e">
        <f>SUMIFS(#REF!,#REF!,$B9,#REF!,AF$1)</f>
        <v>#REF!</v>
      </c>
      <c r="AG9" s="5" t="e">
        <f>SUMIFS(#REF!,#REF!,$B9,#REF!,AG$1)</f>
        <v>#REF!</v>
      </c>
      <c r="AH9" s="5" t="e">
        <f>SUMIFS(#REF!,#REF!,$B9,#REF!,AH$1)</f>
        <v>#REF!</v>
      </c>
      <c r="AI9" s="6" t="e">
        <f t="shared" si="0"/>
        <v>#REF!</v>
      </c>
    </row>
    <row r="10" spans="2:35" ht="16.2" thickBot="1" x14ac:dyDescent="0.35">
      <c r="B10" s="35" t="s">
        <v>31</v>
      </c>
      <c r="C10" s="36">
        <v>22.7</v>
      </c>
      <c r="D10" s="37" t="e">
        <f>SUMIFS(#REF!,#REF!,$B10,#REF!,D$1)</f>
        <v>#REF!</v>
      </c>
      <c r="E10" s="37" t="e">
        <f>SUMIFS(#REF!,#REF!,$B10,#REF!,E$1)</f>
        <v>#REF!</v>
      </c>
      <c r="F10" s="37" t="e">
        <f>SUMIFS(#REF!,#REF!,$B10,#REF!,F$1)</f>
        <v>#REF!</v>
      </c>
      <c r="G10" s="37" t="e">
        <f>SUMIFS(#REF!,#REF!,$B10,#REF!,G$1)</f>
        <v>#REF!</v>
      </c>
      <c r="H10" s="37" t="e">
        <f>SUMIFS(#REF!,#REF!,$B10,#REF!,H$1)</f>
        <v>#REF!</v>
      </c>
      <c r="I10" s="37" t="e">
        <f>SUMIFS(#REF!,#REF!,$B10,#REF!,I$1)</f>
        <v>#REF!</v>
      </c>
      <c r="J10" s="37" t="e">
        <f>SUMIFS(#REF!,#REF!,$B10,#REF!,J$1)</f>
        <v>#REF!</v>
      </c>
      <c r="K10" s="37" t="e">
        <f>SUMIFS(#REF!,#REF!,$B10,#REF!,K$1)</f>
        <v>#REF!</v>
      </c>
      <c r="L10" s="37" t="e">
        <f>SUMIFS(#REF!,#REF!,$B10,#REF!,L$1)</f>
        <v>#REF!</v>
      </c>
      <c r="M10" s="37" t="e">
        <f>SUMIFS(#REF!,#REF!,$B10,#REF!,M$1)</f>
        <v>#REF!</v>
      </c>
      <c r="N10" s="37" t="e">
        <f>SUMIFS(#REF!,#REF!,$B10,#REF!,N$1)</f>
        <v>#REF!</v>
      </c>
      <c r="O10" s="37" t="e">
        <f>SUMIFS(#REF!,#REF!,$B10,#REF!,O$1)</f>
        <v>#REF!</v>
      </c>
      <c r="P10" s="37" t="e">
        <f>SUMIFS(#REF!,#REF!,$B10,#REF!,P$1)</f>
        <v>#REF!</v>
      </c>
      <c r="Q10" s="37" t="e">
        <f>SUMIFS(#REF!,#REF!,$B10,#REF!,Q$1)</f>
        <v>#REF!</v>
      </c>
      <c r="R10" s="37" t="e">
        <f>SUMIFS(#REF!,#REF!,$B10,#REF!,R$1)</f>
        <v>#REF!</v>
      </c>
      <c r="S10" s="37" t="e">
        <f>SUMIFS(#REF!,#REF!,$B10,#REF!,S$1)</f>
        <v>#REF!</v>
      </c>
      <c r="T10" s="37" t="e">
        <f>SUMIFS(#REF!,#REF!,$B10,#REF!,T$1)</f>
        <v>#REF!</v>
      </c>
      <c r="U10" s="37" t="e">
        <f>SUMIFS(#REF!,#REF!,$B10,#REF!,U$1)</f>
        <v>#REF!</v>
      </c>
      <c r="V10" s="37" t="e">
        <f>SUMIFS(#REF!,#REF!,$B10,#REF!,V$1)</f>
        <v>#REF!</v>
      </c>
      <c r="W10" s="37" t="e">
        <f>SUMIFS(#REF!,#REF!,$B10,#REF!,W$1)</f>
        <v>#REF!</v>
      </c>
      <c r="X10" s="37" t="e">
        <f>SUMIFS(#REF!,#REF!,$B10,#REF!,X$1)</f>
        <v>#REF!</v>
      </c>
      <c r="Y10" s="37" t="e">
        <f>SUMIFS(#REF!,#REF!,$B10,#REF!,Y$1)</f>
        <v>#REF!</v>
      </c>
      <c r="Z10" s="37" t="e">
        <f>SUMIFS(#REF!,#REF!,$B10,#REF!,Z$1)</f>
        <v>#REF!</v>
      </c>
      <c r="AA10" s="37" t="e">
        <f>SUMIFS(#REF!,#REF!,$B10,#REF!,AA$1)</f>
        <v>#REF!</v>
      </c>
      <c r="AB10" s="37" t="e">
        <f>SUMIFS(#REF!,#REF!,$B10,#REF!,AB$1)</f>
        <v>#REF!</v>
      </c>
      <c r="AC10" s="37" t="e">
        <f>SUMIFS(#REF!,#REF!,$B10,#REF!,AC$1)</f>
        <v>#REF!</v>
      </c>
      <c r="AD10" s="37" t="e">
        <f>SUMIFS(#REF!,#REF!,$B10,#REF!,AD$1)</f>
        <v>#REF!</v>
      </c>
      <c r="AE10" s="37" t="e">
        <f>SUMIFS(#REF!,#REF!,$B10,#REF!,AE$1)</f>
        <v>#REF!</v>
      </c>
      <c r="AF10" s="37" t="e">
        <f>SUMIFS(#REF!,#REF!,$B10,#REF!,AF$1)</f>
        <v>#REF!</v>
      </c>
      <c r="AG10" s="37" t="e">
        <f>SUMIFS(#REF!,#REF!,$B10,#REF!,AG$1)</f>
        <v>#REF!</v>
      </c>
      <c r="AH10" s="37" t="e">
        <f>SUMIFS(#REF!,#REF!,$B10,#REF!,AH$1)</f>
        <v>#REF!</v>
      </c>
      <c r="AI10" s="38" t="e">
        <f t="shared" si="0"/>
        <v>#REF!</v>
      </c>
    </row>
    <row r="11" spans="2:35" ht="15" thickBot="1" x14ac:dyDescent="0.35"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</row>
    <row r="12" spans="2:35" ht="15.6" x14ac:dyDescent="0.3">
      <c r="B12" s="24" t="s">
        <v>24</v>
      </c>
      <c r="C12" s="25">
        <v>20</v>
      </c>
      <c r="D12" s="26" t="e">
        <f>SUMIFS(#REF!,#REF!,$B12,#REF!,D$1)</f>
        <v>#REF!</v>
      </c>
      <c r="E12" s="26" t="e">
        <f>SUMIFS(#REF!,#REF!,$B12,#REF!,E$1)</f>
        <v>#REF!</v>
      </c>
      <c r="F12" s="26" t="e">
        <f>SUMIFS(#REF!,#REF!,$B12,#REF!,F$1)</f>
        <v>#REF!</v>
      </c>
      <c r="G12" s="26" t="e">
        <f>SUMIFS(#REF!,#REF!,$B12,#REF!,G$1)</f>
        <v>#REF!</v>
      </c>
      <c r="H12" s="26" t="e">
        <f>SUMIFS(#REF!,#REF!,$B12,#REF!,H$1)</f>
        <v>#REF!</v>
      </c>
      <c r="I12" s="26" t="e">
        <f>SUMIFS(#REF!,#REF!,$B12,#REF!,I$1)</f>
        <v>#REF!</v>
      </c>
      <c r="J12" s="26" t="e">
        <f>SUMIFS(#REF!,#REF!,$B12,#REF!,J$1)</f>
        <v>#REF!</v>
      </c>
      <c r="K12" s="26" t="e">
        <f>SUMIFS(#REF!,#REF!,$B12,#REF!,K$1)</f>
        <v>#REF!</v>
      </c>
      <c r="L12" s="26" t="e">
        <f>SUMIFS(#REF!,#REF!,$B12,#REF!,L$1)</f>
        <v>#REF!</v>
      </c>
      <c r="M12" s="26" t="e">
        <f>SUMIFS(#REF!,#REF!,$B12,#REF!,M$1)</f>
        <v>#REF!</v>
      </c>
      <c r="N12" s="26" t="e">
        <f>SUMIFS(#REF!,#REF!,$B12,#REF!,N$1)</f>
        <v>#REF!</v>
      </c>
      <c r="O12" s="26" t="e">
        <f>SUMIFS(#REF!,#REF!,$B12,#REF!,O$1)</f>
        <v>#REF!</v>
      </c>
      <c r="P12" s="26" t="e">
        <f>SUMIFS(#REF!,#REF!,$B12,#REF!,P$1)</f>
        <v>#REF!</v>
      </c>
      <c r="Q12" s="26" t="e">
        <f>SUMIFS(#REF!,#REF!,$B12,#REF!,Q$1)</f>
        <v>#REF!</v>
      </c>
      <c r="R12" s="26" t="e">
        <f>SUMIFS(#REF!,#REF!,$B12,#REF!,R$1)</f>
        <v>#REF!</v>
      </c>
      <c r="S12" s="26" t="e">
        <f>SUMIFS(#REF!,#REF!,$B12,#REF!,S$1)</f>
        <v>#REF!</v>
      </c>
      <c r="T12" s="26" t="e">
        <f>SUMIFS(#REF!,#REF!,$B12,#REF!,T$1)</f>
        <v>#REF!</v>
      </c>
      <c r="U12" s="26" t="e">
        <f>SUMIFS(#REF!,#REF!,$B12,#REF!,U$1)</f>
        <v>#REF!</v>
      </c>
      <c r="V12" s="26" t="e">
        <f>SUMIFS(#REF!,#REF!,$B12,#REF!,V$1)</f>
        <v>#REF!</v>
      </c>
      <c r="W12" s="26" t="e">
        <f>SUMIFS(#REF!,#REF!,$B12,#REF!,W$1)</f>
        <v>#REF!</v>
      </c>
      <c r="X12" s="26" t="e">
        <f>SUMIFS(#REF!,#REF!,$B12,#REF!,X$1)</f>
        <v>#REF!</v>
      </c>
      <c r="Y12" s="26" t="e">
        <f>SUMIFS(#REF!,#REF!,$B12,#REF!,Y$1)</f>
        <v>#REF!</v>
      </c>
      <c r="Z12" s="26" t="e">
        <f>SUMIFS(#REF!,#REF!,$B12,#REF!,Z$1)</f>
        <v>#REF!</v>
      </c>
      <c r="AA12" s="26" t="e">
        <f>SUMIFS(#REF!,#REF!,$B12,#REF!,AA$1)</f>
        <v>#REF!</v>
      </c>
      <c r="AB12" s="26" t="e">
        <f>SUMIFS(#REF!,#REF!,$B12,#REF!,AB$1)</f>
        <v>#REF!</v>
      </c>
      <c r="AC12" s="26" t="e">
        <f>SUMIFS(#REF!,#REF!,$B12,#REF!,AC$1)</f>
        <v>#REF!</v>
      </c>
      <c r="AD12" s="26" t="e">
        <f>SUMIFS(#REF!,#REF!,$B12,#REF!,AD$1)</f>
        <v>#REF!</v>
      </c>
      <c r="AE12" s="26" t="e">
        <f>SUMIFS(#REF!,#REF!,$B12,#REF!,AE$1)</f>
        <v>#REF!</v>
      </c>
      <c r="AF12" s="26" t="e">
        <f>SUMIFS(#REF!,#REF!,$B12,#REF!,AF$1)</f>
        <v>#REF!</v>
      </c>
      <c r="AG12" s="26" t="e">
        <f>SUMIFS(#REF!,#REF!,$B12,#REF!,AG$1)</f>
        <v>#REF!</v>
      </c>
      <c r="AH12" s="26" t="e">
        <f>SUMIFS(#REF!,#REF!,$B12,#REF!,AH$1)</f>
        <v>#REF!</v>
      </c>
      <c r="AI12" s="27" t="e">
        <f t="shared" ref="AI12:AI26" si="1">SUM(D12:AH12)</f>
        <v>#REF!</v>
      </c>
    </row>
    <row r="13" spans="2:35" ht="15.6" x14ac:dyDescent="0.3">
      <c r="B13" s="13" t="s">
        <v>21</v>
      </c>
      <c r="C13" s="14">
        <v>20</v>
      </c>
      <c r="D13" s="5" t="e">
        <f>SUMIFS(#REF!,#REF!,$B13,#REF!,D$1)</f>
        <v>#REF!</v>
      </c>
      <c r="E13" s="5" t="e">
        <f>SUMIFS(#REF!,#REF!,$B13,#REF!,E$1)</f>
        <v>#REF!</v>
      </c>
      <c r="F13" s="5" t="e">
        <f>SUMIFS(#REF!,#REF!,$B13,#REF!,F$1)</f>
        <v>#REF!</v>
      </c>
      <c r="G13" s="5" t="e">
        <f>SUMIFS(#REF!,#REF!,$B13,#REF!,G$1)</f>
        <v>#REF!</v>
      </c>
      <c r="H13" s="5" t="e">
        <f>SUMIFS(#REF!,#REF!,$B13,#REF!,H$1)</f>
        <v>#REF!</v>
      </c>
      <c r="I13" s="5" t="e">
        <f>SUMIFS(#REF!,#REF!,$B13,#REF!,I$1)</f>
        <v>#REF!</v>
      </c>
      <c r="J13" s="5" t="e">
        <f>SUMIFS(#REF!,#REF!,$B13,#REF!,J$1)</f>
        <v>#REF!</v>
      </c>
      <c r="K13" s="5" t="e">
        <f>SUMIFS(#REF!,#REF!,$B13,#REF!,K$1)</f>
        <v>#REF!</v>
      </c>
      <c r="L13" s="5" t="e">
        <f>SUMIFS(#REF!,#REF!,$B13,#REF!,L$1)</f>
        <v>#REF!</v>
      </c>
      <c r="M13" s="5" t="e">
        <f>SUMIFS(#REF!,#REF!,$B13,#REF!,M$1)</f>
        <v>#REF!</v>
      </c>
      <c r="N13" s="5" t="e">
        <f>SUMIFS(#REF!,#REF!,$B13,#REF!,N$1)</f>
        <v>#REF!</v>
      </c>
      <c r="O13" s="5" t="e">
        <f>SUMIFS(#REF!,#REF!,$B13,#REF!,O$1)</f>
        <v>#REF!</v>
      </c>
      <c r="P13" s="5" t="e">
        <f>SUMIFS(#REF!,#REF!,$B13,#REF!,P$1)</f>
        <v>#REF!</v>
      </c>
      <c r="Q13" s="5" t="e">
        <f>SUMIFS(#REF!,#REF!,$B13,#REF!,Q$1)</f>
        <v>#REF!</v>
      </c>
      <c r="R13" s="5" t="e">
        <f>SUMIFS(#REF!,#REF!,$B13,#REF!,R$1)</f>
        <v>#REF!</v>
      </c>
      <c r="S13" s="5" t="e">
        <f>SUMIFS(#REF!,#REF!,$B13,#REF!,S$1)</f>
        <v>#REF!</v>
      </c>
      <c r="T13" s="5" t="e">
        <f>SUMIFS(#REF!,#REF!,$B13,#REF!,T$1)</f>
        <v>#REF!</v>
      </c>
      <c r="U13" s="5" t="e">
        <f>SUMIFS(#REF!,#REF!,$B13,#REF!,U$1)</f>
        <v>#REF!</v>
      </c>
      <c r="V13" s="5" t="e">
        <f>SUMIFS(#REF!,#REF!,$B13,#REF!,V$1)</f>
        <v>#REF!</v>
      </c>
      <c r="W13" s="5" t="e">
        <f>SUMIFS(#REF!,#REF!,$B13,#REF!,W$1)</f>
        <v>#REF!</v>
      </c>
      <c r="X13" s="5" t="e">
        <f>SUMIFS(#REF!,#REF!,$B13,#REF!,X$1)</f>
        <v>#REF!</v>
      </c>
      <c r="Y13" s="5" t="e">
        <f>SUMIFS(#REF!,#REF!,$B13,#REF!,Y$1)</f>
        <v>#REF!</v>
      </c>
      <c r="Z13" s="5" t="e">
        <f>SUMIFS(#REF!,#REF!,$B13,#REF!,Z$1)</f>
        <v>#REF!</v>
      </c>
      <c r="AA13" s="5" t="e">
        <f>SUMIFS(#REF!,#REF!,$B13,#REF!,AA$1)</f>
        <v>#REF!</v>
      </c>
      <c r="AB13" s="5" t="e">
        <f>SUMIFS(#REF!,#REF!,$B13,#REF!,AB$1)</f>
        <v>#REF!</v>
      </c>
      <c r="AC13" s="5" t="e">
        <f>SUMIFS(#REF!,#REF!,$B13,#REF!,AC$1)</f>
        <v>#REF!</v>
      </c>
      <c r="AD13" s="5" t="e">
        <f>SUMIFS(#REF!,#REF!,$B13,#REF!,AD$1)</f>
        <v>#REF!</v>
      </c>
      <c r="AE13" s="5" t="e">
        <f>SUMIFS(#REF!,#REF!,$B13,#REF!,AE$1)</f>
        <v>#REF!</v>
      </c>
      <c r="AF13" s="5" t="e">
        <f>SUMIFS(#REF!,#REF!,$B13,#REF!,AF$1)</f>
        <v>#REF!</v>
      </c>
      <c r="AG13" s="5" t="e">
        <f>SUMIFS(#REF!,#REF!,$B13,#REF!,AG$1)</f>
        <v>#REF!</v>
      </c>
      <c r="AH13" s="5" t="e">
        <f>SUMIFS(#REF!,#REF!,$B13,#REF!,AH$1)</f>
        <v>#REF!</v>
      </c>
      <c r="AI13" s="11" t="e">
        <f t="shared" si="1"/>
        <v>#REF!</v>
      </c>
    </row>
    <row r="14" spans="2:35" ht="15.6" x14ac:dyDescent="0.3">
      <c r="B14" s="15" t="s">
        <v>32</v>
      </c>
      <c r="C14" s="14">
        <v>20</v>
      </c>
      <c r="D14" s="5" t="e">
        <f>SUMIFS(#REF!,#REF!,$B14,#REF!,D$1)</f>
        <v>#REF!</v>
      </c>
      <c r="E14" s="5" t="e">
        <f>SUMIFS(#REF!,#REF!,$B14,#REF!,E$1)</f>
        <v>#REF!</v>
      </c>
      <c r="F14" s="5" t="e">
        <f>SUMIFS(#REF!,#REF!,$B14,#REF!,F$1)</f>
        <v>#REF!</v>
      </c>
      <c r="G14" s="5" t="e">
        <f>SUMIFS(#REF!,#REF!,$B14,#REF!,G$1)</f>
        <v>#REF!</v>
      </c>
      <c r="H14" s="5" t="e">
        <f>SUMIFS(#REF!,#REF!,$B14,#REF!,H$1)</f>
        <v>#REF!</v>
      </c>
      <c r="I14" s="5" t="e">
        <f>SUMIFS(#REF!,#REF!,$B14,#REF!,I$1)</f>
        <v>#REF!</v>
      </c>
      <c r="J14" s="5" t="e">
        <f>SUMIFS(#REF!,#REF!,$B14,#REF!,J$1)</f>
        <v>#REF!</v>
      </c>
      <c r="K14" s="5" t="e">
        <f>SUMIFS(#REF!,#REF!,$B14,#REF!,K$1)</f>
        <v>#REF!</v>
      </c>
      <c r="L14" s="5" t="e">
        <f>SUMIFS(#REF!,#REF!,$B14,#REF!,L$1)</f>
        <v>#REF!</v>
      </c>
      <c r="M14" s="5" t="e">
        <f>SUMIFS(#REF!,#REF!,$B14,#REF!,M$1)</f>
        <v>#REF!</v>
      </c>
      <c r="N14" s="5" t="e">
        <f>SUMIFS(#REF!,#REF!,$B14,#REF!,N$1)</f>
        <v>#REF!</v>
      </c>
      <c r="O14" s="5" t="e">
        <f>SUMIFS(#REF!,#REF!,$B14,#REF!,O$1)</f>
        <v>#REF!</v>
      </c>
      <c r="P14" s="5" t="e">
        <f>SUMIFS(#REF!,#REF!,$B14,#REF!,P$1)</f>
        <v>#REF!</v>
      </c>
      <c r="Q14" s="5" t="e">
        <f>SUMIFS(#REF!,#REF!,$B14,#REF!,Q$1)</f>
        <v>#REF!</v>
      </c>
      <c r="R14" s="5" t="e">
        <f>SUMIFS(#REF!,#REF!,$B14,#REF!,R$1)</f>
        <v>#REF!</v>
      </c>
      <c r="S14" s="5" t="e">
        <f>SUMIFS(#REF!,#REF!,$B14,#REF!,S$1)</f>
        <v>#REF!</v>
      </c>
      <c r="T14" s="5" t="e">
        <f>SUMIFS(#REF!,#REF!,$B14,#REF!,T$1)</f>
        <v>#REF!</v>
      </c>
      <c r="U14" s="5" t="e">
        <f>SUMIFS(#REF!,#REF!,$B14,#REF!,U$1)</f>
        <v>#REF!</v>
      </c>
      <c r="V14" s="5" t="e">
        <f>SUMIFS(#REF!,#REF!,$B14,#REF!,V$1)</f>
        <v>#REF!</v>
      </c>
      <c r="W14" s="5" t="e">
        <f>SUMIFS(#REF!,#REF!,$B14,#REF!,W$1)</f>
        <v>#REF!</v>
      </c>
      <c r="X14" s="5" t="e">
        <f>SUMIFS(#REF!,#REF!,$B14,#REF!,X$1)</f>
        <v>#REF!</v>
      </c>
      <c r="Y14" s="5" t="e">
        <f>SUMIFS(#REF!,#REF!,$B14,#REF!,Y$1)</f>
        <v>#REF!</v>
      </c>
      <c r="Z14" s="5" t="e">
        <f>SUMIFS(#REF!,#REF!,$B14,#REF!,Z$1)</f>
        <v>#REF!</v>
      </c>
      <c r="AA14" s="5" t="e">
        <f>SUMIFS(#REF!,#REF!,$B14,#REF!,AA$1)</f>
        <v>#REF!</v>
      </c>
      <c r="AB14" s="5" t="e">
        <f>SUMIFS(#REF!,#REF!,$B14,#REF!,AB$1)</f>
        <v>#REF!</v>
      </c>
      <c r="AC14" s="5" t="e">
        <f>SUMIFS(#REF!,#REF!,$B14,#REF!,AC$1)</f>
        <v>#REF!</v>
      </c>
      <c r="AD14" s="5" t="e">
        <f>SUMIFS(#REF!,#REF!,$B14,#REF!,AD$1)</f>
        <v>#REF!</v>
      </c>
      <c r="AE14" s="5" t="e">
        <f>SUMIFS(#REF!,#REF!,$B14,#REF!,AE$1)</f>
        <v>#REF!</v>
      </c>
      <c r="AF14" s="5" t="e">
        <f>SUMIFS(#REF!,#REF!,$B14,#REF!,AF$1)</f>
        <v>#REF!</v>
      </c>
      <c r="AG14" s="5" t="e">
        <f>SUMIFS(#REF!,#REF!,$B14,#REF!,AG$1)</f>
        <v>#REF!</v>
      </c>
      <c r="AH14" s="5" t="e">
        <f>SUMIFS(#REF!,#REF!,$B14,#REF!,AH$1)</f>
        <v>#REF!</v>
      </c>
      <c r="AI14" s="11" t="e">
        <f t="shared" si="1"/>
        <v>#REF!</v>
      </c>
    </row>
    <row r="15" spans="2:35" ht="15.6" x14ac:dyDescent="0.3">
      <c r="B15" s="15" t="s">
        <v>33</v>
      </c>
      <c r="C15" s="14">
        <v>20</v>
      </c>
      <c r="D15" s="5" t="e">
        <f>SUMIFS(#REF!,#REF!,$B15,#REF!,D$1)</f>
        <v>#REF!</v>
      </c>
      <c r="E15" s="5" t="e">
        <f>SUMIFS(#REF!,#REF!,$B15,#REF!,E$1)</f>
        <v>#REF!</v>
      </c>
      <c r="F15" s="5" t="e">
        <f>SUMIFS(#REF!,#REF!,$B15,#REF!,F$1)</f>
        <v>#REF!</v>
      </c>
      <c r="G15" s="5" t="e">
        <f>SUMIFS(#REF!,#REF!,$B15,#REF!,G$1)</f>
        <v>#REF!</v>
      </c>
      <c r="H15" s="5" t="e">
        <f>SUMIFS(#REF!,#REF!,$B15,#REF!,H$1)</f>
        <v>#REF!</v>
      </c>
      <c r="I15" s="5" t="e">
        <f>SUMIFS(#REF!,#REF!,$B15,#REF!,I$1)</f>
        <v>#REF!</v>
      </c>
      <c r="J15" s="5" t="e">
        <f>SUMIFS(#REF!,#REF!,$B15,#REF!,J$1)</f>
        <v>#REF!</v>
      </c>
      <c r="K15" s="5" t="e">
        <f>SUMIFS(#REF!,#REF!,$B15,#REF!,K$1)</f>
        <v>#REF!</v>
      </c>
      <c r="L15" s="5" t="e">
        <f>SUMIFS(#REF!,#REF!,$B15,#REF!,L$1)</f>
        <v>#REF!</v>
      </c>
      <c r="M15" s="5" t="e">
        <f>SUMIFS(#REF!,#REF!,$B15,#REF!,M$1)</f>
        <v>#REF!</v>
      </c>
      <c r="N15" s="5" t="e">
        <f>SUMIFS(#REF!,#REF!,$B15,#REF!,N$1)</f>
        <v>#REF!</v>
      </c>
      <c r="O15" s="5" t="e">
        <f>SUMIFS(#REF!,#REF!,$B15,#REF!,O$1)</f>
        <v>#REF!</v>
      </c>
      <c r="P15" s="5" t="e">
        <f>SUMIFS(#REF!,#REF!,$B15,#REF!,P$1)</f>
        <v>#REF!</v>
      </c>
      <c r="Q15" s="5" t="e">
        <f>SUMIFS(#REF!,#REF!,$B15,#REF!,Q$1)</f>
        <v>#REF!</v>
      </c>
      <c r="R15" s="5" t="e">
        <f>SUMIFS(#REF!,#REF!,$B15,#REF!,R$1)</f>
        <v>#REF!</v>
      </c>
      <c r="S15" s="5" t="e">
        <f>SUMIFS(#REF!,#REF!,$B15,#REF!,S$1)</f>
        <v>#REF!</v>
      </c>
      <c r="T15" s="5" t="e">
        <f>SUMIFS(#REF!,#REF!,$B15,#REF!,T$1)</f>
        <v>#REF!</v>
      </c>
      <c r="U15" s="5" t="e">
        <f>SUMIFS(#REF!,#REF!,$B15,#REF!,U$1)</f>
        <v>#REF!</v>
      </c>
      <c r="V15" s="5" t="e">
        <f>SUMIFS(#REF!,#REF!,$B15,#REF!,V$1)</f>
        <v>#REF!</v>
      </c>
      <c r="W15" s="5" t="e">
        <f>SUMIFS(#REF!,#REF!,$B15,#REF!,W$1)</f>
        <v>#REF!</v>
      </c>
      <c r="X15" s="5" t="e">
        <f>SUMIFS(#REF!,#REF!,$B15,#REF!,X$1)</f>
        <v>#REF!</v>
      </c>
      <c r="Y15" s="5" t="e">
        <f>SUMIFS(#REF!,#REF!,$B15,#REF!,Y$1)</f>
        <v>#REF!</v>
      </c>
      <c r="Z15" s="5" t="e">
        <f>SUMIFS(#REF!,#REF!,$B15,#REF!,Z$1)</f>
        <v>#REF!</v>
      </c>
      <c r="AA15" s="5" t="e">
        <f>SUMIFS(#REF!,#REF!,$B15,#REF!,AA$1)</f>
        <v>#REF!</v>
      </c>
      <c r="AB15" s="5" t="e">
        <f>SUMIFS(#REF!,#REF!,$B15,#REF!,AB$1)</f>
        <v>#REF!</v>
      </c>
      <c r="AC15" s="5" t="e">
        <f>SUMIFS(#REF!,#REF!,$B15,#REF!,AC$1)</f>
        <v>#REF!</v>
      </c>
      <c r="AD15" s="5" t="e">
        <f>SUMIFS(#REF!,#REF!,$B15,#REF!,AD$1)</f>
        <v>#REF!</v>
      </c>
      <c r="AE15" s="5" t="e">
        <f>SUMIFS(#REF!,#REF!,$B15,#REF!,AE$1)</f>
        <v>#REF!</v>
      </c>
      <c r="AF15" s="5" t="e">
        <f>SUMIFS(#REF!,#REF!,$B15,#REF!,AF$1)</f>
        <v>#REF!</v>
      </c>
      <c r="AG15" s="5" t="e">
        <f>SUMIFS(#REF!,#REF!,$B15,#REF!,AG$1)</f>
        <v>#REF!</v>
      </c>
      <c r="AH15" s="5" t="e">
        <f>SUMIFS(#REF!,#REF!,$B15,#REF!,AH$1)</f>
        <v>#REF!</v>
      </c>
      <c r="AI15" s="11" t="e">
        <f t="shared" si="1"/>
        <v>#REF!</v>
      </c>
    </row>
    <row r="16" spans="2:35" ht="27.6" x14ac:dyDescent="0.3">
      <c r="B16" s="15" t="s">
        <v>34</v>
      </c>
      <c r="C16" s="14">
        <v>50</v>
      </c>
      <c r="D16" s="5" t="e">
        <f>SUMIFS(#REF!,#REF!,$B16,#REF!,D$1)</f>
        <v>#REF!</v>
      </c>
      <c r="E16" s="5" t="e">
        <f>SUMIFS(#REF!,#REF!,$B16,#REF!,E$1)</f>
        <v>#REF!</v>
      </c>
      <c r="F16" s="5" t="e">
        <f>SUMIFS(#REF!,#REF!,$B16,#REF!,F$1)</f>
        <v>#REF!</v>
      </c>
      <c r="G16" s="5" t="e">
        <f>SUMIFS(#REF!,#REF!,$B16,#REF!,G$1)</f>
        <v>#REF!</v>
      </c>
      <c r="H16" s="5" t="e">
        <f>SUMIFS(#REF!,#REF!,$B16,#REF!,H$1)</f>
        <v>#REF!</v>
      </c>
      <c r="I16" s="5" t="e">
        <f>SUMIFS(#REF!,#REF!,$B16,#REF!,I$1)</f>
        <v>#REF!</v>
      </c>
      <c r="J16" s="5" t="e">
        <f>SUMIFS(#REF!,#REF!,$B16,#REF!,J$1)</f>
        <v>#REF!</v>
      </c>
      <c r="K16" s="5" t="e">
        <f>SUMIFS(#REF!,#REF!,$B16,#REF!,K$1)</f>
        <v>#REF!</v>
      </c>
      <c r="L16" s="5" t="e">
        <f>SUMIFS(#REF!,#REF!,$B16,#REF!,L$1)</f>
        <v>#REF!</v>
      </c>
      <c r="M16" s="5" t="e">
        <f>SUMIFS(#REF!,#REF!,$B16,#REF!,M$1)</f>
        <v>#REF!</v>
      </c>
      <c r="N16" s="5" t="e">
        <f>SUMIFS(#REF!,#REF!,$B16,#REF!,N$1)</f>
        <v>#REF!</v>
      </c>
      <c r="O16" s="5" t="e">
        <f>SUMIFS(#REF!,#REF!,$B16,#REF!,O$1)</f>
        <v>#REF!</v>
      </c>
      <c r="P16" s="5" t="e">
        <f>SUMIFS(#REF!,#REF!,$B16,#REF!,P$1)</f>
        <v>#REF!</v>
      </c>
      <c r="Q16" s="5" t="e">
        <f>SUMIFS(#REF!,#REF!,$B16,#REF!,Q$1)</f>
        <v>#REF!</v>
      </c>
      <c r="R16" s="5" t="e">
        <f>SUMIFS(#REF!,#REF!,$B16,#REF!,R$1)</f>
        <v>#REF!</v>
      </c>
      <c r="S16" s="5" t="e">
        <f>SUMIFS(#REF!,#REF!,$B16,#REF!,S$1)</f>
        <v>#REF!</v>
      </c>
      <c r="T16" s="5" t="e">
        <f>SUMIFS(#REF!,#REF!,$B16,#REF!,T$1)</f>
        <v>#REF!</v>
      </c>
      <c r="U16" s="5" t="e">
        <f>SUMIFS(#REF!,#REF!,$B16,#REF!,U$1)</f>
        <v>#REF!</v>
      </c>
      <c r="V16" s="5" t="e">
        <f>SUMIFS(#REF!,#REF!,$B16,#REF!,V$1)</f>
        <v>#REF!</v>
      </c>
      <c r="W16" s="5" t="e">
        <f>SUMIFS(#REF!,#REF!,$B16,#REF!,W$1)</f>
        <v>#REF!</v>
      </c>
      <c r="X16" s="5" t="e">
        <f>SUMIFS(#REF!,#REF!,$B16,#REF!,X$1)</f>
        <v>#REF!</v>
      </c>
      <c r="Y16" s="5" t="e">
        <f>SUMIFS(#REF!,#REF!,$B16,#REF!,Y$1)</f>
        <v>#REF!</v>
      </c>
      <c r="Z16" s="5" t="e">
        <f>SUMIFS(#REF!,#REF!,$B16,#REF!,Z$1)</f>
        <v>#REF!</v>
      </c>
      <c r="AA16" s="5" t="e">
        <f>SUMIFS(#REF!,#REF!,$B16,#REF!,AA$1)</f>
        <v>#REF!</v>
      </c>
      <c r="AB16" s="5" t="e">
        <f>SUMIFS(#REF!,#REF!,$B16,#REF!,AB$1)</f>
        <v>#REF!</v>
      </c>
      <c r="AC16" s="5" t="e">
        <f>SUMIFS(#REF!,#REF!,$B16,#REF!,AC$1)</f>
        <v>#REF!</v>
      </c>
      <c r="AD16" s="5" t="e">
        <f>SUMIFS(#REF!,#REF!,$B16,#REF!,AD$1)</f>
        <v>#REF!</v>
      </c>
      <c r="AE16" s="5" t="e">
        <f>SUMIFS(#REF!,#REF!,$B16,#REF!,AE$1)</f>
        <v>#REF!</v>
      </c>
      <c r="AF16" s="5" t="e">
        <f>SUMIFS(#REF!,#REF!,$B16,#REF!,AF$1)</f>
        <v>#REF!</v>
      </c>
      <c r="AG16" s="5" t="e">
        <f>SUMIFS(#REF!,#REF!,$B16,#REF!,AG$1)</f>
        <v>#REF!</v>
      </c>
      <c r="AH16" s="5" t="e">
        <f>SUMIFS(#REF!,#REF!,$B16,#REF!,AH$1)</f>
        <v>#REF!</v>
      </c>
      <c r="AI16" s="11" t="e">
        <f t="shared" si="1"/>
        <v>#REF!</v>
      </c>
    </row>
    <row r="17" spans="2:35" ht="15.6" x14ac:dyDescent="0.3">
      <c r="B17" s="16" t="s">
        <v>35</v>
      </c>
      <c r="C17" s="17">
        <v>200</v>
      </c>
      <c r="D17" s="5" t="e">
        <f>SUMIFS(#REF!,#REF!,$B17,#REF!,D$1)</f>
        <v>#REF!</v>
      </c>
      <c r="E17" s="5" t="e">
        <f>SUMIFS(#REF!,#REF!,$B17,#REF!,E$1)</f>
        <v>#REF!</v>
      </c>
      <c r="F17" s="5" t="e">
        <f>SUMIFS(#REF!,#REF!,$B17,#REF!,F$1)</f>
        <v>#REF!</v>
      </c>
      <c r="G17" s="5" t="e">
        <f>SUMIFS(#REF!,#REF!,$B17,#REF!,G$1)</f>
        <v>#REF!</v>
      </c>
      <c r="H17" s="5" t="e">
        <f>SUMIFS(#REF!,#REF!,$B17,#REF!,H$1)</f>
        <v>#REF!</v>
      </c>
      <c r="I17" s="5" t="e">
        <f>SUMIFS(#REF!,#REF!,$B17,#REF!,I$1)</f>
        <v>#REF!</v>
      </c>
      <c r="J17" s="5" t="e">
        <f>SUMIFS(#REF!,#REF!,$B17,#REF!,J$1)</f>
        <v>#REF!</v>
      </c>
      <c r="K17" s="5" t="e">
        <f>SUMIFS(#REF!,#REF!,$B17,#REF!,K$1)</f>
        <v>#REF!</v>
      </c>
      <c r="L17" s="5" t="e">
        <f>SUMIFS(#REF!,#REF!,$B17,#REF!,L$1)</f>
        <v>#REF!</v>
      </c>
      <c r="M17" s="5" t="e">
        <f>SUMIFS(#REF!,#REF!,$B17,#REF!,M$1)</f>
        <v>#REF!</v>
      </c>
      <c r="N17" s="5" t="e">
        <f>SUMIFS(#REF!,#REF!,$B17,#REF!,N$1)</f>
        <v>#REF!</v>
      </c>
      <c r="O17" s="5" t="e">
        <f>SUMIFS(#REF!,#REF!,$B17,#REF!,O$1)</f>
        <v>#REF!</v>
      </c>
      <c r="P17" s="5" t="e">
        <f>SUMIFS(#REF!,#REF!,$B17,#REF!,P$1)</f>
        <v>#REF!</v>
      </c>
      <c r="Q17" s="5" t="e">
        <f>SUMIFS(#REF!,#REF!,$B17,#REF!,Q$1)</f>
        <v>#REF!</v>
      </c>
      <c r="R17" s="5" t="e">
        <f>SUMIFS(#REF!,#REF!,$B17,#REF!,R$1)</f>
        <v>#REF!</v>
      </c>
      <c r="S17" s="5" t="e">
        <f>SUMIFS(#REF!,#REF!,$B17,#REF!,S$1)</f>
        <v>#REF!</v>
      </c>
      <c r="T17" s="5" t="e">
        <f>SUMIFS(#REF!,#REF!,$B17,#REF!,T$1)</f>
        <v>#REF!</v>
      </c>
      <c r="U17" s="5" t="e">
        <f>SUMIFS(#REF!,#REF!,$B17,#REF!,U$1)</f>
        <v>#REF!</v>
      </c>
      <c r="V17" s="5" t="e">
        <f>SUMIFS(#REF!,#REF!,$B17,#REF!,V$1)</f>
        <v>#REF!</v>
      </c>
      <c r="W17" s="5" t="e">
        <f>SUMIFS(#REF!,#REF!,$B17,#REF!,W$1)</f>
        <v>#REF!</v>
      </c>
      <c r="X17" s="5" t="e">
        <f>SUMIFS(#REF!,#REF!,$B17,#REF!,X$1)</f>
        <v>#REF!</v>
      </c>
      <c r="Y17" s="5" t="e">
        <f>SUMIFS(#REF!,#REF!,$B17,#REF!,Y$1)</f>
        <v>#REF!</v>
      </c>
      <c r="Z17" s="5" t="e">
        <f>SUMIFS(#REF!,#REF!,$B17,#REF!,Z$1)</f>
        <v>#REF!</v>
      </c>
      <c r="AA17" s="5" t="e">
        <f>SUMIFS(#REF!,#REF!,$B17,#REF!,AA$1)</f>
        <v>#REF!</v>
      </c>
      <c r="AB17" s="5" t="e">
        <f>SUMIFS(#REF!,#REF!,$B17,#REF!,AB$1)</f>
        <v>#REF!</v>
      </c>
      <c r="AC17" s="5" t="e">
        <f>SUMIFS(#REF!,#REF!,$B17,#REF!,AC$1)</f>
        <v>#REF!</v>
      </c>
      <c r="AD17" s="5" t="e">
        <f>SUMIFS(#REF!,#REF!,$B17,#REF!,AD$1)</f>
        <v>#REF!</v>
      </c>
      <c r="AE17" s="5" t="e">
        <f>SUMIFS(#REF!,#REF!,$B17,#REF!,AE$1)</f>
        <v>#REF!</v>
      </c>
      <c r="AF17" s="5" t="e">
        <f>SUMIFS(#REF!,#REF!,$B17,#REF!,AF$1)</f>
        <v>#REF!</v>
      </c>
      <c r="AG17" s="5" t="e">
        <f>SUMIFS(#REF!,#REF!,$B17,#REF!,AG$1)</f>
        <v>#REF!</v>
      </c>
      <c r="AH17" s="5" t="e">
        <f>SUMIFS(#REF!,#REF!,$B17,#REF!,AH$1)</f>
        <v>#REF!</v>
      </c>
      <c r="AI17" s="11" t="e">
        <f t="shared" si="1"/>
        <v>#REF!</v>
      </c>
    </row>
    <row r="18" spans="2:35" ht="27.6" x14ac:dyDescent="0.3">
      <c r="B18" s="15" t="s">
        <v>36</v>
      </c>
      <c r="C18" s="17">
        <v>200</v>
      </c>
      <c r="D18" s="5" t="e">
        <f>SUMIFS(#REF!,#REF!,$B18,#REF!,D$1)</f>
        <v>#REF!</v>
      </c>
      <c r="E18" s="5" t="e">
        <f>SUMIFS(#REF!,#REF!,$B18,#REF!,E$1)</f>
        <v>#REF!</v>
      </c>
      <c r="F18" s="5" t="e">
        <f>SUMIFS(#REF!,#REF!,$B18,#REF!,F$1)</f>
        <v>#REF!</v>
      </c>
      <c r="G18" s="5" t="e">
        <f>SUMIFS(#REF!,#REF!,$B18,#REF!,G$1)</f>
        <v>#REF!</v>
      </c>
      <c r="H18" s="5" t="e">
        <f>SUMIFS(#REF!,#REF!,$B18,#REF!,H$1)</f>
        <v>#REF!</v>
      </c>
      <c r="I18" s="5" t="e">
        <f>SUMIFS(#REF!,#REF!,$B18,#REF!,I$1)</f>
        <v>#REF!</v>
      </c>
      <c r="J18" s="5" t="e">
        <f>SUMIFS(#REF!,#REF!,$B18,#REF!,J$1)</f>
        <v>#REF!</v>
      </c>
      <c r="K18" s="5" t="e">
        <f>SUMIFS(#REF!,#REF!,$B18,#REF!,K$1)</f>
        <v>#REF!</v>
      </c>
      <c r="L18" s="5" t="e">
        <f>SUMIFS(#REF!,#REF!,$B18,#REF!,L$1)</f>
        <v>#REF!</v>
      </c>
      <c r="M18" s="5" t="e">
        <f>SUMIFS(#REF!,#REF!,$B18,#REF!,M$1)</f>
        <v>#REF!</v>
      </c>
      <c r="N18" s="5" t="e">
        <f>SUMIFS(#REF!,#REF!,$B18,#REF!,N$1)</f>
        <v>#REF!</v>
      </c>
      <c r="O18" s="5" t="e">
        <f>SUMIFS(#REF!,#REF!,$B18,#REF!,O$1)</f>
        <v>#REF!</v>
      </c>
      <c r="P18" s="5" t="e">
        <f>SUMIFS(#REF!,#REF!,$B18,#REF!,P$1)</f>
        <v>#REF!</v>
      </c>
      <c r="Q18" s="5" t="e">
        <f>SUMIFS(#REF!,#REF!,$B18,#REF!,Q$1)</f>
        <v>#REF!</v>
      </c>
      <c r="R18" s="5" t="e">
        <f>SUMIFS(#REF!,#REF!,$B18,#REF!,R$1)</f>
        <v>#REF!</v>
      </c>
      <c r="S18" s="5" t="e">
        <f>SUMIFS(#REF!,#REF!,$B18,#REF!,S$1)</f>
        <v>#REF!</v>
      </c>
      <c r="T18" s="5" t="e">
        <f>SUMIFS(#REF!,#REF!,$B18,#REF!,T$1)</f>
        <v>#REF!</v>
      </c>
      <c r="U18" s="5" t="e">
        <f>SUMIFS(#REF!,#REF!,$B18,#REF!,U$1)</f>
        <v>#REF!</v>
      </c>
      <c r="V18" s="5" t="e">
        <f>SUMIFS(#REF!,#REF!,$B18,#REF!,V$1)</f>
        <v>#REF!</v>
      </c>
      <c r="W18" s="5" t="e">
        <f>SUMIFS(#REF!,#REF!,$B18,#REF!,W$1)</f>
        <v>#REF!</v>
      </c>
      <c r="X18" s="5" t="e">
        <f>SUMIFS(#REF!,#REF!,$B18,#REF!,X$1)</f>
        <v>#REF!</v>
      </c>
      <c r="Y18" s="5" t="e">
        <f>SUMIFS(#REF!,#REF!,$B18,#REF!,Y$1)</f>
        <v>#REF!</v>
      </c>
      <c r="Z18" s="5" t="e">
        <f>SUMIFS(#REF!,#REF!,$B18,#REF!,Z$1)</f>
        <v>#REF!</v>
      </c>
      <c r="AA18" s="5" t="e">
        <f>SUMIFS(#REF!,#REF!,$B18,#REF!,AA$1)</f>
        <v>#REF!</v>
      </c>
      <c r="AB18" s="5" t="e">
        <f>SUMIFS(#REF!,#REF!,$B18,#REF!,AB$1)</f>
        <v>#REF!</v>
      </c>
      <c r="AC18" s="5" t="e">
        <f>SUMIFS(#REF!,#REF!,$B18,#REF!,AC$1)</f>
        <v>#REF!</v>
      </c>
      <c r="AD18" s="5" t="e">
        <f>SUMIFS(#REF!,#REF!,$B18,#REF!,AD$1)</f>
        <v>#REF!</v>
      </c>
      <c r="AE18" s="5" t="e">
        <f>SUMIFS(#REF!,#REF!,$B18,#REF!,AE$1)</f>
        <v>#REF!</v>
      </c>
      <c r="AF18" s="5" t="e">
        <f>SUMIFS(#REF!,#REF!,$B18,#REF!,AF$1)</f>
        <v>#REF!</v>
      </c>
      <c r="AG18" s="5" t="e">
        <f>SUMIFS(#REF!,#REF!,$B18,#REF!,AG$1)</f>
        <v>#REF!</v>
      </c>
      <c r="AH18" s="5" t="e">
        <f>SUMIFS(#REF!,#REF!,$B18,#REF!,AH$1)</f>
        <v>#REF!</v>
      </c>
      <c r="AI18" s="11" t="e">
        <f t="shared" si="1"/>
        <v>#REF!</v>
      </c>
    </row>
    <row r="19" spans="2:35" ht="27.6" x14ac:dyDescent="0.3">
      <c r="B19" s="18" t="s">
        <v>37</v>
      </c>
      <c r="C19" s="17">
        <v>96</v>
      </c>
      <c r="D19" s="5" t="e">
        <f>SUMIFS(#REF!,#REF!,$B19,#REF!,D$1)</f>
        <v>#REF!</v>
      </c>
      <c r="E19" s="5" t="e">
        <f>SUMIFS(#REF!,#REF!,$B19,#REF!,E$1)</f>
        <v>#REF!</v>
      </c>
      <c r="F19" s="5" t="e">
        <f>SUMIFS(#REF!,#REF!,$B19,#REF!,F$1)</f>
        <v>#REF!</v>
      </c>
      <c r="G19" s="5" t="e">
        <f>SUMIFS(#REF!,#REF!,$B19,#REF!,G$1)</f>
        <v>#REF!</v>
      </c>
      <c r="H19" s="5" t="e">
        <f>SUMIFS(#REF!,#REF!,$B19,#REF!,H$1)</f>
        <v>#REF!</v>
      </c>
      <c r="I19" s="5" t="e">
        <f>SUMIFS(#REF!,#REF!,$B19,#REF!,I$1)</f>
        <v>#REF!</v>
      </c>
      <c r="J19" s="5" t="e">
        <f>SUMIFS(#REF!,#REF!,$B19,#REF!,J$1)</f>
        <v>#REF!</v>
      </c>
      <c r="K19" s="5" t="e">
        <f>SUMIFS(#REF!,#REF!,$B19,#REF!,K$1)</f>
        <v>#REF!</v>
      </c>
      <c r="L19" s="5" t="e">
        <f>SUMIFS(#REF!,#REF!,$B19,#REF!,L$1)</f>
        <v>#REF!</v>
      </c>
      <c r="M19" s="5" t="e">
        <f>SUMIFS(#REF!,#REF!,$B19,#REF!,M$1)</f>
        <v>#REF!</v>
      </c>
      <c r="N19" s="5" t="e">
        <f>SUMIFS(#REF!,#REF!,$B19,#REF!,N$1)</f>
        <v>#REF!</v>
      </c>
      <c r="O19" s="5" t="e">
        <f>SUMIFS(#REF!,#REF!,$B19,#REF!,O$1)</f>
        <v>#REF!</v>
      </c>
      <c r="P19" s="5" t="e">
        <f>SUMIFS(#REF!,#REF!,$B19,#REF!,P$1)</f>
        <v>#REF!</v>
      </c>
      <c r="Q19" s="5" t="e">
        <f>SUMIFS(#REF!,#REF!,$B19,#REF!,Q$1)</f>
        <v>#REF!</v>
      </c>
      <c r="R19" s="5" t="e">
        <f>SUMIFS(#REF!,#REF!,$B19,#REF!,R$1)</f>
        <v>#REF!</v>
      </c>
      <c r="S19" s="5" t="e">
        <f>SUMIFS(#REF!,#REF!,$B19,#REF!,S$1)</f>
        <v>#REF!</v>
      </c>
      <c r="T19" s="5" t="e">
        <f>SUMIFS(#REF!,#REF!,$B19,#REF!,T$1)</f>
        <v>#REF!</v>
      </c>
      <c r="U19" s="5" t="e">
        <f>SUMIFS(#REF!,#REF!,$B19,#REF!,U$1)</f>
        <v>#REF!</v>
      </c>
      <c r="V19" s="5" t="e">
        <f>SUMIFS(#REF!,#REF!,$B19,#REF!,V$1)</f>
        <v>#REF!</v>
      </c>
      <c r="W19" s="5" t="e">
        <f>SUMIFS(#REF!,#REF!,$B19,#REF!,W$1)</f>
        <v>#REF!</v>
      </c>
      <c r="X19" s="5" t="e">
        <f>SUMIFS(#REF!,#REF!,$B19,#REF!,X$1)</f>
        <v>#REF!</v>
      </c>
      <c r="Y19" s="5" t="e">
        <f>SUMIFS(#REF!,#REF!,$B19,#REF!,Y$1)</f>
        <v>#REF!</v>
      </c>
      <c r="Z19" s="5" t="e">
        <f>SUMIFS(#REF!,#REF!,$B19,#REF!,Z$1)</f>
        <v>#REF!</v>
      </c>
      <c r="AA19" s="5" t="e">
        <f>SUMIFS(#REF!,#REF!,$B19,#REF!,AA$1)</f>
        <v>#REF!</v>
      </c>
      <c r="AB19" s="5" t="e">
        <f>SUMIFS(#REF!,#REF!,$B19,#REF!,AB$1)</f>
        <v>#REF!</v>
      </c>
      <c r="AC19" s="5" t="e">
        <f>SUMIFS(#REF!,#REF!,$B19,#REF!,AC$1)</f>
        <v>#REF!</v>
      </c>
      <c r="AD19" s="5" t="e">
        <f>SUMIFS(#REF!,#REF!,$B19,#REF!,AD$1)</f>
        <v>#REF!</v>
      </c>
      <c r="AE19" s="5" t="e">
        <f>SUMIFS(#REF!,#REF!,$B19,#REF!,AE$1)</f>
        <v>#REF!</v>
      </c>
      <c r="AF19" s="5" t="e">
        <f>SUMIFS(#REF!,#REF!,$B19,#REF!,AF$1)</f>
        <v>#REF!</v>
      </c>
      <c r="AG19" s="5" t="e">
        <f>SUMIFS(#REF!,#REF!,$B19,#REF!,AG$1)</f>
        <v>#REF!</v>
      </c>
      <c r="AH19" s="5" t="e">
        <f>SUMIFS(#REF!,#REF!,$B19,#REF!,AH$1)</f>
        <v>#REF!</v>
      </c>
      <c r="AI19" s="11" t="e">
        <f t="shared" si="1"/>
        <v>#REF!</v>
      </c>
    </row>
    <row r="20" spans="2:35" ht="27.6" x14ac:dyDescent="0.3">
      <c r="B20" s="18" t="s">
        <v>38</v>
      </c>
      <c r="C20" s="17">
        <v>200</v>
      </c>
      <c r="D20" s="5" t="e">
        <f>SUMIFS(#REF!,#REF!,$B20,#REF!,D$1)</f>
        <v>#REF!</v>
      </c>
      <c r="E20" s="5" t="e">
        <f>SUMIFS(#REF!,#REF!,$B20,#REF!,E$1)</f>
        <v>#REF!</v>
      </c>
      <c r="F20" s="5" t="e">
        <f>SUMIFS(#REF!,#REF!,$B20,#REF!,F$1)</f>
        <v>#REF!</v>
      </c>
      <c r="G20" s="5" t="e">
        <f>SUMIFS(#REF!,#REF!,$B20,#REF!,G$1)</f>
        <v>#REF!</v>
      </c>
      <c r="H20" s="5" t="e">
        <f>SUMIFS(#REF!,#REF!,$B20,#REF!,H$1)</f>
        <v>#REF!</v>
      </c>
      <c r="I20" s="5" t="e">
        <f>SUMIFS(#REF!,#REF!,$B20,#REF!,I$1)</f>
        <v>#REF!</v>
      </c>
      <c r="J20" s="5" t="e">
        <f>SUMIFS(#REF!,#REF!,$B20,#REF!,J$1)</f>
        <v>#REF!</v>
      </c>
      <c r="K20" s="5" t="e">
        <f>SUMIFS(#REF!,#REF!,$B20,#REF!,K$1)</f>
        <v>#REF!</v>
      </c>
      <c r="L20" s="5" t="e">
        <f>SUMIFS(#REF!,#REF!,$B20,#REF!,L$1)</f>
        <v>#REF!</v>
      </c>
      <c r="M20" s="5" t="e">
        <f>SUMIFS(#REF!,#REF!,$B20,#REF!,M$1)</f>
        <v>#REF!</v>
      </c>
      <c r="N20" s="5" t="e">
        <f>SUMIFS(#REF!,#REF!,$B20,#REF!,N$1)</f>
        <v>#REF!</v>
      </c>
      <c r="O20" s="5" t="e">
        <f>SUMIFS(#REF!,#REF!,$B20,#REF!,O$1)</f>
        <v>#REF!</v>
      </c>
      <c r="P20" s="5" t="e">
        <f>SUMIFS(#REF!,#REF!,$B20,#REF!,P$1)</f>
        <v>#REF!</v>
      </c>
      <c r="Q20" s="5" t="e">
        <f>SUMIFS(#REF!,#REF!,$B20,#REF!,Q$1)</f>
        <v>#REF!</v>
      </c>
      <c r="R20" s="5" t="e">
        <f>SUMIFS(#REF!,#REF!,$B20,#REF!,R$1)</f>
        <v>#REF!</v>
      </c>
      <c r="S20" s="5" t="e">
        <f>SUMIFS(#REF!,#REF!,$B20,#REF!,S$1)</f>
        <v>#REF!</v>
      </c>
      <c r="T20" s="5" t="e">
        <f>SUMIFS(#REF!,#REF!,$B20,#REF!,T$1)</f>
        <v>#REF!</v>
      </c>
      <c r="U20" s="5" t="e">
        <f>SUMIFS(#REF!,#REF!,$B20,#REF!,U$1)</f>
        <v>#REF!</v>
      </c>
      <c r="V20" s="5" t="e">
        <f>SUMIFS(#REF!,#REF!,$B20,#REF!,V$1)</f>
        <v>#REF!</v>
      </c>
      <c r="W20" s="5" t="e">
        <f>SUMIFS(#REF!,#REF!,$B20,#REF!,W$1)</f>
        <v>#REF!</v>
      </c>
      <c r="X20" s="5" t="e">
        <f>SUMIFS(#REF!,#REF!,$B20,#REF!,X$1)</f>
        <v>#REF!</v>
      </c>
      <c r="Y20" s="5" t="e">
        <f>SUMIFS(#REF!,#REF!,$B20,#REF!,Y$1)</f>
        <v>#REF!</v>
      </c>
      <c r="Z20" s="5" t="e">
        <f>SUMIFS(#REF!,#REF!,$B20,#REF!,Z$1)</f>
        <v>#REF!</v>
      </c>
      <c r="AA20" s="5" t="e">
        <f>SUMIFS(#REF!,#REF!,$B20,#REF!,AA$1)</f>
        <v>#REF!</v>
      </c>
      <c r="AB20" s="5" t="e">
        <f>SUMIFS(#REF!,#REF!,$B20,#REF!,AB$1)</f>
        <v>#REF!</v>
      </c>
      <c r="AC20" s="5" t="e">
        <f>SUMIFS(#REF!,#REF!,$B20,#REF!,AC$1)</f>
        <v>#REF!</v>
      </c>
      <c r="AD20" s="5" t="e">
        <f>SUMIFS(#REF!,#REF!,$B20,#REF!,AD$1)</f>
        <v>#REF!</v>
      </c>
      <c r="AE20" s="5" t="e">
        <f>SUMIFS(#REF!,#REF!,$B20,#REF!,AE$1)</f>
        <v>#REF!</v>
      </c>
      <c r="AF20" s="5" t="e">
        <f>SUMIFS(#REF!,#REF!,$B20,#REF!,AF$1)</f>
        <v>#REF!</v>
      </c>
      <c r="AG20" s="5" t="e">
        <f>SUMIFS(#REF!,#REF!,$B20,#REF!,AG$1)</f>
        <v>#REF!</v>
      </c>
      <c r="AH20" s="5" t="e">
        <f>SUMIFS(#REF!,#REF!,$B20,#REF!,AH$1)</f>
        <v>#REF!</v>
      </c>
      <c r="AI20" s="11" t="e">
        <f t="shared" si="1"/>
        <v>#REF!</v>
      </c>
    </row>
    <row r="21" spans="2:35" ht="27.6" x14ac:dyDescent="0.3">
      <c r="B21" s="18" t="s">
        <v>39</v>
      </c>
      <c r="C21" s="17">
        <v>90</v>
      </c>
      <c r="D21" s="5" t="e">
        <f>SUMIFS(#REF!,#REF!,$B21,#REF!,D$1)</f>
        <v>#REF!</v>
      </c>
      <c r="E21" s="5" t="e">
        <f>SUMIFS(#REF!,#REF!,$B21,#REF!,E$1)</f>
        <v>#REF!</v>
      </c>
      <c r="F21" s="5" t="e">
        <f>SUMIFS(#REF!,#REF!,$B21,#REF!,F$1)</f>
        <v>#REF!</v>
      </c>
      <c r="G21" s="5" t="e">
        <f>SUMIFS(#REF!,#REF!,$B21,#REF!,G$1)</f>
        <v>#REF!</v>
      </c>
      <c r="H21" s="5" t="e">
        <f>SUMIFS(#REF!,#REF!,$B21,#REF!,H$1)</f>
        <v>#REF!</v>
      </c>
      <c r="I21" s="5" t="e">
        <f>SUMIFS(#REF!,#REF!,$B21,#REF!,I$1)</f>
        <v>#REF!</v>
      </c>
      <c r="J21" s="5" t="e">
        <f>SUMIFS(#REF!,#REF!,$B21,#REF!,J$1)</f>
        <v>#REF!</v>
      </c>
      <c r="K21" s="5" t="e">
        <f>SUMIFS(#REF!,#REF!,$B21,#REF!,K$1)</f>
        <v>#REF!</v>
      </c>
      <c r="L21" s="5" t="e">
        <f>SUMIFS(#REF!,#REF!,$B21,#REF!,L$1)</f>
        <v>#REF!</v>
      </c>
      <c r="M21" s="5" t="e">
        <f>SUMIFS(#REF!,#REF!,$B21,#REF!,M$1)</f>
        <v>#REF!</v>
      </c>
      <c r="N21" s="5" t="e">
        <f>SUMIFS(#REF!,#REF!,$B21,#REF!,N$1)</f>
        <v>#REF!</v>
      </c>
      <c r="O21" s="5" t="e">
        <f>SUMIFS(#REF!,#REF!,$B21,#REF!,O$1)</f>
        <v>#REF!</v>
      </c>
      <c r="P21" s="5" t="e">
        <f>SUMIFS(#REF!,#REF!,$B21,#REF!,P$1)</f>
        <v>#REF!</v>
      </c>
      <c r="Q21" s="5" t="e">
        <f>SUMIFS(#REF!,#REF!,$B21,#REF!,Q$1)</f>
        <v>#REF!</v>
      </c>
      <c r="R21" s="5" t="e">
        <f>SUMIFS(#REF!,#REF!,$B21,#REF!,R$1)</f>
        <v>#REF!</v>
      </c>
      <c r="S21" s="5" t="e">
        <f>SUMIFS(#REF!,#REF!,$B21,#REF!,S$1)</f>
        <v>#REF!</v>
      </c>
      <c r="T21" s="5" t="e">
        <f>SUMIFS(#REF!,#REF!,$B21,#REF!,T$1)</f>
        <v>#REF!</v>
      </c>
      <c r="U21" s="5" t="e">
        <f>SUMIFS(#REF!,#REF!,$B21,#REF!,U$1)</f>
        <v>#REF!</v>
      </c>
      <c r="V21" s="5" t="e">
        <f>SUMIFS(#REF!,#REF!,$B21,#REF!,V$1)</f>
        <v>#REF!</v>
      </c>
      <c r="W21" s="5" t="e">
        <f>SUMIFS(#REF!,#REF!,$B21,#REF!,W$1)</f>
        <v>#REF!</v>
      </c>
      <c r="X21" s="5" t="e">
        <f>SUMIFS(#REF!,#REF!,$B21,#REF!,X$1)</f>
        <v>#REF!</v>
      </c>
      <c r="Y21" s="5" t="e">
        <f>SUMIFS(#REF!,#REF!,$B21,#REF!,Y$1)</f>
        <v>#REF!</v>
      </c>
      <c r="Z21" s="5" t="e">
        <f>SUMIFS(#REF!,#REF!,$B21,#REF!,Z$1)</f>
        <v>#REF!</v>
      </c>
      <c r="AA21" s="5" t="e">
        <f>SUMIFS(#REF!,#REF!,$B21,#REF!,AA$1)</f>
        <v>#REF!</v>
      </c>
      <c r="AB21" s="5" t="e">
        <f>SUMIFS(#REF!,#REF!,$B21,#REF!,AB$1)</f>
        <v>#REF!</v>
      </c>
      <c r="AC21" s="5" t="e">
        <f>SUMIFS(#REF!,#REF!,$B21,#REF!,AC$1)</f>
        <v>#REF!</v>
      </c>
      <c r="AD21" s="5" t="e">
        <f>SUMIFS(#REF!,#REF!,$B21,#REF!,AD$1)</f>
        <v>#REF!</v>
      </c>
      <c r="AE21" s="5" t="e">
        <f>SUMIFS(#REF!,#REF!,$B21,#REF!,AE$1)</f>
        <v>#REF!</v>
      </c>
      <c r="AF21" s="5" t="e">
        <f>SUMIFS(#REF!,#REF!,$B21,#REF!,AF$1)</f>
        <v>#REF!</v>
      </c>
      <c r="AG21" s="5" t="e">
        <f>SUMIFS(#REF!,#REF!,$B21,#REF!,AG$1)</f>
        <v>#REF!</v>
      </c>
      <c r="AH21" s="5" t="e">
        <f>SUMIFS(#REF!,#REF!,$B21,#REF!,AH$1)</f>
        <v>#REF!</v>
      </c>
      <c r="AI21" s="11" t="e">
        <f t="shared" si="1"/>
        <v>#REF!</v>
      </c>
    </row>
    <row r="22" spans="2:35" ht="15.6" x14ac:dyDescent="0.3">
      <c r="B22" s="19" t="s">
        <v>40</v>
      </c>
      <c r="C22" s="17">
        <v>25</v>
      </c>
      <c r="D22" s="5" t="e">
        <f>SUMIFS(#REF!,#REF!,$B22,#REF!,D$1)</f>
        <v>#REF!</v>
      </c>
      <c r="E22" s="5" t="e">
        <f>SUMIFS(#REF!,#REF!,$B22,#REF!,E$1)</f>
        <v>#REF!</v>
      </c>
      <c r="F22" s="5" t="e">
        <f>SUMIFS(#REF!,#REF!,$B22,#REF!,F$1)</f>
        <v>#REF!</v>
      </c>
      <c r="G22" s="5" t="e">
        <f>SUMIFS(#REF!,#REF!,$B22,#REF!,G$1)</f>
        <v>#REF!</v>
      </c>
      <c r="H22" s="5" t="e">
        <f>SUMIFS(#REF!,#REF!,$B22,#REF!,H$1)</f>
        <v>#REF!</v>
      </c>
      <c r="I22" s="5" t="e">
        <f>SUMIFS(#REF!,#REF!,$B22,#REF!,I$1)</f>
        <v>#REF!</v>
      </c>
      <c r="J22" s="5" t="e">
        <f>SUMIFS(#REF!,#REF!,$B22,#REF!,J$1)</f>
        <v>#REF!</v>
      </c>
      <c r="K22" s="5" t="e">
        <f>SUMIFS(#REF!,#REF!,$B22,#REF!,K$1)</f>
        <v>#REF!</v>
      </c>
      <c r="L22" s="5" t="e">
        <f>SUMIFS(#REF!,#REF!,$B22,#REF!,L$1)</f>
        <v>#REF!</v>
      </c>
      <c r="M22" s="5" t="e">
        <f>SUMIFS(#REF!,#REF!,$B22,#REF!,M$1)</f>
        <v>#REF!</v>
      </c>
      <c r="N22" s="5" t="e">
        <f>SUMIFS(#REF!,#REF!,$B22,#REF!,N$1)</f>
        <v>#REF!</v>
      </c>
      <c r="O22" s="5" t="e">
        <f>SUMIFS(#REF!,#REF!,$B22,#REF!,O$1)</f>
        <v>#REF!</v>
      </c>
      <c r="P22" s="5" t="e">
        <f>SUMIFS(#REF!,#REF!,$B22,#REF!,P$1)</f>
        <v>#REF!</v>
      </c>
      <c r="Q22" s="5" t="e">
        <f>SUMIFS(#REF!,#REF!,$B22,#REF!,Q$1)</f>
        <v>#REF!</v>
      </c>
      <c r="R22" s="5" t="e">
        <f>SUMIFS(#REF!,#REF!,$B22,#REF!,R$1)</f>
        <v>#REF!</v>
      </c>
      <c r="S22" s="5" t="e">
        <f>SUMIFS(#REF!,#REF!,$B22,#REF!,S$1)</f>
        <v>#REF!</v>
      </c>
      <c r="T22" s="5" t="e">
        <f>SUMIFS(#REF!,#REF!,$B22,#REF!,T$1)</f>
        <v>#REF!</v>
      </c>
      <c r="U22" s="5" t="e">
        <f>SUMIFS(#REF!,#REF!,$B22,#REF!,U$1)</f>
        <v>#REF!</v>
      </c>
      <c r="V22" s="5" t="e">
        <f>SUMIFS(#REF!,#REF!,$B22,#REF!,V$1)</f>
        <v>#REF!</v>
      </c>
      <c r="W22" s="5" t="e">
        <f>SUMIFS(#REF!,#REF!,$B22,#REF!,W$1)</f>
        <v>#REF!</v>
      </c>
      <c r="X22" s="5" t="e">
        <f>SUMIFS(#REF!,#REF!,$B22,#REF!,X$1)</f>
        <v>#REF!</v>
      </c>
      <c r="Y22" s="5" t="e">
        <f>SUMIFS(#REF!,#REF!,$B22,#REF!,Y$1)</f>
        <v>#REF!</v>
      </c>
      <c r="Z22" s="5" t="e">
        <f>SUMIFS(#REF!,#REF!,$B22,#REF!,Z$1)</f>
        <v>#REF!</v>
      </c>
      <c r="AA22" s="5" t="e">
        <f>SUMIFS(#REF!,#REF!,$B22,#REF!,AA$1)</f>
        <v>#REF!</v>
      </c>
      <c r="AB22" s="5" t="e">
        <f>SUMIFS(#REF!,#REF!,$B22,#REF!,AB$1)</f>
        <v>#REF!</v>
      </c>
      <c r="AC22" s="5" t="e">
        <f>SUMIFS(#REF!,#REF!,$B22,#REF!,AC$1)</f>
        <v>#REF!</v>
      </c>
      <c r="AD22" s="5" t="e">
        <f>SUMIFS(#REF!,#REF!,$B22,#REF!,AD$1)</f>
        <v>#REF!</v>
      </c>
      <c r="AE22" s="5" t="e">
        <f>SUMIFS(#REF!,#REF!,$B22,#REF!,AE$1)</f>
        <v>#REF!</v>
      </c>
      <c r="AF22" s="5" t="e">
        <f>SUMIFS(#REF!,#REF!,$B22,#REF!,AF$1)</f>
        <v>#REF!</v>
      </c>
      <c r="AG22" s="5" t="e">
        <f>SUMIFS(#REF!,#REF!,$B22,#REF!,AG$1)</f>
        <v>#REF!</v>
      </c>
      <c r="AH22" s="5" t="e">
        <f>SUMIFS(#REF!,#REF!,$B22,#REF!,AH$1)</f>
        <v>#REF!</v>
      </c>
      <c r="AI22" s="11" t="e">
        <f t="shared" si="1"/>
        <v>#REF!</v>
      </c>
    </row>
    <row r="23" spans="2:35" ht="15.6" x14ac:dyDescent="0.3">
      <c r="B23" s="19" t="s">
        <v>41</v>
      </c>
      <c r="C23" s="17">
        <v>200</v>
      </c>
      <c r="D23" s="5" t="e">
        <f>SUMIFS(#REF!,#REF!,$B23,#REF!,D$1)</f>
        <v>#REF!</v>
      </c>
      <c r="E23" s="5" t="e">
        <f>SUMIFS(#REF!,#REF!,$B23,#REF!,E$1)</f>
        <v>#REF!</v>
      </c>
      <c r="F23" s="5" t="e">
        <f>SUMIFS(#REF!,#REF!,$B23,#REF!,F$1)</f>
        <v>#REF!</v>
      </c>
      <c r="G23" s="5" t="e">
        <f>SUMIFS(#REF!,#REF!,$B23,#REF!,G$1)</f>
        <v>#REF!</v>
      </c>
      <c r="H23" s="5" t="e">
        <f>SUMIFS(#REF!,#REF!,$B23,#REF!,H$1)</f>
        <v>#REF!</v>
      </c>
      <c r="I23" s="5" t="e">
        <f>SUMIFS(#REF!,#REF!,$B23,#REF!,I$1)</f>
        <v>#REF!</v>
      </c>
      <c r="J23" s="5" t="e">
        <f>SUMIFS(#REF!,#REF!,$B23,#REF!,J$1)</f>
        <v>#REF!</v>
      </c>
      <c r="K23" s="5" t="e">
        <f>SUMIFS(#REF!,#REF!,$B23,#REF!,K$1)</f>
        <v>#REF!</v>
      </c>
      <c r="L23" s="5" t="e">
        <f>SUMIFS(#REF!,#REF!,$B23,#REF!,L$1)</f>
        <v>#REF!</v>
      </c>
      <c r="M23" s="5" t="e">
        <f>SUMIFS(#REF!,#REF!,$B23,#REF!,M$1)</f>
        <v>#REF!</v>
      </c>
      <c r="N23" s="5" t="e">
        <f>SUMIFS(#REF!,#REF!,$B23,#REF!,N$1)</f>
        <v>#REF!</v>
      </c>
      <c r="O23" s="5" t="e">
        <f>SUMIFS(#REF!,#REF!,$B23,#REF!,O$1)</f>
        <v>#REF!</v>
      </c>
      <c r="P23" s="5" t="e">
        <f>SUMIFS(#REF!,#REF!,$B23,#REF!,P$1)</f>
        <v>#REF!</v>
      </c>
      <c r="Q23" s="5" t="e">
        <f>SUMIFS(#REF!,#REF!,$B23,#REF!,Q$1)</f>
        <v>#REF!</v>
      </c>
      <c r="R23" s="5" t="e">
        <f>SUMIFS(#REF!,#REF!,$B23,#REF!,R$1)</f>
        <v>#REF!</v>
      </c>
      <c r="S23" s="5" t="e">
        <f>SUMIFS(#REF!,#REF!,$B23,#REF!,S$1)</f>
        <v>#REF!</v>
      </c>
      <c r="T23" s="5" t="e">
        <f>SUMIFS(#REF!,#REF!,$B23,#REF!,T$1)</f>
        <v>#REF!</v>
      </c>
      <c r="U23" s="5" t="e">
        <f>SUMIFS(#REF!,#REF!,$B23,#REF!,U$1)</f>
        <v>#REF!</v>
      </c>
      <c r="V23" s="5" t="e">
        <f>SUMIFS(#REF!,#REF!,$B23,#REF!,V$1)</f>
        <v>#REF!</v>
      </c>
      <c r="W23" s="5" t="e">
        <f>SUMIFS(#REF!,#REF!,$B23,#REF!,W$1)</f>
        <v>#REF!</v>
      </c>
      <c r="X23" s="5" t="e">
        <f>SUMIFS(#REF!,#REF!,$B23,#REF!,X$1)</f>
        <v>#REF!</v>
      </c>
      <c r="Y23" s="5" t="e">
        <f>SUMIFS(#REF!,#REF!,$B23,#REF!,Y$1)</f>
        <v>#REF!</v>
      </c>
      <c r="Z23" s="5" t="e">
        <f>SUMIFS(#REF!,#REF!,$B23,#REF!,Z$1)</f>
        <v>#REF!</v>
      </c>
      <c r="AA23" s="5" t="e">
        <f>SUMIFS(#REF!,#REF!,$B23,#REF!,AA$1)</f>
        <v>#REF!</v>
      </c>
      <c r="AB23" s="5" t="e">
        <f>SUMIFS(#REF!,#REF!,$B23,#REF!,AB$1)</f>
        <v>#REF!</v>
      </c>
      <c r="AC23" s="5" t="e">
        <f>SUMIFS(#REF!,#REF!,$B23,#REF!,AC$1)</f>
        <v>#REF!</v>
      </c>
      <c r="AD23" s="5" t="e">
        <f>SUMIFS(#REF!,#REF!,$B23,#REF!,AD$1)</f>
        <v>#REF!</v>
      </c>
      <c r="AE23" s="5" t="e">
        <f>SUMIFS(#REF!,#REF!,$B23,#REF!,AE$1)</f>
        <v>#REF!</v>
      </c>
      <c r="AF23" s="5" t="e">
        <f>SUMIFS(#REF!,#REF!,$B23,#REF!,AF$1)</f>
        <v>#REF!</v>
      </c>
      <c r="AG23" s="5" t="e">
        <f>SUMIFS(#REF!,#REF!,$B23,#REF!,AG$1)</f>
        <v>#REF!</v>
      </c>
      <c r="AH23" s="5" t="e">
        <f>SUMIFS(#REF!,#REF!,$B23,#REF!,AH$1)</f>
        <v>#REF!</v>
      </c>
      <c r="AI23" s="11" t="e">
        <f t="shared" si="1"/>
        <v>#REF!</v>
      </c>
    </row>
    <row r="24" spans="2:35" ht="15.6" x14ac:dyDescent="0.3">
      <c r="B24" s="19" t="s">
        <v>42</v>
      </c>
      <c r="C24" s="17">
        <v>200</v>
      </c>
      <c r="D24" s="5" t="e">
        <f>SUMIFS(#REF!,#REF!,$B24,#REF!,D$1)</f>
        <v>#REF!</v>
      </c>
      <c r="E24" s="5" t="e">
        <f>SUMIFS(#REF!,#REF!,$B24,#REF!,E$1)</f>
        <v>#REF!</v>
      </c>
      <c r="F24" s="5" t="e">
        <f>SUMIFS(#REF!,#REF!,$B24,#REF!,F$1)</f>
        <v>#REF!</v>
      </c>
      <c r="G24" s="5" t="e">
        <f>SUMIFS(#REF!,#REF!,$B24,#REF!,G$1)</f>
        <v>#REF!</v>
      </c>
      <c r="H24" s="5" t="e">
        <f>SUMIFS(#REF!,#REF!,$B24,#REF!,H$1)</f>
        <v>#REF!</v>
      </c>
      <c r="I24" s="5" t="e">
        <f>SUMIFS(#REF!,#REF!,$B24,#REF!,I$1)</f>
        <v>#REF!</v>
      </c>
      <c r="J24" s="5" t="e">
        <f>SUMIFS(#REF!,#REF!,$B24,#REF!,J$1)</f>
        <v>#REF!</v>
      </c>
      <c r="K24" s="5" t="e">
        <f>SUMIFS(#REF!,#REF!,$B24,#REF!,K$1)</f>
        <v>#REF!</v>
      </c>
      <c r="L24" s="5" t="e">
        <f>SUMIFS(#REF!,#REF!,$B24,#REF!,L$1)</f>
        <v>#REF!</v>
      </c>
      <c r="M24" s="5" t="e">
        <f>SUMIFS(#REF!,#REF!,$B24,#REF!,M$1)</f>
        <v>#REF!</v>
      </c>
      <c r="N24" s="5" t="e">
        <f>SUMIFS(#REF!,#REF!,$B24,#REF!,N$1)</f>
        <v>#REF!</v>
      </c>
      <c r="O24" s="5" t="e">
        <f>SUMIFS(#REF!,#REF!,$B24,#REF!,O$1)</f>
        <v>#REF!</v>
      </c>
      <c r="P24" s="5" t="e">
        <f>SUMIFS(#REF!,#REF!,$B24,#REF!,P$1)</f>
        <v>#REF!</v>
      </c>
      <c r="Q24" s="5" t="e">
        <f>SUMIFS(#REF!,#REF!,$B24,#REF!,Q$1)</f>
        <v>#REF!</v>
      </c>
      <c r="R24" s="5" t="e">
        <f>SUMIFS(#REF!,#REF!,$B24,#REF!,R$1)</f>
        <v>#REF!</v>
      </c>
      <c r="S24" s="5" t="e">
        <f>SUMIFS(#REF!,#REF!,$B24,#REF!,S$1)</f>
        <v>#REF!</v>
      </c>
      <c r="T24" s="5" t="e">
        <f>SUMIFS(#REF!,#REF!,$B24,#REF!,T$1)</f>
        <v>#REF!</v>
      </c>
      <c r="U24" s="5" t="e">
        <f>SUMIFS(#REF!,#REF!,$B24,#REF!,U$1)</f>
        <v>#REF!</v>
      </c>
      <c r="V24" s="5" t="e">
        <f>SUMIFS(#REF!,#REF!,$B24,#REF!,V$1)</f>
        <v>#REF!</v>
      </c>
      <c r="W24" s="5" t="e">
        <f>SUMIFS(#REF!,#REF!,$B24,#REF!,W$1)</f>
        <v>#REF!</v>
      </c>
      <c r="X24" s="5" t="e">
        <f>SUMIFS(#REF!,#REF!,$B24,#REF!,X$1)</f>
        <v>#REF!</v>
      </c>
      <c r="Y24" s="5" t="e">
        <f>SUMIFS(#REF!,#REF!,$B24,#REF!,Y$1)</f>
        <v>#REF!</v>
      </c>
      <c r="Z24" s="5" t="e">
        <f>SUMIFS(#REF!,#REF!,$B24,#REF!,Z$1)</f>
        <v>#REF!</v>
      </c>
      <c r="AA24" s="5" t="e">
        <f>SUMIFS(#REF!,#REF!,$B24,#REF!,AA$1)</f>
        <v>#REF!</v>
      </c>
      <c r="AB24" s="5" t="e">
        <f>SUMIFS(#REF!,#REF!,$B24,#REF!,AB$1)</f>
        <v>#REF!</v>
      </c>
      <c r="AC24" s="5" t="e">
        <f>SUMIFS(#REF!,#REF!,$B24,#REF!,AC$1)</f>
        <v>#REF!</v>
      </c>
      <c r="AD24" s="5" t="e">
        <f>SUMIFS(#REF!,#REF!,$B24,#REF!,AD$1)</f>
        <v>#REF!</v>
      </c>
      <c r="AE24" s="5" t="e">
        <f>SUMIFS(#REF!,#REF!,$B24,#REF!,AE$1)</f>
        <v>#REF!</v>
      </c>
      <c r="AF24" s="5" t="e">
        <f>SUMIFS(#REF!,#REF!,$B24,#REF!,AF$1)</f>
        <v>#REF!</v>
      </c>
      <c r="AG24" s="5" t="e">
        <f>SUMIFS(#REF!,#REF!,$B24,#REF!,AG$1)</f>
        <v>#REF!</v>
      </c>
      <c r="AH24" s="5" t="e">
        <f>SUMIFS(#REF!,#REF!,$B24,#REF!,AH$1)</f>
        <v>#REF!</v>
      </c>
      <c r="AI24" s="11" t="e">
        <f t="shared" si="1"/>
        <v>#REF!</v>
      </c>
    </row>
    <row r="25" spans="2:35" ht="15.6" x14ac:dyDescent="0.3">
      <c r="B25" s="19" t="s">
        <v>43</v>
      </c>
      <c r="C25" s="17">
        <v>200</v>
      </c>
      <c r="D25" s="5" t="e">
        <f>SUMIFS(#REF!,#REF!,$B25,#REF!,D$1)</f>
        <v>#REF!</v>
      </c>
      <c r="E25" s="5" t="e">
        <f>SUMIFS(#REF!,#REF!,$B25,#REF!,E$1)</f>
        <v>#REF!</v>
      </c>
      <c r="F25" s="5" t="e">
        <f>SUMIFS(#REF!,#REF!,$B25,#REF!,F$1)</f>
        <v>#REF!</v>
      </c>
      <c r="G25" s="5" t="e">
        <f>SUMIFS(#REF!,#REF!,$B25,#REF!,G$1)</f>
        <v>#REF!</v>
      </c>
      <c r="H25" s="5" t="e">
        <f>SUMIFS(#REF!,#REF!,$B25,#REF!,H$1)</f>
        <v>#REF!</v>
      </c>
      <c r="I25" s="5" t="e">
        <f>SUMIFS(#REF!,#REF!,$B25,#REF!,I$1)</f>
        <v>#REF!</v>
      </c>
      <c r="J25" s="5" t="e">
        <f>SUMIFS(#REF!,#REF!,$B25,#REF!,J$1)</f>
        <v>#REF!</v>
      </c>
      <c r="K25" s="5" t="e">
        <f>SUMIFS(#REF!,#REF!,$B25,#REF!,K$1)</f>
        <v>#REF!</v>
      </c>
      <c r="L25" s="5" t="e">
        <f>SUMIFS(#REF!,#REF!,$B25,#REF!,L$1)</f>
        <v>#REF!</v>
      </c>
      <c r="M25" s="5" t="e">
        <f>SUMIFS(#REF!,#REF!,$B25,#REF!,M$1)</f>
        <v>#REF!</v>
      </c>
      <c r="N25" s="5" t="e">
        <f>SUMIFS(#REF!,#REF!,$B25,#REF!,N$1)</f>
        <v>#REF!</v>
      </c>
      <c r="O25" s="5" t="e">
        <f>SUMIFS(#REF!,#REF!,$B25,#REF!,O$1)</f>
        <v>#REF!</v>
      </c>
      <c r="P25" s="5" t="e">
        <f>SUMIFS(#REF!,#REF!,$B25,#REF!,P$1)</f>
        <v>#REF!</v>
      </c>
      <c r="Q25" s="5" t="e">
        <f>SUMIFS(#REF!,#REF!,$B25,#REF!,Q$1)</f>
        <v>#REF!</v>
      </c>
      <c r="R25" s="5" t="e">
        <f>SUMIFS(#REF!,#REF!,$B25,#REF!,R$1)</f>
        <v>#REF!</v>
      </c>
      <c r="S25" s="5" t="e">
        <f>SUMIFS(#REF!,#REF!,$B25,#REF!,S$1)</f>
        <v>#REF!</v>
      </c>
      <c r="T25" s="5" t="e">
        <f>SUMIFS(#REF!,#REF!,$B25,#REF!,T$1)</f>
        <v>#REF!</v>
      </c>
      <c r="U25" s="5" t="e">
        <f>SUMIFS(#REF!,#REF!,$B25,#REF!,U$1)</f>
        <v>#REF!</v>
      </c>
      <c r="V25" s="5" t="e">
        <f>SUMIFS(#REF!,#REF!,$B25,#REF!,V$1)</f>
        <v>#REF!</v>
      </c>
      <c r="W25" s="5" t="e">
        <f>SUMIFS(#REF!,#REF!,$B25,#REF!,W$1)</f>
        <v>#REF!</v>
      </c>
      <c r="X25" s="5" t="e">
        <f>SUMIFS(#REF!,#REF!,$B25,#REF!,X$1)</f>
        <v>#REF!</v>
      </c>
      <c r="Y25" s="5" t="e">
        <f>SUMIFS(#REF!,#REF!,$B25,#REF!,Y$1)</f>
        <v>#REF!</v>
      </c>
      <c r="Z25" s="5" t="e">
        <f>SUMIFS(#REF!,#REF!,$B25,#REF!,Z$1)</f>
        <v>#REF!</v>
      </c>
      <c r="AA25" s="5" t="e">
        <f>SUMIFS(#REF!,#REF!,$B25,#REF!,AA$1)</f>
        <v>#REF!</v>
      </c>
      <c r="AB25" s="5" t="e">
        <f>SUMIFS(#REF!,#REF!,$B25,#REF!,AB$1)</f>
        <v>#REF!</v>
      </c>
      <c r="AC25" s="5" t="e">
        <f>SUMIFS(#REF!,#REF!,$B25,#REF!,AC$1)</f>
        <v>#REF!</v>
      </c>
      <c r="AD25" s="5" t="e">
        <f>SUMIFS(#REF!,#REF!,$B25,#REF!,AD$1)</f>
        <v>#REF!</v>
      </c>
      <c r="AE25" s="5" t="e">
        <f>SUMIFS(#REF!,#REF!,$B25,#REF!,AE$1)</f>
        <v>#REF!</v>
      </c>
      <c r="AF25" s="5" t="e">
        <f>SUMIFS(#REF!,#REF!,$B25,#REF!,AF$1)</f>
        <v>#REF!</v>
      </c>
      <c r="AG25" s="5" t="e">
        <f>SUMIFS(#REF!,#REF!,$B25,#REF!,AG$1)</f>
        <v>#REF!</v>
      </c>
      <c r="AH25" s="5" t="e">
        <f>SUMIFS(#REF!,#REF!,$B25,#REF!,AH$1)</f>
        <v>#REF!</v>
      </c>
      <c r="AI25" s="11" t="e">
        <f t="shared" si="1"/>
        <v>#REF!</v>
      </c>
    </row>
    <row r="26" spans="2:35" ht="16.2" thickBot="1" x14ac:dyDescent="0.35">
      <c r="B26" s="28" t="s">
        <v>44</v>
      </c>
      <c r="C26" s="29">
        <v>20</v>
      </c>
      <c r="D26" s="5" t="e">
        <f>SUMIFS(#REF!,#REF!,$B26,#REF!,D$1)</f>
        <v>#REF!</v>
      </c>
      <c r="E26" s="5" t="e">
        <f>SUMIFS(#REF!,#REF!,$B26,#REF!,E$1)</f>
        <v>#REF!</v>
      </c>
      <c r="F26" s="5" t="e">
        <f>SUMIFS(#REF!,#REF!,$B26,#REF!,F$1)</f>
        <v>#REF!</v>
      </c>
      <c r="G26" s="5" t="e">
        <f>SUMIFS(#REF!,#REF!,$B26,#REF!,G$1)</f>
        <v>#REF!</v>
      </c>
      <c r="H26" s="5" t="e">
        <f>SUMIFS(#REF!,#REF!,$B26,#REF!,H$1)</f>
        <v>#REF!</v>
      </c>
      <c r="I26" s="5" t="e">
        <f>SUMIFS(#REF!,#REF!,$B26,#REF!,I$1)</f>
        <v>#REF!</v>
      </c>
      <c r="J26" s="5" t="e">
        <f>SUMIFS(#REF!,#REF!,$B26,#REF!,J$1)</f>
        <v>#REF!</v>
      </c>
      <c r="K26" s="5" t="e">
        <f>SUMIFS(#REF!,#REF!,$B26,#REF!,K$1)</f>
        <v>#REF!</v>
      </c>
      <c r="L26" s="5" t="e">
        <f>SUMIFS(#REF!,#REF!,$B26,#REF!,L$1)</f>
        <v>#REF!</v>
      </c>
      <c r="M26" s="5" t="e">
        <f>SUMIFS(#REF!,#REF!,$B26,#REF!,M$1)</f>
        <v>#REF!</v>
      </c>
      <c r="N26" s="5" t="e">
        <f>SUMIFS(#REF!,#REF!,$B26,#REF!,N$1)</f>
        <v>#REF!</v>
      </c>
      <c r="O26" s="5" t="e">
        <f>SUMIFS(#REF!,#REF!,$B26,#REF!,O$1)</f>
        <v>#REF!</v>
      </c>
      <c r="P26" s="5" t="e">
        <f>SUMIFS(#REF!,#REF!,$B26,#REF!,P$1)</f>
        <v>#REF!</v>
      </c>
      <c r="Q26" s="5" t="e">
        <f>SUMIFS(#REF!,#REF!,$B26,#REF!,Q$1)</f>
        <v>#REF!</v>
      </c>
      <c r="R26" s="5" t="e">
        <f>SUMIFS(#REF!,#REF!,$B26,#REF!,R$1)</f>
        <v>#REF!</v>
      </c>
      <c r="S26" s="5" t="e">
        <f>SUMIFS(#REF!,#REF!,$B26,#REF!,S$1)</f>
        <v>#REF!</v>
      </c>
      <c r="T26" s="5" t="e">
        <f>SUMIFS(#REF!,#REF!,$B26,#REF!,T$1)</f>
        <v>#REF!</v>
      </c>
      <c r="U26" s="5" t="e">
        <f>SUMIFS(#REF!,#REF!,$B26,#REF!,U$1)</f>
        <v>#REF!</v>
      </c>
      <c r="V26" s="5" t="e">
        <f>SUMIFS(#REF!,#REF!,$B26,#REF!,V$1)</f>
        <v>#REF!</v>
      </c>
      <c r="W26" s="5" t="e">
        <f>SUMIFS(#REF!,#REF!,$B26,#REF!,W$1)</f>
        <v>#REF!</v>
      </c>
      <c r="X26" s="5" t="e">
        <f>SUMIFS(#REF!,#REF!,$B26,#REF!,X$1)</f>
        <v>#REF!</v>
      </c>
      <c r="Y26" s="5" t="e">
        <f>SUMIFS(#REF!,#REF!,$B26,#REF!,Y$1)</f>
        <v>#REF!</v>
      </c>
      <c r="Z26" s="5" t="e">
        <f>SUMIFS(#REF!,#REF!,$B26,#REF!,Z$1)</f>
        <v>#REF!</v>
      </c>
      <c r="AA26" s="5" t="e">
        <f>SUMIFS(#REF!,#REF!,$B26,#REF!,AA$1)</f>
        <v>#REF!</v>
      </c>
      <c r="AB26" s="5" t="e">
        <f>SUMIFS(#REF!,#REF!,$B26,#REF!,AB$1)</f>
        <v>#REF!</v>
      </c>
      <c r="AC26" s="5" t="e">
        <f>SUMIFS(#REF!,#REF!,$B26,#REF!,AC$1)</f>
        <v>#REF!</v>
      </c>
      <c r="AD26" s="5" t="e">
        <f>SUMIFS(#REF!,#REF!,$B26,#REF!,AD$1)</f>
        <v>#REF!</v>
      </c>
      <c r="AE26" s="5" t="e">
        <f>SUMIFS(#REF!,#REF!,$B26,#REF!,AE$1)</f>
        <v>#REF!</v>
      </c>
      <c r="AF26" s="5" t="e">
        <f>SUMIFS(#REF!,#REF!,$B26,#REF!,AF$1)</f>
        <v>#REF!</v>
      </c>
      <c r="AG26" s="5" t="e">
        <f>SUMIFS(#REF!,#REF!,$B26,#REF!,AG$1)</f>
        <v>#REF!</v>
      </c>
      <c r="AH26" s="5" t="e">
        <f>SUMIFS(#REF!,#REF!,$B26,#REF!,AH$1)</f>
        <v>#REF!</v>
      </c>
      <c r="AI26" s="12" t="e">
        <f t="shared" si="1"/>
        <v>#REF!</v>
      </c>
    </row>
  </sheetData>
  <dataValidations count="1">
    <dataValidation type="list" allowBlank="1" showInputMessage="1" showErrorMessage="1" sqref="B3:B10">
      <formula1>$E$4:$E$37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#REF!</xm:f>
          </x14:formula1>
          <xm:sqref>B12:B26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B1:AI26"/>
  <sheetViews>
    <sheetView topLeftCell="A25" zoomScale="80" zoomScaleNormal="80" workbookViewId="0">
      <selection activeCell="B28" sqref="B28:AJ54"/>
    </sheetView>
  </sheetViews>
  <sheetFormatPr defaultRowHeight="14.4" x14ac:dyDescent="0.3"/>
  <cols>
    <col min="1" max="1" width="1.33203125" customWidth="1"/>
    <col min="2" max="2" width="26.88671875" customWidth="1"/>
    <col min="3" max="3" width="6.109375" customWidth="1"/>
    <col min="4" max="34" width="6" customWidth="1"/>
    <col min="35" max="35" width="6.109375" customWidth="1"/>
  </cols>
  <sheetData>
    <row r="1" spans="2:35" ht="15" thickBot="1" x14ac:dyDescent="0.35">
      <c r="D1" s="7">
        <v>43586</v>
      </c>
      <c r="E1" s="7">
        <v>43587</v>
      </c>
      <c r="F1" s="7">
        <v>43588</v>
      </c>
      <c r="G1" s="7">
        <v>43589</v>
      </c>
      <c r="H1" s="7">
        <v>43590</v>
      </c>
      <c r="I1" s="7">
        <v>43591</v>
      </c>
      <c r="J1" s="7">
        <v>43592</v>
      </c>
      <c r="K1" s="7">
        <v>43593</v>
      </c>
      <c r="L1" s="7">
        <v>43594</v>
      </c>
      <c r="M1" s="7">
        <v>43595</v>
      </c>
      <c r="N1" s="7">
        <v>43596</v>
      </c>
      <c r="O1" s="7">
        <v>43597</v>
      </c>
      <c r="P1" s="7">
        <v>43598</v>
      </c>
      <c r="Q1" s="7">
        <v>43599</v>
      </c>
      <c r="R1" s="7">
        <v>43600</v>
      </c>
      <c r="S1" s="7">
        <v>43601</v>
      </c>
      <c r="T1" s="7">
        <v>43602</v>
      </c>
      <c r="U1" s="7">
        <v>43603</v>
      </c>
      <c r="V1" s="7">
        <v>43604</v>
      </c>
      <c r="W1" s="7">
        <v>43605</v>
      </c>
      <c r="X1" s="7">
        <v>43606</v>
      </c>
      <c r="Y1" s="7">
        <v>43607</v>
      </c>
      <c r="Z1" s="7">
        <v>43608</v>
      </c>
      <c r="AA1" s="7">
        <v>43609</v>
      </c>
      <c r="AB1" s="7">
        <v>43610</v>
      </c>
      <c r="AC1" s="7">
        <v>43611</v>
      </c>
      <c r="AD1" s="7">
        <v>43612</v>
      </c>
      <c r="AE1" s="7">
        <v>43613</v>
      </c>
      <c r="AF1" s="7">
        <v>43614</v>
      </c>
      <c r="AG1" s="7">
        <v>43615</v>
      </c>
      <c r="AH1" s="7">
        <v>43616</v>
      </c>
      <c r="AI1" s="8"/>
    </row>
    <row r="2" spans="2:35" ht="16.2" thickBot="1" x14ac:dyDescent="0.35">
      <c r="D2" s="30">
        <v>1</v>
      </c>
      <c r="E2" s="31">
        <v>2</v>
      </c>
      <c r="F2" s="30">
        <v>3</v>
      </c>
      <c r="G2" s="31">
        <v>4</v>
      </c>
      <c r="H2" s="30">
        <v>5</v>
      </c>
      <c r="I2" s="32">
        <v>6</v>
      </c>
      <c r="J2" s="33">
        <v>7</v>
      </c>
      <c r="K2" s="32">
        <v>8</v>
      </c>
      <c r="L2" s="30">
        <v>9</v>
      </c>
      <c r="M2" s="31">
        <v>10</v>
      </c>
      <c r="N2" s="30">
        <v>11</v>
      </c>
      <c r="O2" s="31">
        <v>12</v>
      </c>
      <c r="P2" s="33">
        <v>13</v>
      </c>
      <c r="Q2" s="32">
        <v>14</v>
      </c>
      <c r="R2" s="33">
        <v>15</v>
      </c>
      <c r="S2" s="32">
        <v>16</v>
      </c>
      <c r="T2" s="33">
        <v>17</v>
      </c>
      <c r="U2" s="31">
        <v>18</v>
      </c>
      <c r="V2" s="30">
        <v>19</v>
      </c>
      <c r="W2" s="32">
        <v>20</v>
      </c>
      <c r="X2" s="33">
        <v>21</v>
      </c>
      <c r="Y2" s="32">
        <v>22</v>
      </c>
      <c r="Z2" s="33">
        <v>23</v>
      </c>
      <c r="AA2" s="32">
        <v>24</v>
      </c>
      <c r="AB2" s="30">
        <v>25</v>
      </c>
      <c r="AC2" s="31">
        <v>26</v>
      </c>
      <c r="AD2" s="33">
        <v>27</v>
      </c>
      <c r="AE2" s="32">
        <v>28</v>
      </c>
      <c r="AF2" s="33">
        <v>29</v>
      </c>
      <c r="AG2" s="32">
        <v>30</v>
      </c>
      <c r="AH2" s="33">
        <v>31</v>
      </c>
      <c r="AI2" s="8"/>
    </row>
    <row r="3" spans="2:35" ht="15.6" x14ac:dyDescent="0.3">
      <c r="B3" s="20" t="s">
        <v>25</v>
      </c>
      <c r="C3" s="9">
        <v>22.68</v>
      </c>
      <c r="D3" s="26" t="e">
        <f>SUMIFS(#REF!,#REF!,$B3,#REF!,D$1)</f>
        <v>#REF!</v>
      </c>
      <c r="E3" s="26" t="e">
        <f>SUMIFS(#REF!,#REF!,$B3,#REF!,E$1)</f>
        <v>#REF!</v>
      </c>
      <c r="F3" s="26" t="e">
        <f>SUMIFS(#REF!,#REF!,$B3,#REF!,F$1)</f>
        <v>#REF!</v>
      </c>
      <c r="G3" s="26" t="e">
        <f>SUMIFS(#REF!,#REF!,$B3,#REF!,G$1)</f>
        <v>#REF!</v>
      </c>
      <c r="H3" s="26" t="e">
        <f>SUMIFS(#REF!,#REF!,$B3,#REF!,H$1)</f>
        <v>#REF!</v>
      </c>
      <c r="I3" s="26" t="e">
        <f>SUMIFS(#REF!,#REF!,$B3,#REF!,I$1)</f>
        <v>#REF!</v>
      </c>
      <c r="J3" s="26" t="e">
        <f>SUMIFS(#REF!,#REF!,$B3,#REF!,J$1)</f>
        <v>#REF!</v>
      </c>
      <c r="K3" s="26" t="e">
        <f>SUMIFS(#REF!,#REF!,$B3,#REF!,K$1)</f>
        <v>#REF!</v>
      </c>
      <c r="L3" s="26" t="e">
        <f>SUMIFS(#REF!,#REF!,$B3,#REF!,L$1)</f>
        <v>#REF!</v>
      </c>
      <c r="M3" s="26" t="e">
        <f>SUMIFS(#REF!,#REF!,$B3,#REF!,M$1)</f>
        <v>#REF!</v>
      </c>
      <c r="N3" s="26" t="e">
        <f>SUMIFS(#REF!,#REF!,$B3,#REF!,N$1)</f>
        <v>#REF!</v>
      </c>
      <c r="O3" s="26" t="e">
        <f>SUMIFS(#REF!,#REF!,$B3,#REF!,O$1)</f>
        <v>#REF!</v>
      </c>
      <c r="P3" s="26" t="e">
        <f>SUMIFS(#REF!,#REF!,$B3,#REF!,P$1)</f>
        <v>#REF!</v>
      </c>
      <c r="Q3" s="26" t="e">
        <f>SUMIFS(#REF!,#REF!,$B3,#REF!,Q$1)</f>
        <v>#REF!</v>
      </c>
      <c r="R3" s="26" t="e">
        <f>SUMIFS(#REF!,#REF!,$B3,#REF!,R$1)</f>
        <v>#REF!</v>
      </c>
      <c r="S3" s="26" t="e">
        <f>SUMIFS(#REF!,#REF!,$B3,#REF!,S$1)</f>
        <v>#REF!</v>
      </c>
      <c r="T3" s="26" t="e">
        <f>SUMIFS(#REF!,#REF!,$B3,#REF!,T$1)</f>
        <v>#REF!</v>
      </c>
      <c r="U3" s="26" t="e">
        <f>SUMIFS(#REF!,#REF!,$B3,#REF!,U$1)</f>
        <v>#REF!</v>
      </c>
      <c r="V3" s="26" t="e">
        <f>SUMIFS(#REF!,#REF!,$B3,#REF!,V$1)</f>
        <v>#REF!</v>
      </c>
      <c r="W3" s="26" t="e">
        <f>SUMIFS(#REF!,#REF!,$B3,#REF!,W$1)</f>
        <v>#REF!</v>
      </c>
      <c r="X3" s="26" t="e">
        <f>SUMIFS(#REF!,#REF!,$B3,#REF!,X$1)</f>
        <v>#REF!</v>
      </c>
      <c r="Y3" s="26" t="e">
        <f>SUMIFS(#REF!,#REF!,$B3,#REF!,Y$1)</f>
        <v>#REF!</v>
      </c>
      <c r="Z3" s="26" t="e">
        <f>SUMIFS(#REF!,#REF!,$B3,#REF!,Z$1)</f>
        <v>#REF!</v>
      </c>
      <c r="AA3" s="26" t="e">
        <f>SUMIFS(#REF!,#REF!,$B3,#REF!,AA$1)</f>
        <v>#REF!</v>
      </c>
      <c r="AB3" s="26" t="e">
        <f>SUMIFS(#REF!,#REF!,$B3,#REF!,AB$1)</f>
        <v>#REF!</v>
      </c>
      <c r="AC3" s="26" t="e">
        <f>SUMIFS(#REF!,#REF!,$B3,#REF!,AC$1)</f>
        <v>#REF!</v>
      </c>
      <c r="AD3" s="26" t="e">
        <f>SUMIFS(#REF!,#REF!,$B3,#REF!,AD$1)</f>
        <v>#REF!</v>
      </c>
      <c r="AE3" s="26" t="e">
        <f>SUMIFS(#REF!,#REF!,$B3,#REF!,AE$1)</f>
        <v>#REF!</v>
      </c>
      <c r="AF3" s="26" t="e">
        <f>SUMIFS(#REF!,#REF!,$B3,#REF!,AF$1)</f>
        <v>#REF!</v>
      </c>
      <c r="AG3" s="26" t="e">
        <f>SUMIFS(#REF!,#REF!,$B3,#REF!,AG$1)</f>
        <v>#REF!</v>
      </c>
      <c r="AH3" s="26" t="e">
        <f>SUMIFS(#REF!,#REF!,$B3,#REF!,AH$1)</f>
        <v>#REF!</v>
      </c>
      <c r="AI3" s="34" t="e">
        <f>SUM(D3:AH3)</f>
        <v>#REF!</v>
      </c>
    </row>
    <row r="4" spans="2:35" ht="15.6" x14ac:dyDescent="0.3">
      <c r="B4" s="21" t="s">
        <v>26</v>
      </c>
      <c r="C4" s="10">
        <v>25</v>
      </c>
      <c r="D4" s="5" t="e">
        <f>SUMIFS(#REF!,#REF!,$B4,#REF!,D$1)</f>
        <v>#REF!</v>
      </c>
      <c r="E4" s="5" t="e">
        <f>SUMIFS(#REF!,#REF!,$B4,#REF!,E$1)</f>
        <v>#REF!</v>
      </c>
      <c r="F4" s="5" t="e">
        <f>SUMIFS(#REF!,#REF!,$B4,#REF!,F$1)</f>
        <v>#REF!</v>
      </c>
      <c r="G4" s="5" t="e">
        <f>SUMIFS(#REF!,#REF!,$B4,#REF!,G$1)</f>
        <v>#REF!</v>
      </c>
      <c r="H4" s="5" t="e">
        <f>SUMIFS(#REF!,#REF!,$B4,#REF!,H$1)</f>
        <v>#REF!</v>
      </c>
      <c r="I4" s="5" t="e">
        <f>SUMIFS(#REF!,#REF!,$B4,#REF!,I$1)</f>
        <v>#REF!</v>
      </c>
      <c r="J4" s="5" t="e">
        <f>SUMIFS(#REF!,#REF!,$B4,#REF!,J$1)</f>
        <v>#REF!</v>
      </c>
      <c r="K4" s="5" t="e">
        <f>SUMIFS(#REF!,#REF!,$B4,#REF!,K$1)</f>
        <v>#REF!</v>
      </c>
      <c r="L4" s="5" t="e">
        <f>SUMIFS(#REF!,#REF!,$B4,#REF!,L$1)</f>
        <v>#REF!</v>
      </c>
      <c r="M4" s="5" t="e">
        <f>SUMIFS(#REF!,#REF!,$B4,#REF!,M$1)</f>
        <v>#REF!</v>
      </c>
      <c r="N4" s="5" t="e">
        <f>SUMIFS(#REF!,#REF!,$B4,#REF!,N$1)</f>
        <v>#REF!</v>
      </c>
      <c r="O4" s="5" t="e">
        <f>SUMIFS(#REF!,#REF!,$B4,#REF!,O$1)</f>
        <v>#REF!</v>
      </c>
      <c r="P4" s="5" t="e">
        <f>SUMIFS(#REF!,#REF!,$B4,#REF!,P$1)</f>
        <v>#REF!</v>
      </c>
      <c r="Q4" s="5" t="e">
        <f>SUMIFS(#REF!,#REF!,$B4,#REF!,Q$1)</f>
        <v>#REF!</v>
      </c>
      <c r="R4" s="5" t="e">
        <f>SUMIFS(#REF!,#REF!,$B4,#REF!,R$1)</f>
        <v>#REF!</v>
      </c>
      <c r="S4" s="5" t="e">
        <f>SUMIFS(#REF!,#REF!,$B4,#REF!,S$1)</f>
        <v>#REF!</v>
      </c>
      <c r="T4" s="5" t="e">
        <f>SUMIFS(#REF!,#REF!,$B4,#REF!,T$1)</f>
        <v>#REF!</v>
      </c>
      <c r="U4" s="5" t="e">
        <f>SUMIFS(#REF!,#REF!,$B4,#REF!,U$1)</f>
        <v>#REF!</v>
      </c>
      <c r="V4" s="5" t="e">
        <f>SUMIFS(#REF!,#REF!,$B4,#REF!,V$1)</f>
        <v>#REF!</v>
      </c>
      <c r="W4" s="5" t="e">
        <f>SUMIFS(#REF!,#REF!,$B4,#REF!,W$1)</f>
        <v>#REF!</v>
      </c>
      <c r="X4" s="5" t="e">
        <f>SUMIFS(#REF!,#REF!,$B4,#REF!,X$1)</f>
        <v>#REF!</v>
      </c>
      <c r="Y4" s="5" t="e">
        <f>SUMIFS(#REF!,#REF!,$B4,#REF!,Y$1)</f>
        <v>#REF!</v>
      </c>
      <c r="Z4" s="5" t="e">
        <f>SUMIFS(#REF!,#REF!,$B4,#REF!,Z$1)</f>
        <v>#REF!</v>
      </c>
      <c r="AA4" s="5" t="e">
        <f>SUMIFS(#REF!,#REF!,$B4,#REF!,AA$1)</f>
        <v>#REF!</v>
      </c>
      <c r="AB4" s="5" t="e">
        <f>SUMIFS(#REF!,#REF!,$B4,#REF!,AB$1)</f>
        <v>#REF!</v>
      </c>
      <c r="AC4" s="5" t="e">
        <f>SUMIFS(#REF!,#REF!,$B4,#REF!,AC$1)</f>
        <v>#REF!</v>
      </c>
      <c r="AD4" s="5" t="e">
        <f>SUMIFS(#REF!,#REF!,$B4,#REF!,AD$1)</f>
        <v>#REF!</v>
      </c>
      <c r="AE4" s="5" t="e">
        <f>SUMIFS(#REF!,#REF!,$B4,#REF!,AE$1)</f>
        <v>#REF!</v>
      </c>
      <c r="AF4" s="5" t="e">
        <f>SUMIFS(#REF!,#REF!,$B4,#REF!,AF$1)</f>
        <v>#REF!</v>
      </c>
      <c r="AG4" s="5" t="e">
        <f>SUMIFS(#REF!,#REF!,$B4,#REF!,AG$1)</f>
        <v>#REF!</v>
      </c>
      <c r="AH4" s="5" t="e">
        <f>SUMIFS(#REF!,#REF!,$B4,#REF!,AH$1)</f>
        <v>#REF!</v>
      </c>
      <c r="AI4" s="6" t="e">
        <f t="shared" ref="AI4:AI10" si="0">SUM(D4:AH4)</f>
        <v>#REF!</v>
      </c>
    </row>
    <row r="5" spans="2:35" ht="15.6" x14ac:dyDescent="0.3">
      <c r="B5" s="21" t="s">
        <v>27</v>
      </c>
      <c r="C5" s="10">
        <v>25</v>
      </c>
      <c r="D5" s="5" t="e">
        <f>SUMIFS(#REF!,#REF!,$B5,#REF!,D$1)</f>
        <v>#REF!</v>
      </c>
      <c r="E5" s="5" t="e">
        <f>SUMIFS(#REF!,#REF!,$B5,#REF!,E$1)</f>
        <v>#REF!</v>
      </c>
      <c r="F5" s="5" t="e">
        <f>SUMIFS(#REF!,#REF!,$B5,#REF!,F$1)</f>
        <v>#REF!</v>
      </c>
      <c r="G5" s="5" t="e">
        <f>SUMIFS(#REF!,#REF!,$B5,#REF!,G$1)</f>
        <v>#REF!</v>
      </c>
      <c r="H5" s="5" t="e">
        <f>SUMIFS(#REF!,#REF!,$B5,#REF!,H$1)</f>
        <v>#REF!</v>
      </c>
      <c r="I5" s="5" t="e">
        <f>SUMIFS(#REF!,#REF!,$B5,#REF!,I$1)</f>
        <v>#REF!</v>
      </c>
      <c r="J5" s="5" t="e">
        <f>SUMIFS(#REF!,#REF!,$B5,#REF!,J$1)</f>
        <v>#REF!</v>
      </c>
      <c r="K5" s="5" t="e">
        <f>SUMIFS(#REF!,#REF!,$B5,#REF!,K$1)</f>
        <v>#REF!</v>
      </c>
      <c r="L5" s="5" t="e">
        <f>SUMIFS(#REF!,#REF!,$B5,#REF!,L$1)</f>
        <v>#REF!</v>
      </c>
      <c r="M5" s="5" t="e">
        <f>SUMIFS(#REF!,#REF!,$B5,#REF!,M$1)</f>
        <v>#REF!</v>
      </c>
      <c r="N5" s="5" t="e">
        <f>SUMIFS(#REF!,#REF!,$B5,#REF!,N$1)</f>
        <v>#REF!</v>
      </c>
      <c r="O5" s="5" t="e">
        <f>SUMIFS(#REF!,#REF!,$B5,#REF!,O$1)</f>
        <v>#REF!</v>
      </c>
      <c r="P5" s="5" t="e">
        <f>SUMIFS(#REF!,#REF!,$B5,#REF!,P$1)</f>
        <v>#REF!</v>
      </c>
      <c r="Q5" s="5" t="e">
        <f>SUMIFS(#REF!,#REF!,$B5,#REF!,Q$1)</f>
        <v>#REF!</v>
      </c>
      <c r="R5" s="5" t="e">
        <f>SUMIFS(#REF!,#REF!,$B5,#REF!,R$1)</f>
        <v>#REF!</v>
      </c>
      <c r="S5" s="5" t="e">
        <f>SUMIFS(#REF!,#REF!,$B5,#REF!,S$1)</f>
        <v>#REF!</v>
      </c>
      <c r="T5" s="5" t="e">
        <f>SUMIFS(#REF!,#REF!,$B5,#REF!,T$1)</f>
        <v>#REF!</v>
      </c>
      <c r="U5" s="5" t="e">
        <f>SUMIFS(#REF!,#REF!,$B5,#REF!,U$1)</f>
        <v>#REF!</v>
      </c>
      <c r="V5" s="5" t="e">
        <f>SUMIFS(#REF!,#REF!,$B5,#REF!,V$1)</f>
        <v>#REF!</v>
      </c>
      <c r="W5" s="5" t="e">
        <f>SUMIFS(#REF!,#REF!,$B5,#REF!,W$1)</f>
        <v>#REF!</v>
      </c>
      <c r="X5" s="5" t="e">
        <f>SUMIFS(#REF!,#REF!,$B5,#REF!,X$1)</f>
        <v>#REF!</v>
      </c>
      <c r="Y5" s="5" t="e">
        <f>SUMIFS(#REF!,#REF!,$B5,#REF!,Y$1)</f>
        <v>#REF!</v>
      </c>
      <c r="Z5" s="5" t="e">
        <f>SUMIFS(#REF!,#REF!,$B5,#REF!,Z$1)</f>
        <v>#REF!</v>
      </c>
      <c r="AA5" s="5" t="e">
        <f>SUMIFS(#REF!,#REF!,$B5,#REF!,AA$1)</f>
        <v>#REF!</v>
      </c>
      <c r="AB5" s="5" t="e">
        <f>SUMIFS(#REF!,#REF!,$B5,#REF!,AB$1)</f>
        <v>#REF!</v>
      </c>
      <c r="AC5" s="5" t="e">
        <f>SUMIFS(#REF!,#REF!,$B5,#REF!,AC$1)</f>
        <v>#REF!</v>
      </c>
      <c r="AD5" s="5" t="e">
        <f>SUMIFS(#REF!,#REF!,$B5,#REF!,AD$1)</f>
        <v>#REF!</v>
      </c>
      <c r="AE5" s="5" t="e">
        <f>SUMIFS(#REF!,#REF!,$B5,#REF!,AE$1)</f>
        <v>#REF!</v>
      </c>
      <c r="AF5" s="5" t="e">
        <f>SUMIFS(#REF!,#REF!,$B5,#REF!,AF$1)</f>
        <v>#REF!</v>
      </c>
      <c r="AG5" s="5" t="e">
        <f>SUMIFS(#REF!,#REF!,$B5,#REF!,AG$1)</f>
        <v>#REF!</v>
      </c>
      <c r="AH5" s="5" t="e">
        <f>SUMIFS(#REF!,#REF!,$B5,#REF!,AH$1)</f>
        <v>#REF!</v>
      </c>
      <c r="AI5" s="6" t="e">
        <f t="shared" si="0"/>
        <v>#REF!</v>
      </c>
    </row>
    <row r="6" spans="2:35" ht="15.6" x14ac:dyDescent="0.3">
      <c r="B6" s="21" t="s">
        <v>28</v>
      </c>
      <c r="C6" s="10">
        <v>22.7</v>
      </c>
      <c r="D6" s="5" t="e">
        <f>SUMIFS(#REF!,#REF!,$B6,#REF!,D$1)</f>
        <v>#REF!</v>
      </c>
      <c r="E6" s="5" t="e">
        <f>SUMIFS(#REF!,#REF!,$B6,#REF!,E$1)</f>
        <v>#REF!</v>
      </c>
      <c r="F6" s="5" t="e">
        <f>SUMIFS(#REF!,#REF!,$B6,#REF!,F$1)</f>
        <v>#REF!</v>
      </c>
      <c r="G6" s="5" t="e">
        <f>SUMIFS(#REF!,#REF!,$B6,#REF!,G$1)</f>
        <v>#REF!</v>
      </c>
      <c r="H6" s="5" t="e">
        <f>SUMIFS(#REF!,#REF!,$B6,#REF!,H$1)</f>
        <v>#REF!</v>
      </c>
      <c r="I6" s="5" t="e">
        <f>SUMIFS(#REF!,#REF!,$B6,#REF!,I$1)</f>
        <v>#REF!</v>
      </c>
      <c r="J6" s="5" t="e">
        <f>SUMIFS(#REF!,#REF!,$B6,#REF!,J$1)</f>
        <v>#REF!</v>
      </c>
      <c r="K6" s="5" t="e">
        <f>SUMIFS(#REF!,#REF!,$B6,#REF!,K$1)</f>
        <v>#REF!</v>
      </c>
      <c r="L6" s="5" t="e">
        <f>SUMIFS(#REF!,#REF!,$B6,#REF!,L$1)</f>
        <v>#REF!</v>
      </c>
      <c r="M6" s="5" t="e">
        <f>SUMIFS(#REF!,#REF!,$B6,#REF!,M$1)</f>
        <v>#REF!</v>
      </c>
      <c r="N6" s="5" t="e">
        <f>SUMIFS(#REF!,#REF!,$B6,#REF!,N$1)</f>
        <v>#REF!</v>
      </c>
      <c r="O6" s="5" t="e">
        <f>SUMIFS(#REF!,#REF!,$B6,#REF!,O$1)</f>
        <v>#REF!</v>
      </c>
      <c r="P6" s="5" t="e">
        <f>SUMIFS(#REF!,#REF!,$B6,#REF!,P$1)</f>
        <v>#REF!</v>
      </c>
      <c r="Q6" s="5" t="e">
        <f>SUMIFS(#REF!,#REF!,$B6,#REF!,Q$1)</f>
        <v>#REF!</v>
      </c>
      <c r="R6" s="5" t="e">
        <f>SUMIFS(#REF!,#REF!,$B6,#REF!,R$1)</f>
        <v>#REF!</v>
      </c>
      <c r="S6" s="5" t="e">
        <f>SUMIFS(#REF!,#REF!,$B6,#REF!,S$1)</f>
        <v>#REF!</v>
      </c>
      <c r="T6" s="5" t="e">
        <f>SUMIFS(#REF!,#REF!,$B6,#REF!,T$1)</f>
        <v>#REF!</v>
      </c>
      <c r="U6" s="5" t="e">
        <f>SUMIFS(#REF!,#REF!,$B6,#REF!,U$1)</f>
        <v>#REF!</v>
      </c>
      <c r="V6" s="5" t="e">
        <f>SUMIFS(#REF!,#REF!,$B6,#REF!,V$1)</f>
        <v>#REF!</v>
      </c>
      <c r="W6" s="5" t="e">
        <f>SUMIFS(#REF!,#REF!,$B6,#REF!,W$1)</f>
        <v>#REF!</v>
      </c>
      <c r="X6" s="5" t="e">
        <f>SUMIFS(#REF!,#REF!,$B6,#REF!,X$1)</f>
        <v>#REF!</v>
      </c>
      <c r="Y6" s="5" t="e">
        <f>SUMIFS(#REF!,#REF!,$B6,#REF!,Y$1)</f>
        <v>#REF!</v>
      </c>
      <c r="Z6" s="5" t="e">
        <f>SUMIFS(#REF!,#REF!,$B6,#REF!,Z$1)</f>
        <v>#REF!</v>
      </c>
      <c r="AA6" s="5" t="e">
        <f>SUMIFS(#REF!,#REF!,$B6,#REF!,AA$1)</f>
        <v>#REF!</v>
      </c>
      <c r="AB6" s="5" t="e">
        <f>SUMIFS(#REF!,#REF!,$B6,#REF!,AB$1)</f>
        <v>#REF!</v>
      </c>
      <c r="AC6" s="5" t="e">
        <f>SUMIFS(#REF!,#REF!,$B6,#REF!,AC$1)</f>
        <v>#REF!</v>
      </c>
      <c r="AD6" s="5" t="e">
        <f>SUMIFS(#REF!,#REF!,$B6,#REF!,AD$1)</f>
        <v>#REF!</v>
      </c>
      <c r="AE6" s="5" t="e">
        <f>SUMIFS(#REF!,#REF!,$B6,#REF!,AE$1)</f>
        <v>#REF!</v>
      </c>
      <c r="AF6" s="5" t="e">
        <f>SUMIFS(#REF!,#REF!,$B6,#REF!,AF$1)</f>
        <v>#REF!</v>
      </c>
      <c r="AG6" s="5" t="e">
        <f>SUMIFS(#REF!,#REF!,$B6,#REF!,AG$1)</f>
        <v>#REF!</v>
      </c>
      <c r="AH6" s="5" t="e">
        <f>SUMIFS(#REF!,#REF!,$B6,#REF!,AH$1)</f>
        <v>#REF!</v>
      </c>
      <c r="AI6" s="6" t="e">
        <f>SUM(D6:AH6)</f>
        <v>#REF!</v>
      </c>
    </row>
    <row r="7" spans="2:35" ht="15.6" x14ac:dyDescent="0.3">
      <c r="B7" s="21" t="s">
        <v>29</v>
      </c>
      <c r="C7" s="10">
        <v>22.7</v>
      </c>
      <c r="D7" s="5" t="e">
        <f>SUMIFS(#REF!,#REF!,$B7,#REF!,D$1)</f>
        <v>#REF!</v>
      </c>
      <c r="E7" s="5" t="e">
        <f>SUMIFS(#REF!,#REF!,$B7,#REF!,E$1)</f>
        <v>#REF!</v>
      </c>
      <c r="F7" s="5" t="e">
        <f>SUMIFS(#REF!,#REF!,$B7,#REF!,F$1)</f>
        <v>#REF!</v>
      </c>
      <c r="G7" s="5" t="e">
        <f>SUMIFS(#REF!,#REF!,$B7,#REF!,G$1)</f>
        <v>#REF!</v>
      </c>
      <c r="H7" s="5" t="e">
        <f>SUMIFS(#REF!,#REF!,$B7,#REF!,H$1)</f>
        <v>#REF!</v>
      </c>
      <c r="I7" s="5" t="e">
        <f>SUMIFS(#REF!,#REF!,$B7,#REF!,I$1)</f>
        <v>#REF!</v>
      </c>
      <c r="J7" s="5" t="e">
        <f>SUMIFS(#REF!,#REF!,$B7,#REF!,J$1)</f>
        <v>#REF!</v>
      </c>
      <c r="K7" s="5" t="e">
        <f>SUMIFS(#REF!,#REF!,$B7,#REF!,K$1)</f>
        <v>#REF!</v>
      </c>
      <c r="L7" s="5" t="e">
        <f>SUMIFS(#REF!,#REF!,$B7,#REF!,L$1)</f>
        <v>#REF!</v>
      </c>
      <c r="M7" s="5" t="e">
        <f>SUMIFS(#REF!,#REF!,$B7,#REF!,M$1)</f>
        <v>#REF!</v>
      </c>
      <c r="N7" s="5" t="e">
        <f>SUMIFS(#REF!,#REF!,$B7,#REF!,N$1)</f>
        <v>#REF!</v>
      </c>
      <c r="O7" s="5" t="e">
        <f>SUMIFS(#REF!,#REF!,$B7,#REF!,O$1)</f>
        <v>#REF!</v>
      </c>
      <c r="P7" s="5" t="e">
        <f>SUMIFS(#REF!,#REF!,$B7,#REF!,P$1)</f>
        <v>#REF!</v>
      </c>
      <c r="Q7" s="5" t="e">
        <f>SUMIFS(#REF!,#REF!,$B7,#REF!,Q$1)</f>
        <v>#REF!</v>
      </c>
      <c r="R7" s="5" t="e">
        <f>SUMIFS(#REF!,#REF!,$B7,#REF!,R$1)</f>
        <v>#REF!</v>
      </c>
      <c r="S7" s="5" t="e">
        <f>SUMIFS(#REF!,#REF!,$B7,#REF!,S$1)</f>
        <v>#REF!</v>
      </c>
      <c r="T7" s="5" t="e">
        <f>SUMIFS(#REF!,#REF!,$B7,#REF!,T$1)</f>
        <v>#REF!</v>
      </c>
      <c r="U7" s="5" t="e">
        <f>SUMIFS(#REF!,#REF!,$B7,#REF!,U$1)</f>
        <v>#REF!</v>
      </c>
      <c r="V7" s="5" t="e">
        <f>SUMIFS(#REF!,#REF!,$B7,#REF!,V$1)</f>
        <v>#REF!</v>
      </c>
      <c r="W7" s="5" t="e">
        <f>SUMIFS(#REF!,#REF!,$B7,#REF!,W$1)</f>
        <v>#REF!</v>
      </c>
      <c r="X7" s="5" t="e">
        <f>SUMIFS(#REF!,#REF!,$B7,#REF!,X$1)</f>
        <v>#REF!</v>
      </c>
      <c r="Y7" s="5" t="e">
        <f>SUMIFS(#REF!,#REF!,$B7,#REF!,Y$1)</f>
        <v>#REF!</v>
      </c>
      <c r="Z7" s="5" t="e">
        <f>SUMIFS(#REF!,#REF!,$B7,#REF!,Z$1)</f>
        <v>#REF!</v>
      </c>
      <c r="AA7" s="5" t="e">
        <f>SUMIFS(#REF!,#REF!,$B7,#REF!,AA$1)</f>
        <v>#REF!</v>
      </c>
      <c r="AB7" s="5" t="e">
        <f>SUMIFS(#REF!,#REF!,$B7,#REF!,AB$1)</f>
        <v>#REF!</v>
      </c>
      <c r="AC7" s="5" t="e">
        <f>SUMIFS(#REF!,#REF!,$B7,#REF!,AC$1)</f>
        <v>#REF!</v>
      </c>
      <c r="AD7" s="5" t="e">
        <f>SUMIFS(#REF!,#REF!,$B7,#REF!,AD$1)</f>
        <v>#REF!</v>
      </c>
      <c r="AE7" s="5" t="e">
        <f>SUMIFS(#REF!,#REF!,$B7,#REF!,AE$1)</f>
        <v>#REF!</v>
      </c>
      <c r="AF7" s="5" t="e">
        <f>SUMIFS(#REF!,#REF!,$B7,#REF!,AF$1)</f>
        <v>#REF!</v>
      </c>
      <c r="AG7" s="5" t="e">
        <f>SUMIFS(#REF!,#REF!,$B7,#REF!,AG$1)</f>
        <v>#REF!</v>
      </c>
      <c r="AH7" s="5" t="e">
        <f>SUMIFS(#REF!,#REF!,$B7,#REF!,AH$1)</f>
        <v>#REF!</v>
      </c>
      <c r="AI7" s="6" t="e">
        <f t="shared" si="0"/>
        <v>#REF!</v>
      </c>
    </row>
    <row r="8" spans="2:35" ht="15.6" x14ac:dyDescent="0.3">
      <c r="B8" s="22" t="s">
        <v>18</v>
      </c>
      <c r="C8" s="10">
        <v>22.7</v>
      </c>
      <c r="D8" s="5" t="e">
        <f>SUMIFS(#REF!,#REF!,$B8,#REF!,D$1)</f>
        <v>#REF!</v>
      </c>
      <c r="E8" s="5" t="e">
        <f>SUMIFS(#REF!,#REF!,$B8,#REF!,E$1)</f>
        <v>#REF!</v>
      </c>
      <c r="F8" s="5" t="e">
        <f>SUMIFS(#REF!,#REF!,$B8,#REF!,F$1)</f>
        <v>#REF!</v>
      </c>
      <c r="G8" s="5" t="e">
        <f>SUMIFS(#REF!,#REF!,$B8,#REF!,G$1)</f>
        <v>#REF!</v>
      </c>
      <c r="H8" s="5" t="e">
        <f>SUMIFS(#REF!,#REF!,$B8,#REF!,H$1)</f>
        <v>#REF!</v>
      </c>
      <c r="I8" s="5" t="e">
        <f>SUMIFS(#REF!,#REF!,$B8,#REF!,I$1)</f>
        <v>#REF!</v>
      </c>
      <c r="J8" s="5" t="e">
        <f>SUMIFS(#REF!,#REF!,$B8,#REF!,J$1)</f>
        <v>#REF!</v>
      </c>
      <c r="K8" s="5" t="e">
        <f>SUMIFS(#REF!,#REF!,$B8,#REF!,K$1)</f>
        <v>#REF!</v>
      </c>
      <c r="L8" s="5" t="e">
        <f>SUMIFS(#REF!,#REF!,$B8,#REF!,L$1)</f>
        <v>#REF!</v>
      </c>
      <c r="M8" s="5" t="e">
        <f>SUMIFS(#REF!,#REF!,$B8,#REF!,M$1)</f>
        <v>#REF!</v>
      </c>
      <c r="N8" s="5" t="e">
        <f>SUMIFS(#REF!,#REF!,$B8,#REF!,N$1)</f>
        <v>#REF!</v>
      </c>
      <c r="O8" s="5" t="e">
        <f>SUMIFS(#REF!,#REF!,$B8,#REF!,O$1)</f>
        <v>#REF!</v>
      </c>
      <c r="P8" s="5" t="e">
        <f>SUMIFS(#REF!,#REF!,$B8,#REF!,P$1)</f>
        <v>#REF!</v>
      </c>
      <c r="Q8" s="5" t="e">
        <f>SUMIFS(#REF!,#REF!,$B8,#REF!,Q$1)</f>
        <v>#REF!</v>
      </c>
      <c r="R8" s="5" t="e">
        <f>SUMIFS(#REF!,#REF!,$B8,#REF!,R$1)</f>
        <v>#REF!</v>
      </c>
      <c r="S8" s="5" t="e">
        <f>SUMIFS(#REF!,#REF!,$B8,#REF!,S$1)</f>
        <v>#REF!</v>
      </c>
      <c r="T8" s="5" t="e">
        <f>SUMIFS(#REF!,#REF!,$B8,#REF!,T$1)</f>
        <v>#REF!</v>
      </c>
      <c r="U8" s="5" t="e">
        <f>SUMIFS(#REF!,#REF!,$B8,#REF!,U$1)</f>
        <v>#REF!</v>
      </c>
      <c r="V8" s="5" t="e">
        <f>SUMIFS(#REF!,#REF!,$B8,#REF!,V$1)</f>
        <v>#REF!</v>
      </c>
      <c r="W8" s="5" t="e">
        <f>SUMIFS(#REF!,#REF!,$B8,#REF!,W$1)</f>
        <v>#REF!</v>
      </c>
      <c r="X8" s="5" t="e">
        <f>SUMIFS(#REF!,#REF!,$B8,#REF!,X$1)</f>
        <v>#REF!</v>
      </c>
      <c r="Y8" s="5" t="e">
        <f>SUMIFS(#REF!,#REF!,$B8,#REF!,Y$1)</f>
        <v>#REF!</v>
      </c>
      <c r="Z8" s="5" t="e">
        <f>SUMIFS(#REF!,#REF!,$B8,#REF!,Z$1)</f>
        <v>#REF!</v>
      </c>
      <c r="AA8" s="5" t="e">
        <f>SUMIFS(#REF!,#REF!,$B8,#REF!,AA$1)</f>
        <v>#REF!</v>
      </c>
      <c r="AB8" s="5" t="e">
        <f>SUMIFS(#REF!,#REF!,$B8,#REF!,AB$1)</f>
        <v>#REF!</v>
      </c>
      <c r="AC8" s="5" t="e">
        <f>SUMIFS(#REF!,#REF!,$B8,#REF!,AC$1)</f>
        <v>#REF!</v>
      </c>
      <c r="AD8" s="5" t="e">
        <f>SUMIFS(#REF!,#REF!,$B8,#REF!,AD$1)</f>
        <v>#REF!</v>
      </c>
      <c r="AE8" s="5" t="e">
        <f>SUMIFS(#REF!,#REF!,$B8,#REF!,AE$1)</f>
        <v>#REF!</v>
      </c>
      <c r="AF8" s="5" t="e">
        <f>SUMIFS(#REF!,#REF!,$B8,#REF!,AF$1)</f>
        <v>#REF!</v>
      </c>
      <c r="AG8" s="5" t="e">
        <f>SUMIFS(#REF!,#REF!,$B8,#REF!,AG$1)</f>
        <v>#REF!</v>
      </c>
      <c r="AH8" s="5" t="e">
        <f>SUMIFS(#REF!,#REF!,$B8,#REF!,AH$1)</f>
        <v>#REF!</v>
      </c>
      <c r="AI8" s="6" t="e">
        <f>SUM(D8:AH8)</f>
        <v>#REF!</v>
      </c>
    </row>
    <row r="9" spans="2:35" ht="15.6" x14ac:dyDescent="0.3">
      <c r="B9" s="21" t="s">
        <v>30</v>
      </c>
      <c r="C9" s="10">
        <v>25</v>
      </c>
      <c r="D9" s="5" t="e">
        <f>SUMIFS(#REF!,#REF!,$B9,#REF!,D$1)</f>
        <v>#REF!</v>
      </c>
      <c r="E9" s="5" t="e">
        <f>SUMIFS(#REF!,#REF!,$B9,#REF!,E$1)</f>
        <v>#REF!</v>
      </c>
      <c r="F9" s="5" t="e">
        <f>SUMIFS(#REF!,#REF!,$B9,#REF!,F$1)</f>
        <v>#REF!</v>
      </c>
      <c r="G9" s="5" t="e">
        <f>SUMIFS(#REF!,#REF!,$B9,#REF!,G$1)</f>
        <v>#REF!</v>
      </c>
      <c r="H9" s="5" t="e">
        <f>SUMIFS(#REF!,#REF!,$B9,#REF!,H$1)</f>
        <v>#REF!</v>
      </c>
      <c r="I9" s="5" t="e">
        <f>SUMIFS(#REF!,#REF!,$B9,#REF!,I$1)</f>
        <v>#REF!</v>
      </c>
      <c r="J9" s="5" t="e">
        <f>SUMIFS(#REF!,#REF!,$B9,#REF!,J$1)</f>
        <v>#REF!</v>
      </c>
      <c r="K9" s="5" t="e">
        <f>SUMIFS(#REF!,#REF!,$B9,#REF!,K$1)</f>
        <v>#REF!</v>
      </c>
      <c r="L9" s="5" t="e">
        <f>SUMIFS(#REF!,#REF!,$B9,#REF!,L$1)</f>
        <v>#REF!</v>
      </c>
      <c r="M9" s="5" t="e">
        <f>SUMIFS(#REF!,#REF!,$B9,#REF!,M$1)</f>
        <v>#REF!</v>
      </c>
      <c r="N9" s="5" t="e">
        <f>SUMIFS(#REF!,#REF!,$B9,#REF!,N$1)</f>
        <v>#REF!</v>
      </c>
      <c r="O9" s="5" t="e">
        <f>SUMIFS(#REF!,#REF!,$B9,#REF!,O$1)</f>
        <v>#REF!</v>
      </c>
      <c r="P9" s="5" t="e">
        <f>SUMIFS(#REF!,#REF!,$B9,#REF!,P$1)</f>
        <v>#REF!</v>
      </c>
      <c r="Q9" s="5" t="e">
        <f>SUMIFS(#REF!,#REF!,$B9,#REF!,Q$1)</f>
        <v>#REF!</v>
      </c>
      <c r="R9" s="5" t="e">
        <f>SUMIFS(#REF!,#REF!,$B9,#REF!,R$1)</f>
        <v>#REF!</v>
      </c>
      <c r="S9" s="5" t="e">
        <f>SUMIFS(#REF!,#REF!,$B9,#REF!,S$1)</f>
        <v>#REF!</v>
      </c>
      <c r="T9" s="5" t="e">
        <f>SUMIFS(#REF!,#REF!,$B9,#REF!,T$1)</f>
        <v>#REF!</v>
      </c>
      <c r="U9" s="5" t="e">
        <f>SUMIFS(#REF!,#REF!,$B9,#REF!,U$1)</f>
        <v>#REF!</v>
      </c>
      <c r="V9" s="5" t="e">
        <f>SUMIFS(#REF!,#REF!,$B9,#REF!,V$1)</f>
        <v>#REF!</v>
      </c>
      <c r="W9" s="5" t="e">
        <f>SUMIFS(#REF!,#REF!,$B9,#REF!,W$1)</f>
        <v>#REF!</v>
      </c>
      <c r="X9" s="5" t="e">
        <f>SUMIFS(#REF!,#REF!,$B9,#REF!,X$1)</f>
        <v>#REF!</v>
      </c>
      <c r="Y9" s="5" t="e">
        <f>SUMIFS(#REF!,#REF!,$B9,#REF!,Y$1)</f>
        <v>#REF!</v>
      </c>
      <c r="Z9" s="5" t="e">
        <f>SUMIFS(#REF!,#REF!,$B9,#REF!,Z$1)</f>
        <v>#REF!</v>
      </c>
      <c r="AA9" s="5" t="e">
        <f>SUMIFS(#REF!,#REF!,$B9,#REF!,AA$1)</f>
        <v>#REF!</v>
      </c>
      <c r="AB9" s="5" t="e">
        <f>SUMIFS(#REF!,#REF!,$B9,#REF!,AB$1)</f>
        <v>#REF!</v>
      </c>
      <c r="AC9" s="5" t="e">
        <f>SUMIFS(#REF!,#REF!,$B9,#REF!,AC$1)</f>
        <v>#REF!</v>
      </c>
      <c r="AD9" s="5" t="e">
        <f>SUMIFS(#REF!,#REF!,$B9,#REF!,AD$1)</f>
        <v>#REF!</v>
      </c>
      <c r="AE9" s="5" t="e">
        <f>SUMIFS(#REF!,#REF!,$B9,#REF!,AE$1)</f>
        <v>#REF!</v>
      </c>
      <c r="AF9" s="5" t="e">
        <f>SUMIFS(#REF!,#REF!,$B9,#REF!,AF$1)</f>
        <v>#REF!</v>
      </c>
      <c r="AG9" s="5" t="e">
        <f>SUMIFS(#REF!,#REF!,$B9,#REF!,AG$1)</f>
        <v>#REF!</v>
      </c>
      <c r="AH9" s="5" t="e">
        <f>SUMIFS(#REF!,#REF!,$B9,#REF!,AH$1)</f>
        <v>#REF!</v>
      </c>
      <c r="AI9" s="6" t="e">
        <f t="shared" si="0"/>
        <v>#REF!</v>
      </c>
    </row>
    <row r="10" spans="2:35" ht="16.2" thickBot="1" x14ac:dyDescent="0.35">
      <c r="B10" s="35" t="s">
        <v>31</v>
      </c>
      <c r="C10" s="36">
        <v>22.7</v>
      </c>
      <c r="D10" s="37" t="e">
        <f>SUMIFS(#REF!,#REF!,$B10,#REF!,D$1)</f>
        <v>#REF!</v>
      </c>
      <c r="E10" s="37" t="e">
        <f>SUMIFS(#REF!,#REF!,$B10,#REF!,E$1)</f>
        <v>#REF!</v>
      </c>
      <c r="F10" s="37" t="e">
        <f>SUMIFS(#REF!,#REF!,$B10,#REF!,F$1)</f>
        <v>#REF!</v>
      </c>
      <c r="G10" s="37" t="e">
        <f>SUMIFS(#REF!,#REF!,$B10,#REF!,G$1)</f>
        <v>#REF!</v>
      </c>
      <c r="H10" s="37" t="e">
        <f>SUMIFS(#REF!,#REF!,$B10,#REF!,H$1)</f>
        <v>#REF!</v>
      </c>
      <c r="I10" s="37" t="e">
        <f>SUMIFS(#REF!,#REF!,$B10,#REF!,I$1)</f>
        <v>#REF!</v>
      </c>
      <c r="J10" s="37" t="e">
        <f>SUMIFS(#REF!,#REF!,$B10,#REF!,J$1)</f>
        <v>#REF!</v>
      </c>
      <c r="K10" s="37" t="e">
        <f>SUMIFS(#REF!,#REF!,$B10,#REF!,K$1)</f>
        <v>#REF!</v>
      </c>
      <c r="L10" s="37" t="e">
        <f>SUMIFS(#REF!,#REF!,$B10,#REF!,L$1)</f>
        <v>#REF!</v>
      </c>
      <c r="M10" s="37" t="e">
        <f>SUMIFS(#REF!,#REF!,$B10,#REF!,M$1)</f>
        <v>#REF!</v>
      </c>
      <c r="N10" s="37" t="e">
        <f>SUMIFS(#REF!,#REF!,$B10,#REF!,N$1)</f>
        <v>#REF!</v>
      </c>
      <c r="O10" s="37" t="e">
        <f>SUMIFS(#REF!,#REF!,$B10,#REF!,O$1)</f>
        <v>#REF!</v>
      </c>
      <c r="P10" s="37" t="e">
        <f>SUMIFS(#REF!,#REF!,$B10,#REF!,P$1)</f>
        <v>#REF!</v>
      </c>
      <c r="Q10" s="37" t="e">
        <f>SUMIFS(#REF!,#REF!,$B10,#REF!,Q$1)</f>
        <v>#REF!</v>
      </c>
      <c r="R10" s="37" t="e">
        <f>SUMIFS(#REF!,#REF!,$B10,#REF!,R$1)</f>
        <v>#REF!</v>
      </c>
      <c r="S10" s="37" t="e">
        <f>SUMIFS(#REF!,#REF!,$B10,#REF!,S$1)</f>
        <v>#REF!</v>
      </c>
      <c r="T10" s="37" t="e">
        <f>SUMIFS(#REF!,#REF!,$B10,#REF!,T$1)</f>
        <v>#REF!</v>
      </c>
      <c r="U10" s="37" t="e">
        <f>SUMIFS(#REF!,#REF!,$B10,#REF!,U$1)</f>
        <v>#REF!</v>
      </c>
      <c r="V10" s="37" t="e">
        <f>SUMIFS(#REF!,#REF!,$B10,#REF!,V$1)</f>
        <v>#REF!</v>
      </c>
      <c r="W10" s="37" t="e">
        <f>SUMIFS(#REF!,#REF!,$B10,#REF!,W$1)</f>
        <v>#REF!</v>
      </c>
      <c r="X10" s="37" t="e">
        <f>SUMIFS(#REF!,#REF!,$B10,#REF!,X$1)</f>
        <v>#REF!</v>
      </c>
      <c r="Y10" s="37" t="e">
        <f>SUMIFS(#REF!,#REF!,$B10,#REF!,Y$1)</f>
        <v>#REF!</v>
      </c>
      <c r="Z10" s="37" t="e">
        <f>SUMIFS(#REF!,#REF!,$B10,#REF!,Z$1)</f>
        <v>#REF!</v>
      </c>
      <c r="AA10" s="37" t="e">
        <f>SUMIFS(#REF!,#REF!,$B10,#REF!,AA$1)</f>
        <v>#REF!</v>
      </c>
      <c r="AB10" s="37" t="e">
        <f>SUMIFS(#REF!,#REF!,$B10,#REF!,AB$1)</f>
        <v>#REF!</v>
      </c>
      <c r="AC10" s="37" t="e">
        <f>SUMIFS(#REF!,#REF!,$B10,#REF!,AC$1)</f>
        <v>#REF!</v>
      </c>
      <c r="AD10" s="37" t="e">
        <f>SUMIFS(#REF!,#REF!,$B10,#REF!,AD$1)</f>
        <v>#REF!</v>
      </c>
      <c r="AE10" s="37" t="e">
        <f>SUMIFS(#REF!,#REF!,$B10,#REF!,AE$1)</f>
        <v>#REF!</v>
      </c>
      <c r="AF10" s="37" t="e">
        <f>SUMIFS(#REF!,#REF!,$B10,#REF!,AF$1)</f>
        <v>#REF!</v>
      </c>
      <c r="AG10" s="37" t="e">
        <f>SUMIFS(#REF!,#REF!,$B10,#REF!,AG$1)</f>
        <v>#REF!</v>
      </c>
      <c r="AH10" s="37" t="e">
        <f>SUMIFS(#REF!,#REF!,$B10,#REF!,AH$1)</f>
        <v>#REF!</v>
      </c>
      <c r="AI10" s="38" t="e">
        <f t="shared" si="0"/>
        <v>#REF!</v>
      </c>
    </row>
    <row r="11" spans="2:35" ht="15" thickBot="1" x14ac:dyDescent="0.35"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</row>
    <row r="12" spans="2:35" ht="15.6" x14ac:dyDescent="0.3">
      <c r="B12" s="24" t="s">
        <v>24</v>
      </c>
      <c r="C12" s="25">
        <v>20</v>
      </c>
      <c r="D12" s="26" t="e">
        <f>SUMIFS(#REF!,#REF!,$B12,#REF!,D$1)</f>
        <v>#REF!</v>
      </c>
      <c r="E12" s="26" t="e">
        <f>SUMIFS(#REF!,#REF!,$B12,#REF!,E$1)</f>
        <v>#REF!</v>
      </c>
      <c r="F12" s="26" t="e">
        <f>SUMIFS(#REF!,#REF!,$B12,#REF!,F$1)</f>
        <v>#REF!</v>
      </c>
      <c r="G12" s="26" t="e">
        <f>SUMIFS(#REF!,#REF!,$B12,#REF!,G$1)</f>
        <v>#REF!</v>
      </c>
      <c r="H12" s="26" t="e">
        <f>SUMIFS(#REF!,#REF!,$B12,#REF!,H$1)</f>
        <v>#REF!</v>
      </c>
      <c r="I12" s="26" t="e">
        <f>SUMIFS(#REF!,#REF!,$B12,#REF!,I$1)</f>
        <v>#REF!</v>
      </c>
      <c r="J12" s="26" t="e">
        <f>SUMIFS(#REF!,#REF!,$B12,#REF!,J$1)</f>
        <v>#REF!</v>
      </c>
      <c r="K12" s="26" t="e">
        <f>SUMIFS(#REF!,#REF!,$B12,#REF!,K$1)</f>
        <v>#REF!</v>
      </c>
      <c r="L12" s="26" t="e">
        <f>SUMIFS(#REF!,#REF!,$B12,#REF!,L$1)</f>
        <v>#REF!</v>
      </c>
      <c r="M12" s="26" t="e">
        <f>SUMIFS(#REF!,#REF!,$B12,#REF!,M$1)</f>
        <v>#REF!</v>
      </c>
      <c r="N12" s="26" t="e">
        <f>SUMIFS(#REF!,#REF!,$B12,#REF!,N$1)</f>
        <v>#REF!</v>
      </c>
      <c r="O12" s="26" t="e">
        <f>SUMIFS(#REF!,#REF!,$B12,#REF!,O$1)</f>
        <v>#REF!</v>
      </c>
      <c r="P12" s="26" t="e">
        <f>SUMIFS(#REF!,#REF!,$B12,#REF!,P$1)</f>
        <v>#REF!</v>
      </c>
      <c r="Q12" s="26" t="e">
        <f>SUMIFS(#REF!,#REF!,$B12,#REF!,Q$1)</f>
        <v>#REF!</v>
      </c>
      <c r="R12" s="26" t="e">
        <f>SUMIFS(#REF!,#REF!,$B12,#REF!,R$1)</f>
        <v>#REF!</v>
      </c>
      <c r="S12" s="26" t="e">
        <f>SUMIFS(#REF!,#REF!,$B12,#REF!,S$1)</f>
        <v>#REF!</v>
      </c>
      <c r="T12" s="26" t="e">
        <f>SUMIFS(#REF!,#REF!,$B12,#REF!,T$1)</f>
        <v>#REF!</v>
      </c>
      <c r="U12" s="26" t="e">
        <f>SUMIFS(#REF!,#REF!,$B12,#REF!,U$1)</f>
        <v>#REF!</v>
      </c>
      <c r="V12" s="26" t="e">
        <f>SUMIFS(#REF!,#REF!,$B12,#REF!,V$1)</f>
        <v>#REF!</v>
      </c>
      <c r="W12" s="26" t="e">
        <f>SUMIFS(#REF!,#REF!,$B12,#REF!,W$1)</f>
        <v>#REF!</v>
      </c>
      <c r="X12" s="26" t="e">
        <f>SUMIFS(#REF!,#REF!,$B12,#REF!,X$1)</f>
        <v>#REF!</v>
      </c>
      <c r="Y12" s="26" t="e">
        <f>SUMIFS(#REF!,#REF!,$B12,#REF!,Y$1)</f>
        <v>#REF!</v>
      </c>
      <c r="Z12" s="26" t="e">
        <f>SUMIFS(#REF!,#REF!,$B12,#REF!,Z$1)</f>
        <v>#REF!</v>
      </c>
      <c r="AA12" s="26" t="e">
        <f>SUMIFS(#REF!,#REF!,$B12,#REF!,AA$1)</f>
        <v>#REF!</v>
      </c>
      <c r="AB12" s="26" t="e">
        <f>SUMIFS(#REF!,#REF!,$B12,#REF!,AB$1)</f>
        <v>#REF!</v>
      </c>
      <c r="AC12" s="26" t="e">
        <f>SUMIFS(#REF!,#REF!,$B12,#REF!,AC$1)</f>
        <v>#REF!</v>
      </c>
      <c r="AD12" s="26" t="e">
        <f>SUMIFS(#REF!,#REF!,$B12,#REF!,AD$1)</f>
        <v>#REF!</v>
      </c>
      <c r="AE12" s="26" t="e">
        <f>SUMIFS(#REF!,#REF!,$B12,#REF!,AE$1)</f>
        <v>#REF!</v>
      </c>
      <c r="AF12" s="26" t="e">
        <f>SUMIFS(#REF!,#REF!,$B12,#REF!,AF$1)</f>
        <v>#REF!</v>
      </c>
      <c r="AG12" s="26" t="e">
        <f>SUMIFS(#REF!,#REF!,$B12,#REF!,AG$1)</f>
        <v>#REF!</v>
      </c>
      <c r="AH12" s="26" t="e">
        <f>SUMIFS(#REF!,#REF!,$B12,#REF!,AH$1)</f>
        <v>#REF!</v>
      </c>
      <c r="AI12" s="27" t="e">
        <f>SUM(D12:AH12)</f>
        <v>#REF!</v>
      </c>
    </row>
    <row r="13" spans="2:35" ht="15.6" x14ac:dyDescent="0.3">
      <c r="B13" s="13" t="s">
        <v>21</v>
      </c>
      <c r="C13" s="14">
        <v>20</v>
      </c>
      <c r="D13" s="5" t="e">
        <f>SUMIFS(#REF!,#REF!,$B13,#REF!,D$1)</f>
        <v>#REF!</v>
      </c>
      <c r="E13" s="5" t="e">
        <f>SUMIFS(#REF!,#REF!,$B13,#REF!,E$1)</f>
        <v>#REF!</v>
      </c>
      <c r="F13" s="5" t="e">
        <f>SUMIFS(#REF!,#REF!,$B13,#REF!,F$1)</f>
        <v>#REF!</v>
      </c>
      <c r="G13" s="5" t="e">
        <f>SUMIFS(#REF!,#REF!,$B13,#REF!,G$1)</f>
        <v>#REF!</v>
      </c>
      <c r="H13" s="5" t="e">
        <f>SUMIFS(#REF!,#REF!,$B13,#REF!,H$1)</f>
        <v>#REF!</v>
      </c>
      <c r="I13" s="5" t="e">
        <f>SUMIFS(#REF!,#REF!,$B13,#REF!,I$1)</f>
        <v>#REF!</v>
      </c>
      <c r="J13" s="5" t="e">
        <f>SUMIFS(#REF!,#REF!,$B13,#REF!,J$1)</f>
        <v>#REF!</v>
      </c>
      <c r="K13" s="5" t="e">
        <f>SUMIFS(#REF!,#REF!,$B13,#REF!,K$1)</f>
        <v>#REF!</v>
      </c>
      <c r="L13" s="5" t="e">
        <f>SUMIFS(#REF!,#REF!,$B13,#REF!,L$1)</f>
        <v>#REF!</v>
      </c>
      <c r="M13" s="5" t="e">
        <f>SUMIFS(#REF!,#REF!,$B13,#REF!,M$1)</f>
        <v>#REF!</v>
      </c>
      <c r="N13" s="5" t="e">
        <f>SUMIFS(#REF!,#REF!,$B13,#REF!,N$1)</f>
        <v>#REF!</v>
      </c>
      <c r="O13" s="5" t="e">
        <f>SUMIFS(#REF!,#REF!,$B13,#REF!,O$1)</f>
        <v>#REF!</v>
      </c>
      <c r="P13" s="5" t="e">
        <f>SUMIFS(#REF!,#REF!,$B13,#REF!,P$1)</f>
        <v>#REF!</v>
      </c>
      <c r="Q13" s="5" t="e">
        <f>SUMIFS(#REF!,#REF!,$B13,#REF!,Q$1)</f>
        <v>#REF!</v>
      </c>
      <c r="R13" s="5" t="e">
        <f>SUMIFS(#REF!,#REF!,$B13,#REF!,R$1)</f>
        <v>#REF!</v>
      </c>
      <c r="S13" s="5" t="e">
        <f>SUMIFS(#REF!,#REF!,$B13,#REF!,S$1)</f>
        <v>#REF!</v>
      </c>
      <c r="T13" s="5" t="e">
        <f>SUMIFS(#REF!,#REF!,$B13,#REF!,T$1)</f>
        <v>#REF!</v>
      </c>
      <c r="U13" s="5" t="e">
        <f>SUMIFS(#REF!,#REF!,$B13,#REF!,U$1)</f>
        <v>#REF!</v>
      </c>
      <c r="V13" s="5" t="e">
        <f>SUMIFS(#REF!,#REF!,$B13,#REF!,V$1)</f>
        <v>#REF!</v>
      </c>
      <c r="W13" s="5" t="e">
        <f>SUMIFS(#REF!,#REF!,$B13,#REF!,W$1)</f>
        <v>#REF!</v>
      </c>
      <c r="X13" s="5" t="e">
        <f>SUMIFS(#REF!,#REF!,$B13,#REF!,X$1)</f>
        <v>#REF!</v>
      </c>
      <c r="Y13" s="5" t="e">
        <f>SUMIFS(#REF!,#REF!,$B13,#REF!,Y$1)</f>
        <v>#REF!</v>
      </c>
      <c r="Z13" s="5" t="e">
        <f>SUMIFS(#REF!,#REF!,$B13,#REF!,Z$1)</f>
        <v>#REF!</v>
      </c>
      <c r="AA13" s="5" t="e">
        <f>SUMIFS(#REF!,#REF!,$B13,#REF!,AA$1)</f>
        <v>#REF!</v>
      </c>
      <c r="AB13" s="5" t="e">
        <f>SUMIFS(#REF!,#REF!,$B13,#REF!,AB$1)</f>
        <v>#REF!</v>
      </c>
      <c r="AC13" s="5" t="e">
        <f>SUMIFS(#REF!,#REF!,$B13,#REF!,AC$1)</f>
        <v>#REF!</v>
      </c>
      <c r="AD13" s="5" t="e">
        <f>SUMIFS(#REF!,#REF!,$B13,#REF!,AD$1)</f>
        <v>#REF!</v>
      </c>
      <c r="AE13" s="5" t="e">
        <f>SUMIFS(#REF!,#REF!,$B13,#REF!,AE$1)</f>
        <v>#REF!</v>
      </c>
      <c r="AF13" s="5" t="e">
        <f>SUMIFS(#REF!,#REF!,$B13,#REF!,AF$1)</f>
        <v>#REF!</v>
      </c>
      <c r="AG13" s="5" t="e">
        <f>SUMIFS(#REF!,#REF!,$B13,#REF!,AG$1)</f>
        <v>#REF!</v>
      </c>
      <c r="AH13" s="5" t="e">
        <f>SUMIFS(#REF!,#REF!,$B13,#REF!,AH$1)</f>
        <v>#REF!</v>
      </c>
      <c r="AI13" s="11" t="e">
        <f t="shared" ref="AI13:AI26" si="1">SUM(D13:AH13)</f>
        <v>#REF!</v>
      </c>
    </row>
    <row r="14" spans="2:35" ht="15.6" x14ac:dyDescent="0.3">
      <c r="B14" s="15" t="s">
        <v>32</v>
      </c>
      <c r="C14" s="14">
        <v>20</v>
      </c>
      <c r="D14" s="5" t="e">
        <f>SUMIFS(#REF!,#REF!,$B14,#REF!,D$1)</f>
        <v>#REF!</v>
      </c>
      <c r="E14" s="5" t="e">
        <f>SUMIFS(#REF!,#REF!,$B14,#REF!,E$1)</f>
        <v>#REF!</v>
      </c>
      <c r="F14" s="5" t="e">
        <f>SUMIFS(#REF!,#REF!,$B14,#REF!,F$1)</f>
        <v>#REF!</v>
      </c>
      <c r="G14" s="5" t="e">
        <f>SUMIFS(#REF!,#REF!,$B14,#REF!,G$1)</f>
        <v>#REF!</v>
      </c>
      <c r="H14" s="5" t="e">
        <f>SUMIFS(#REF!,#REF!,$B14,#REF!,H$1)</f>
        <v>#REF!</v>
      </c>
      <c r="I14" s="5" t="e">
        <f>SUMIFS(#REF!,#REF!,$B14,#REF!,I$1)</f>
        <v>#REF!</v>
      </c>
      <c r="J14" s="5" t="e">
        <f>SUMIFS(#REF!,#REF!,$B14,#REF!,J$1)</f>
        <v>#REF!</v>
      </c>
      <c r="K14" s="5" t="e">
        <f>SUMIFS(#REF!,#REF!,$B14,#REF!,K$1)</f>
        <v>#REF!</v>
      </c>
      <c r="L14" s="5" t="e">
        <f>SUMIFS(#REF!,#REF!,$B14,#REF!,L$1)</f>
        <v>#REF!</v>
      </c>
      <c r="M14" s="5" t="e">
        <f>SUMIFS(#REF!,#REF!,$B14,#REF!,M$1)</f>
        <v>#REF!</v>
      </c>
      <c r="N14" s="5" t="e">
        <f>SUMIFS(#REF!,#REF!,$B14,#REF!,N$1)</f>
        <v>#REF!</v>
      </c>
      <c r="O14" s="5" t="e">
        <f>SUMIFS(#REF!,#REF!,$B14,#REF!,O$1)</f>
        <v>#REF!</v>
      </c>
      <c r="P14" s="5" t="e">
        <f>SUMIFS(#REF!,#REF!,$B14,#REF!,P$1)</f>
        <v>#REF!</v>
      </c>
      <c r="Q14" s="5" t="e">
        <f>SUMIFS(#REF!,#REF!,$B14,#REF!,Q$1)</f>
        <v>#REF!</v>
      </c>
      <c r="R14" s="5" t="e">
        <f>SUMIFS(#REF!,#REF!,$B14,#REF!,R$1)</f>
        <v>#REF!</v>
      </c>
      <c r="S14" s="5" t="e">
        <f>SUMIFS(#REF!,#REF!,$B14,#REF!,S$1)</f>
        <v>#REF!</v>
      </c>
      <c r="T14" s="5" t="e">
        <f>SUMIFS(#REF!,#REF!,$B14,#REF!,T$1)</f>
        <v>#REF!</v>
      </c>
      <c r="U14" s="5" t="e">
        <f>SUMIFS(#REF!,#REF!,$B14,#REF!,U$1)</f>
        <v>#REF!</v>
      </c>
      <c r="V14" s="5" t="e">
        <f>SUMIFS(#REF!,#REF!,$B14,#REF!,V$1)</f>
        <v>#REF!</v>
      </c>
      <c r="W14" s="5" t="e">
        <f>SUMIFS(#REF!,#REF!,$B14,#REF!,W$1)</f>
        <v>#REF!</v>
      </c>
      <c r="X14" s="5" t="e">
        <f>SUMIFS(#REF!,#REF!,$B14,#REF!,X$1)</f>
        <v>#REF!</v>
      </c>
      <c r="Y14" s="5" t="e">
        <f>SUMIFS(#REF!,#REF!,$B14,#REF!,Y$1)</f>
        <v>#REF!</v>
      </c>
      <c r="Z14" s="5" t="e">
        <f>SUMIFS(#REF!,#REF!,$B14,#REF!,Z$1)</f>
        <v>#REF!</v>
      </c>
      <c r="AA14" s="5" t="e">
        <f>SUMIFS(#REF!,#REF!,$B14,#REF!,AA$1)</f>
        <v>#REF!</v>
      </c>
      <c r="AB14" s="5" t="e">
        <f>SUMIFS(#REF!,#REF!,$B14,#REF!,AB$1)</f>
        <v>#REF!</v>
      </c>
      <c r="AC14" s="5" t="e">
        <f>SUMIFS(#REF!,#REF!,$B14,#REF!,AC$1)</f>
        <v>#REF!</v>
      </c>
      <c r="AD14" s="5" t="e">
        <f>SUMIFS(#REF!,#REF!,$B14,#REF!,AD$1)</f>
        <v>#REF!</v>
      </c>
      <c r="AE14" s="5" t="e">
        <f>SUMIFS(#REF!,#REF!,$B14,#REF!,AE$1)</f>
        <v>#REF!</v>
      </c>
      <c r="AF14" s="5" t="e">
        <f>SUMIFS(#REF!,#REF!,$B14,#REF!,AF$1)</f>
        <v>#REF!</v>
      </c>
      <c r="AG14" s="5" t="e">
        <f>SUMIFS(#REF!,#REF!,$B14,#REF!,AG$1)</f>
        <v>#REF!</v>
      </c>
      <c r="AH14" s="5" t="e">
        <f>SUMIFS(#REF!,#REF!,$B14,#REF!,AH$1)</f>
        <v>#REF!</v>
      </c>
      <c r="AI14" s="11" t="e">
        <f t="shared" si="1"/>
        <v>#REF!</v>
      </c>
    </row>
    <row r="15" spans="2:35" ht="15.6" x14ac:dyDescent="0.3">
      <c r="B15" s="15" t="s">
        <v>33</v>
      </c>
      <c r="C15" s="14">
        <v>20</v>
      </c>
      <c r="D15" s="5" t="e">
        <f>SUMIFS(#REF!,#REF!,$B15,#REF!,D$1)</f>
        <v>#REF!</v>
      </c>
      <c r="E15" s="5" t="e">
        <f>SUMIFS(#REF!,#REF!,$B15,#REF!,E$1)</f>
        <v>#REF!</v>
      </c>
      <c r="F15" s="5" t="e">
        <f>SUMIFS(#REF!,#REF!,$B15,#REF!,F$1)</f>
        <v>#REF!</v>
      </c>
      <c r="G15" s="5" t="e">
        <f>SUMIFS(#REF!,#REF!,$B15,#REF!,G$1)</f>
        <v>#REF!</v>
      </c>
      <c r="H15" s="5" t="e">
        <f>SUMIFS(#REF!,#REF!,$B15,#REF!,H$1)</f>
        <v>#REF!</v>
      </c>
      <c r="I15" s="5" t="e">
        <f>SUMIFS(#REF!,#REF!,$B15,#REF!,I$1)</f>
        <v>#REF!</v>
      </c>
      <c r="J15" s="5" t="e">
        <f>SUMIFS(#REF!,#REF!,$B15,#REF!,J$1)</f>
        <v>#REF!</v>
      </c>
      <c r="K15" s="5" t="e">
        <f>SUMIFS(#REF!,#REF!,$B15,#REF!,K$1)</f>
        <v>#REF!</v>
      </c>
      <c r="L15" s="5" t="e">
        <f>SUMIFS(#REF!,#REF!,$B15,#REF!,L$1)</f>
        <v>#REF!</v>
      </c>
      <c r="M15" s="5" t="e">
        <f>SUMIFS(#REF!,#REF!,$B15,#REF!,M$1)</f>
        <v>#REF!</v>
      </c>
      <c r="N15" s="5" t="e">
        <f>SUMIFS(#REF!,#REF!,$B15,#REF!,N$1)</f>
        <v>#REF!</v>
      </c>
      <c r="O15" s="5" t="e">
        <f>SUMIFS(#REF!,#REF!,$B15,#REF!,O$1)</f>
        <v>#REF!</v>
      </c>
      <c r="P15" s="5" t="e">
        <f>SUMIFS(#REF!,#REF!,$B15,#REF!,P$1)</f>
        <v>#REF!</v>
      </c>
      <c r="Q15" s="5" t="e">
        <f>SUMIFS(#REF!,#REF!,$B15,#REF!,Q$1)</f>
        <v>#REF!</v>
      </c>
      <c r="R15" s="5" t="e">
        <f>SUMIFS(#REF!,#REF!,$B15,#REF!,R$1)</f>
        <v>#REF!</v>
      </c>
      <c r="S15" s="5" t="e">
        <f>SUMIFS(#REF!,#REF!,$B15,#REF!,S$1)</f>
        <v>#REF!</v>
      </c>
      <c r="T15" s="5" t="e">
        <f>SUMIFS(#REF!,#REF!,$B15,#REF!,T$1)</f>
        <v>#REF!</v>
      </c>
      <c r="U15" s="5" t="e">
        <f>SUMIFS(#REF!,#REF!,$B15,#REF!,U$1)</f>
        <v>#REF!</v>
      </c>
      <c r="V15" s="5" t="e">
        <f>SUMIFS(#REF!,#REF!,$B15,#REF!,V$1)</f>
        <v>#REF!</v>
      </c>
      <c r="W15" s="5" t="e">
        <f>SUMIFS(#REF!,#REF!,$B15,#REF!,W$1)</f>
        <v>#REF!</v>
      </c>
      <c r="X15" s="5" t="e">
        <f>SUMIFS(#REF!,#REF!,$B15,#REF!,X$1)</f>
        <v>#REF!</v>
      </c>
      <c r="Y15" s="5" t="e">
        <f>SUMIFS(#REF!,#REF!,$B15,#REF!,Y$1)</f>
        <v>#REF!</v>
      </c>
      <c r="Z15" s="5" t="e">
        <f>SUMIFS(#REF!,#REF!,$B15,#REF!,Z$1)</f>
        <v>#REF!</v>
      </c>
      <c r="AA15" s="5" t="e">
        <f>SUMIFS(#REF!,#REF!,$B15,#REF!,AA$1)</f>
        <v>#REF!</v>
      </c>
      <c r="AB15" s="5" t="e">
        <f>SUMIFS(#REF!,#REF!,$B15,#REF!,AB$1)</f>
        <v>#REF!</v>
      </c>
      <c r="AC15" s="5" t="e">
        <f>SUMIFS(#REF!,#REF!,$B15,#REF!,AC$1)</f>
        <v>#REF!</v>
      </c>
      <c r="AD15" s="5" t="e">
        <f>SUMIFS(#REF!,#REF!,$B15,#REF!,AD$1)</f>
        <v>#REF!</v>
      </c>
      <c r="AE15" s="5" t="e">
        <f>SUMIFS(#REF!,#REF!,$B15,#REF!,AE$1)</f>
        <v>#REF!</v>
      </c>
      <c r="AF15" s="5" t="e">
        <f>SUMIFS(#REF!,#REF!,$B15,#REF!,AF$1)</f>
        <v>#REF!</v>
      </c>
      <c r="AG15" s="5" t="e">
        <f>SUMIFS(#REF!,#REF!,$B15,#REF!,AG$1)</f>
        <v>#REF!</v>
      </c>
      <c r="AH15" s="5" t="e">
        <f>SUMIFS(#REF!,#REF!,$B15,#REF!,AH$1)</f>
        <v>#REF!</v>
      </c>
      <c r="AI15" s="11" t="e">
        <f t="shared" si="1"/>
        <v>#REF!</v>
      </c>
    </row>
    <row r="16" spans="2:35" ht="27.6" x14ac:dyDescent="0.3">
      <c r="B16" s="15" t="s">
        <v>34</v>
      </c>
      <c r="C16" s="14">
        <v>50</v>
      </c>
      <c r="D16" s="5" t="e">
        <f>SUMIFS(#REF!,#REF!,$B16,#REF!,D$1)</f>
        <v>#REF!</v>
      </c>
      <c r="E16" s="5" t="e">
        <f>SUMIFS(#REF!,#REF!,$B16,#REF!,E$1)</f>
        <v>#REF!</v>
      </c>
      <c r="F16" s="5" t="e">
        <f>SUMIFS(#REF!,#REF!,$B16,#REF!,F$1)</f>
        <v>#REF!</v>
      </c>
      <c r="G16" s="5" t="e">
        <f>SUMIFS(#REF!,#REF!,$B16,#REF!,G$1)</f>
        <v>#REF!</v>
      </c>
      <c r="H16" s="5" t="e">
        <f>SUMIFS(#REF!,#REF!,$B16,#REF!,H$1)</f>
        <v>#REF!</v>
      </c>
      <c r="I16" s="5" t="e">
        <f>SUMIFS(#REF!,#REF!,$B16,#REF!,I$1)</f>
        <v>#REF!</v>
      </c>
      <c r="J16" s="5" t="e">
        <f>SUMIFS(#REF!,#REF!,$B16,#REF!,J$1)</f>
        <v>#REF!</v>
      </c>
      <c r="K16" s="5" t="e">
        <f>SUMIFS(#REF!,#REF!,$B16,#REF!,K$1)</f>
        <v>#REF!</v>
      </c>
      <c r="L16" s="5" t="e">
        <f>SUMIFS(#REF!,#REF!,$B16,#REF!,L$1)</f>
        <v>#REF!</v>
      </c>
      <c r="M16" s="5" t="e">
        <f>SUMIFS(#REF!,#REF!,$B16,#REF!,M$1)</f>
        <v>#REF!</v>
      </c>
      <c r="N16" s="5" t="e">
        <f>SUMIFS(#REF!,#REF!,$B16,#REF!,N$1)</f>
        <v>#REF!</v>
      </c>
      <c r="O16" s="5" t="e">
        <f>SUMIFS(#REF!,#REF!,$B16,#REF!,O$1)</f>
        <v>#REF!</v>
      </c>
      <c r="P16" s="5" t="e">
        <f>SUMIFS(#REF!,#REF!,$B16,#REF!,P$1)</f>
        <v>#REF!</v>
      </c>
      <c r="Q16" s="5" t="e">
        <f>SUMIFS(#REF!,#REF!,$B16,#REF!,Q$1)</f>
        <v>#REF!</v>
      </c>
      <c r="R16" s="5" t="e">
        <f>SUMIFS(#REF!,#REF!,$B16,#REF!,R$1)</f>
        <v>#REF!</v>
      </c>
      <c r="S16" s="5" t="e">
        <f>SUMIFS(#REF!,#REF!,$B16,#REF!,S$1)</f>
        <v>#REF!</v>
      </c>
      <c r="T16" s="5" t="e">
        <f>SUMIFS(#REF!,#REF!,$B16,#REF!,T$1)</f>
        <v>#REF!</v>
      </c>
      <c r="U16" s="5" t="e">
        <f>SUMIFS(#REF!,#REF!,$B16,#REF!,U$1)</f>
        <v>#REF!</v>
      </c>
      <c r="V16" s="5" t="e">
        <f>SUMIFS(#REF!,#REF!,$B16,#REF!,V$1)</f>
        <v>#REF!</v>
      </c>
      <c r="W16" s="5" t="e">
        <f>SUMIFS(#REF!,#REF!,$B16,#REF!,W$1)</f>
        <v>#REF!</v>
      </c>
      <c r="X16" s="5" t="e">
        <f>SUMIFS(#REF!,#REF!,$B16,#REF!,X$1)</f>
        <v>#REF!</v>
      </c>
      <c r="Y16" s="5" t="e">
        <f>SUMIFS(#REF!,#REF!,$B16,#REF!,Y$1)</f>
        <v>#REF!</v>
      </c>
      <c r="Z16" s="5" t="e">
        <f>SUMIFS(#REF!,#REF!,$B16,#REF!,Z$1)</f>
        <v>#REF!</v>
      </c>
      <c r="AA16" s="5" t="e">
        <f>SUMIFS(#REF!,#REF!,$B16,#REF!,AA$1)</f>
        <v>#REF!</v>
      </c>
      <c r="AB16" s="5" t="e">
        <f>SUMIFS(#REF!,#REF!,$B16,#REF!,AB$1)</f>
        <v>#REF!</v>
      </c>
      <c r="AC16" s="5" t="e">
        <f>SUMIFS(#REF!,#REF!,$B16,#REF!,AC$1)</f>
        <v>#REF!</v>
      </c>
      <c r="AD16" s="5" t="e">
        <f>SUMIFS(#REF!,#REF!,$B16,#REF!,AD$1)</f>
        <v>#REF!</v>
      </c>
      <c r="AE16" s="5" t="e">
        <f>SUMIFS(#REF!,#REF!,$B16,#REF!,AE$1)</f>
        <v>#REF!</v>
      </c>
      <c r="AF16" s="5" t="e">
        <f>SUMIFS(#REF!,#REF!,$B16,#REF!,AF$1)</f>
        <v>#REF!</v>
      </c>
      <c r="AG16" s="5" t="e">
        <f>SUMIFS(#REF!,#REF!,$B16,#REF!,AG$1)</f>
        <v>#REF!</v>
      </c>
      <c r="AH16" s="5" t="e">
        <f>SUMIFS(#REF!,#REF!,$B16,#REF!,AH$1)</f>
        <v>#REF!</v>
      </c>
      <c r="AI16" s="11" t="e">
        <f t="shared" si="1"/>
        <v>#REF!</v>
      </c>
    </row>
    <row r="17" spans="2:35" ht="15.6" x14ac:dyDescent="0.3">
      <c r="B17" s="16" t="s">
        <v>35</v>
      </c>
      <c r="C17" s="17">
        <v>200</v>
      </c>
      <c r="D17" s="5" t="e">
        <f>SUMIFS(#REF!,#REF!,$B17,#REF!,D$1)</f>
        <v>#REF!</v>
      </c>
      <c r="E17" s="5" t="e">
        <f>SUMIFS(#REF!,#REF!,$B17,#REF!,E$1)</f>
        <v>#REF!</v>
      </c>
      <c r="F17" s="5" t="e">
        <f>SUMIFS(#REF!,#REF!,$B17,#REF!,F$1)</f>
        <v>#REF!</v>
      </c>
      <c r="G17" s="5" t="e">
        <f>SUMIFS(#REF!,#REF!,$B17,#REF!,G$1)</f>
        <v>#REF!</v>
      </c>
      <c r="H17" s="5" t="e">
        <f>SUMIFS(#REF!,#REF!,$B17,#REF!,H$1)</f>
        <v>#REF!</v>
      </c>
      <c r="I17" s="5" t="e">
        <f>SUMIFS(#REF!,#REF!,$B17,#REF!,I$1)</f>
        <v>#REF!</v>
      </c>
      <c r="J17" s="5" t="e">
        <f>SUMIFS(#REF!,#REF!,$B17,#REF!,J$1)</f>
        <v>#REF!</v>
      </c>
      <c r="K17" s="5" t="e">
        <f>SUMIFS(#REF!,#REF!,$B17,#REF!,K$1)</f>
        <v>#REF!</v>
      </c>
      <c r="L17" s="5" t="e">
        <f>SUMIFS(#REF!,#REF!,$B17,#REF!,L$1)</f>
        <v>#REF!</v>
      </c>
      <c r="M17" s="5" t="e">
        <f>SUMIFS(#REF!,#REF!,$B17,#REF!,M$1)</f>
        <v>#REF!</v>
      </c>
      <c r="N17" s="5" t="e">
        <f>SUMIFS(#REF!,#REF!,$B17,#REF!,N$1)</f>
        <v>#REF!</v>
      </c>
      <c r="O17" s="5" t="e">
        <f>SUMIFS(#REF!,#REF!,$B17,#REF!,O$1)</f>
        <v>#REF!</v>
      </c>
      <c r="P17" s="5" t="e">
        <f>SUMIFS(#REF!,#REF!,$B17,#REF!,P$1)</f>
        <v>#REF!</v>
      </c>
      <c r="Q17" s="5" t="e">
        <f>SUMIFS(#REF!,#REF!,$B17,#REF!,Q$1)</f>
        <v>#REF!</v>
      </c>
      <c r="R17" s="5" t="e">
        <f>SUMIFS(#REF!,#REF!,$B17,#REF!,R$1)</f>
        <v>#REF!</v>
      </c>
      <c r="S17" s="5" t="e">
        <f>SUMIFS(#REF!,#REF!,$B17,#REF!,S$1)</f>
        <v>#REF!</v>
      </c>
      <c r="T17" s="5" t="e">
        <f>SUMIFS(#REF!,#REF!,$B17,#REF!,T$1)</f>
        <v>#REF!</v>
      </c>
      <c r="U17" s="5" t="e">
        <f>SUMIFS(#REF!,#REF!,$B17,#REF!,U$1)</f>
        <v>#REF!</v>
      </c>
      <c r="V17" s="5" t="e">
        <f>SUMIFS(#REF!,#REF!,$B17,#REF!,V$1)</f>
        <v>#REF!</v>
      </c>
      <c r="W17" s="5" t="e">
        <f>SUMIFS(#REF!,#REF!,$B17,#REF!,W$1)</f>
        <v>#REF!</v>
      </c>
      <c r="X17" s="5" t="e">
        <f>SUMIFS(#REF!,#REF!,$B17,#REF!,X$1)</f>
        <v>#REF!</v>
      </c>
      <c r="Y17" s="5" t="e">
        <f>SUMIFS(#REF!,#REF!,$B17,#REF!,Y$1)</f>
        <v>#REF!</v>
      </c>
      <c r="Z17" s="5" t="e">
        <f>SUMIFS(#REF!,#REF!,$B17,#REF!,Z$1)</f>
        <v>#REF!</v>
      </c>
      <c r="AA17" s="5" t="e">
        <f>SUMIFS(#REF!,#REF!,$B17,#REF!,AA$1)</f>
        <v>#REF!</v>
      </c>
      <c r="AB17" s="5" t="e">
        <f>SUMIFS(#REF!,#REF!,$B17,#REF!,AB$1)</f>
        <v>#REF!</v>
      </c>
      <c r="AC17" s="5" t="e">
        <f>SUMIFS(#REF!,#REF!,$B17,#REF!,AC$1)</f>
        <v>#REF!</v>
      </c>
      <c r="AD17" s="5" t="e">
        <f>SUMIFS(#REF!,#REF!,$B17,#REF!,AD$1)</f>
        <v>#REF!</v>
      </c>
      <c r="AE17" s="5" t="e">
        <f>SUMIFS(#REF!,#REF!,$B17,#REF!,AE$1)</f>
        <v>#REF!</v>
      </c>
      <c r="AF17" s="5" t="e">
        <f>SUMIFS(#REF!,#REF!,$B17,#REF!,AF$1)</f>
        <v>#REF!</v>
      </c>
      <c r="AG17" s="5" t="e">
        <f>SUMIFS(#REF!,#REF!,$B17,#REF!,AG$1)</f>
        <v>#REF!</v>
      </c>
      <c r="AH17" s="5" t="e">
        <f>SUMIFS(#REF!,#REF!,$B17,#REF!,AH$1)</f>
        <v>#REF!</v>
      </c>
      <c r="AI17" s="11" t="e">
        <f t="shared" si="1"/>
        <v>#REF!</v>
      </c>
    </row>
    <row r="18" spans="2:35" ht="27.6" x14ac:dyDescent="0.3">
      <c r="B18" s="15" t="s">
        <v>36</v>
      </c>
      <c r="C18" s="17">
        <v>200</v>
      </c>
      <c r="D18" s="5" t="e">
        <f>SUMIFS(#REF!,#REF!,$B18,#REF!,D$1)</f>
        <v>#REF!</v>
      </c>
      <c r="E18" s="5" t="e">
        <f>SUMIFS(#REF!,#REF!,$B18,#REF!,E$1)</f>
        <v>#REF!</v>
      </c>
      <c r="F18" s="5" t="e">
        <f>SUMIFS(#REF!,#REF!,$B18,#REF!,F$1)</f>
        <v>#REF!</v>
      </c>
      <c r="G18" s="5" t="e">
        <f>SUMIFS(#REF!,#REF!,$B18,#REF!,G$1)</f>
        <v>#REF!</v>
      </c>
      <c r="H18" s="5" t="e">
        <f>SUMIFS(#REF!,#REF!,$B18,#REF!,H$1)</f>
        <v>#REF!</v>
      </c>
      <c r="I18" s="5" t="e">
        <f>SUMIFS(#REF!,#REF!,$B18,#REF!,I$1)</f>
        <v>#REF!</v>
      </c>
      <c r="J18" s="5" t="e">
        <f>SUMIFS(#REF!,#REF!,$B18,#REF!,J$1)</f>
        <v>#REF!</v>
      </c>
      <c r="K18" s="5" t="e">
        <f>SUMIFS(#REF!,#REF!,$B18,#REF!,K$1)</f>
        <v>#REF!</v>
      </c>
      <c r="L18" s="5" t="e">
        <f>SUMIFS(#REF!,#REF!,$B18,#REF!,L$1)</f>
        <v>#REF!</v>
      </c>
      <c r="M18" s="5" t="e">
        <f>SUMIFS(#REF!,#REF!,$B18,#REF!,M$1)</f>
        <v>#REF!</v>
      </c>
      <c r="N18" s="5" t="e">
        <f>SUMIFS(#REF!,#REF!,$B18,#REF!,N$1)</f>
        <v>#REF!</v>
      </c>
      <c r="O18" s="5" t="e">
        <f>SUMIFS(#REF!,#REF!,$B18,#REF!,O$1)</f>
        <v>#REF!</v>
      </c>
      <c r="P18" s="5" t="e">
        <f>SUMIFS(#REF!,#REF!,$B18,#REF!,P$1)</f>
        <v>#REF!</v>
      </c>
      <c r="Q18" s="5" t="e">
        <f>SUMIFS(#REF!,#REF!,$B18,#REF!,Q$1)</f>
        <v>#REF!</v>
      </c>
      <c r="R18" s="5" t="e">
        <f>SUMIFS(#REF!,#REF!,$B18,#REF!,R$1)</f>
        <v>#REF!</v>
      </c>
      <c r="S18" s="5" t="e">
        <f>SUMIFS(#REF!,#REF!,$B18,#REF!,S$1)</f>
        <v>#REF!</v>
      </c>
      <c r="T18" s="5" t="e">
        <f>SUMIFS(#REF!,#REF!,$B18,#REF!,T$1)</f>
        <v>#REF!</v>
      </c>
      <c r="U18" s="5" t="e">
        <f>SUMIFS(#REF!,#REF!,$B18,#REF!,U$1)</f>
        <v>#REF!</v>
      </c>
      <c r="V18" s="5" t="e">
        <f>SUMIFS(#REF!,#REF!,$B18,#REF!,V$1)</f>
        <v>#REF!</v>
      </c>
      <c r="W18" s="5" t="e">
        <f>SUMIFS(#REF!,#REF!,$B18,#REF!,W$1)</f>
        <v>#REF!</v>
      </c>
      <c r="X18" s="5" t="e">
        <f>SUMIFS(#REF!,#REF!,$B18,#REF!,X$1)</f>
        <v>#REF!</v>
      </c>
      <c r="Y18" s="5" t="e">
        <f>SUMIFS(#REF!,#REF!,$B18,#REF!,Y$1)</f>
        <v>#REF!</v>
      </c>
      <c r="Z18" s="5" t="e">
        <f>SUMIFS(#REF!,#REF!,$B18,#REF!,Z$1)</f>
        <v>#REF!</v>
      </c>
      <c r="AA18" s="5" t="e">
        <f>SUMIFS(#REF!,#REF!,$B18,#REF!,AA$1)</f>
        <v>#REF!</v>
      </c>
      <c r="AB18" s="5" t="e">
        <f>SUMIFS(#REF!,#REF!,$B18,#REF!,AB$1)</f>
        <v>#REF!</v>
      </c>
      <c r="AC18" s="5" t="e">
        <f>SUMIFS(#REF!,#REF!,$B18,#REF!,AC$1)</f>
        <v>#REF!</v>
      </c>
      <c r="AD18" s="5" t="e">
        <f>SUMIFS(#REF!,#REF!,$B18,#REF!,AD$1)</f>
        <v>#REF!</v>
      </c>
      <c r="AE18" s="5" t="e">
        <f>SUMIFS(#REF!,#REF!,$B18,#REF!,AE$1)</f>
        <v>#REF!</v>
      </c>
      <c r="AF18" s="5" t="e">
        <f>SUMIFS(#REF!,#REF!,$B18,#REF!,AF$1)</f>
        <v>#REF!</v>
      </c>
      <c r="AG18" s="5" t="e">
        <f>SUMIFS(#REF!,#REF!,$B18,#REF!,AG$1)</f>
        <v>#REF!</v>
      </c>
      <c r="AH18" s="5" t="e">
        <f>SUMIFS(#REF!,#REF!,$B18,#REF!,AH$1)</f>
        <v>#REF!</v>
      </c>
      <c r="AI18" s="11" t="e">
        <f t="shared" si="1"/>
        <v>#REF!</v>
      </c>
    </row>
    <row r="19" spans="2:35" ht="27.6" x14ac:dyDescent="0.3">
      <c r="B19" s="18" t="s">
        <v>37</v>
      </c>
      <c r="C19" s="17">
        <v>96</v>
      </c>
      <c r="D19" s="5" t="e">
        <f>SUMIFS(#REF!,#REF!,$B19,#REF!,D$1)</f>
        <v>#REF!</v>
      </c>
      <c r="E19" s="5" t="e">
        <f>SUMIFS(#REF!,#REF!,$B19,#REF!,E$1)</f>
        <v>#REF!</v>
      </c>
      <c r="F19" s="5" t="e">
        <f>SUMIFS(#REF!,#REF!,$B19,#REF!,F$1)</f>
        <v>#REF!</v>
      </c>
      <c r="G19" s="5" t="e">
        <f>SUMIFS(#REF!,#REF!,$B19,#REF!,G$1)</f>
        <v>#REF!</v>
      </c>
      <c r="H19" s="5" t="e">
        <f>SUMIFS(#REF!,#REF!,$B19,#REF!,H$1)</f>
        <v>#REF!</v>
      </c>
      <c r="I19" s="5" t="e">
        <f>SUMIFS(#REF!,#REF!,$B19,#REF!,I$1)</f>
        <v>#REF!</v>
      </c>
      <c r="J19" s="5" t="e">
        <f>SUMIFS(#REF!,#REF!,$B19,#REF!,J$1)</f>
        <v>#REF!</v>
      </c>
      <c r="K19" s="5" t="e">
        <f>SUMIFS(#REF!,#REF!,$B19,#REF!,K$1)</f>
        <v>#REF!</v>
      </c>
      <c r="L19" s="5" t="e">
        <f>SUMIFS(#REF!,#REF!,$B19,#REF!,L$1)</f>
        <v>#REF!</v>
      </c>
      <c r="M19" s="5" t="e">
        <f>SUMIFS(#REF!,#REF!,$B19,#REF!,M$1)</f>
        <v>#REF!</v>
      </c>
      <c r="N19" s="5" t="e">
        <f>SUMIFS(#REF!,#REF!,$B19,#REF!,N$1)</f>
        <v>#REF!</v>
      </c>
      <c r="O19" s="5" t="e">
        <f>SUMIFS(#REF!,#REF!,$B19,#REF!,O$1)</f>
        <v>#REF!</v>
      </c>
      <c r="P19" s="5" t="e">
        <f>SUMIFS(#REF!,#REF!,$B19,#REF!,P$1)</f>
        <v>#REF!</v>
      </c>
      <c r="Q19" s="5" t="e">
        <f>SUMIFS(#REF!,#REF!,$B19,#REF!,Q$1)</f>
        <v>#REF!</v>
      </c>
      <c r="R19" s="5" t="e">
        <f>SUMIFS(#REF!,#REF!,$B19,#REF!,R$1)</f>
        <v>#REF!</v>
      </c>
      <c r="S19" s="5" t="e">
        <f>SUMIFS(#REF!,#REF!,$B19,#REF!,S$1)</f>
        <v>#REF!</v>
      </c>
      <c r="T19" s="5" t="e">
        <f>SUMIFS(#REF!,#REF!,$B19,#REF!,T$1)</f>
        <v>#REF!</v>
      </c>
      <c r="U19" s="5" t="e">
        <f>SUMIFS(#REF!,#REF!,$B19,#REF!,U$1)</f>
        <v>#REF!</v>
      </c>
      <c r="V19" s="5" t="e">
        <f>SUMIFS(#REF!,#REF!,$B19,#REF!,V$1)</f>
        <v>#REF!</v>
      </c>
      <c r="W19" s="5" t="e">
        <f>SUMIFS(#REF!,#REF!,$B19,#REF!,W$1)</f>
        <v>#REF!</v>
      </c>
      <c r="X19" s="5" t="e">
        <f>SUMIFS(#REF!,#REF!,$B19,#REF!,X$1)</f>
        <v>#REF!</v>
      </c>
      <c r="Y19" s="5" t="e">
        <f>SUMIFS(#REF!,#REF!,$B19,#REF!,Y$1)</f>
        <v>#REF!</v>
      </c>
      <c r="Z19" s="5" t="e">
        <f>SUMIFS(#REF!,#REF!,$B19,#REF!,Z$1)</f>
        <v>#REF!</v>
      </c>
      <c r="AA19" s="5" t="e">
        <f>SUMIFS(#REF!,#REF!,$B19,#REF!,AA$1)</f>
        <v>#REF!</v>
      </c>
      <c r="AB19" s="5" t="e">
        <f>SUMIFS(#REF!,#REF!,$B19,#REF!,AB$1)</f>
        <v>#REF!</v>
      </c>
      <c r="AC19" s="5" t="e">
        <f>SUMIFS(#REF!,#REF!,$B19,#REF!,AC$1)</f>
        <v>#REF!</v>
      </c>
      <c r="AD19" s="5" t="e">
        <f>SUMIFS(#REF!,#REF!,$B19,#REF!,AD$1)</f>
        <v>#REF!</v>
      </c>
      <c r="AE19" s="5" t="e">
        <f>SUMIFS(#REF!,#REF!,$B19,#REF!,AE$1)</f>
        <v>#REF!</v>
      </c>
      <c r="AF19" s="5" t="e">
        <f>SUMIFS(#REF!,#REF!,$B19,#REF!,AF$1)</f>
        <v>#REF!</v>
      </c>
      <c r="AG19" s="5" t="e">
        <f>SUMIFS(#REF!,#REF!,$B19,#REF!,AG$1)</f>
        <v>#REF!</v>
      </c>
      <c r="AH19" s="5" t="e">
        <f>SUMIFS(#REF!,#REF!,$B19,#REF!,AH$1)</f>
        <v>#REF!</v>
      </c>
      <c r="AI19" s="11" t="e">
        <f t="shared" si="1"/>
        <v>#REF!</v>
      </c>
    </row>
    <row r="20" spans="2:35" ht="27.6" x14ac:dyDescent="0.3">
      <c r="B20" s="18" t="s">
        <v>38</v>
      </c>
      <c r="C20" s="17">
        <v>200</v>
      </c>
      <c r="D20" s="5" t="e">
        <f>SUMIFS(#REF!,#REF!,$B20,#REF!,D$1)</f>
        <v>#REF!</v>
      </c>
      <c r="E20" s="5" t="e">
        <f>SUMIFS(#REF!,#REF!,$B20,#REF!,E$1)</f>
        <v>#REF!</v>
      </c>
      <c r="F20" s="5" t="e">
        <f>SUMIFS(#REF!,#REF!,$B20,#REF!,F$1)</f>
        <v>#REF!</v>
      </c>
      <c r="G20" s="5" t="e">
        <f>SUMIFS(#REF!,#REF!,$B20,#REF!,G$1)</f>
        <v>#REF!</v>
      </c>
      <c r="H20" s="5" t="e">
        <f>SUMIFS(#REF!,#REF!,$B20,#REF!,H$1)</f>
        <v>#REF!</v>
      </c>
      <c r="I20" s="5" t="e">
        <f>SUMIFS(#REF!,#REF!,$B20,#REF!,I$1)</f>
        <v>#REF!</v>
      </c>
      <c r="J20" s="5" t="e">
        <f>SUMIFS(#REF!,#REF!,$B20,#REF!,J$1)</f>
        <v>#REF!</v>
      </c>
      <c r="K20" s="5" t="e">
        <f>SUMIFS(#REF!,#REF!,$B20,#REF!,K$1)</f>
        <v>#REF!</v>
      </c>
      <c r="L20" s="5" t="e">
        <f>SUMIFS(#REF!,#REF!,$B20,#REF!,L$1)</f>
        <v>#REF!</v>
      </c>
      <c r="M20" s="5" t="e">
        <f>SUMIFS(#REF!,#REF!,$B20,#REF!,M$1)</f>
        <v>#REF!</v>
      </c>
      <c r="N20" s="5" t="e">
        <f>SUMIFS(#REF!,#REF!,$B20,#REF!,N$1)</f>
        <v>#REF!</v>
      </c>
      <c r="O20" s="5" t="e">
        <f>SUMIFS(#REF!,#REF!,$B20,#REF!,O$1)</f>
        <v>#REF!</v>
      </c>
      <c r="P20" s="5" t="e">
        <f>SUMIFS(#REF!,#REF!,$B20,#REF!,P$1)</f>
        <v>#REF!</v>
      </c>
      <c r="Q20" s="5" t="e">
        <f>SUMIFS(#REF!,#REF!,$B20,#REF!,Q$1)</f>
        <v>#REF!</v>
      </c>
      <c r="R20" s="5" t="e">
        <f>SUMIFS(#REF!,#REF!,$B20,#REF!,R$1)</f>
        <v>#REF!</v>
      </c>
      <c r="S20" s="5" t="e">
        <f>SUMIFS(#REF!,#REF!,$B20,#REF!,S$1)</f>
        <v>#REF!</v>
      </c>
      <c r="T20" s="5" t="e">
        <f>SUMIFS(#REF!,#REF!,$B20,#REF!,T$1)</f>
        <v>#REF!</v>
      </c>
      <c r="U20" s="5" t="e">
        <f>SUMIFS(#REF!,#REF!,$B20,#REF!,U$1)</f>
        <v>#REF!</v>
      </c>
      <c r="V20" s="5" t="e">
        <f>SUMIFS(#REF!,#REF!,$B20,#REF!,V$1)</f>
        <v>#REF!</v>
      </c>
      <c r="W20" s="5" t="e">
        <f>SUMIFS(#REF!,#REF!,$B20,#REF!,W$1)</f>
        <v>#REF!</v>
      </c>
      <c r="X20" s="5" t="e">
        <f>SUMIFS(#REF!,#REF!,$B20,#REF!,X$1)</f>
        <v>#REF!</v>
      </c>
      <c r="Y20" s="5" t="e">
        <f>SUMIFS(#REF!,#REF!,$B20,#REF!,Y$1)</f>
        <v>#REF!</v>
      </c>
      <c r="Z20" s="5" t="e">
        <f>SUMIFS(#REF!,#REF!,$B20,#REF!,Z$1)</f>
        <v>#REF!</v>
      </c>
      <c r="AA20" s="5" t="e">
        <f>SUMIFS(#REF!,#REF!,$B20,#REF!,AA$1)</f>
        <v>#REF!</v>
      </c>
      <c r="AB20" s="5" t="e">
        <f>SUMIFS(#REF!,#REF!,$B20,#REF!,AB$1)</f>
        <v>#REF!</v>
      </c>
      <c r="AC20" s="5" t="e">
        <f>SUMIFS(#REF!,#REF!,$B20,#REF!,AC$1)</f>
        <v>#REF!</v>
      </c>
      <c r="AD20" s="5" t="e">
        <f>SUMIFS(#REF!,#REF!,$B20,#REF!,AD$1)</f>
        <v>#REF!</v>
      </c>
      <c r="AE20" s="5" t="e">
        <f>SUMIFS(#REF!,#REF!,$B20,#REF!,AE$1)</f>
        <v>#REF!</v>
      </c>
      <c r="AF20" s="5" t="e">
        <f>SUMIFS(#REF!,#REF!,$B20,#REF!,AF$1)</f>
        <v>#REF!</v>
      </c>
      <c r="AG20" s="5" t="e">
        <f>SUMIFS(#REF!,#REF!,$B20,#REF!,AG$1)</f>
        <v>#REF!</v>
      </c>
      <c r="AH20" s="5" t="e">
        <f>SUMIFS(#REF!,#REF!,$B20,#REF!,AH$1)</f>
        <v>#REF!</v>
      </c>
      <c r="AI20" s="11" t="e">
        <f t="shared" si="1"/>
        <v>#REF!</v>
      </c>
    </row>
    <row r="21" spans="2:35" ht="27.6" x14ac:dyDescent="0.3">
      <c r="B21" s="18" t="s">
        <v>39</v>
      </c>
      <c r="C21" s="17">
        <v>90</v>
      </c>
      <c r="D21" s="5" t="e">
        <f>SUMIFS(#REF!,#REF!,$B21,#REF!,D$1)</f>
        <v>#REF!</v>
      </c>
      <c r="E21" s="5" t="e">
        <f>SUMIFS(#REF!,#REF!,$B21,#REF!,E$1)</f>
        <v>#REF!</v>
      </c>
      <c r="F21" s="5" t="e">
        <f>SUMIFS(#REF!,#REF!,$B21,#REF!,F$1)</f>
        <v>#REF!</v>
      </c>
      <c r="G21" s="5" t="e">
        <f>SUMIFS(#REF!,#REF!,$B21,#REF!,G$1)</f>
        <v>#REF!</v>
      </c>
      <c r="H21" s="5" t="e">
        <f>SUMIFS(#REF!,#REF!,$B21,#REF!,H$1)</f>
        <v>#REF!</v>
      </c>
      <c r="I21" s="5" t="e">
        <f>SUMIFS(#REF!,#REF!,$B21,#REF!,I$1)</f>
        <v>#REF!</v>
      </c>
      <c r="J21" s="5" t="e">
        <f>SUMIFS(#REF!,#REF!,$B21,#REF!,J$1)</f>
        <v>#REF!</v>
      </c>
      <c r="K21" s="5" t="e">
        <f>SUMIFS(#REF!,#REF!,$B21,#REF!,K$1)</f>
        <v>#REF!</v>
      </c>
      <c r="L21" s="5" t="e">
        <f>SUMIFS(#REF!,#REF!,$B21,#REF!,L$1)</f>
        <v>#REF!</v>
      </c>
      <c r="M21" s="5" t="e">
        <f>SUMIFS(#REF!,#REF!,$B21,#REF!,M$1)</f>
        <v>#REF!</v>
      </c>
      <c r="N21" s="5" t="e">
        <f>SUMIFS(#REF!,#REF!,$B21,#REF!,N$1)</f>
        <v>#REF!</v>
      </c>
      <c r="O21" s="5" t="e">
        <f>SUMIFS(#REF!,#REF!,$B21,#REF!,O$1)</f>
        <v>#REF!</v>
      </c>
      <c r="P21" s="5" t="e">
        <f>SUMIFS(#REF!,#REF!,$B21,#REF!,P$1)</f>
        <v>#REF!</v>
      </c>
      <c r="Q21" s="5" t="e">
        <f>SUMIFS(#REF!,#REF!,$B21,#REF!,Q$1)</f>
        <v>#REF!</v>
      </c>
      <c r="R21" s="5" t="e">
        <f>SUMIFS(#REF!,#REF!,$B21,#REF!,R$1)</f>
        <v>#REF!</v>
      </c>
      <c r="S21" s="5" t="e">
        <f>SUMIFS(#REF!,#REF!,$B21,#REF!,S$1)</f>
        <v>#REF!</v>
      </c>
      <c r="T21" s="5" t="e">
        <f>SUMIFS(#REF!,#REF!,$B21,#REF!,T$1)</f>
        <v>#REF!</v>
      </c>
      <c r="U21" s="5" t="e">
        <f>SUMIFS(#REF!,#REF!,$B21,#REF!,U$1)</f>
        <v>#REF!</v>
      </c>
      <c r="V21" s="5" t="e">
        <f>SUMIFS(#REF!,#REF!,$B21,#REF!,V$1)</f>
        <v>#REF!</v>
      </c>
      <c r="W21" s="5" t="e">
        <f>SUMIFS(#REF!,#REF!,$B21,#REF!,W$1)</f>
        <v>#REF!</v>
      </c>
      <c r="X21" s="5" t="e">
        <f>SUMIFS(#REF!,#REF!,$B21,#REF!,X$1)</f>
        <v>#REF!</v>
      </c>
      <c r="Y21" s="5" t="e">
        <f>SUMIFS(#REF!,#REF!,$B21,#REF!,Y$1)</f>
        <v>#REF!</v>
      </c>
      <c r="Z21" s="5" t="e">
        <f>SUMIFS(#REF!,#REF!,$B21,#REF!,Z$1)</f>
        <v>#REF!</v>
      </c>
      <c r="AA21" s="5" t="e">
        <f>SUMIFS(#REF!,#REF!,$B21,#REF!,AA$1)</f>
        <v>#REF!</v>
      </c>
      <c r="AB21" s="5" t="e">
        <f>SUMIFS(#REF!,#REF!,$B21,#REF!,AB$1)</f>
        <v>#REF!</v>
      </c>
      <c r="AC21" s="5" t="e">
        <f>SUMIFS(#REF!,#REF!,$B21,#REF!,AC$1)</f>
        <v>#REF!</v>
      </c>
      <c r="AD21" s="5" t="e">
        <f>SUMIFS(#REF!,#REF!,$B21,#REF!,AD$1)</f>
        <v>#REF!</v>
      </c>
      <c r="AE21" s="5" t="e">
        <f>SUMIFS(#REF!,#REF!,$B21,#REF!,AE$1)</f>
        <v>#REF!</v>
      </c>
      <c r="AF21" s="5" t="e">
        <f>SUMIFS(#REF!,#REF!,$B21,#REF!,AF$1)</f>
        <v>#REF!</v>
      </c>
      <c r="AG21" s="5" t="e">
        <f>SUMIFS(#REF!,#REF!,$B21,#REF!,AG$1)</f>
        <v>#REF!</v>
      </c>
      <c r="AH21" s="5" t="e">
        <f>SUMIFS(#REF!,#REF!,$B21,#REF!,AH$1)</f>
        <v>#REF!</v>
      </c>
      <c r="AI21" s="11" t="e">
        <f t="shared" si="1"/>
        <v>#REF!</v>
      </c>
    </row>
    <row r="22" spans="2:35" ht="15.6" x14ac:dyDescent="0.3">
      <c r="B22" s="19" t="s">
        <v>40</v>
      </c>
      <c r="C22" s="17">
        <v>25</v>
      </c>
      <c r="D22" s="5" t="e">
        <f>SUMIFS(#REF!,#REF!,$B22,#REF!,D$1)</f>
        <v>#REF!</v>
      </c>
      <c r="E22" s="5" t="e">
        <f>SUMIFS(#REF!,#REF!,$B22,#REF!,E$1)</f>
        <v>#REF!</v>
      </c>
      <c r="F22" s="5" t="e">
        <f>SUMIFS(#REF!,#REF!,$B22,#REF!,F$1)</f>
        <v>#REF!</v>
      </c>
      <c r="G22" s="5" t="e">
        <f>SUMIFS(#REF!,#REF!,$B22,#REF!,G$1)</f>
        <v>#REF!</v>
      </c>
      <c r="H22" s="5" t="e">
        <f>SUMIFS(#REF!,#REF!,$B22,#REF!,H$1)</f>
        <v>#REF!</v>
      </c>
      <c r="I22" s="5" t="e">
        <f>SUMIFS(#REF!,#REF!,$B22,#REF!,I$1)</f>
        <v>#REF!</v>
      </c>
      <c r="J22" s="5" t="e">
        <f>SUMIFS(#REF!,#REF!,$B22,#REF!,J$1)</f>
        <v>#REF!</v>
      </c>
      <c r="K22" s="5" t="e">
        <f>SUMIFS(#REF!,#REF!,$B22,#REF!,K$1)</f>
        <v>#REF!</v>
      </c>
      <c r="L22" s="5" t="e">
        <f>SUMIFS(#REF!,#REF!,$B22,#REF!,L$1)</f>
        <v>#REF!</v>
      </c>
      <c r="M22" s="5" t="e">
        <f>SUMIFS(#REF!,#REF!,$B22,#REF!,M$1)</f>
        <v>#REF!</v>
      </c>
      <c r="N22" s="5" t="e">
        <f>SUMIFS(#REF!,#REF!,$B22,#REF!,N$1)</f>
        <v>#REF!</v>
      </c>
      <c r="O22" s="5" t="e">
        <f>SUMIFS(#REF!,#REF!,$B22,#REF!,O$1)</f>
        <v>#REF!</v>
      </c>
      <c r="P22" s="5" t="e">
        <f>SUMIFS(#REF!,#REF!,$B22,#REF!,P$1)</f>
        <v>#REF!</v>
      </c>
      <c r="Q22" s="5" t="e">
        <f>SUMIFS(#REF!,#REF!,$B22,#REF!,Q$1)</f>
        <v>#REF!</v>
      </c>
      <c r="R22" s="5" t="e">
        <f>SUMIFS(#REF!,#REF!,$B22,#REF!,R$1)</f>
        <v>#REF!</v>
      </c>
      <c r="S22" s="5" t="e">
        <f>SUMIFS(#REF!,#REF!,$B22,#REF!,S$1)</f>
        <v>#REF!</v>
      </c>
      <c r="T22" s="5" t="e">
        <f>SUMIFS(#REF!,#REF!,$B22,#REF!,T$1)</f>
        <v>#REF!</v>
      </c>
      <c r="U22" s="5" t="e">
        <f>SUMIFS(#REF!,#REF!,$B22,#REF!,U$1)</f>
        <v>#REF!</v>
      </c>
      <c r="V22" s="5" t="e">
        <f>SUMIFS(#REF!,#REF!,$B22,#REF!,V$1)</f>
        <v>#REF!</v>
      </c>
      <c r="W22" s="5" t="e">
        <f>SUMIFS(#REF!,#REF!,$B22,#REF!,W$1)</f>
        <v>#REF!</v>
      </c>
      <c r="X22" s="5" t="e">
        <f>SUMIFS(#REF!,#REF!,$B22,#REF!,X$1)</f>
        <v>#REF!</v>
      </c>
      <c r="Y22" s="5" t="e">
        <f>SUMIFS(#REF!,#REF!,$B22,#REF!,Y$1)</f>
        <v>#REF!</v>
      </c>
      <c r="Z22" s="5" t="e">
        <f>SUMIFS(#REF!,#REF!,$B22,#REF!,Z$1)</f>
        <v>#REF!</v>
      </c>
      <c r="AA22" s="5" t="e">
        <f>SUMIFS(#REF!,#REF!,$B22,#REF!,AA$1)</f>
        <v>#REF!</v>
      </c>
      <c r="AB22" s="5" t="e">
        <f>SUMIFS(#REF!,#REF!,$B22,#REF!,AB$1)</f>
        <v>#REF!</v>
      </c>
      <c r="AC22" s="5" t="e">
        <f>SUMIFS(#REF!,#REF!,$B22,#REF!,AC$1)</f>
        <v>#REF!</v>
      </c>
      <c r="AD22" s="5" t="e">
        <f>SUMIFS(#REF!,#REF!,$B22,#REF!,AD$1)</f>
        <v>#REF!</v>
      </c>
      <c r="AE22" s="5" t="e">
        <f>SUMIFS(#REF!,#REF!,$B22,#REF!,AE$1)</f>
        <v>#REF!</v>
      </c>
      <c r="AF22" s="5" t="e">
        <f>SUMIFS(#REF!,#REF!,$B22,#REF!,AF$1)</f>
        <v>#REF!</v>
      </c>
      <c r="AG22" s="5" t="e">
        <f>SUMIFS(#REF!,#REF!,$B22,#REF!,AG$1)</f>
        <v>#REF!</v>
      </c>
      <c r="AH22" s="5" t="e">
        <f>SUMIFS(#REF!,#REF!,$B22,#REF!,AH$1)</f>
        <v>#REF!</v>
      </c>
      <c r="AI22" s="11" t="e">
        <f t="shared" si="1"/>
        <v>#REF!</v>
      </c>
    </row>
    <row r="23" spans="2:35" ht="15.6" x14ac:dyDescent="0.3">
      <c r="B23" s="19" t="s">
        <v>41</v>
      </c>
      <c r="C23" s="17">
        <v>200</v>
      </c>
      <c r="D23" s="5" t="e">
        <f>SUMIFS(#REF!,#REF!,$B23,#REF!,D$1)</f>
        <v>#REF!</v>
      </c>
      <c r="E23" s="5" t="e">
        <f>SUMIFS(#REF!,#REF!,$B23,#REF!,E$1)</f>
        <v>#REF!</v>
      </c>
      <c r="F23" s="5" t="e">
        <f>SUMIFS(#REF!,#REF!,$B23,#REF!,F$1)</f>
        <v>#REF!</v>
      </c>
      <c r="G23" s="5" t="e">
        <f>SUMIFS(#REF!,#REF!,$B23,#REF!,G$1)</f>
        <v>#REF!</v>
      </c>
      <c r="H23" s="5" t="e">
        <f>SUMIFS(#REF!,#REF!,$B23,#REF!,H$1)</f>
        <v>#REF!</v>
      </c>
      <c r="I23" s="5" t="e">
        <f>SUMIFS(#REF!,#REF!,$B23,#REF!,I$1)</f>
        <v>#REF!</v>
      </c>
      <c r="J23" s="5" t="e">
        <f>SUMIFS(#REF!,#REF!,$B23,#REF!,J$1)</f>
        <v>#REF!</v>
      </c>
      <c r="K23" s="5" t="e">
        <f>SUMIFS(#REF!,#REF!,$B23,#REF!,K$1)</f>
        <v>#REF!</v>
      </c>
      <c r="L23" s="5" t="e">
        <f>SUMIFS(#REF!,#REF!,$B23,#REF!,L$1)</f>
        <v>#REF!</v>
      </c>
      <c r="M23" s="5" t="e">
        <f>SUMIFS(#REF!,#REF!,$B23,#REF!,M$1)</f>
        <v>#REF!</v>
      </c>
      <c r="N23" s="5" t="e">
        <f>SUMIFS(#REF!,#REF!,$B23,#REF!,N$1)</f>
        <v>#REF!</v>
      </c>
      <c r="O23" s="5" t="e">
        <f>SUMIFS(#REF!,#REF!,$B23,#REF!,O$1)</f>
        <v>#REF!</v>
      </c>
      <c r="P23" s="5" t="e">
        <f>SUMIFS(#REF!,#REF!,$B23,#REF!,P$1)</f>
        <v>#REF!</v>
      </c>
      <c r="Q23" s="5" t="e">
        <f>SUMIFS(#REF!,#REF!,$B23,#REF!,Q$1)</f>
        <v>#REF!</v>
      </c>
      <c r="R23" s="5" t="e">
        <f>SUMIFS(#REF!,#REF!,$B23,#REF!,R$1)</f>
        <v>#REF!</v>
      </c>
      <c r="S23" s="5" t="e">
        <f>SUMIFS(#REF!,#REF!,$B23,#REF!,S$1)</f>
        <v>#REF!</v>
      </c>
      <c r="T23" s="5" t="e">
        <f>SUMIFS(#REF!,#REF!,$B23,#REF!,T$1)</f>
        <v>#REF!</v>
      </c>
      <c r="U23" s="5" t="e">
        <f>SUMIFS(#REF!,#REF!,$B23,#REF!,U$1)</f>
        <v>#REF!</v>
      </c>
      <c r="V23" s="5" t="e">
        <f>SUMIFS(#REF!,#REF!,$B23,#REF!,V$1)</f>
        <v>#REF!</v>
      </c>
      <c r="W23" s="5" t="e">
        <f>SUMIFS(#REF!,#REF!,$B23,#REF!,W$1)</f>
        <v>#REF!</v>
      </c>
      <c r="X23" s="5" t="e">
        <f>SUMIFS(#REF!,#REF!,$B23,#REF!,X$1)</f>
        <v>#REF!</v>
      </c>
      <c r="Y23" s="5" t="e">
        <f>SUMIFS(#REF!,#REF!,$B23,#REF!,Y$1)</f>
        <v>#REF!</v>
      </c>
      <c r="Z23" s="5" t="e">
        <f>SUMIFS(#REF!,#REF!,$B23,#REF!,Z$1)</f>
        <v>#REF!</v>
      </c>
      <c r="AA23" s="5" t="e">
        <f>SUMIFS(#REF!,#REF!,$B23,#REF!,AA$1)</f>
        <v>#REF!</v>
      </c>
      <c r="AB23" s="5" t="e">
        <f>SUMIFS(#REF!,#REF!,$B23,#REF!,AB$1)</f>
        <v>#REF!</v>
      </c>
      <c r="AC23" s="5" t="e">
        <f>SUMIFS(#REF!,#REF!,$B23,#REF!,AC$1)</f>
        <v>#REF!</v>
      </c>
      <c r="AD23" s="5" t="e">
        <f>SUMIFS(#REF!,#REF!,$B23,#REF!,AD$1)</f>
        <v>#REF!</v>
      </c>
      <c r="AE23" s="5" t="e">
        <f>SUMIFS(#REF!,#REF!,$B23,#REF!,AE$1)</f>
        <v>#REF!</v>
      </c>
      <c r="AF23" s="5" t="e">
        <f>SUMIFS(#REF!,#REF!,$B23,#REF!,AF$1)</f>
        <v>#REF!</v>
      </c>
      <c r="AG23" s="5" t="e">
        <f>SUMIFS(#REF!,#REF!,$B23,#REF!,AG$1)</f>
        <v>#REF!</v>
      </c>
      <c r="AH23" s="5" t="e">
        <f>SUMIFS(#REF!,#REF!,$B23,#REF!,AH$1)</f>
        <v>#REF!</v>
      </c>
      <c r="AI23" s="11" t="e">
        <f t="shared" si="1"/>
        <v>#REF!</v>
      </c>
    </row>
    <row r="24" spans="2:35" ht="15.6" x14ac:dyDescent="0.3">
      <c r="B24" s="19" t="s">
        <v>42</v>
      </c>
      <c r="C24" s="17">
        <v>200</v>
      </c>
      <c r="D24" s="5" t="e">
        <f>SUMIFS(#REF!,#REF!,$B24,#REF!,D$1)</f>
        <v>#REF!</v>
      </c>
      <c r="E24" s="5" t="e">
        <f>SUMIFS(#REF!,#REF!,$B24,#REF!,E$1)</f>
        <v>#REF!</v>
      </c>
      <c r="F24" s="5" t="e">
        <f>SUMIFS(#REF!,#REF!,$B24,#REF!,F$1)</f>
        <v>#REF!</v>
      </c>
      <c r="G24" s="5" t="e">
        <f>SUMIFS(#REF!,#REF!,$B24,#REF!,G$1)</f>
        <v>#REF!</v>
      </c>
      <c r="H24" s="5" t="e">
        <f>SUMIFS(#REF!,#REF!,$B24,#REF!,H$1)</f>
        <v>#REF!</v>
      </c>
      <c r="I24" s="5" t="e">
        <f>SUMIFS(#REF!,#REF!,$B24,#REF!,I$1)</f>
        <v>#REF!</v>
      </c>
      <c r="J24" s="5" t="e">
        <f>SUMIFS(#REF!,#REF!,$B24,#REF!,J$1)</f>
        <v>#REF!</v>
      </c>
      <c r="K24" s="5" t="e">
        <f>SUMIFS(#REF!,#REF!,$B24,#REF!,K$1)</f>
        <v>#REF!</v>
      </c>
      <c r="L24" s="5" t="e">
        <f>SUMIFS(#REF!,#REF!,$B24,#REF!,L$1)</f>
        <v>#REF!</v>
      </c>
      <c r="M24" s="5" t="e">
        <f>SUMIFS(#REF!,#REF!,$B24,#REF!,M$1)</f>
        <v>#REF!</v>
      </c>
      <c r="N24" s="5" t="e">
        <f>SUMIFS(#REF!,#REF!,$B24,#REF!,N$1)</f>
        <v>#REF!</v>
      </c>
      <c r="O24" s="5" t="e">
        <f>SUMIFS(#REF!,#REF!,$B24,#REF!,O$1)</f>
        <v>#REF!</v>
      </c>
      <c r="P24" s="5" t="e">
        <f>SUMIFS(#REF!,#REF!,$B24,#REF!,P$1)</f>
        <v>#REF!</v>
      </c>
      <c r="Q24" s="5" t="e">
        <f>SUMIFS(#REF!,#REF!,$B24,#REF!,Q$1)</f>
        <v>#REF!</v>
      </c>
      <c r="R24" s="5" t="e">
        <f>SUMIFS(#REF!,#REF!,$B24,#REF!,R$1)</f>
        <v>#REF!</v>
      </c>
      <c r="S24" s="5" t="e">
        <f>SUMIFS(#REF!,#REF!,$B24,#REF!,S$1)</f>
        <v>#REF!</v>
      </c>
      <c r="T24" s="5" t="e">
        <f>SUMIFS(#REF!,#REF!,$B24,#REF!,T$1)</f>
        <v>#REF!</v>
      </c>
      <c r="U24" s="5" t="e">
        <f>SUMIFS(#REF!,#REF!,$B24,#REF!,U$1)</f>
        <v>#REF!</v>
      </c>
      <c r="V24" s="5" t="e">
        <f>SUMIFS(#REF!,#REF!,$B24,#REF!,V$1)</f>
        <v>#REF!</v>
      </c>
      <c r="W24" s="5" t="e">
        <f>SUMIFS(#REF!,#REF!,$B24,#REF!,W$1)</f>
        <v>#REF!</v>
      </c>
      <c r="X24" s="5" t="e">
        <f>SUMIFS(#REF!,#REF!,$B24,#REF!,X$1)</f>
        <v>#REF!</v>
      </c>
      <c r="Y24" s="5" t="e">
        <f>SUMIFS(#REF!,#REF!,$B24,#REF!,Y$1)</f>
        <v>#REF!</v>
      </c>
      <c r="Z24" s="5" t="e">
        <f>SUMIFS(#REF!,#REF!,$B24,#REF!,Z$1)</f>
        <v>#REF!</v>
      </c>
      <c r="AA24" s="5" t="e">
        <f>SUMIFS(#REF!,#REF!,$B24,#REF!,AA$1)</f>
        <v>#REF!</v>
      </c>
      <c r="AB24" s="5" t="e">
        <f>SUMIFS(#REF!,#REF!,$B24,#REF!,AB$1)</f>
        <v>#REF!</v>
      </c>
      <c r="AC24" s="5" t="e">
        <f>SUMIFS(#REF!,#REF!,$B24,#REF!,AC$1)</f>
        <v>#REF!</v>
      </c>
      <c r="AD24" s="5" t="e">
        <f>SUMIFS(#REF!,#REF!,$B24,#REF!,AD$1)</f>
        <v>#REF!</v>
      </c>
      <c r="AE24" s="5" t="e">
        <f>SUMIFS(#REF!,#REF!,$B24,#REF!,AE$1)</f>
        <v>#REF!</v>
      </c>
      <c r="AF24" s="5" t="e">
        <f>SUMIFS(#REF!,#REF!,$B24,#REF!,AF$1)</f>
        <v>#REF!</v>
      </c>
      <c r="AG24" s="5" t="e">
        <f>SUMIFS(#REF!,#REF!,$B24,#REF!,AG$1)</f>
        <v>#REF!</v>
      </c>
      <c r="AH24" s="5" t="e">
        <f>SUMIFS(#REF!,#REF!,$B24,#REF!,AH$1)</f>
        <v>#REF!</v>
      </c>
      <c r="AI24" s="11" t="e">
        <f t="shared" si="1"/>
        <v>#REF!</v>
      </c>
    </row>
    <row r="25" spans="2:35" ht="15.6" x14ac:dyDescent="0.3">
      <c r="B25" s="19" t="s">
        <v>43</v>
      </c>
      <c r="C25" s="17">
        <v>200</v>
      </c>
      <c r="D25" s="5" t="e">
        <f>SUMIFS(#REF!,#REF!,$B25,#REF!,D$1)</f>
        <v>#REF!</v>
      </c>
      <c r="E25" s="5" t="e">
        <f>SUMIFS(#REF!,#REF!,$B25,#REF!,E$1)</f>
        <v>#REF!</v>
      </c>
      <c r="F25" s="5" t="e">
        <f>SUMIFS(#REF!,#REF!,$B25,#REF!,F$1)</f>
        <v>#REF!</v>
      </c>
      <c r="G25" s="5" t="e">
        <f>SUMIFS(#REF!,#REF!,$B25,#REF!,G$1)</f>
        <v>#REF!</v>
      </c>
      <c r="H25" s="5" t="e">
        <f>SUMIFS(#REF!,#REF!,$B25,#REF!,H$1)</f>
        <v>#REF!</v>
      </c>
      <c r="I25" s="5" t="e">
        <f>SUMIFS(#REF!,#REF!,$B25,#REF!,I$1)</f>
        <v>#REF!</v>
      </c>
      <c r="J25" s="5" t="e">
        <f>SUMIFS(#REF!,#REF!,$B25,#REF!,J$1)</f>
        <v>#REF!</v>
      </c>
      <c r="K25" s="5" t="e">
        <f>SUMIFS(#REF!,#REF!,$B25,#REF!,K$1)</f>
        <v>#REF!</v>
      </c>
      <c r="L25" s="5" t="e">
        <f>SUMIFS(#REF!,#REF!,$B25,#REF!,L$1)</f>
        <v>#REF!</v>
      </c>
      <c r="M25" s="5" t="e">
        <f>SUMIFS(#REF!,#REF!,$B25,#REF!,M$1)</f>
        <v>#REF!</v>
      </c>
      <c r="N25" s="5" t="e">
        <f>SUMIFS(#REF!,#REF!,$B25,#REF!,N$1)</f>
        <v>#REF!</v>
      </c>
      <c r="O25" s="5" t="e">
        <f>SUMIFS(#REF!,#REF!,$B25,#REF!,O$1)</f>
        <v>#REF!</v>
      </c>
      <c r="P25" s="5" t="e">
        <f>SUMIFS(#REF!,#REF!,$B25,#REF!,P$1)</f>
        <v>#REF!</v>
      </c>
      <c r="Q25" s="5" t="e">
        <f>SUMIFS(#REF!,#REF!,$B25,#REF!,Q$1)</f>
        <v>#REF!</v>
      </c>
      <c r="R25" s="5" t="e">
        <f>SUMIFS(#REF!,#REF!,$B25,#REF!,R$1)</f>
        <v>#REF!</v>
      </c>
      <c r="S25" s="5" t="e">
        <f>SUMIFS(#REF!,#REF!,$B25,#REF!,S$1)</f>
        <v>#REF!</v>
      </c>
      <c r="T25" s="5" t="e">
        <f>SUMIFS(#REF!,#REF!,$B25,#REF!,T$1)</f>
        <v>#REF!</v>
      </c>
      <c r="U25" s="5" t="e">
        <f>SUMIFS(#REF!,#REF!,$B25,#REF!,U$1)</f>
        <v>#REF!</v>
      </c>
      <c r="V25" s="5" t="e">
        <f>SUMIFS(#REF!,#REF!,$B25,#REF!,V$1)</f>
        <v>#REF!</v>
      </c>
      <c r="W25" s="5" t="e">
        <f>SUMIFS(#REF!,#REF!,$B25,#REF!,W$1)</f>
        <v>#REF!</v>
      </c>
      <c r="X25" s="5" t="e">
        <f>SUMIFS(#REF!,#REF!,$B25,#REF!,X$1)</f>
        <v>#REF!</v>
      </c>
      <c r="Y25" s="5" t="e">
        <f>SUMIFS(#REF!,#REF!,$B25,#REF!,Y$1)</f>
        <v>#REF!</v>
      </c>
      <c r="Z25" s="5" t="e">
        <f>SUMIFS(#REF!,#REF!,$B25,#REF!,Z$1)</f>
        <v>#REF!</v>
      </c>
      <c r="AA25" s="5" t="e">
        <f>SUMIFS(#REF!,#REF!,$B25,#REF!,AA$1)</f>
        <v>#REF!</v>
      </c>
      <c r="AB25" s="5" t="e">
        <f>SUMIFS(#REF!,#REF!,$B25,#REF!,AB$1)</f>
        <v>#REF!</v>
      </c>
      <c r="AC25" s="5" t="e">
        <f>SUMIFS(#REF!,#REF!,$B25,#REF!,AC$1)</f>
        <v>#REF!</v>
      </c>
      <c r="AD25" s="5" t="e">
        <f>SUMIFS(#REF!,#REF!,$B25,#REF!,AD$1)</f>
        <v>#REF!</v>
      </c>
      <c r="AE25" s="5" t="e">
        <f>SUMIFS(#REF!,#REF!,$B25,#REF!,AE$1)</f>
        <v>#REF!</v>
      </c>
      <c r="AF25" s="5" t="e">
        <f>SUMIFS(#REF!,#REF!,$B25,#REF!,AF$1)</f>
        <v>#REF!</v>
      </c>
      <c r="AG25" s="5" t="e">
        <f>SUMIFS(#REF!,#REF!,$B25,#REF!,AG$1)</f>
        <v>#REF!</v>
      </c>
      <c r="AH25" s="5" t="e">
        <f>SUMIFS(#REF!,#REF!,$B25,#REF!,AH$1)</f>
        <v>#REF!</v>
      </c>
      <c r="AI25" s="11" t="e">
        <f t="shared" si="1"/>
        <v>#REF!</v>
      </c>
    </row>
    <row r="26" spans="2:35" ht="16.2" thickBot="1" x14ac:dyDescent="0.35">
      <c r="B26" s="28" t="s">
        <v>44</v>
      </c>
      <c r="C26" s="29">
        <v>20</v>
      </c>
      <c r="D26" s="5" t="e">
        <f>SUMIFS(#REF!,#REF!,$B26,#REF!,D$1)</f>
        <v>#REF!</v>
      </c>
      <c r="E26" s="5" t="e">
        <f>SUMIFS(#REF!,#REF!,$B26,#REF!,E$1)</f>
        <v>#REF!</v>
      </c>
      <c r="F26" s="5" t="e">
        <f>SUMIFS(#REF!,#REF!,$B26,#REF!,F$1)</f>
        <v>#REF!</v>
      </c>
      <c r="G26" s="5" t="e">
        <f>SUMIFS(#REF!,#REF!,$B26,#REF!,G$1)</f>
        <v>#REF!</v>
      </c>
      <c r="H26" s="5" t="e">
        <f>SUMIFS(#REF!,#REF!,$B26,#REF!,H$1)</f>
        <v>#REF!</v>
      </c>
      <c r="I26" s="5" t="e">
        <f>SUMIFS(#REF!,#REF!,$B26,#REF!,I$1)</f>
        <v>#REF!</v>
      </c>
      <c r="J26" s="5" t="e">
        <f>SUMIFS(#REF!,#REF!,$B26,#REF!,J$1)</f>
        <v>#REF!</v>
      </c>
      <c r="K26" s="5" t="e">
        <f>SUMIFS(#REF!,#REF!,$B26,#REF!,K$1)</f>
        <v>#REF!</v>
      </c>
      <c r="L26" s="5" t="e">
        <f>SUMIFS(#REF!,#REF!,$B26,#REF!,L$1)</f>
        <v>#REF!</v>
      </c>
      <c r="M26" s="5" t="e">
        <f>SUMIFS(#REF!,#REF!,$B26,#REF!,M$1)</f>
        <v>#REF!</v>
      </c>
      <c r="N26" s="5" t="e">
        <f>SUMIFS(#REF!,#REF!,$B26,#REF!,N$1)</f>
        <v>#REF!</v>
      </c>
      <c r="O26" s="5" t="e">
        <f>SUMIFS(#REF!,#REF!,$B26,#REF!,O$1)</f>
        <v>#REF!</v>
      </c>
      <c r="P26" s="5" t="e">
        <f>SUMIFS(#REF!,#REF!,$B26,#REF!,P$1)</f>
        <v>#REF!</v>
      </c>
      <c r="Q26" s="5" t="e">
        <f>SUMIFS(#REF!,#REF!,$B26,#REF!,Q$1)</f>
        <v>#REF!</v>
      </c>
      <c r="R26" s="5" t="e">
        <f>SUMIFS(#REF!,#REF!,$B26,#REF!,R$1)</f>
        <v>#REF!</v>
      </c>
      <c r="S26" s="5" t="e">
        <f>SUMIFS(#REF!,#REF!,$B26,#REF!,S$1)</f>
        <v>#REF!</v>
      </c>
      <c r="T26" s="5" t="e">
        <f>SUMIFS(#REF!,#REF!,$B26,#REF!,T$1)</f>
        <v>#REF!</v>
      </c>
      <c r="U26" s="5" t="e">
        <f>SUMIFS(#REF!,#REF!,$B26,#REF!,U$1)</f>
        <v>#REF!</v>
      </c>
      <c r="V26" s="5" t="e">
        <f>SUMIFS(#REF!,#REF!,$B26,#REF!,V$1)</f>
        <v>#REF!</v>
      </c>
      <c r="W26" s="5" t="e">
        <f>SUMIFS(#REF!,#REF!,$B26,#REF!,W$1)</f>
        <v>#REF!</v>
      </c>
      <c r="X26" s="5" t="e">
        <f>SUMIFS(#REF!,#REF!,$B26,#REF!,X$1)</f>
        <v>#REF!</v>
      </c>
      <c r="Y26" s="5" t="e">
        <f>SUMIFS(#REF!,#REF!,$B26,#REF!,Y$1)</f>
        <v>#REF!</v>
      </c>
      <c r="Z26" s="5" t="e">
        <f>SUMIFS(#REF!,#REF!,$B26,#REF!,Z$1)</f>
        <v>#REF!</v>
      </c>
      <c r="AA26" s="5" t="e">
        <f>SUMIFS(#REF!,#REF!,$B26,#REF!,AA$1)</f>
        <v>#REF!</v>
      </c>
      <c r="AB26" s="5" t="e">
        <f>SUMIFS(#REF!,#REF!,$B26,#REF!,AB$1)</f>
        <v>#REF!</v>
      </c>
      <c r="AC26" s="5" t="e">
        <f>SUMIFS(#REF!,#REF!,$B26,#REF!,AC$1)</f>
        <v>#REF!</v>
      </c>
      <c r="AD26" s="5" t="e">
        <f>SUMIFS(#REF!,#REF!,$B26,#REF!,AD$1)</f>
        <v>#REF!</v>
      </c>
      <c r="AE26" s="5" t="e">
        <f>SUMIFS(#REF!,#REF!,$B26,#REF!,AE$1)</f>
        <v>#REF!</v>
      </c>
      <c r="AF26" s="5" t="e">
        <f>SUMIFS(#REF!,#REF!,$B26,#REF!,AF$1)</f>
        <v>#REF!</v>
      </c>
      <c r="AG26" s="5" t="e">
        <f>SUMIFS(#REF!,#REF!,$B26,#REF!,AG$1)</f>
        <v>#REF!</v>
      </c>
      <c r="AH26" s="5" t="e">
        <f>SUMIFS(#REF!,#REF!,$B26,#REF!,AH$1)</f>
        <v>#REF!</v>
      </c>
      <c r="AI26" s="12" t="e">
        <f t="shared" si="1"/>
        <v>#REF!</v>
      </c>
    </row>
  </sheetData>
  <dataValidations count="1">
    <dataValidation type="list" allowBlank="1" showInputMessage="1" showErrorMessage="1" sqref="B3:B10">
      <formula1>$E$4:$E$37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#REF!</xm:f>
          </x14:formula1>
          <xm:sqref>B12:B26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4</vt:i4>
      </vt:variant>
    </vt:vector>
  </HeadingPairs>
  <TitlesOfParts>
    <vt:vector size="10" baseType="lpstr">
      <vt:lpstr>апрель 2026</vt:lpstr>
      <vt:lpstr>март 2026</vt:lpstr>
      <vt:lpstr>февраль 2026</vt:lpstr>
      <vt:lpstr>январь 2026</vt:lpstr>
      <vt:lpstr>промеж.06</vt:lpstr>
      <vt:lpstr>промеж.</vt:lpstr>
      <vt:lpstr>'апрель 2026'!Область_печати</vt:lpstr>
      <vt:lpstr>'март 2026'!Область_печати</vt:lpstr>
      <vt:lpstr>'февраль 2026'!Область_печати</vt:lpstr>
      <vt:lpstr>'январь 2026'!Область_печати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2026-04-14T09:12:34Z</dcterms:modified>
</cp:coreProperties>
</file>