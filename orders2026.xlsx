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fileSharing readOnlyRecommended="1"/>
  <workbookPr filterPrivacy="1" codeName="ЭтаКнига"/>
  <xr:revisionPtr revIDLastSave="0" documentId="13_ncr:1_{F97C95AF-606A-4D79-AF73-B8C25390669C}" xr6:coauthVersionLast="45" xr6:coauthVersionMax="45" xr10:uidLastSave="{00000000-0000-0000-0000-000000000000}"/>
  <bookViews>
    <workbookView xWindow="28680" yWindow="-120" windowWidth="29040" windowHeight="15840" tabRatio="700" xr2:uid="{00000000-000D-0000-FFFF-FFFF00000000}"/>
  </bookViews>
  <sheets>
    <sheet name="апрель 2026" sheetId="203" r:id="rId1"/>
    <sheet name="март 2026" sheetId="202" r:id="rId2"/>
    <sheet name="февраль 2026" sheetId="199" r:id="rId3"/>
    <sheet name="январь 2026" sheetId="196" r:id="rId4"/>
    <sheet name="справочник" sheetId="33" r:id="rId5"/>
    <sheet name="промеж.06" sheetId="36" state="hidden" r:id="rId6"/>
    <sheet name="промеж." sheetId="34" state="hidden" r:id="rId7"/>
    <sheet name="промеж.04.26" sheetId="204" r:id="rId8"/>
    <sheet name="промеж.03.26" sheetId="201" r:id="rId9"/>
    <sheet name="промеж.02.26" sheetId="200" r:id="rId10"/>
    <sheet name="промеж.01.26" sheetId="197" r:id="rId11"/>
  </sheets>
  <externalReferences>
    <externalReference r:id="rId12"/>
  </externalReferences>
  <definedNames>
    <definedName name="_xlnm._FilterDatabase" localSheetId="0" hidden="1">'апрель 2026'!$D$1:$D$118</definedName>
    <definedName name="_xlnm._FilterDatabase" localSheetId="1" hidden="1">'март 2026'!$D$1:$D$63</definedName>
    <definedName name="_xlnm._FilterDatabase" localSheetId="2" hidden="1">'февраль 2026'!$D$1:$D$64</definedName>
    <definedName name="_xlnm._FilterDatabase" localSheetId="3" hidden="1">'январь 2026'!$D$1:$D$52</definedName>
    <definedName name="_xlnm.Print_Area" localSheetId="0">'апрель 2026'!$A$1:$R$112</definedName>
    <definedName name="_xlnm.Print_Area" localSheetId="1">'март 2026'!$A$1:$R$57</definedName>
    <definedName name="_xlnm.Print_Area" localSheetId="2">'февраль 2026'!$A$1:$R$58</definedName>
    <definedName name="_xlnm.Print_Area" localSheetId="3">'январь 2026'!$A$1:$R$46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0" i="203" l="1"/>
  <c r="T38" i="203" l="1"/>
  <c r="T39" i="203"/>
  <c r="T40" i="203"/>
  <c r="T41" i="203"/>
  <c r="T42" i="203"/>
  <c r="T37" i="203"/>
  <c r="T30" i="203"/>
  <c r="T31" i="203"/>
  <c r="T32" i="203"/>
  <c r="T33" i="203"/>
  <c r="T34" i="203"/>
  <c r="T35" i="203"/>
  <c r="T36" i="203"/>
  <c r="T43" i="203"/>
  <c r="T44" i="203"/>
  <c r="T45" i="203"/>
  <c r="T46" i="203"/>
  <c r="T47" i="203"/>
  <c r="T48" i="203"/>
  <c r="T49" i="203"/>
  <c r="T50" i="203"/>
  <c r="T51" i="203"/>
  <c r="T52" i="203"/>
  <c r="T53" i="203"/>
  <c r="T54" i="203"/>
  <c r="T55" i="203"/>
  <c r="T56" i="203"/>
  <c r="T57" i="203"/>
  <c r="T58" i="203"/>
  <c r="T59" i="203"/>
  <c r="T60" i="203"/>
  <c r="T61" i="203"/>
  <c r="T29" i="203" l="1"/>
  <c r="T26" i="203"/>
  <c r="T27" i="203"/>
  <c r="T28" i="203"/>
  <c r="T21" i="203" l="1"/>
  <c r="T67" i="203"/>
  <c r="T63" i="203"/>
  <c r="T64" i="203"/>
  <c r="T62" i="203"/>
  <c r="T65" i="203"/>
  <c r="T66" i="203"/>
  <c r="T68" i="203"/>
  <c r="T69" i="203"/>
  <c r="T71" i="203"/>
  <c r="T72" i="203"/>
  <c r="T73" i="203"/>
  <c r="T74" i="203"/>
  <c r="T75" i="203"/>
  <c r="T22" i="203" l="1"/>
  <c r="T23" i="203"/>
  <c r="T24" i="203"/>
  <c r="T25" i="203"/>
  <c r="T76" i="203"/>
  <c r="T77" i="203"/>
  <c r="T78" i="203"/>
  <c r="T79" i="203"/>
  <c r="T80" i="203"/>
  <c r="T13" i="203" l="1"/>
  <c r="T14" i="203"/>
  <c r="T15" i="203"/>
  <c r="T16" i="203"/>
  <c r="T17" i="203"/>
  <c r="T18" i="203"/>
  <c r="T19" i="203"/>
  <c r="T20" i="203"/>
  <c r="T81" i="203" l="1"/>
  <c r="T82" i="203"/>
  <c r="T83" i="203"/>
  <c r="T84" i="203"/>
  <c r="T85" i="203"/>
  <c r="T86" i="203"/>
  <c r="T10" i="203" l="1"/>
  <c r="T11" i="203"/>
  <c r="T12" i="203"/>
  <c r="T9" i="203" l="1"/>
  <c r="T6" i="203"/>
  <c r="T7" i="203"/>
  <c r="T8" i="203"/>
  <c r="T87" i="203"/>
  <c r="T88" i="203"/>
  <c r="T89" i="203"/>
  <c r="T90" i="203"/>
  <c r="T91" i="203"/>
  <c r="T92" i="203"/>
  <c r="T93" i="203"/>
  <c r="T94" i="203"/>
  <c r="T95" i="203"/>
  <c r="T96" i="203"/>
  <c r="T97" i="203"/>
  <c r="T98" i="203"/>
  <c r="T99" i="203"/>
  <c r="T100" i="203"/>
  <c r="T101" i="203"/>
  <c r="T102" i="203"/>
  <c r="T103" i="203"/>
  <c r="T104" i="203"/>
  <c r="T105" i="203"/>
  <c r="T106" i="203"/>
  <c r="T107" i="203"/>
  <c r="T108" i="203"/>
  <c r="T109" i="203"/>
  <c r="T110" i="203"/>
  <c r="T111" i="203"/>
  <c r="T112" i="203"/>
  <c r="T46" i="202" l="1"/>
  <c r="T47" i="202"/>
  <c r="T48" i="202"/>
  <c r="T49" i="202"/>
  <c r="T50" i="202"/>
  <c r="T51" i="202"/>
  <c r="T52" i="202"/>
  <c r="T53" i="202"/>
  <c r="T54" i="202"/>
  <c r="T55" i="202"/>
  <c r="T56" i="202"/>
  <c r="D1" i="204" l="1"/>
  <c r="D15" i="204" s="1"/>
  <c r="D31" i="204" l="1"/>
  <c r="D29" i="204"/>
  <c r="D27" i="204"/>
  <c r="D30" i="204"/>
  <c r="D24" i="204"/>
  <c r="D6" i="204"/>
  <c r="E1" i="204"/>
  <c r="D33" i="204"/>
  <c r="D3" i="204"/>
  <c r="D25" i="204"/>
  <c r="D13" i="204"/>
  <c r="E186" i="204"/>
  <c r="E174" i="204"/>
  <c r="E187" i="204"/>
  <c r="E185" i="204"/>
  <c r="E173" i="204"/>
  <c r="E161" i="204"/>
  <c r="E178" i="204"/>
  <c r="E181" i="204"/>
  <c r="E169" i="204"/>
  <c r="E157" i="204"/>
  <c r="E182" i="204"/>
  <c r="E164" i="204"/>
  <c r="E179" i="204"/>
  <c r="E175" i="204"/>
  <c r="E183" i="204"/>
  <c r="E162" i="204"/>
  <c r="E148" i="204"/>
  <c r="E171" i="204"/>
  <c r="E184" i="204"/>
  <c r="E180" i="204"/>
  <c r="E165" i="204"/>
  <c r="E172" i="204"/>
  <c r="E166" i="204"/>
  <c r="E151" i="204"/>
  <c r="E147" i="204"/>
  <c r="E143" i="204"/>
  <c r="E150" i="204"/>
  <c r="E159" i="204"/>
  <c r="E128" i="204"/>
  <c r="E176" i="204"/>
  <c r="E154" i="204"/>
  <c r="E146" i="204"/>
  <c r="E163" i="204"/>
  <c r="E149" i="204"/>
  <c r="E168" i="204"/>
  <c r="E160" i="204"/>
  <c r="E155" i="204"/>
  <c r="E152" i="204"/>
  <c r="E142" i="204"/>
  <c r="E131" i="204"/>
  <c r="E126" i="204"/>
  <c r="E156" i="204"/>
  <c r="E136" i="204"/>
  <c r="E170" i="204"/>
  <c r="E158" i="204"/>
  <c r="E140" i="204"/>
  <c r="E145" i="204"/>
  <c r="E127" i="204"/>
  <c r="E120" i="204"/>
  <c r="E177" i="204"/>
  <c r="E153" i="204"/>
  <c r="E132" i="204"/>
  <c r="E129" i="204"/>
  <c r="E123" i="204"/>
  <c r="E144" i="204"/>
  <c r="E138" i="204"/>
  <c r="E116" i="204"/>
  <c r="E118" i="204"/>
  <c r="E104" i="204"/>
  <c r="E167" i="204"/>
  <c r="E139" i="204"/>
  <c r="E124" i="204"/>
  <c r="E122" i="204"/>
  <c r="E110" i="204"/>
  <c r="E103" i="204"/>
  <c r="E117" i="204"/>
  <c r="E108" i="204"/>
  <c r="E134" i="204"/>
  <c r="E133" i="204"/>
  <c r="E130" i="204"/>
  <c r="E121" i="204"/>
  <c r="E106" i="204"/>
  <c r="E94" i="204"/>
  <c r="E86" i="204"/>
  <c r="E78" i="204"/>
  <c r="E113" i="204"/>
  <c r="E111" i="204"/>
  <c r="E109" i="204"/>
  <c r="E141" i="204"/>
  <c r="E107" i="204"/>
  <c r="E105" i="204"/>
  <c r="E137" i="204"/>
  <c r="E125" i="204"/>
  <c r="E102" i="204"/>
  <c r="E119" i="204"/>
  <c r="E96" i="204"/>
  <c r="E90" i="204"/>
  <c r="E135" i="204"/>
  <c r="E115" i="204"/>
  <c r="E112" i="204"/>
  <c r="E95" i="204"/>
  <c r="E82" i="204"/>
  <c r="E92" i="204"/>
  <c r="E84" i="204"/>
  <c r="E75" i="204"/>
  <c r="E63" i="204"/>
  <c r="E114" i="204"/>
  <c r="E80" i="204"/>
  <c r="E68" i="204"/>
  <c r="E69" i="204"/>
  <c r="E49" i="204"/>
  <c r="E37" i="204"/>
  <c r="E5" i="204"/>
  <c r="E17" i="204"/>
  <c r="E101" i="204"/>
  <c r="E89" i="204"/>
  <c r="E74" i="204"/>
  <c r="E98" i="204"/>
  <c r="E97" i="204"/>
  <c r="E91" i="204"/>
  <c r="E83" i="204"/>
  <c r="E73" i="204"/>
  <c r="E67" i="204"/>
  <c r="E57" i="204"/>
  <c r="E99" i="204"/>
  <c r="E81" i="204"/>
  <c r="E66" i="204"/>
  <c r="E88" i="204"/>
  <c r="E79" i="204"/>
  <c r="E72" i="204"/>
  <c r="E48" i="204"/>
  <c r="E100" i="204"/>
  <c r="E93" i="204"/>
  <c r="E85" i="204"/>
  <c r="E71" i="204"/>
  <c r="E65" i="204"/>
  <c r="E53" i="204"/>
  <c r="E64" i="204"/>
  <c r="E58" i="204"/>
  <c r="E46" i="204"/>
  <c r="E8" i="204"/>
  <c r="E76" i="204"/>
  <c r="E55" i="204"/>
  <c r="E70" i="204"/>
  <c r="E56" i="204"/>
  <c r="E7" i="204"/>
  <c r="E61" i="204"/>
  <c r="E87" i="204"/>
  <c r="E47" i="204"/>
  <c r="E43" i="204"/>
  <c r="E35" i="204"/>
  <c r="E77" i="204"/>
  <c r="E60" i="204"/>
  <c r="E44" i="204"/>
  <c r="E41" i="204"/>
  <c r="E12" i="204"/>
  <c r="E19" i="204"/>
  <c r="E59" i="204"/>
  <c r="E6" i="204"/>
  <c r="E13" i="204"/>
  <c r="E27" i="204"/>
  <c r="E40" i="204"/>
  <c r="E36" i="204"/>
  <c r="E24" i="204"/>
  <c r="E31" i="204"/>
  <c r="E54" i="204"/>
  <c r="E52" i="204"/>
  <c r="E51" i="204"/>
  <c r="E39" i="204"/>
  <c r="E11" i="204"/>
  <c r="E26" i="204"/>
  <c r="E50" i="204"/>
  <c r="E45" i="204"/>
  <c r="E15" i="204"/>
  <c r="E16" i="204"/>
  <c r="E21" i="204"/>
  <c r="E33" i="204"/>
  <c r="E18" i="204"/>
  <c r="E28" i="204"/>
  <c r="E3" i="204"/>
  <c r="E42" i="204"/>
  <c r="E4" i="204"/>
  <c r="E10" i="204"/>
  <c r="E23" i="204"/>
  <c r="E38" i="204"/>
  <c r="E14" i="204"/>
  <c r="E62" i="204"/>
  <c r="E9" i="204"/>
  <c r="E25" i="204"/>
  <c r="F1" i="204"/>
  <c r="E30" i="204"/>
  <c r="D32" i="204"/>
  <c r="D20" i="204"/>
  <c r="D14" i="204"/>
  <c r="D57" i="204"/>
  <c r="D19" i="204"/>
  <c r="D23" i="204"/>
  <c r="D10" i="204"/>
  <c r="D35" i="204"/>
  <c r="D45" i="204"/>
  <c r="D61" i="204"/>
  <c r="D28" i="204"/>
  <c r="D18" i="204"/>
  <c r="D7" i="204"/>
  <c r="D39" i="204"/>
  <c r="D46" i="204"/>
  <c r="D47" i="204"/>
  <c r="D49" i="204"/>
  <c r="D52" i="204"/>
  <c r="D21" i="204"/>
  <c r="D16" i="204"/>
  <c r="D181" i="204"/>
  <c r="D169" i="204"/>
  <c r="D186" i="204"/>
  <c r="D187" i="204"/>
  <c r="D180" i="204"/>
  <c r="D168" i="204"/>
  <c r="D185" i="204"/>
  <c r="D173" i="204"/>
  <c r="D176" i="204"/>
  <c r="D164" i="204"/>
  <c r="D171" i="204"/>
  <c r="D152" i="204"/>
  <c r="D182" i="204"/>
  <c r="D172" i="204"/>
  <c r="D163" i="204"/>
  <c r="D155" i="204"/>
  <c r="D178" i="204"/>
  <c r="D167" i="204"/>
  <c r="D174" i="204"/>
  <c r="D184" i="204"/>
  <c r="D183" i="204"/>
  <c r="D170" i="204"/>
  <c r="D179" i="204"/>
  <c r="D165" i="204"/>
  <c r="D161" i="204"/>
  <c r="D166" i="204"/>
  <c r="D151" i="204"/>
  <c r="D175" i="204"/>
  <c r="D162" i="204"/>
  <c r="D147" i="204"/>
  <c r="D143" i="204"/>
  <c r="D135" i="204"/>
  <c r="D159" i="204"/>
  <c r="D177" i="204"/>
  <c r="D158" i="204"/>
  <c r="D156" i="204"/>
  <c r="D140" i="204"/>
  <c r="D154" i="204"/>
  <c r="D146" i="204"/>
  <c r="D149" i="204"/>
  <c r="D148" i="204"/>
  <c r="D160" i="204"/>
  <c r="D144" i="204"/>
  <c r="D139" i="204"/>
  <c r="D137" i="204"/>
  <c r="D134" i="204"/>
  <c r="D121" i="204"/>
  <c r="D157" i="204"/>
  <c r="D128" i="204"/>
  <c r="D133" i="204"/>
  <c r="D150" i="204"/>
  <c r="D145" i="204"/>
  <c r="D130" i="204"/>
  <c r="D141" i="204"/>
  <c r="D125" i="204"/>
  <c r="D153" i="204"/>
  <c r="D132" i="204"/>
  <c r="D118" i="204"/>
  <c r="D129" i="204"/>
  <c r="D123" i="204"/>
  <c r="D111" i="204"/>
  <c r="D99" i="204"/>
  <c r="D138" i="204"/>
  <c r="D119" i="204"/>
  <c r="D124" i="204"/>
  <c r="D142" i="204"/>
  <c r="D122" i="204"/>
  <c r="D116" i="204"/>
  <c r="D115" i="204"/>
  <c r="D114" i="204"/>
  <c r="D120" i="204"/>
  <c r="D110" i="204"/>
  <c r="D98" i="204"/>
  <c r="D103" i="204"/>
  <c r="D131" i="204"/>
  <c r="D127" i="204"/>
  <c r="D126" i="204"/>
  <c r="D113" i="204"/>
  <c r="D101" i="204"/>
  <c r="D89" i="204"/>
  <c r="D104" i="204"/>
  <c r="D100" i="204"/>
  <c r="D109" i="204"/>
  <c r="D107" i="204"/>
  <c r="D117" i="204"/>
  <c r="D105" i="204"/>
  <c r="D136" i="204"/>
  <c r="D102" i="204"/>
  <c r="D93" i="204"/>
  <c r="D79" i="204"/>
  <c r="D108" i="204"/>
  <c r="D106" i="204"/>
  <c r="D87" i="204"/>
  <c r="D77" i="204"/>
  <c r="D112" i="204"/>
  <c r="D95" i="204"/>
  <c r="D82" i="204"/>
  <c r="D70" i="204"/>
  <c r="D92" i="204"/>
  <c r="D84" i="204"/>
  <c r="D75" i="204"/>
  <c r="D63" i="204"/>
  <c r="D76" i="204"/>
  <c r="D56" i="204"/>
  <c r="D44" i="204"/>
  <c r="D12" i="204"/>
  <c r="D94" i="204"/>
  <c r="D68" i="204"/>
  <c r="D86" i="204"/>
  <c r="D74" i="204"/>
  <c r="D97" i="204"/>
  <c r="D91" i="204"/>
  <c r="D83" i="204"/>
  <c r="D73" i="204"/>
  <c r="D67" i="204"/>
  <c r="D81" i="204"/>
  <c r="D88" i="204"/>
  <c r="D59" i="204"/>
  <c r="D55" i="204"/>
  <c r="D43" i="204"/>
  <c r="D96" i="204"/>
  <c r="D72" i="204"/>
  <c r="D48" i="204"/>
  <c r="D85" i="204"/>
  <c r="D71" i="204"/>
  <c r="D65" i="204"/>
  <c r="D53" i="204"/>
  <c r="D41" i="204"/>
  <c r="D90" i="204"/>
  <c r="D40" i="204"/>
  <c r="D62" i="204"/>
  <c r="D58" i="204"/>
  <c r="D38" i="204"/>
  <c r="D80" i="204"/>
  <c r="D78" i="204"/>
  <c r="D54" i="204"/>
  <c r="D50" i="204"/>
  <c r="D42" i="204"/>
  <c r="D36" i="204"/>
  <c r="D9" i="204"/>
  <c r="D17" i="204"/>
  <c r="D69" i="204"/>
  <c r="D64" i="204"/>
  <c r="D51" i="204"/>
  <c r="D4" i="204"/>
  <c r="D26" i="204"/>
  <c r="D11" i="204"/>
  <c r="D60" i="204"/>
  <c r="D66" i="204"/>
  <c r="D5" i="204"/>
  <c r="D8" i="204"/>
  <c r="D34" i="204"/>
  <c r="D22" i="204"/>
  <c r="D37" i="204"/>
  <c r="B117" i="203"/>
  <c r="B116" i="203"/>
  <c r="B115" i="203"/>
  <c r="B113" i="203"/>
  <c r="T5" i="203"/>
  <c r="E34" i="204" l="1"/>
  <c r="E20" i="204"/>
  <c r="E22" i="204"/>
  <c r="E29" i="204"/>
  <c r="E32" i="204"/>
  <c r="F179" i="204"/>
  <c r="F167" i="204"/>
  <c r="F187" i="204"/>
  <c r="F178" i="204"/>
  <c r="F166" i="204"/>
  <c r="F183" i="204"/>
  <c r="F171" i="204"/>
  <c r="F186" i="204"/>
  <c r="F174" i="204"/>
  <c r="F162" i="204"/>
  <c r="F175" i="204"/>
  <c r="F158" i="204"/>
  <c r="F150" i="204"/>
  <c r="F172" i="204"/>
  <c r="F176" i="204"/>
  <c r="F153" i="204"/>
  <c r="F185" i="204"/>
  <c r="F184" i="204"/>
  <c r="F181" i="204"/>
  <c r="F163" i="204"/>
  <c r="F177" i="204"/>
  <c r="F180" i="204"/>
  <c r="F182" i="204"/>
  <c r="F169" i="204"/>
  <c r="F141" i="204"/>
  <c r="F142" i="204"/>
  <c r="F133" i="204"/>
  <c r="F149" i="204"/>
  <c r="F139" i="204"/>
  <c r="F168" i="204"/>
  <c r="F164" i="204"/>
  <c r="F160" i="204"/>
  <c r="F148" i="204"/>
  <c r="F147" i="204"/>
  <c r="F145" i="204"/>
  <c r="F173" i="204"/>
  <c r="F165" i="204"/>
  <c r="F157" i="204"/>
  <c r="F156" i="204"/>
  <c r="F146" i="204"/>
  <c r="F119" i="204"/>
  <c r="F170" i="204"/>
  <c r="F130" i="204"/>
  <c r="F143" i="204"/>
  <c r="F135" i="204"/>
  <c r="F125" i="204"/>
  <c r="F161" i="204"/>
  <c r="F159" i="204"/>
  <c r="F152" i="204"/>
  <c r="F151" i="204"/>
  <c r="F129" i="204"/>
  <c r="F123" i="204"/>
  <c r="F155" i="204"/>
  <c r="F144" i="204"/>
  <c r="F138" i="204"/>
  <c r="F116" i="204"/>
  <c r="F154" i="204"/>
  <c r="F137" i="204"/>
  <c r="F134" i="204"/>
  <c r="F121" i="204"/>
  <c r="F109" i="204"/>
  <c r="F124" i="204"/>
  <c r="F122" i="204"/>
  <c r="F120" i="204"/>
  <c r="F140" i="204"/>
  <c r="F117" i="204"/>
  <c r="F108" i="204"/>
  <c r="F96" i="204"/>
  <c r="F113" i="204"/>
  <c r="F101" i="204"/>
  <c r="F131" i="204"/>
  <c r="F128" i="204"/>
  <c r="F127" i="204"/>
  <c r="F126" i="204"/>
  <c r="F136" i="204"/>
  <c r="F132" i="204"/>
  <c r="F111" i="204"/>
  <c r="F99" i="204"/>
  <c r="F87" i="204"/>
  <c r="F94" i="204"/>
  <c r="F83" i="204"/>
  <c r="F107" i="204"/>
  <c r="F105" i="204"/>
  <c r="F118" i="204"/>
  <c r="F115" i="204"/>
  <c r="F112" i="204"/>
  <c r="F106" i="204"/>
  <c r="F110" i="204"/>
  <c r="F92" i="204"/>
  <c r="F84" i="204"/>
  <c r="F114" i="204"/>
  <c r="F103" i="204"/>
  <c r="F80" i="204"/>
  <c r="F68" i="204"/>
  <c r="F100" i="204"/>
  <c r="F89" i="204"/>
  <c r="F73" i="204"/>
  <c r="F61" i="204"/>
  <c r="F62" i="204"/>
  <c r="F54" i="204"/>
  <c r="F42" i="204"/>
  <c r="F10" i="204"/>
  <c r="F86" i="204"/>
  <c r="F74" i="204"/>
  <c r="F98" i="204"/>
  <c r="F97" i="204"/>
  <c r="F91" i="204"/>
  <c r="F81" i="204"/>
  <c r="F66" i="204"/>
  <c r="F60" i="204"/>
  <c r="F88" i="204"/>
  <c r="F79" i="204"/>
  <c r="F102" i="204"/>
  <c r="F72" i="204"/>
  <c r="F93" i="204"/>
  <c r="F85" i="204"/>
  <c r="F71" i="204"/>
  <c r="F65" i="204"/>
  <c r="F53" i="204"/>
  <c r="F64" i="204"/>
  <c r="F58" i="204"/>
  <c r="F46" i="204"/>
  <c r="F90" i="204"/>
  <c r="F51" i="204"/>
  <c r="F39" i="204"/>
  <c r="F95" i="204"/>
  <c r="F78" i="204"/>
  <c r="F77" i="204"/>
  <c r="F76" i="204"/>
  <c r="F70" i="204"/>
  <c r="F63" i="204"/>
  <c r="F59" i="204"/>
  <c r="F52" i="204"/>
  <c r="F48" i="204"/>
  <c r="F104" i="204"/>
  <c r="F82" i="204"/>
  <c r="F75" i="204"/>
  <c r="F37" i="204"/>
  <c r="F6" i="204"/>
  <c r="F13" i="204"/>
  <c r="F50" i="204"/>
  <c r="F36" i="204"/>
  <c r="F69" i="204"/>
  <c r="F14" i="204"/>
  <c r="F57" i="204"/>
  <c r="F40" i="204"/>
  <c r="F9" i="204"/>
  <c r="F20" i="204"/>
  <c r="F32" i="204"/>
  <c r="F12" i="204"/>
  <c r="F22" i="204"/>
  <c r="F8" i="204"/>
  <c r="F29" i="204"/>
  <c r="F5" i="204"/>
  <c r="F24" i="204"/>
  <c r="F55" i="204"/>
  <c r="F49" i="204"/>
  <c r="F47" i="204"/>
  <c r="F45" i="204"/>
  <c r="F44" i="204"/>
  <c r="F56" i="204"/>
  <c r="F43" i="204"/>
  <c r="F35" i="204"/>
  <c r="F11" i="204"/>
  <c r="F17" i="204"/>
  <c r="F26" i="204"/>
  <c r="F7" i="204"/>
  <c r="F15" i="204"/>
  <c r="F16" i="204"/>
  <c r="F21" i="204"/>
  <c r="F33" i="204"/>
  <c r="F18" i="204"/>
  <c r="F38" i="204"/>
  <c r="F28" i="204"/>
  <c r="F4" i="204"/>
  <c r="F19" i="204"/>
  <c r="F23" i="204"/>
  <c r="F67" i="204"/>
  <c r="F30" i="204"/>
  <c r="F41" i="204"/>
  <c r="F31" i="204"/>
  <c r="F27" i="204"/>
  <c r="F34" i="204"/>
  <c r="F25" i="204"/>
  <c r="F3" i="204"/>
  <c r="G1" i="204"/>
  <c r="H1" i="204" s="1"/>
  <c r="T113" i="203"/>
  <c r="B114" i="203"/>
  <c r="B118" i="203" s="1"/>
  <c r="H177" i="204" l="1"/>
  <c r="H187" i="204"/>
  <c r="H176" i="204"/>
  <c r="H164" i="204"/>
  <c r="H181" i="204"/>
  <c r="H186" i="204"/>
  <c r="H184" i="204"/>
  <c r="H172" i="204"/>
  <c r="H160" i="204"/>
  <c r="H179" i="204"/>
  <c r="H155" i="204"/>
  <c r="H180" i="204"/>
  <c r="H161" i="204"/>
  <c r="H157" i="204"/>
  <c r="H151" i="204"/>
  <c r="H183" i="204"/>
  <c r="H166" i="204"/>
  <c r="H182" i="204"/>
  <c r="H175" i="204"/>
  <c r="H169" i="204"/>
  <c r="H162" i="204"/>
  <c r="H150" i="204"/>
  <c r="H149" i="204"/>
  <c r="H185" i="204"/>
  <c r="H178" i="204"/>
  <c r="H167" i="204"/>
  <c r="H139" i="204"/>
  <c r="H174" i="204"/>
  <c r="H131" i="204"/>
  <c r="H173" i="204"/>
  <c r="H163" i="204"/>
  <c r="H144" i="204"/>
  <c r="H137" i="204"/>
  <c r="H165" i="204"/>
  <c r="H152" i="204"/>
  <c r="H171" i="204"/>
  <c r="H159" i="204"/>
  <c r="H142" i="204"/>
  <c r="H117" i="204"/>
  <c r="H170" i="204"/>
  <c r="H158" i="204"/>
  <c r="H130" i="204"/>
  <c r="H145" i="204"/>
  <c r="H143" i="204"/>
  <c r="H135" i="204"/>
  <c r="H125" i="204"/>
  <c r="H141" i="204"/>
  <c r="H129" i="204"/>
  <c r="H123" i="204"/>
  <c r="H153" i="204"/>
  <c r="H154" i="204"/>
  <c r="H148" i="204"/>
  <c r="H138" i="204"/>
  <c r="H134" i="204"/>
  <c r="H121" i="204"/>
  <c r="H168" i="204"/>
  <c r="H126" i="204"/>
  <c r="H114" i="204"/>
  <c r="H156" i="204"/>
  <c r="H147" i="204"/>
  <c r="H119" i="204"/>
  <c r="H107" i="204"/>
  <c r="H124" i="204"/>
  <c r="H122" i="204"/>
  <c r="H146" i="204"/>
  <c r="H140" i="204"/>
  <c r="H113" i="204"/>
  <c r="H106" i="204"/>
  <c r="H128" i="204"/>
  <c r="H127" i="204"/>
  <c r="H111" i="204"/>
  <c r="H99" i="204"/>
  <c r="H136" i="204"/>
  <c r="H133" i="204"/>
  <c r="H132" i="204"/>
  <c r="H118" i="204"/>
  <c r="H109" i="204"/>
  <c r="H97" i="204"/>
  <c r="H85" i="204"/>
  <c r="H88" i="204"/>
  <c r="H81" i="204"/>
  <c r="H105" i="204"/>
  <c r="H102" i="204"/>
  <c r="H116" i="204"/>
  <c r="H115" i="204"/>
  <c r="H112" i="204"/>
  <c r="H110" i="204"/>
  <c r="H84" i="204"/>
  <c r="H108" i="204"/>
  <c r="H103" i="204"/>
  <c r="H100" i="204"/>
  <c r="H89" i="204"/>
  <c r="H86" i="204"/>
  <c r="H78" i="204"/>
  <c r="H66" i="204"/>
  <c r="H120" i="204"/>
  <c r="H104" i="204"/>
  <c r="H94" i="204"/>
  <c r="H83" i="204"/>
  <c r="H71" i="204"/>
  <c r="H59" i="204"/>
  <c r="H101" i="204"/>
  <c r="H74" i="204"/>
  <c r="H68" i="204"/>
  <c r="H52" i="204"/>
  <c r="H40" i="204"/>
  <c r="H8" i="204"/>
  <c r="H98" i="204"/>
  <c r="H91" i="204"/>
  <c r="H79" i="204"/>
  <c r="H73" i="204"/>
  <c r="H72" i="204"/>
  <c r="H93" i="204"/>
  <c r="H65" i="204"/>
  <c r="H96" i="204"/>
  <c r="H90" i="204"/>
  <c r="H51" i="204"/>
  <c r="H77" i="204"/>
  <c r="H76" i="204"/>
  <c r="H70" i="204"/>
  <c r="H56" i="204"/>
  <c r="H44" i="204"/>
  <c r="H95" i="204"/>
  <c r="H69" i="204"/>
  <c r="H63" i="204"/>
  <c r="H49" i="204"/>
  <c r="H37" i="204"/>
  <c r="H87" i="204"/>
  <c r="H82" i="204"/>
  <c r="H80" i="204"/>
  <c r="H92" i="204"/>
  <c r="H38" i="204"/>
  <c r="H75" i="204"/>
  <c r="H50" i="204"/>
  <c r="H46" i="204"/>
  <c r="H36" i="204"/>
  <c r="H10" i="204"/>
  <c r="H47" i="204"/>
  <c r="H60" i="204"/>
  <c r="H57" i="204"/>
  <c r="H48" i="204"/>
  <c r="H14" i="204"/>
  <c r="H9" i="204"/>
  <c r="H30" i="204"/>
  <c r="H6" i="204"/>
  <c r="H13" i="204"/>
  <c r="H20" i="204"/>
  <c r="H27" i="204"/>
  <c r="H64" i="204"/>
  <c r="H55" i="204"/>
  <c r="H54" i="204"/>
  <c r="H45" i="204"/>
  <c r="H39" i="204"/>
  <c r="H12" i="204"/>
  <c r="H22" i="204"/>
  <c r="H34" i="204"/>
  <c r="H53" i="204"/>
  <c r="H43" i="204"/>
  <c r="H35" i="204"/>
  <c r="H29" i="204"/>
  <c r="H61" i="204"/>
  <c r="H5" i="204"/>
  <c r="H24" i="204"/>
  <c r="H42" i="204"/>
  <c r="H11" i="204"/>
  <c r="H17" i="204"/>
  <c r="H31" i="204"/>
  <c r="H62" i="204"/>
  <c r="H15" i="204"/>
  <c r="H26" i="204"/>
  <c r="H67" i="204"/>
  <c r="H58" i="204"/>
  <c r="H7" i="204"/>
  <c r="H16" i="204"/>
  <c r="H21" i="204"/>
  <c r="H41" i="204"/>
  <c r="H18" i="204"/>
  <c r="H28" i="204"/>
  <c r="H3" i="204"/>
  <c r="H4" i="204"/>
  <c r="H33" i="204"/>
  <c r="H23" i="204"/>
  <c r="H32" i="204"/>
  <c r="H19" i="204"/>
  <c r="H25" i="204"/>
  <c r="G184" i="204"/>
  <c r="G172" i="204"/>
  <c r="G187" i="204"/>
  <c r="G183" i="204"/>
  <c r="G171" i="204"/>
  <c r="G159" i="204"/>
  <c r="G176" i="204"/>
  <c r="G179" i="204"/>
  <c r="G167" i="204"/>
  <c r="G155" i="204"/>
  <c r="G163" i="204"/>
  <c r="G146" i="204"/>
  <c r="G177" i="204"/>
  <c r="G174" i="204"/>
  <c r="G180" i="204"/>
  <c r="G166" i="204"/>
  <c r="G186" i="204"/>
  <c r="G182" i="204"/>
  <c r="G175" i="204"/>
  <c r="G169" i="204"/>
  <c r="G162" i="204"/>
  <c r="G150" i="204"/>
  <c r="G141" i="204"/>
  <c r="G149" i="204"/>
  <c r="G178" i="204"/>
  <c r="G153" i="204"/>
  <c r="G138" i="204"/>
  <c r="G185" i="204"/>
  <c r="G181" i="204"/>
  <c r="G168" i="204"/>
  <c r="G164" i="204"/>
  <c r="G160" i="204"/>
  <c r="G148" i="204"/>
  <c r="G147" i="204"/>
  <c r="G145" i="204"/>
  <c r="G173" i="204"/>
  <c r="G144" i="204"/>
  <c r="G165" i="204"/>
  <c r="G152" i="204"/>
  <c r="G143" i="204"/>
  <c r="G157" i="204"/>
  <c r="G136" i="204"/>
  <c r="G128" i="204"/>
  <c r="G124" i="204"/>
  <c r="G170" i="204"/>
  <c r="G140" i="204"/>
  <c r="G133" i="204"/>
  <c r="G158" i="204"/>
  <c r="G127" i="204"/>
  <c r="G161" i="204"/>
  <c r="G132" i="204"/>
  <c r="G118" i="204"/>
  <c r="G151" i="204"/>
  <c r="G154" i="204"/>
  <c r="G137" i="204"/>
  <c r="G134" i="204"/>
  <c r="G121" i="204"/>
  <c r="G139" i="204"/>
  <c r="G131" i="204"/>
  <c r="G126" i="204"/>
  <c r="G114" i="204"/>
  <c r="G102" i="204"/>
  <c r="G122" i="204"/>
  <c r="G142" i="204"/>
  <c r="G120" i="204"/>
  <c r="G117" i="204"/>
  <c r="G108" i="204"/>
  <c r="G113" i="204"/>
  <c r="G101" i="204"/>
  <c r="G156" i="204"/>
  <c r="G106" i="204"/>
  <c r="G130" i="204"/>
  <c r="G129" i="204"/>
  <c r="G135" i="204"/>
  <c r="G125" i="204"/>
  <c r="G123" i="204"/>
  <c r="G104" i="204"/>
  <c r="G92" i="204"/>
  <c r="G111" i="204"/>
  <c r="G109" i="204"/>
  <c r="G107" i="204"/>
  <c r="G91" i="204"/>
  <c r="G105" i="204"/>
  <c r="G98" i="204"/>
  <c r="G119" i="204"/>
  <c r="G116" i="204"/>
  <c r="G115" i="204"/>
  <c r="G112" i="204"/>
  <c r="G99" i="204"/>
  <c r="G95" i="204"/>
  <c r="G87" i="204"/>
  <c r="G82" i="204"/>
  <c r="G110" i="204"/>
  <c r="G103" i="204"/>
  <c r="G80" i="204"/>
  <c r="G100" i="204"/>
  <c r="G89" i="204"/>
  <c r="G73" i="204"/>
  <c r="G61" i="204"/>
  <c r="G86" i="204"/>
  <c r="G78" i="204"/>
  <c r="G66" i="204"/>
  <c r="G84" i="204"/>
  <c r="G75" i="204"/>
  <c r="G47" i="204"/>
  <c r="G35" i="204"/>
  <c r="G15" i="204"/>
  <c r="G94" i="204"/>
  <c r="G97" i="204"/>
  <c r="G67" i="204"/>
  <c r="G83" i="204"/>
  <c r="G81" i="204"/>
  <c r="G88" i="204"/>
  <c r="G79" i="204"/>
  <c r="G59" i="204"/>
  <c r="G72" i="204"/>
  <c r="G93" i="204"/>
  <c r="G85" i="204"/>
  <c r="G71" i="204"/>
  <c r="G96" i="204"/>
  <c r="G64" i="204"/>
  <c r="G58" i="204"/>
  <c r="G46" i="204"/>
  <c r="G90" i="204"/>
  <c r="G51" i="204"/>
  <c r="G77" i="204"/>
  <c r="G76" i="204"/>
  <c r="G70" i="204"/>
  <c r="G56" i="204"/>
  <c r="G44" i="204"/>
  <c r="G6" i="204"/>
  <c r="G69" i="204"/>
  <c r="G45" i="204"/>
  <c r="G39" i="204"/>
  <c r="G68" i="204"/>
  <c r="G53" i="204"/>
  <c r="G54" i="204"/>
  <c r="G43" i="204"/>
  <c r="G42" i="204"/>
  <c r="G74" i="204"/>
  <c r="G41" i="204"/>
  <c r="G8" i="204"/>
  <c r="G11" i="204"/>
  <c r="G55" i="204"/>
  <c r="G17" i="204"/>
  <c r="G63" i="204"/>
  <c r="G25" i="204"/>
  <c r="G40" i="204"/>
  <c r="G13" i="204"/>
  <c r="G36" i="204"/>
  <c r="G60" i="204"/>
  <c r="G12" i="204"/>
  <c r="G22" i="204"/>
  <c r="G52" i="204"/>
  <c r="G49" i="204"/>
  <c r="G29" i="204"/>
  <c r="G50" i="204"/>
  <c r="G48" i="204"/>
  <c r="G5" i="204"/>
  <c r="G24" i="204"/>
  <c r="G31" i="204"/>
  <c r="G57" i="204"/>
  <c r="G38" i="204"/>
  <c r="G26" i="204"/>
  <c r="G7" i="204"/>
  <c r="G16" i="204"/>
  <c r="G21" i="204"/>
  <c r="G62" i="204"/>
  <c r="G10" i="204"/>
  <c r="G18" i="204"/>
  <c r="G65" i="204"/>
  <c r="G4" i="204"/>
  <c r="G14" i="204"/>
  <c r="G19" i="204"/>
  <c r="G23" i="204"/>
  <c r="G37" i="204"/>
  <c r="G28" i="204"/>
  <c r="G9" i="204"/>
  <c r="G33" i="204"/>
  <c r="G3" i="204"/>
  <c r="G27" i="204"/>
  <c r="G30" i="204"/>
  <c r="G32" i="204"/>
  <c r="G34" i="204"/>
  <c r="G20" i="204"/>
  <c r="I1" i="204"/>
  <c r="I182" i="204" l="1"/>
  <c r="I170" i="204"/>
  <c r="I187" i="204"/>
  <c r="I181" i="204"/>
  <c r="I169" i="204"/>
  <c r="I186" i="204"/>
  <c r="I174" i="204"/>
  <c r="I177" i="204"/>
  <c r="I165" i="204"/>
  <c r="I172" i="204"/>
  <c r="I162" i="204"/>
  <c r="I153" i="204"/>
  <c r="I183" i="204"/>
  <c r="I173" i="204"/>
  <c r="I180" i="204"/>
  <c r="I168" i="204"/>
  <c r="I179" i="204"/>
  <c r="I175" i="204"/>
  <c r="I185" i="204"/>
  <c r="I178" i="204"/>
  <c r="I167" i="204"/>
  <c r="I171" i="204"/>
  <c r="I163" i="204"/>
  <c r="I156" i="204"/>
  <c r="I146" i="204"/>
  <c r="I144" i="204"/>
  <c r="I176" i="204"/>
  <c r="I141" i="204"/>
  <c r="I136" i="204"/>
  <c r="I152" i="204"/>
  <c r="I157" i="204"/>
  <c r="I155" i="204"/>
  <c r="I159" i="204"/>
  <c r="I150" i="204"/>
  <c r="I138" i="204"/>
  <c r="I184" i="204"/>
  <c r="I164" i="204"/>
  <c r="I140" i="204"/>
  <c r="I133" i="204"/>
  <c r="I122" i="204"/>
  <c r="I160" i="204"/>
  <c r="I158" i="204"/>
  <c r="I127" i="204"/>
  <c r="I166" i="204"/>
  <c r="I145" i="204"/>
  <c r="I143" i="204"/>
  <c r="I132" i="204"/>
  <c r="I161" i="204"/>
  <c r="I151" i="204"/>
  <c r="I149" i="204"/>
  <c r="I154" i="204"/>
  <c r="I148" i="204"/>
  <c r="I137" i="204"/>
  <c r="I126" i="204"/>
  <c r="I147" i="204"/>
  <c r="I139" i="204"/>
  <c r="I131" i="204"/>
  <c r="I119" i="204"/>
  <c r="I142" i="204"/>
  <c r="I128" i="204"/>
  <c r="I124" i="204"/>
  <c r="I112" i="204"/>
  <c r="I100" i="204"/>
  <c r="I120" i="204"/>
  <c r="I106" i="204"/>
  <c r="I111" i="204"/>
  <c r="I99" i="204"/>
  <c r="I130" i="204"/>
  <c r="I129" i="204"/>
  <c r="I104" i="204"/>
  <c r="I135" i="204"/>
  <c r="I134" i="204"/>
  <c r="I125" i="204"/>
  <c r="I123" i="204"/>
  <c r="I121" i="204"/>
  <c r="I102" i="204"/>
  <c r="I90" i="204"/>
  <c r="I113" i="204"/>
  <c r="I105" i="204"/>
  <c r="I101" i="204"/>
  <c r="I118" i="204"/>
  <c r="I117" i="204"/>
  <c r="I116" i="204"/>
  <c r="I115" i="204"/>
  <c r="I110" i="204"/>
  <c r="I108" i="204"/>
  <c r="I103" i="204"/>
  <c r="I92" i="204"/>
  <c r="I80" i="204"/>
  <c r="I114" i="204"/>
  <c r="I86" i="204"/>
  <c r="I78" i="204"/>
  <c r="I94" i="204"/>
  <c r="I83" i="204"/>
  <c r="I71" i="204"/>
  <c r="I59" i="204"/>
  <c r="I91" i="204"/>
  <c r="I76" i="204"/>
  <c r="I64" i="204"/>
  <c r="I89" i="204"/>
  <c r="I67" i="204"/>
  <c r="I61" i="204"/>
  <c r="I57" i="204"/>
  <c r="I45" i="204"/>
  <c r="I13" i="204"/>
  <c r="I98" i="204"/>
  <c r="I97" i="204"/>
  <c r="I81" i="204"/>
  <c r="I79" i="204"/>
  <c r="I73" i="204"/>
  <c r="I109" i="204"/>
  <c r="I88" i="204"/>
  <c r="I72" i="204"/>
  <c r="I93" i="204"/>
  <c r="I65" i="204"/>
  <c r="I96" i="204"/>
  <c r="I85" i="204"/>
  <c r="I107" i="204"/>
  <c r="I77" i="204"/>
  <c r="I70" i="204"/>
  <c r="I56" i="204"/>
  <c r="I44" i="204"/>
  <c r="I95" i="204"/>
  <c r="I69" i="204"/>
  <c r="I63" i="204"/>
  <c r="I49" i="204"/>
  <c r="I87" i="204"/>
  <c r="I82" i="204"/>
  <c r="I62" i="204"/>
  <c r="I54" i="204"/>
  <c r="I42" i="204"/>
  <c r="I4" i="204"/>
  <c r="I75" i="204"/>
  <c r="I66" i="204"/>
  <c r="I68" i="204"/>
  <c r="I43" i="204"/>
  <c r="I5" i="204"/>
  <c r="I41" i="204"/>
  <c r="I74" i="204"/>
  <c r="I55" i="204"/>
  <c r="I51" i="204"/>
  <c r="I40" i="204"/>
  <c r="I7" i="204"/>
  <c r="I16" i="204"/>
  <c r="I52" i="204"/>
  <c r="I39" i="204"/>
  <c r="I11" i="204"/>
  <c r="I19" i="204"/>
  <c r="I23" i="204"/>
  <c r="I84" i="204"/>
  <c r="I36" i="204"/>
  <c r="I9" i="204"/>
  <c r="I60" i="204"/>
  <c r="I6" i="204"/>
  <c r="I20" i="204"/>
  <c r="I53" i="204"/>
  <c r="I50" i="204"/>
  <c r="I48" i="204"/>
  <c r="I47" i="204"/>
  <c r="I35" i="204"/>
  <c r="I8" i="204"/>
  <c r="I27" i="204"/>
  <c r="I22" i="204"/>
  <c r="I46" i="204"/>
  <c r="I12" i="204"/>
  <c r="I38" i="204"/>
  <c r="I29" i="204"/>
  <c r="I24" i="204"/>
  <c r="I17" i="204"/>
  <c r="I58" i="204"/>
  <c r="I15" i="204"/>
  <c r="I37" i="204"/>
  <c r="I10" i="204"/>
  <c r="I21" i="204"/>
  <c r="I33" i="204"/>
  <c r="I14" i="204"/>
  <c r="I28" i="204"/>
  <c r="I31" i="204"/>
  <c r="I3" i="204"/>
  <c r="I26" i="204"/>
  <c r="I30" i="204"/>
  <c r="I34" i="204"/>
  <c r="I25" i="204"/>
  <c r="I18" i="204"/>
  <c r="I32" i="204"/>
  <c r="J1" i="204"/>
  <c r="T45" i="202"/>
  <c r="J187" i="204" l="1"/>
  <c r="J175" i="204"/>
  <c r="J186" i="204"/>
  <c r="J174" i="204"/>
  <c r="J162" i="204"/>
  <c r="J179" i="204"/>
  <c r="J182" i="204"/>
  <c r="J170" i="204"/>
  <c r="J158" i="204"/>
  <c r="J183" i="204"/>
  <c r="J180" i="204"/>
  <c r="J176" i="204"/>
  <c r="J184" i="204"/>
  <c r="J160" i="204"/>
  <c r="J149" i="204"/>
  <c r="J168" i="204"/>
  <c r="J164" i="204"/>
  <c r="J173" i="204"/>
  <c r="J172" i="204"/>
  <c r="J169" i="204"/>
  <c r="J185" i="204"/>
  <c r="J178" i="204"/>
  <c r="J167" i="204"/>
  <c r="J171" i="204"/>
  <c r="J163" i="204"/>
  <c r="J156" i="204"/>
  <c r="J146" i="204"/>
  <c r="J144" i="204"/>
  <c r="J181" i="204"/>
  <c r="J157" i="204"/>
  <c r="J155" i="204"/>
  <c r="J154" i="204"/>
  <c r="J140" i="204"/>
  <c r="J129" i="204"/>
  <c r="J161" i="204"/>
  <c r="J165" i="204"/>
  <c r="J159" i="204"/>
  <c r="J166" i="204"/>
  <c r="J153" i="204"/>
  <c r="J130" i="204"/>
  <c r="J115" i="204"/>
  <c r="J145" i="204"/>
  <c r="J143" i="204"/>
  <c r="J135" i="204"/>
  <c r="J125" i="204"/>
  <c r="J151" i="204"/>
  <c r="J150" i="204"/>
  <c r="J148" i="204"/>
  <c r="J134" i="204"/>
  <c r="J121" i="204"/>
  <c r="J177" i="204"/>
  <c r="J152" i="204"/>
  <c r="J147" i="204"/>
  <c r="J139" i="204"/>
  <c r="J131" i="204"/>
  <c r="J142" i="204"/>
  <c r="J128" i="204"/>
  <c r="J124" i="204"/>
  <c r="J136" i="204"/>
  <c r="J117" i="204"/>
  <c r="J138" i="204"/>
  <c r="J119" i="204"/>
  <c r="J105" i="204"/>
  <c r="J111" i="204"/>
  <c r="J127" i="204"/>
  <c r="J104" i="204"/>
  <c r="J133" i="204"/>
  <c r="J132" i="204"/>
  <c r="J126" i="204"/>
  <c r="J123" i="204"/>
  <c r="J118" i="204"/>
  <c r="J109" i="204"/>
  <c r="J141" i="204"/>
  <c r="J137" i="204"/>
  <c r="J107" i="204"/>
  <c r="J95" i="204"/>
  <c r="J83" i="204"/>
  <c r="J98" i="204"/>
  <c r="J97" i="204"/>
  <c r="J93" i="204"/>
  <c r="J85" i="204"/>
  <c r="J79" i="204"/>
  <c r="J102" i="204"/>
  <c r="J116" i="204"/>
  <c r="J112" i="204"/>
  <c r="J110" i="204"/>
  <c r="J108" i="204"/>
  <c r="J103" i="204"/>
  <c r="J99" i="204"/>
  <c r="J106" i="204"/>
  <c r="J89" i="204"/>
  <c r="J114" i="204"/>
  <c r="J94" i="204"/>
  <c r="J120" i="204"/>
  <c r="J91" i="204"/>
  <c r="J76" i="204"/>
  <c r="J64" i="204"/>
  <c r="J122" i="204"/>
  <c r="J88" i="204"/>
  <c r="J81" i="204"/>
  <c r="J69" i="204"/>
  <c r="J60" i="204"/>
  <c r="J50" i="204"/>
  <c r="J38" i="204"/>
  <c r="J6" i="204"/>
  <c r="J86" i="204"/>
  <c r="J72" i="204"/>
  <c r="J66" i="204"/>
  <c r="J96" i="204"/>
  <c r="J58" i="204"/>
  <c r="J71" i="204"/>
  <c r="J90" i="204"/>
  <c r="J77" i="204"/>
  <c r="J70" i="204"/>
  <c r="J100" i="204"/>
  <c r="J63" i="204"/>
  <c r="J49" i="204"/>
  <c r="J87" i="204"/>
  <c r="J82" i="204"/>
  <c r="J62" i="204"/>
  <c r="J54" i="204"/>
  <c r="J113" i="204"/>
  <c r="J80" i="204"/>
  <c r="J78" i="204"/>
  <c r="J75" i="204"/>
  <c r="J47" i="204"/>
  <c r="J35" i="204"/>
  <c r="J92" i="204"/>
  <c r="J84" i="204"/>
  <c r="J74" i="204"/>
  <c r="J68" i="204"/>
  <c r="J73" i="204"/>
  <c r="J67" i="204"/>
  <c r="J101" i="204"/>
  <c r="J61" i="204"/>
  <c r="J42" i="204"/>
  <c r="J48" i="204"/>
  <c r="J44" i="204"/>
  <c r="J18" i="204"/>
  <c r="J65" i="204"/>
  <c r="J45" i="204"/>
  <c r="J8" i="204"/>
  <c r="J40" i="204"/>
  <c r="J36" i="204"/>
  <c r="J4" i="204"/>
  <c r="J14" i="204"/>
  <c r="J28" i="204"/>
  <c r="J3" i="204"/>
  <c r="J19" i="204"/>
  <c r="J9" i="204"/>
  <c r="J55" i="204"/>
  <c r="J53" i="204"/>
  <c r="J52" i="204"/>
  <c r="J39" i="204"/>
  <c r="J13" i="204"/>
  <c r="J25" i="204"/>
  <c r="J51" i="204"/>
  <c r="J46" i="204"/>
  <c r="J43" i="204"/>
  <c r="J20" i="204"/>
  <c r="J32" i="204"/>
  <c r="J56" i="204"/>
  <c r="J27" i="204"/>
  <c r="J57" i="204"/>
  <c r="J12" i="204"/>
  <c r="J22" i="204"/>
  <c r="J34" i="204"/>
  <c r="J5" i="204"/>
  <c r="J29" i="204"/>
  <c r="J11" i="204"/>
  <c r="J24" i="204"/>
  <c r="J41" i="204"/>
  <c r="J37" i="204"/>
  <c r="J17" i="204"/>
  <c r="J7" i="204"/>
  <c r="J15" i="204"/>
  <c r="J16" i="204"/>
  <c r="J26" i="204"/>
  <c r="J59" i="204"/>
  <c r="J31" i="204"/>
  <c r="J33" i="204"/>
  <c r="J10" i="204"/>
  <c r="J23" i="204"/>
  <c r="J21" i="204"/>
  <c r="J30" i="204"/>
  <c r="K1" i="204"/>
  <c r="K180" i="204" l="1"/>
  <c r="K168" i="204"/>
  <c r="K179" i="204"/>
  <c r="K167" i="204"/>
  <c r="K184" i="204"/>
  <c r="K172" i="204"/>
  <c r="K187" i="204"/>
  <c r="K175" i="204"/>
  <c r="K163" i="204"/>
  <c r="K176" i="204"/>
  <c r="K161" i="204"/>
  <c r="K157" i="204"/>
  <c r="K151" i="204"/>
  <c r="K173" i="204"/>
  <c r="K186" i="204"/>
  <c r="K177" i="204"/>
  <c r="K166" i="204"/>
  <c r="K154" i="204"/>
  <c r="K170" i="204"/>
  <c r="K165" i="204"/>
  <c r="K183" i="204"/>
  <c r="K182" i="204"/>
  <c r="K169" i="204"/>
  <c r="K185" i="204"/>
  <c r="K178" i="204"/>
  <c r="K171" i="204"/>
  <c r="K156" i="204"/>
  <c r="K181" i="204"/>
  <c r="K155" i="204"/>
  <c r="K174" i="204"/>
  <c r="K159" i="204"/>
  <c r="K158" i="204"/>
  <c r="K142" i="204"/>
  <c r="K134" i="204"/>
  <c r="K143" i="204"/>
  <c r="K150" i="204"/>
  <c r="K162" i="204"/>
  <c r="K141" i="204"/>
  <c r="K160" i="204"/>
  <c r="K127" i="204"/>
  <c r="K120" i="204"/>
  <c r="K145" i="204"/>
  <c r="K132" i="204"/>
  <c r="K129" i="204"/>
  <c r="K149" i="204"/>
  <c r="K148" i="204"/>
  <c r="K153" i="204"/>
  <c r="K152" i="204"/>
  <c r="K138" i="204"/>
  <c r="K137" i="204"/>
  <c r="K126" i="204"/>
  <c r="K147" i="204"/>
  <c r="K144" i="204"/>
  <c r="K128" i="204"/>
  <c r="K124" i="204"/>
  <c r="K136" i="204"/>
  <c r="K117" i="204"/>
  <c r="K146" i="204"/>
  <c r="K133" i="204"/>
  <c r="K122" i="204"/>
  <c r="K115" i="204"/>
  <c r="K110" i="204"/>
  <c r="K98" i="204"/>
  <c r="K139" i="204"/>
  <c r="K164" i="204"/>
  <c r="K140" i="204"/>
  <c r="K130" i="204"/>
  <c r="K123" i="204"/>
  <c r="K118" i="204"/>
  <c r="K109" i="204"/>
  <c r="K97" i="204"/>
  <c r="K135" i="204"/>
  <c r="K131" i="204"/>
  <c r="K125" i="204"/>
  <c r="K121" i="204"/>
  <c r="K102" i="204"/>
  <c r="K112" i="204"/>
  <c r="K100" i="204"/>
  <c r="K88" i="204"/>
  <c r="K116" i="204"/>
  <c r="K119" i="204"/>
  <c r="K108" i="204"/>
  <c r="K103" i="204"/>
  <c r="K106" i="204"/>
  <c r="K114" i="204"/>
  <c r="K86" i="204"/>
  <c r="K78" i="204"/>
  <c r="K91" i="204"/>
  <c r="K83" i="204"/>
  <c r="K104" i="204"/>
  <c r="K81" i="204"/>
  <c r="K69" i="204"/>
  <c r="K113" i="204"/>
  <c r="K107" i="204"/>
  <c r="K101" i="204"/>
  <c r="K74" i="204"/>
  <c r="K62" i="204"/>
  <c r="K111" i="204"/>
  <c r="K94" i="204"/>
  <c r="K73" i="204"/>
  <c r="K55" i="204"/>
  <c r="K43" i="204"/>
  <c r="K11" i="204"/>
  <c r="K79" i="204"/>
  <c r="K65" i="204"/>
  <c r="K96" i="204"/>
  <c r="K93" i="204"/>
  <c r="K99" i="204"/>
  <c r="K85" i="204"/>
  <c r="K71" i="204"/>
  <c r="K90" i="204"/>
  <c r="K77" i="204"/>
  <c r="K70" i="204"/>
  <c r="K64" i="204"/>
  <c r="K95" i="204"/>
  <c r="K87" i="204"/>
  <c r="K82" i="204"/>
  <c r="K76" i="204"/>
  <c r="K54" i="204"/>
  <c r="K80" i="204"/>
  <c r="K75" i="204"/>
  <c r="K47" i="204"/>
  <c r="K105" i="204"/>
  <c r="K92" i="204"/>
  <c r="K84" i="204"/>
  <c r="K68" i="204"/>
  <c r="K52" i="204"/>
  <c r="K40" i="204"/>
  <c r="K53" i="204"/>
  <c r="K49" i="204"/>
  <c r="K37" i="204"/>
  <c r="K89" i="204"/>
  <c r="K72" i="204"/>
  <c r="K41" i="204"/>
  <c r="K35" i="204"/>
  <c r="K4" i="204"/>
  <c r="K12" i="204"/>
  <c r="K60" i="204"/>
  <c r="K57" i="204"/>
  <c r="K51" i="204"/>
  <c r="K39" i="204"/>
  <c r="K13" i="204"/>
  <c r="K63" i="204"/>
  <c r="K59" i="204"/>
  <c r="K38" i="204"/>
  <c r="K7" i="204"/>
  <c r="K16" i="204"/>
  <c r="K10" i="204"/>
  <c r="K18" i="204"/>
  <c r="K21" i="204"/>
  <c r="K33" i="204"/>
  <c r="K14" i="204"/>
  <c r="K19" i="204"/>
  <c r="K23" i="204"/>
  <c r="K66" i="204"/>
  <c r="K50" i="204"/>
  <c r="K48" i="204"/>
  <c r="K46" i="204"/>
  <c r="K45" i="204"/>
  <c r="K6" i="204"/>
  <c r="K9" i="204"/>
  <c r="K56" i="204"/>
  <c r="K44" i="204"/>
  <c r="K25" i="204"/>
  <c r="K61" i="204"/>
  <c r="K8" i="204"/>
  <c r="K20" i="204"/>
  <c r="K42" i="204"/>
  <c r="K27" i="204"/>
  <c r="K58" i="204"/>
  <c r="K22" i="204"/>
  <c r="K34" i="204"/>
  <c r="K67" i="204"/>
  <c r="K5" i="204"/>
  <c r="K24" i="204"/>
  <c r="K17" i="204"/>
  <c r="K31" i="204"/>
  <c r="K36" i="204"/>
  <c r="K15" i="204"/>
  <c r="K29" i="204"/>
  <c r="K3" i="204"/>
  <c r="K28" i="204"/>
  <c r="K26" i="204"/>
  <c r="K30" i="204"/>
  <c r="K32" i="204"/>
  <c r="L1" i="204"/>
  <c r="T43" i="202"/>
  <c r="T44" i="202"/>
  <c r="T42" i="202"/>
  <c r="L185" i="204" l="1"/>
  <c r="L173" i="204"/>
  <c r="L184" i="204"/>
  <c r="L172" i="204"/>
  <c r="L160" i="204"/>
  <c r="L177" i="204"/>
  <c r="L187" i="204"/>
  <c r="L180" i="204"/>
  <c r="L168" i="204"/>
  <c r="L156" i="204"/>
  <c r="L167" i="204"/>
  <c r="L159" i="204"/>
  <c r="L147" i="204"/>
  <c r="L170" i="204"/>
  <c r="L165" i="204"/>
  <c r="L183" i="204"/>
  <c r="L182" i="204"/>
  <c r="L179" i="204"/>
  <c r="L178" i="204"/>
  <c r="L175" i="204"/>
  <c r="L186" i="204"/>
  <c r="L171" i="204"/>
  <c r="L181" i="204"/>
  <c r="L163" i="204"/>
  <c r="L155" i="204"/>
  <c r="L174" i="204"/>
  <c r="L158" i="204"/>
  <c r="L157" i="204"/>
  <c r="L154" i="204"/>
  <c r="L142" i="204"/>
  <c r="L164" i="204"/>
  <c r="L148" i="204"/>
  <c r="L161" i="204"/>
  <c r="L151" i="204"/>
  <c r="L127" i="204"/>
  <c r="L150" i="204"/>
  <c r="L153" i="204"/>
  <c r="L166" i="204"/>
  <c r="L162" i="204"/>
  <c r="L169" i="204"/>
  <c r="L140" i="204"/>
  <c r="L145" i="204"/>
  <c r="L135" i="204"/>
  <c r="L125" i="204"/>
  <c r="L149" i="204"/>
  <c r="L141" i="204"/>
  <c r="L152" i="204"/>
  <c r="L139" i="204"/>
  <c r="L131" i="204"/>
  <c r="L119" i="204"/>
  <c r="L144" i="204"/>
  <c r="L136" i="204"/>
  <c r="L176" i="204"/>
  <c r="L146" i="204"/>
  <c r="L133" i="204"/>
  <c r="L122" i="204"/>
  <c r="L130" i="204"/>
  <c r="L115" i="204"/>
  <c r="L143" i="204"/>
  <c r="L116" i="204"/>
  <c r="L114" i="204"/>
  <c r="L103" i="204"/>
  <c r="L124" i="204"/>
  <c r="L123" i="204"/>
  <c r="L118" i="204"/>
  <c r="L109" i="204"/>
  <c r="L132" i="204"/>
  <c r="L129" i="204"/>
  <c r="L128" i="204"/>
  <c r="L126" i="204"/>
  <c r="L121" i="204"/>
  <c r="L102" i="204"/>
  <c r="L134" i="204"/>
  <c r="L107" i="204"/>
  <c r="L137" i="204"/>
  <c r="L105" i="204"/>
  <c r="L93" i="204"/>
  <c r="L96" i="204"/>
  <c r="L90" i="204"/>
  <c r="L117" i="204"/>
  <c r="L112" i="204"/>
  <c r="L110" i="204"/>
  <c r="L108" i="204"/>
  <c r="L99" i="204"/>
  <c r="L138" i="204"/>
  <c r="L106" i="204"/>
  <c r="L100" i="204"/>
  <c r="L94" i="204"/>
  <c r="L120" i="204"/>
  <c r="L104" i="204"/>
  <c r="L81" i="204"/>
  <c r="L113" i="204"/>
  <c r="L101" i="204"/>
  <c r="L88" i="204"/>
  <c r="L74" i="204"/>
  <c r="L62" i="204"/>
  <c r="L111" i="204"/>
  <c r="L85" i="204"/>
  <c r="L79" i="204"/>
  <c r="L67" i="204"/>
  <c r="L98" i="204"/>
  <c r="L97" i="204"/>
  <c r="L86" i="204"/>
  <c r="L72" i="204"/>
  <c r="L66" i="204"/>
  <c r="L48" i="204"/>
  <c r="L36" i="204"/>
  <c r="L4" i="204"/>
  <c r="L16" i="204"/>
  <c r="L91" i="204"/>
  <c r="L83" i="204"/>
  <c r="L71" i="204"/>
  <c r="L77" i="204"/>
  <c r="L70" i="204"/>
  <c r="L64" i="204"/>
  <c r="L56" i="204"/>
  <c r="L95" i="204"/>
  <c r="L87" i="204"/>
  <c r="L82" i="204"/>
  <c r="L76" i="204"/>
  <c r="L80" i="204"/>
  <c r="L75" i="204"/>
  <c r="L69" i="204"/>
  <c r="L47" i="204"/>
  <c r="L92" i="204"/>
  <c r="L84" i="204"/>
  <c r="L78" i="204"/>
  <c r="L68" i="204"/>
  <c r="L52" i="204"/>
  <c r="L61" i="204"/>
  <c r="L57" i="204"/>
  <c r="L45" i="204"/>
  <c r="L7" i="204"/>
  <c r="L89" i="204"/>
  <c r="L58" i="204"/>
  <c r="L46" i="204"/>
  <c r="L54" i="204"/>
  <c r="L9" i="204"/>
  <c r="L55" i="204"/>
  <c r="L44" i="204"/>
  <c r="L40" i="204"/>
  <c r="L6" i="204"/>
  <c r="L10" i="204"/>
  <c r="L18" i="204"/>
  <c r="L15" i="204"/>
  <c r="L26" i="204"/>
  <c r="L60" i="204"/>
  <c r="L53" i="204"/>
  <c r="L50" i="204"/>
  <c r="L39" i="204"/>
  <c r="L14" i="204"/>
  <c r="L73" i="204"/>
  <c r="L51" i="204"/>
  <c r="L49" i="204"/>
  <c r="L43" i="204"/>
  <c r="L35" i="204"/>
  <c r="L19" i="204"/>
  <c r="L23" i="204"/>
  <c r="L13" i="204"/>
  <c r="L30" i="204"/>
  <c r="L42" i="204"/>
  <c r="L38" i="204"/>
  <c r="L25" i="204"/>
  <c r="L8" i="204"/>
  <c r="L20" i="204"/>
  <c r="L32" i="204"/>
  <c r="L12" i="204"/>
  <c r="L27" i="204"/>
  <c r="L41" i="204"/>
  <c r="L37" i="204"/>
  <c r="L22" i="204"/>
  <c r="L65" i="204"/>
  <c r="L5" i="204"/>
  <c r="L11" i="204"/>
  <c r="L59" i="204"/>
  <c r="L24" i="204"/>
  <c r="L63" i="204"/>
  <c r="L33" i="204"/>
  <c r="L29" i="204"/>
  <c r="L31" i="204"/>
  <c r="L3" i="204"/>
  <c r="L28" i="204"/>
  <c r="L17" i="204"/>
  <c r="L21" i="204"/>
  <c r="L34" i="204"/>
  <c r="M1" i="204"/>
  <c r="T39" i="202"/>
  <c r="T40" i="202"/>
  <c r="T36" i="202"/>
  <c r="T37" i="202"/>
  <c r="T38" i="202"/>
  <c r="T35" i="202"/>
  <c r="T41" i="202"/>
  <c r="M178" i="204" l="1"/>
  <c r="M177" i="204"/>
  <c r="M165" i="204"/>
  <c r="M182" i="204"/>
  <c r="M187" i="204"/>
  <c r="M185" i="204"/>
  <c r="M173" i="204"/>
  <c r="M161" i="204"/>
  <c r="M180" i="204"/>
  <c r="M149" i="204"/>
  <c r="M186" i="204"/>
  <c r="M181" i="204"/>
  <c r="M169" i="204"/>
  <c r="M168" i="204"/>
  <c r="M156" i="204"/>
  <c r="M152" i="204"/>
  <c r="M183" i="204"/>
  <c r="M179" i="204"/>
  <c r="M171" i="204"/>
  <c r="M167" i="204"/>
  <c r="M174" i="204"/>
  <c r="M158" i="204"/>
  <c r="M157" i="204"/>
  <c r="M154" i="204"/>
  <c r="M164" i="204"/>
  <c r="M159" i="204"/>
  <c r="M148" i="204"/>
  <c r="M184" i="204"/>
  <c r="M153" i="204"/>
  <c r="M140" i="204"/>
  <c r="M145" i="204"/>
  <c r="M139" i="204"/>
  <c r="M132" i="204"/>
  <c r="M170" i="204"/>
  <c r="M175" i="204"/>
  <c r="M150" i="204"/>
  <c r="M138" i="204"/>
  <c r="M155" i="204"/>
  <c r="M166" i="204"/>
  <c r="M162" i="204"/>
  <c r="M176" i="204"/>
  <c r="M143" i="204"/>
  <c r="M118" i="204"/>
  <c r="M129" i="204"/>
  <c r="M141" i="204"/>
  <c r="M151" i="204"/>
  <c r="M137" i="204"/>
  <c r="M134" i="204"/>
  <c r="M126" i="204"/>
  <c r="M163" i="204"/>
  <c r="M147" i="204"/>
  <c r="M144" i="204"/>
  <c r="M128" i="204"/>
  <c r="M124" i="204"/>
  <c r="M172" i="204"/>
  <c r="M146" i="204"/>
  <c r="M142" i="204"/>
  <c r="M133" i="204"/>
  <c r="M122" i="204"/>
  <c r="M130" i="204"/>
  <c r="M115" i="204"/>
  <c r="M120" i="204"/>
  <c r="M108" i="204"/>
  <c r="M160" i="204"/>
  <c r="M123" i="204"/>
  <c r="M127" i="204"/>
  <c r="M121" i="204"/>
  <c r="M135" i="204"/>
  <c r="M131" i="204"/>
  <c r="M125" i="204"/>
  <c r="M107" i="204"/>
  <c r="M95" i="204"/>
  <c r="M136" i="204"/>
  <c r="M112" i="204"/>
  <c r="M100" i="204"/>
  <c r="M119" i="204"/>
  <c r="M110" i="204"/>
  <c r="M98" i="204"/>
  <c r="M86" i="204"/>
  <c r="M87" i="204"/>
  <c r="M82" i="204"/>
  <c r="M116" i="204"/>
  <c r="M117" i="204"/>
  <c r="M106" i="204"/>
  <c r="M103" i="204"/>
  <c r="M114" i="204"/>
  <c r="M91" i="204"/>
  <c r="M83" i="204"/>
  <c r="M104" i="204"/>
  <c r="M113" i="204"/>
  <c r="M101" i="204"/>
  <c r="M88" i="204"/>
  <c r="M111" i="204"/>
  <c r="M85" i="204"/>
  <c r="M79" i="204"/>
  <c r="M67" i="204"/>
  <c r="M109" i="204"/>
  <c r="M105" i="204"/>
  <c r="M97" i="204"/>
  <c r="M93" i="204"/>
  <c r="M72" i="204"/>
  <c r="M60" i="204"/>
  <c r="M65" i="204"/>
  <c r="M59" i="204"/>
  <c r="M53" i="204"/>
  <c r="M41" i="204"/>
  <c r="M9" i="204"/>
  <c r="M81" i="204"/>
  <c r="M96" i="204"/>
  <c r="M71" i="204"/>
  <c r="M99" i="204"/>
  <c r="M77" i="204"/>
  <c r="M90" i="204"/>
  <c r="M63" i="204"/>
  <c r="M102" i="204"/>
  <c r="M76" i="204"/>
  <c r="M80" i="204"/>
  <c r="M75" i="204"/>
  <c r="M69" i="204"/>
  <c r="M92" i="204"/>
  <c r="M84" i="204"/>
  <c r="M78" i="204"/>
  <c r="M68" i="204"/>
  <c r="M62" i="204"/>
  <c r="M52" i="204"/>
  <c r="M61" i="204"/>
  <c r="M57" i="204"/>
  <c r="M45" i="204"/>
  <c r="M89" i="204"/>
  <c r="M74" i="204"/>
  <c r="M50" i="204"/>
  <c r="M38" i="204"/>
  <c r="M73" i="204"/>
  <c r="M56" i="204"/>
  <c r="M36" i="204"/>
  <c r="M70" i="204"/>
  <c r="M51" i="204"/>
  <c r="M47" i="204"/>
  <c r="M48" i="204"/>
  <c r="M39" i="204"/>
  <c r="M64" i="204"/>
  <c r="M5" i="204"/>
  <c r="M94" i="204"/>
  <c r="M66" i="204"/>
  <c r="M49" i="204"/>
  <c r="M37" i="204"/>
  <c r="M13" i="204"/>
  <c r="M17" i="204"/>
  <c r="M31" i="204"/>
  <c r="M4" i="204"/>
  <c r="M10" i="204"/>
  <c r="M15" i="204"/>
  <c r="M18" i="204"/>
  <c r="M55" i="204"/>
  <c r="M46" i="204"/>
  <c r="M43" i="204"/>
  <c r="M35" i="204"/>
  <c r="M21" i="204"/>
  <c r="M54" i="204"/>
  <c r="M44" i="204"/>
  <c r="M14" i="204"/>
  <c r="M28" i="204"/>
  <c r="M42" i="204"/>
  <c r="M6" i="204"/>
  <c r="M19" i="204"/>
  <c r="M23" i="204"/>
  <c r="M58" i="204"/>
  <c r="M25" i="204"/>
  <c r="M8" i="204"/>
  <c r="M20" i="204"/>
  <c r="M32" i="204"/>
  <c r="M12" i="204"/>
  <c r="M27" i="204"/>
  <c r="M22" i="204"/>
  <c r="M11" i="204"/>
  <c r="M29" i="204"/>
  <c r="M40" i="204"/>
  <c r="M34" i="204"/>
  <c r="M7" i="204"/>
  <c r="M33" i="204"/>
  <c r="M16" i="204"/>
  <c r="M3" i="204"/>
  <c r="M30" i="204"/>
  <c r="M26" i="204"/>
  <c r="M24" i="204"/>
  <c r="N1" i="204"/>
  <c r="T25" i="202"/>
  <c r="T24" i="202"/>
  <c r="T26" i="202"/>
  <c r="T27" i="202"/>
  <c r="T28" i="202"/>
  <c r="T29" i="202"/>
  <c r="T30" i="202"/>
  <c r="T31" i="202"/>
  <c r="T32" i="202"/>
  <c r="N183" i="204" l="1"/>
  <c r="N171" i="204"/>
  <c r="N182" i="204"/>
  <c r="N170" i="204"/>
  <c r="N187" i="204"/>
  <c r="N175" i="204"/>
  <c r="N178" i="204"/>
  <c r="N166" i="204"/>
  <c r="N186" i="204"/>
  <c r="N173" i="204"/>
  <c r="N160" i="204"/>
  <c r="N154" i="204"/>
  <c r="N184" i="204"/>
  <c r="N174" i="204"/>
  <c r="N165" i="204"/>
  <c r="N180" i="204"/>
  <c r="N176" i="204"/>
  <c r="N179" i="204"/>
  <c r="N185" i="204"/>
  <c r="N167" i="204"/>
  <c r="N163" i="204"/>
  <c r="N181" i="204"/>
  <c r="N164" i="204"/>
  <c r="N159" i="204"/>
  <c r="N153" i="204"/>
  <c r="N140" i="204"/>
  <c r="N177" i="204"/>
  <c r="N145" i="204"/>
  <c r="N147" i="204"/>
  <c r="N146" i="204"/>
  <c r="N137" i="204"/>
  <c r="N172" i="204"/>
  <c r="N158" i="204"/>
  <c r="N155" i="204"/>
  <c r="N142" i="204"/>
  <c r="N162" i="204"/>
  <c r="N157" i="204"/>
  <c r="N169" i="204"/>
  <c r="N151" i="204"/>
  <c r="N132" i="204"/>
  <c r="N123" i="204"/>
  <c r="N141" i="204"/>
  <c r="N149" i="204"/>
  <c r="N161" i="204"/>
  <c r="N152" i="204"/>
  <c r="N150" i="204"/>
  <c r="N148" i="204"/>
  <c r="N138" i="204"/>
  <c r="N131" i="204"/>
  <c r="N144" i="204"/>
  <c r="N136" i="204"/>
  <c r="N117" i="204"/>
  <c r="N168" i="204"/>
  <c r="N130" i="204"/>
  <c r="N156" i="204"/>
  <c r="N120" i="204"/>
  <c r="N135" i="204"/>
  <c r="N127" i="204"/>
  <c r="N125" i="204"/>
  <c r="N124" i="204"/>
  <c r="N122" i="204"/>
  <c r="N113" i="204"/>
  <c r="N101" i="204"/>
  <c r="N139" i="204"/>
  <c r="N121" i="204"/>
  <c r="N129" i="204"/>
  <c r="N128" i="204"/>
  <c r="N126" i="204"/>
  <c r="N107" i="204"/>
  <c r="N134" i="204"/>
  <c r="N133" i="204"/>
  <c r="N112" i="204"/>
  <c r="N100" i="204"/>
  <c r="N105" i="204"/>
  <c r="N116" i="204"/>
  <c r="N114" i="204"/>
  <c r="N103" i="204"/>
  <c r="N91" i="204"/>
  <c r="N102" i="204"/>
  <c r="N84" i="204"/>
  <c r="N143" i="204"/>
  <c r="N118" i="204"/>
  <c r="N110" i="204"/>
  <c r="N108" i="204"/>
  <c r="N106" i="204"/>
  <c r="N119" i="204"/>
  <c r="N115" i="204"/>
  <c r="N104" i="204"/>
  <c r="N81" i="204"/>
  <c r="N111" i="204"/>
  <c r="N85" i="204"/>
  <c r="N79" i="204"/>
  <c r="N109" i="204"/>
  <c r="N97" i="204"/>
  <c r="N93" i="204"/>
  <c r="N72" i="204"/>
  <c r="N60" i="204"/>
  <c r="N98" i="204"/>
  <c r="N96" i="204"/>
  <c r="N90" i="204"/>
  <c r="N77" i="204"/>
  <c r="N65" i="204"/>
  <c r="N58" i="204"/>
  <c r="N46" i="204"/>
  <c r="N14" i="204"/>
  <c r="N83" i="204"/>
  <c r="N99" i="204"/>
  <c r="N88" i="204"/>
  <c r="N70" i="204"/>
  <c r="N64" i="204"/>
  <c r="N76" i="204"/>
  <c r="N95" i="204"/>
  <c r="N87" i="204"/>
  <c r="N82" i="204"/>
  <c r="N80" i="204"/>
  <c r="N75" i="204"/>
  <c r="N69" i="204"/>
  <c r="N92" i="204"/>
  <c r="N78" i="204"/>
  <c r="N68" i="204"/>
  <c r="N61" i="204"/>
  <c r="N57" i="204"/>
  <c r="N45" i="204"/>
  <c r="N89" i="204"/>
  <c r="N74" i="204"/>
  <c r="N50" i="204"/>
  <c r="N73" i="204"/>
  <c r="N67" i="204"/>
  <c r="N55" i="204"/>
  <c r="N43" i="204"/>
  <c r="N5" i="204"/>
  <c r="N94" i="204"/>
  <c r="N62" i="204"/>
  <c r="N42" i="204"/>
  <c r="N44" i="204"/>
  <c r="N40" i="204"/>
  <c r="N86" i="204"/>
  <c r="N71" i="204"/>
  <c r="N63" i="204"/>
  <c r="N59" i="204"/>
  <c r="N52" i="204"/>
  <c r="N38" i="204"/>
  <c r="N15" i="204"/>
  <c r="N53" i="204"/>
  <c r="N6" i="204"/>
  <c r="N10" i="204"/>
  <c r="N7" i="204"/>
  <c r="N16" i="204"/>
  <c r="N24" i="204"/>
  <c r="N17" i="204"/>
  <c r="N39" i="204"/>
  <c r="N35" i="204"/>
  <c r="N66" i="204"/>
  <c r="N54" i="204"/>
  <c r="N51" i="204"/>
  <c r="N49" i="204"/>
  <c r="N48" i="204"/>
  <c r="N4" i="204"/>
  <c r="N18" i="204"/>
  <c r="N56" i="204"/>
  <c r="N47" i="204"/>
  <c r="N21" i="204"/>
  <c r="N9" i="204"/>
  <c r="N28" i="204"/>
  <c r="N3" i="204"/>
  <c r="N13" i="204"/>
  <c r="N19" i="204"/>
  <c r="N23" i="204"/>
  <c r="N30" i="204"/>
  <c r="N41" i="204"/>
  <c r="N37" i="204"/>
  <c r="N25" i="204"/>
  <c r="N20" i="204"/>
  <c r="N8" i="204"/>
  <c r="N12" i="204"/>
  <c r="N36" i="204"/>
  <c r="N22" i="204"/>
  <c r="N34" i="204"/>
  <c r="N29" i="204"/>
  <c r="N31" i="204"/>
  <c r="N33" i="204"/>
  <c r="N27" i="204"/>
  <c r="N11" i="204"/>
  <c r="N26" i="204"/>
  <c r="N32" i="204"/>
  <c r="O1" i="204"/>
  <c r="T33" i="202"/>
  <c r="T34" i="202"/>
  <c r="O176" i="204" l="1"/>
  <c r="O187" i="204"/>
  <c r="O175" i="204"/>
  <c r="O163" i="204"/>
  <c r="O180" i="204"/>
  <c r="O185" i="204"/>
  <c r="O183" i="204"/>
  <c r="O171" i="204"/>
  <c r="O159" i="204"/>
  <c r="O184" i="204"/>
  <c r="O167" i="204"/>
  <c r="O166" i="204"/>
  <c r="O181" i="204"/>
  <c r="O177" i="204"/>
  <c r="O169" i="204"/>
  <c r="O170" i="204"/>
  <c r="O164" i="204"/>
  <c r="O150" i="204"/>
  <c r="O173" i="204"/>
  <c r="O179" i="204"/>
  <c r="O182" i="204"/>
  <c r="O178" i="204"/>
  <c r="O186" i="204"/>
  <c r="O174" i="204"/>
  <c r="O153" i="204"/>
  <c r="O145" i="204"/>
  <c r="O168" i="204"/>
  <c r="O152" i="204"/>
  <c r="O172" i="204"/>
  <c r="O158" i="204"/>
  <c r="O156" i="204"/>
  <c r="O148" i="204"/>
  <c r="O130" i="204"/>
  <c r="O162" i="204"/>
  <c r="O157" i="204"/>
  <c r="O141" i="204"/>
  <c r="O161" i="204"/>
  <c r="O139" i="204"/>
  <c r="O129" i="204"/>
  <c r="O116" i="204"/>
  <c r="O149" i="204"/>
  <c r="O134" i="204"/>
  <c r="O126" i="204"/>
  <c r="O151" i="204"/>
  <c r="O144" i="204"/>
  <c r="O128" i="204"/>
  <c r="O147" i="204"/>
  <c r="O154" i="204"/>
  <c r="O133" i="204"/>
  <c r="O122" i="204"/>
  <c r="O165" i="204"/>
  <c r="O146" i="204"/>
  <c r="O155" i="204"/>
  <c r="O135" i="204"/>
  <c r="O127" i="204"/>
  <c r="O125" i="204"/>
  <c r="O113" i="204"/>
  <c r="O160" i="204"/>
  <c r="O143" i="204"/>
  <c r="O140" i="204"/>
  <c r="O118" i="204"/>
  <c r="O120" i="204"/>
  <c r="O106" i="204"/>
  <c r="O142" i="204"/>
  <c r="O123" i="204"/>
  <c r="O132" i="204"/>
  <c r="O131" i="204"/>
  <c r="O112" i="204"/>
  <c r="O136" i="204"/>
  <c r="O105" i="204"/>
  <c r="O137" i="204"/>
  <c r="O119" i="204"/>
  <c r="O110" i="204"/>
  <c r="O98" i="204"/>
  <c r="O138" i="204"/>
  <c r="O115" i="204"/>
  <c r="O108" i="204"/>
  <c r="O96" i="204"/>
  <c r="O84" i="204"/>
  <c r="O99" i="204"/>
  <c r="O95" i="204"/>
  <c r="O92" i="204"/>
  <c r="O80" i="204"/>
  <c r="O117" i="204"/>
  <c r="O121" i="204"/>
  <c r="O103" i="204"/>
  <c r="O114" i="204"/>
  <c r="O104" i="204"/>
  <c r="O100" i="204"/>
  <c r="O124" i="204"/>
  <c r="O88" i="204"/>
  <c r="O111" i="204"/>
  <c r="O101" i="204"/>
  <c r="O109" i="204"/>
  <c r="O97" i="204"/>
  <c r="O93" i="204"/>
  <c r="O107" i="204"/>
  <c r="O90" i="204"/>
  <c r="O77" i="204"/>
  <c r="O65" i="204"/>
  <c r="O87" i="204"/>
  <c r="O82" i="204"/>
  <c r="O70" i="204"/>
  <c r="O58" i="204"/>
  <c r="O91" i="204"/>
  <c r="O83" i="204"/>
  <c r="O81" i="204"/>
  <c r="O79" i="204"/>
  <c r="O71" i="204"/>
  <c r="O51" i="204"/>
  <c r="O39" i="204"/>
  <c r="O7" i="204"/>
  <c r="O85" i="204"/>
  <c r="O76" i="204"/>
  <c r="O102" i="204"/>
  <c r="O75" i="204"/>
  <c r="O69" i="204"/>
  <c r="O78" i="204"/>
  <c r="O68" i="204"/>
  <c r="O89" i="204"/>
  <c r="O74" i="204"/>
  <c r="O50" i="204"/>
  <c r="O73" i="204"/>
  <c r="O67" i="204"/>
  <c r="O55" i="204"/>
  <c r="O43" i="204"/>
  <c r="O94" i="204"/>
  <c r="O66" i="204"/>
  <c r="O60" i="204"/>
  <c r="O48" i="204"/>
  <c r="O36" i="204"/>
  <c r="O86" i="204"/>
  <c r="O35" i="204"/>
  <c r="O72" i="204"/>
  <c r="O14" i="204"/>
  <c r="O49" i="204"/>
  <c r="O45" i="204"/>
  <c r="O37" i="204"/>
  <c r="O12" i="204"/>
  <c r="O19" i="204"/>
  <c r="O56" i="204"/>
  <c r="O46" i="204"/>
  <c r="O11" i="204"/>
  <c r="O29" i="204"/>
  <c r="O54" i="204"/>
  <c r="O53" i="204"/>
  <c r="O16" i="204"/>
  <c r="O52" i="204"/>
  <c r="O47" i="204"/>
  <c r="O44" i="204"/>
  <c r="O10" i="204"/>
  <c r="O15" i="204"/>
  <c r="O17" i="204"/>
  <c r="O64" i="204"/>
  <c r="O42" i="204"/>
  <c r="O4" i="204"/>
  <c r="O18" i="204"/>
  <c r="O26" i="204"/>
  <c r="O61" i="204"/>
  <c r="O38" i="204"/>
  <c r="O21" i="204"/>
  <c r="O33" i="204"/>
  <c r="O57" i="204"/>
  <c r="O6" i="204"/>
  <c r="O9" i="204"/>
  <c r="O28" i="204"/>
  <c r="O41" i="204"/>
  <c r="O13" i="204"/>
  <c r="O23" i="204"/>
  <c r="O62" i="204"/>
  <c r="O30" i="204"/>
  <c r="O25" i="204"/>
  <c r="O59" i="204"/>
  <c r="O8" i="204"/>
  <c r="O20" i="204"/>
  <c r="O63" i="204"/>
  <c r="O40" i="204"/>
  <c r="O5" i="204"/>
  <c r="O27" i="204"/>
  <c r="O32" i="204"/>
  <c r="O24" i="204"/>
  <c r="O3" i="204"/>
  <c r="O31" i="204"/>
  <c r="O34" i="204"/>
  <c r="O22" i="204"/>
  <c r="P1" i="204"/>
  <c r="T11" i="202"/>
  <c r="T12" i="202"/>
  <c r="T13" i="202"/>
  <c r="T14" i="202"/>
  <c r="T15" i="202"/>
  <c r="T16" i="202"/>
  <c r="T17" i="202"/>
  <c r="T18" i="202"/>
  <c r="T19" i="202"/>
  <c r="T20" i="202"/>
  <c r="T21" i="202"/>
  <c r="T22" i="202"/>
  <c r="P181" i="204" l="1"/>
  <c r="P169" i="204"/>
  <c r="P186" i="204"/>
  <c r="P187" i="204"/>
  <c r="P180" i="204"/>
  <c r="P168" i="204"/>
  <c r="P185" i="204"/>
  <c r="P173" i="204"/>
  <c r="P176" i="204"/>
  <c r="P164" i="204"/>
  <c r="P177" i="204"/>
  <c r="P159" i="204"/>
  <c r="P156" i="204"/>
  <c r="P152" i="204"/>
  <c r="P174" i="204"/>
  <c r="P178" i="204"/>
  <c r="P158" i="204"/>
  <c r="P183" i="204"/>
  <c r="P179" i="204"/>
  <c r="P166" i="204"/>
  <c r="P182" i="204"/>
  <c r="P184" i="204"/>
  <c r="P170" i="204"/>
  <c r="P165" i="204"/>
  <c r="P160" i="204"/>
  <c r="P143" i="204"/>
  <c r="P154" i="204"/>
  <c r="P149" i="204"/>
  <c r="P144" i="204"/>
  <c r="P135" i="204"/>
  <c r="P167" i="204"/>
  <c r="P171" i="204"/>
  <c r="P153" i="204"/>
  <c r="P151" i="204"/>
  <c r="P161" i="204"/>
  <c r="P147" i="204"/>
  <c r="P146" i="204"/>
  <c r="P121" i="204"/>
  <c r="P175" i="204"/>
  <c r="P138" i="204"/>
  <c r="P137" i="204"/>
  <c r="P131" i="204"/>
  <c r="P150" i="204"/>
  <c r="P148" i="204"/>
  <c r="P163" i="204"/>
  <c r="P139" i="204"/>
  <c r="P136" i="204"/>
  <c r="P142" i="204"/>
  <c r="P172" i="204"/>
  <c r="P155" i="204"/>
  <c r="P127" i="204"/>
  <c r="P125" i="204"/>
  <c r="P140" i="204"/>
  <c r="P118" i="204"/>
  <c r="P162" i="204"/>
  <c r="P132" i="204"/>
  <c r="P123" i="204"/>
  <c r="P111" i="204"/>
  <c r="P99" i="204"/>
  <c r="P129" i="204"/>
  <c r="P128" i="204"/>
  <c r="P126" i="204"/>
  <c r="P134" i="204"/>
  <c r="P133" i="204"/>
  <c r="P130" i="204"/>
  <c r="P157" i="204"/>
  <c r="P145" i="204"/>
  <c r="P119" i="204"/>
  <c r="P110" i="204"/>
  <c r="P98" i="204"/>
  <c r="P114" i="204"/>
  <c r="P103" i="204"/>
  <c r="P141" i="204"/>
  <c r="P124" i="204"/>
  <c r="P101" i="204"/>
  <c r="P89" i="204"/>
  <c r="P117" i="204"/>
  <c r="P116" i="204"/>
  <c r="P108" i="204"/>
  <c r="P106" i="204"/>
  <c r="P115" i="204"/>
  <c r="P112" i="204"/>
  <c r="P104" i="204"/>
  <c r="P85" i="204"/>
  <c r="P79" i="204"/>
  <c r="P120" i="204"/>
  <c r="P113" i="204"/>
  <c r="P109" i="204"/>
  <c r="P107" i="204"/>
  <c r="P90" i="204"/>
  <c r="P77" i="204"/>
  <c r="P122" i="204"/>
  <c r="P105" i="204"/>
  <c r="P96" i="204"/>
  <c r="P87" i="204"/>
  <c r="P82" i="204"/>
  <c r="P70" i="204"/>
  <c r="P58" i="204"/>
  <c r="P102" i="204"/>
  <c r="P75" i="204"/>
  <c r="P63" i="204"/>
  <c r="P64" i="204"/>
  <c r="P56" i="204"/>
  <c r="P44" i="204"/>
  <c r="P12" i="204"/>
  <c r="P88" i="204"/>
  <c r="P93" i="204"/>
  <c r="P76" i="204"/>
  <c r="P95" i="204"/>
  <c r="P80" i="204"/>
  <c r="P78" i="204"/>
  <c r="P68" i="204"/>
  <c r="P62" i="204"/>
  <c r="P92" i="204"/>
  <c r="P100" i="204"/>
  <c r="P84" i="204"/>
  <c r="P74" i="204"/>
  <c r="P73" i="204"/>
  <c r="P67" i="204"/>
  <c r="P55" i="204"/>
  <c r="P43" i="204"/>
  <c r="P94" i="204"/>
  <c r="P66" i="204"/>
  <c r="P60" i="204"/>
  <c r="P48" i="204"/>
  <c r="P86" i="204"/>
  <c r="P59" i="204"/>
  <c r="P53" i="204"/>
  <c r="P41" i="204"/>
  <c r="P72" i="204"/>
  <c r="P83" i="204"/>
  <c r="P54" i="204"/>
  <c r="P50" i="204"/>
  <c r="P91" i="204"/>
  <c r="P81" i="204"/>
  <c r="P57" i="204"/>
  <c r="P39" i="204"/>
  <c r="P8" i="204"/>
  <c r="P11" i="204"/>
  <c r="P97" i="204"/>
  <c r="P52" i="204"/>
  <c r="P38" i="204"/>
  <c r="P71" i="204"/>
  <c r="P69" i="204"/>
  <c r="P65" i="204"/>
  <c r="P4" i="204"/>
  <c r="P42" i="204"/>
  <c r="P36" i="204"/>
  <c r="P5" i="204"/>
  <c r="P15" i="204"/>
  <c r="P35" i="204"/>
  <c r="P22" i="204"/>
  <c r="P34" i="204"/>
  <c r="P51" i="204"/>
  <c r="P49" i="204"/>
  <c r="P47" i="204"/>
  <c r="P46" i="204"/>
  <c r="P7" i="204"/>
  <c r="P45" i="204"/>
  <c r="P16" i="204"/>
  <c r="P61" i="204"/>
  <c r="P10" i="204"/>
  <c r="P17" i="204"/>
  <c r="P14" i="204"/>
  <c r="P18" i="204"/>
  <c r="P26" i="204"/>
  <c r="P21" i="204"/>
  <c r="P37" i="204"/>
  <c r="P6" i="204"/>
  <c r="P9" i="204"/>
  <c r="P19" i="204"/>
  <c r="P28" i="204"/>
  <c r="P3" i="204"/>
  <c r="P13" i="204"/>
  <c r="P23" i="204"/>
  <c r="P40" i="204"/>
  <c r="P20" i="204"/>
  <c r="P32" i="204"/>
  <c r="P30" i="204"/>
  <c r="P24" i="204"/>
  <c r="P29" i="204"/>
  <c r="P31" i="204"/>
  <c r="P33" i="204"/>
  <c r="P27" i="204"/>
  <c r="P25" i="204"/>
  <c r="Q1" i="204"/>
  <c r="T23" i="202"/>
  <c r="Q186" i="204" l="1"/>
  <c r="Q174" i="204"/>
  <c r="Q187" i="204"/>
  <c r="Q185" i="204"/>
  <c r="Q173" i="204"/>
  <c r="Q161" i="204"/>
  <c r="Q178" i="204"/>
  <c r="Q181" i="204"/>
  <c r="Q169" i="204"/>
  <c r="Q157" i="204"/>
  <c r="Q168" i="204"/>
  <c r="Q165" i="204"/>
  <c r="Q170" i="204"/>
  <c r="Q171" i="204"/>
  <c r="Q155" i="204"/>
  <c r="Q148" i="204"/>
  <c r="Q179" i="204"/>
  <c r="Q176" i="204"/>
  <c r="Q166" i="204"/>
  <c r="Q172" i="204"/>
  <c r="Q182" i="204"/>
  <c r="Q184" i="204"/>
  <c r="Q177" i="204"/>
  <c r="Q160" i="204"/>
  <c r="Q152" i="204"/>
  <c r="Q143" i="204"/>
  <c r="Q151" i="204"/>
  <c r="Q147" i="204"/>
  <c r="Q167" i="204"/>
  <c r="Q128" i="204"/>
  <c r="Q153" i="204"/>
  <c r="Q180" i="204"/>
  <c r="Q159" i="204"/>
  <c r="Q145" i="204"/>
  <c r="Q175" i="204"/>
  <c r="Q158" i="204"/>
  <c r="Q141" i="204"/>
  <c r="Q134" i="204"/>
  <c r="Q126" i="204"/>
  <c r="Q183" i="204"/>
  <c r="Q149" i="204"/>
  <c r="Q150" i="204"/>
  <c r="Q163" i="204"/>
  <c r="Q144" i="204"/>
  <c r="Q133" i="204"/>
  <c r="Q154" i="204"/>
  <c r="Q142" i="204"/>
  <c r="Q146" i="204"/>
  <c r="Q130" i="204"/>
  <c r="Q120" i="204"/>
  <c r="Q156" i="204"/>
  <c r="Q140" i="204"/>
  <c r="Q135" i="204"/>
  <c r="Q162" i="204"/>
  <c r="Q132" i="204"/>
  <c r="Q123" i="204"/>
  <c r="Q164" i="204"/>
  <c r="Q129" i="204"/>
  <c r="Q116" i="204"/>
  <c r="Q139" i="204"/>
  <c r="Q117" i="204"/>
  <c r="Q104" i="204"/>
  <c r="Q121" i="204"/>
  <c r="Q131" i="204"/>
  <c r="Q127" i="204"/>
  <c r="Q136" i="204"/>
  <c r="Q125" i="204"/>
  <c r="Q119" i="204"/>
  <c r="Q110" i="204"/>
  <c r="Q137" i="204"/>
  <c r="Q114" i="204"/>
  <c r="Q103" i="204"/>
  <c r="Q115" i="204"/>
  <c r="Q108" i="204"/>
  <c r="Q138" i="204"/>
  <c r="Q124" i="204"/>
  <c r="Q122" i="204"/>
  <c r="Q113" i="204"/>
  <c r="Q106" i="204"/>
  <c r="Q94" i="204"/>
  <c r="Q89" i="204"/>
  <c r="Q78" i="204"/>
  <c r="Q118" i="204"/>
  <c r="Q112" i="204"/>
  <c r="Q100" i="204"/>
  <c r="Q111" i="204"/>
  <c r="Q109" i="204"/>
  <c r="Q101" i="204"/>
  <c r="Q97" i="204"/>
  <c r="Q93" i="204"/>
  <c r="Q107" i="204"/>
  <c r="Q105" i="204"/>
  <c r="Q96" i="204"/>
  <c r="Q87" i="204"/>
  <c r="Q82" i="204"/>
  <c r="Q102" i="204"/>
  <c r="Q98" i="204"/>
  <c r="Q75" i="204"/>
  <c r="Q63" i="204"/>
  <c r="Q95" i="204"/>
  <c r="Q92" i="204"/>
  <c r="Q84" i="204"/>
  <c r="Q80" i="204"/>
  <c r="Q68" i="204"/>
  <c r="Q88" i="204"/>
  <c r="Q49" i="204"/>
  <c r="Q37" i="204"/>
  <c r="Q5" i="204"/>
  <c r="Q99" i="204"/>
  <c r="Q76" i="204"/>
  <c r="Q85" i="204"/>
  <c r="Q77" i="204"/>
  <c r="Q69" i="204"/>
  <c r="Q90" i="204"/>
  <c r="Q61" i="204"/>
  <c r="Q57" i="204"/>
  <c r="Q74" i="204"/>
  <c r="Q73" i="204"/>
  <c r="Q66" i="204"/>
  <c r="Q60" i="204"/>
  <c r="Q48" i="204"/>
  <c r="Q86" i="204"/>
  <c r="Q59" i="204"/>
  <c r="Q53" i="204"/>
  <c r="Q72" i="204"/>
  <c r="Q46" i="204"/>
  <c r="Q8" i="204"/>
  <c r="Q91" i="204"/>
  <c r="Q83" i="204"/>
  <c r="Q81" i="204"/>
  <c r="Q71" i="204"/>
  <c r="Q70" i="204"/>
  <c r="Q47" i="204"/>
  <c r="Q43" i="204"/>
  <c r="Q41" i="204"/>
  <c r="Q55" i="204"/>
  <c r="Q79" i="204"/>
  <c r="Q64" i="204"/>
  <c r="Q45" i="204"/>
  <c r="Q9" i="204"/>
  <c r="Q17" i="204"/>
  <c r="Q67" i="204"/>
  <c r="Q62" i="204"/>
  <c r="Q58" i="204"/>
  <c r="Q35" i="204"/>
  <c r="Q19" i="204"/>
  <c r="Q54" i="204"/>
  <c r="Q51" i="204"/>
  <c r="Q39" i="204"/>
  <c r="Q27" i="204"/>
  <c r="Q52" i="204"/>
  <c r="Q50" i="204"/>
  <c r="Q44" i="204"/>
  <c r="Q11" i="204"/>
  <c r="Q56" i="204"/>
  <c r="Q42" i="204"/>
  <c r="Q7" i="204"/>
  <c r="Q38" i="204"/>
  <c r="Q15" i="204"/>
  <c r="Q16" i="204"/>
  <c r="Q24" i="204"/>
  <c r="Q4" i="204"/>
  <c r="Q10" i="204"/>
  <c r="Q31" i="204"/>
  <c r="Q26" i="204"/>
  <c r="Q14" i="204"/>
  <c r="Q18" i="204"/>
  <c r="Q21" i="204"/>
  <c r="Q33" i="204"/>
  <c r="Q6" i="204"/>
  <c r="Q28" i="204"/>
  <c r="Q3" i="204"/>
  <c r="Q13" i="204"/>
  <c r="Q65" i="204"/>
  <c r="Q40" i="204"/>
  <c r="Q23" i="204"/>
  <c r="Q36" i="204"/>
  <c r="Q12" i="204"/>
  <c r="Q25" i="204"/>
  <c r="Q30" i="204"/>
  <c r="Q32" i="204"/>
  <c r="Q34" i="204"/>
  <c r="Q22" i="204"/>
  <c r="Q20" i="204"/>
  <c r="Q29" i="204"/>
  <c r="R1" i="204"/>
  <c r="T6" i="202"/>
  <c r="T7" i="202"/>
  <c r="T8" i="202"/>
  <c r="T9" i="202"/>
  <c r="T10" i="202"/>
  <c r="T57" i="202" l="1"/>
  <c r="R179" i="204"/>
  <c r="R167" i="204"/>
  <c r="R187" i="204"/>
  <c r="R178" i="204"/>
  <c r="R166" i="204"/>
  <c r="R183" i="204"/>
  <c r="R171" i="204"/>
  <c r="R186" i="204"/>
  <c r="R174" i="204"/>
  <c r="R162" i="204"/>
  <c r="R181" i="204"/>
  <c r="R170" i="204"/>
  <c r="R169" i="204"/>
  <c r="R150" i="204"/>
  <c r="R182" i="204"/>
  <c r="R163" i="204"/>
  <c r="R153" i="204"/>
  <c r="R172" i="204"/>
  <c r="R185" i="204"/>
  <c r="R164" i="204"/>
  <c r="R184" i="204"/>
  <c r="R177" i="204"/>
  <c r="R160" i="204"/>
  <c r="R152" i="204"/>
  <c r="R168" i="204"/>
  <c r="R165" i="204"/>
  <c r="R151" i="204"/>
  <c r="R147" i="204"/>
  <c r="R180" i="204"/>
  <c r="R141" i="204"/>
  <c r="R133" i="204"/>
  <c r="R159" i="204"/>
  <c r="R140" i="204"/>
  <c r="R161" i="204"/>
  <c r="R146" i="204"/>
  <c r="R176" i="204"/>
  <c r="R158" i="204"/>
  <c r="R156" i="204"/>
  <c r="R154" i="204"/>
  <c r="R149" i="204"/>
  <c r="R148" i="204"/>
  <c r="R144" i="204"/>
  <c r="R138" i="204"/>
  <c r="R137" i="204"/>
  <c r="R131" i="204"/>
  <c r="R119" i="204"/>
  <c r="R139" i="204"/>
  <c r="R136" i="204"/>
  <c r="R128" i="204"/>
  <c r="R142" i="204"/>
  <c r="R173" i="204"/>
  <c r="R155" i="204"/>
  <c r="R127" i="204"/>
  <c r="R125" i="204"/>
  <c r="R132" i="204"/>
  <c r="R123" i="204"/>
  <c r="R143" i="204"/>
  <c r="R129" i="204"/>
  <c r="R116" i="204"/>
  <c r="R157" i="204"/>
  <c r="R145" i="204"/>
  <c r="R121" i="204"/>
  <c r="R175" i="204"/>
  <c r="R109" i="204"/>
  <c r="R97" i="204"/>
  <c r="R126" i="204"/>
  <c r="R134" i="204"/>
  <c r="R130" i="204"/>
  <c r="R135" i="204"/>
  <c r="R114" i="204"/>
  <c r="R115" i="204"/>
  <c r="R108" i="204"/>
  <c r="R96" i="204"/>
  <c r="R124" i="204"/>
  <c r="R101" i="204"/>
  <c r="R122" i="204"/>
  <c r="R120" i="204"/>
  <c r="R111" i="204"/>
  <c r="R99" i="204"/>
  <c r="R87" i="204"/>
  <c r="R118" i="204"/>
  <c r="R112" i="204"/>
  <c r="R106" i="204"/>
  <c r="R86" i="204"/>
  <c r="R110" i="204"/>
  <c r="R104" i="204"/>
  <c r="R113" i="204"/>
  <c r="R107" i="204"/>
  <c r="R90" i="204"/>
  <c r="R105" i="204"/>
  <c r="R102" i="204"/>
  <c r="R98" i="204"/>
  <c r="R95" i="204"/>
  <c r="R92" i="204"/>
  <c r="R84" i="204"/>
  <c r="R80" i="204"/>
  <c r="R68" i="204"/>
  <c r="R73" i="204"/>
  <c r="R61" i="204"/>
  <c r="R76" i="204"/>
  <c r="R70" i="204"/>
  <c r="R54" i="204"/>
  <c r="R42" i="204"/>
  <c r="R10" i="204"/>
  <c r="R103" i="204"/>
  <c r="R93" i="204"/>
  <c r="R85" i="204"/>
  <c r="R77" i="204"/>
  <c r="R78" i="204"/>
  <c r="R75" i="204"/>
  <c r="R117" i="204"/>
  <c r="R82" i="204"/>
  <c r="R74" i="204"/>
  <c r="R100" i="204"/>
  <c r="R67" i="204"/>
  <c r="R89" i="204"/>
  <c r="R94" i="204"/>
  <c r="R59" i="204"/>
  <c r="R53" i="204"/>
  <c r="R72" i="204"/>
  <c r="R46" i="204"/>
  <c r="R91" i="204"/>
  <c r="R83" i="204"/>
  <c r="R81" i="204"/>
  <c r="R71" i="204"/>
  <c r="R65" i="204"/>
  <c r="R51" i="204"/>
  <c r="R39" i="204"/>
  <c r="R79" i="204"/>
  <c r="R40" i="204"/>
  <c r="R60" i="204"/>
  <c r="R52" i="204"/>
  <c r="R48" i="204"/>
  <c r="R38" i="204"/>
  <c r="R88" i="204"/>
  <c r="R69" i="204"/>
  <c r="R63" i="204"/>
  <c r="R49" i="204"/>
  <c r="R37" i="204"/>
  <c r="R66" i="204"/>
  <c r="R56" i="204"/>
  <c r="R36" i="204"/>
  <c r="R50" i="204"/>
  <c r="R4" i="204"/>
  <c r="R12" i="204"/>
  <c r="R47" i="204"/>
  <c r="R44" i="204"/>
  <c r="R20" i="204"/>
  <c r="R32" i="204"/>
  <c r="R55" i="204"/>
  <c r="R45" i="204"/>
  <c r="R43" i="204"/>
  <c r="R64" i="204"/>
  <c r="R11" i="204"/>
  <c r="R22" i="204"/>
  <c r="R7" i="204"/>
  <c r="R57" i="204"/>
  <c r="R15" i="204"/>
  <c r="R16" i="204"/>
  <c r="R17" i="204"/>
  <c r="R24" i="204"/>
  <c r="R58" i="204"/>
  <c r="R41" i="204"/>
  <c r="R62" i="204"/>
  <c r="R14" i="204"/>
  <c r="R18" i="204"/>
  <c r="R26" i="204"/>
  <c r="R9" i="204"/>
  <c r="R19" i="204"/>
  <c r="R21" i="204"/>
  <c r="R33" i="204"/>
  <c r="R28" i="204"/>
  <c r="R6" i="204"/>
  <c r="R13" i="204"/>
  <c r="R23" i="204"/>
  <c r="R8" i="204"/>
  <c r="R30" i="204"/>
  <c r="R35" i="204"/>
  <c r="R5" i="204"/>
  <c r="R34" i="204"/>
  <c r="R3" i="204"/>
  <c r="R29" i="204"/>
  <c r="R31" i="204"/>
  <c r="R27" i="204"/>
  <c r="R25" i="204"/>
  <c r="S1" i="204"/>
  <c r="T5" i="202"/>
  <c r="B62" i="202"/>
  <c r="B61" i="202"/>
  <c r="B60" i="202"/>
  <c r="B58" i="202"/>
  <c r="D1" i="201"/>
  <c r="S184" i="204" l="1"/>
  <c r="S172" i="204"/>
  <c r="S187" i="204"/>
  <c r="S183" i="204"/>
  <c r="S171" i="204"/>
  <c r="S159" i="204"/>
  <c r="S176" i="204"/>
  <c r="S179" i="204"/>
  <c r="S167" i="204"/>
  <c r="S155" i="204"/>
  <c r="S174" i="204"/>
  <c r="S164" i="204"/>
  <c r="S158" i="204"/>
  <c r="S185" i="204"/>
  <c r="S175" i="204"/>
  <c r="S146" i="204"/>
  <c r="S182" i="204"/>
  <c r="S186" i="204"/>
  <c r="S181" i="204"/>
  <c r="S177" i="204"/>
  <c r="S168" i="204"/>
  <c r="S165" i="204"/>
  <c r="S151" i="204"/>
  <c r="S180" i="204"/>
  <c r="S170" i="204"/>
  <c r="S141" i="204"/>
  <c r="S173" i="204"/>
  <c r="S161" i="204"/>
  <c r="S143" i="204"/>
  <c r="S138" i="204"/>
  <c r="S160" i="204"/>
  <c r="S139" i="204"/>
  <c r="S166" i="204"/>
  <c r="S169" i="204"/>
  <c r="S149" i="204"/>
  <c r="S124" i="204"/>
  <c r="S150" i="204"/>
  <c r="S163" i="204"/>
  <c r="S148" i="204"/>
  <c r="S144" i="204"/>
  <c r="S152" i="204"/>
  <c r="S142" i="204"/>
  <c r="S178" i="204"/>
  <c r="S154" i="204"/>
  <c r="S147" i="204"/>
  <c r="S130" i="204"/>
  <c r="S153" i="204"/>
  <c r="S135" i="204"/>
  <c r="S118" i="204"/>
  <c r="S156" i="204"/>
  <c r="S162" i="204"/>
  <c r="S129" i="204"/>
  <c r="S157" i="204"/>
  <c r="S145" i="204"/>
  <c r="S121" i="204"/>
  <c r="S134" i="204"/>
  <c r="S126" i="204"/>
  <c r="S114" i="204"/>
  <c r="S102" i="204"/>
  <c r="S123" i="204"/>
  <c r="S140" i="204"/>
  <c r="S131" i="204"/>
  <c r="S128" i="204"/>
  <c r="S127" i="204"/>
  <c r="S136" i="204"/>
  <c r="S133" i="204"/>
  <c r="S132" i="204"/>
  <c r="S125" i="204"/>
  <c r="S119" i="204"/>
  <c r="S137" i="204"/>
  <c r="S115" i="204"/>
  <c r="S108" i="204"/>
  <c r="S101" i="204"/>
  <c r="S122" i="204"/>
  <c r="S116" i="204"/>
  <c r="S113" i="204"/>
  <c r="S106" i="204"/>
  <c r="S120" i="204"/>
  <c r="S117" i="204"/>
  <c r="S104" i="204"/>
  <c r="S92" i="204"/>
  <c r="S110" i="204"/>
  <c r="S103" i="204"/>
  <c r="S94" i="204"/>
  <c r="S83" i="204"/>
  <c r="S111" i="204"/>
  <c r="S109" i="204"/>
  <c r="S107" i="204"/>
  <c r="S105" i="204"/>
  <c r="S82" i="204"/>
  <c r="S95" i="204"/>
  <c r="S84" i="204"/>
  <c r="S80" i="204"/>
  <c r="S73" i="204"/>
  <c r="S61" i="204"/>
  <c r="S99" i="204"/>
  <c r="S89" i="204"/>
  <c r="S78" i="204"/>
  <c r="S66" i="204"/>
  <c r="S93" i="204"/>
  <c r="S85" i="204"/>
  <c r="S77" i="204"/>
  <c r="S69" i="204"/>
  <c r="S63" i="204"/>
  <c r="S47" i="204"/>
  <c r="S35" i="204"/>
  <c r="S15" i="204"/>
  <c r="S96" i="204"/>
  <c r="S90" i="204"/>
  <c r="S75" i="204"/>
  <c r="S74" i="204"/>
  <c r="S100" i="204"/>
  <c r="S87" i="204"/>
  <c r="S67" i="204"/>
  <c r="S55" i="204"/>
  <c r="S86" i="204"/>
  <c r="S72" i="204"/>
  <c r="S46" i="204"/>
  <c r="S91" i="204"/>
  <c r="S81" i="204"/>
  <c r="S71" i="204"/>
  <c r="S65" i="204"/>
  <c r="S51" i="204"/>
  <c r="S79" i="204"/>
  <c r="S64" i="204"/>
  <c r="S58" i="204"/>
  <c r="S56" i="204"/>
  <c r="S44" i="204"/>
  <c r="S6" i="204"/>
  <c r="S112" i="204"/>
  <c r="S97" i="204"/>
  <c r="S88" i="204"/>
  <c r="S98" i="204"/>
  <c r="S45" i="204"/>
  <c r="S7" i="204"/>
  <c r="S13" i="204"/>
  <c r="S59" i="204"/>
  <c r="S62" i="204"/>
  <c r="S53" i="204"/>
  <c r="S42" i="204"/>
  <c r="S14" i="204"/>
  <c r="S54" i="204"/>
  <c r="S43" i="204"/>
  <c r="S41" i="204"/>
  <c r="S9" i="204"/>
  <c r="S17" i="204"/>
  <c r="S60" i="204"/>
  <c r="S52" i="204"/>
  <c r="S50" i="204"/>
  <c r="S49" i="204"/>
  <c r="S5" i="204"/>
  <c r="S25" i="204"/>
  <c r="S48" i="204"/>
  <c r="S76" i="204"/>
  <c r="S38" i="204"/>
  <c r="S57" i="204"/>
  <c r="S11" i="204"/>
  <c r="S22" i="204"/>
  <c r="S70" i="204"/>
  <c r="S29" i="204"/>
  <c r="S24" i="204"/>
  <c r="S37" i="204"/>
  <c r="S4" i="204"/>
  <c r="S10" i="204"/>
  <c r="S16" i="204"/>
  <c r="S68" i="204"/>
  <c r="S31" i="204"/>
  <c r="S40" i="204"/>
  <c r="S18" i="204"/>
  <c r="S26" i="204"/>
  <c r="S36" i="204"/>
  <c r="S19" i="204"/>
  <c r="S21" i="204"/>
  <c r="S23" i="204"/>
  <c r="S39" i="204"/>
  <c r="S30" i="204"/>
  <c r="S8" i="204"/>
  <c r="S34" i="204"/>
  <c r="S20" i="204"/>
  <c r="S32" i="204"/>
  <c r="S28" i="204"/>
  <c r="S33" i="204"/>
  <c r="S3" i="204"/>
  <c r="S12" i="204"/>
  <c r="S27" i="204"/>
  <c r="T1" i="204"/>
  <c r="D73" i="201"/>
  <c r="D85" i="201"/>
  <c r="D97" i="201"/>
  <c r="D80" i="201"/>
  <c r="D92" i="201"/>
  <c r="D104" i="201"/>
  <c r="D75" i="201"/>
  <c r="D87" i="201"/>
  <c r="D99" i="201"/>
  <c r="D82" i="201"/>
  <c r="D94" i="201"/>
  <c r="D77" i="201"/>
  <c r="D89" i="201"/>
  <c r="D101" i="201"/>
  <c r="D84" i="201"/>
  <c r="D96" i="201"/>
  <c r="D79" i="201"/>
  <c r="D91" i="201"/>
  <c r="D103" i="201"/>
  <c r="D74" i="201"/>
  <c r="D76" i="201"/>
  <c r="D78" i="201"/>
  <c r="D93" i="201"/>
  <c r="D114" i="201"/>
  <c r="D126" i="201"/>
  <c r="D81" i="201"/>
  <c r="D109" i="201"/>
  <c r="D121" i="201"/>
  <c r="D116" i="201"/>
  <c r="D83" i="201"/>
  <c r="D98" i="201"/>
  <c r="D106" i="201"/>
  <c r="D118" i="201"/>
  <c r="D88" i="201"/>
  <c r="D110" i="201"/>
  <c r="D122" i="201"/>
  <c r="D117" i="201"/>
  <c r="D124" i="201"/>
  <c r="D132" i="201"/>
  <c r="D90" i="201"/>
  <c r="D105" i="201"/>
  <c r="D107" i="201"/>
  <c r="D127" i="201"/>
  <c r="D139" i="201"/>
  <c r="D111" i="201"/>
  <c r="D134" i="201"/>
  <c r="D125" i="201"/>
  <c r="D129" i="201"/>
  <c r="D141" i="201"/>
  <c r="D108" i="201"/>
  <c r="D136" i="201"/>
  <c r="D100" i="201"/>
  <c r="D115" i="201"/>
  <c r="D131" i="201"/>
  <c r="D102" i="201"/>
  <c r="D112" i="201"/>
  <c r="D138" i="201"/>
  <c r="D119" i="201"/>
  <c r="D133" i="201"/>
  <c r="D95" i="201"/>
  <c r="D123" i="201"/>
  <c r="D128" i="201"/>
  <c r="D140" i="201"/>
  <c r="D120" i="201"/>
  <c r="D130" i="201"/>
  <c r="D142" i="201"/>
  <c r="D113" i="201"/>
  <c r="D154" i="201"/>
  <c r="D166" i="201"/>
  <c r="D149" i="201"/>
  <c r="D161" i="201"/>
  <c r="D144" i="201"/>
  <c r="D156" i="201"/>
  <c r="D168" i="201"/>
  <c r="D151" i="201"/>
  <c r="D163" i="201"/>
  <c r="D146" i="201"/>
  <c r="D158" i="201"/>
  <c r="D170" i="201"/>
  <c r="D153" i="201"/>
  <c r="D165" i="201"/>
  <c r="D148" i="201"/>
  <c r="D160" i="201"/>
  <c r="D137" i="201"/>
  <c r="D143" i="201"/>
  <c r="D155" i="201"/>
  <c r="D167" i="201"/>
  <c r="D86" i="201"/>
  <c r="D135" i="201"/>
  <c r="D150" i="201"/>
  <c r="D162" i="201"/>
  <c r="D145" i="201"/>
  <c r="D157" i="201"/>
  <c r="D175" i="201"/>
  <c r="D39" i="201"/>
  <c r="D51" i="201"/>
  <c r="D147" i="201"/>
  <c r="D46" i="201"/>
  <c r="D152" i="201"/>
  <c r="D177" i="201"/>
  <c r="D41" i="201"/>
  <c r="D159" i="201"/>
  <c r="D172" i="201"/>
  <c r="D36" i="201"/>
  <c r="D48" i="201"/>
  <c r="D164" i="201"/>
  <c r="D179" i="201"/>
  <c r="D43" i="201"/>
  <c r="D174" i="201"/>
  <c r="D72" i="201"/>
  <c r="D38" i="201"/>
  <c r="D50" i="201"/>
  <c r="D45" i="201"/>
  <c r="D176" i="201"/>
  <c r="D40" i="201"/>
  <c r="D169" i="201"/>
  <c r="D171" i="201"/>
  <c r="D47" i="201"/>
  <c r="D178" i="201"/>
  <c r="D42" i="201"/>
  <c r="D49" i="201"/>
  <c r="D55" i="201"/>
  <c r="D67" i="201"/>
  <c r="D12" i="201"/>
  <c r="D62" i="201"/>
  <c r="D7" i="201"/>
  <c r="D57" i="201"/>
  <c r="D69" i="201"/>
  <c r="D52" i="201"/>
  <c r="D64" i="201"/>
  <c r="D35" i="201"/>
  <c r="D9" i="201"/>
  <c r="D59" i="201"/>
  <c r="D4" i="201"/>
  <c r="D54" i="201"/>
  <c r="D66" i="201"/>
  <c r="D11" i="201"/>
  <c r="D173" i="201"/>
  <c r="D61" i="201"/>
  <c r="D6" i="201"/>
  <c r="D56" i="201"/>
  <c r="D68" i="201"/>
  <c r="D63" i="201"/>
  <c r="D8" i="201"/>
  <c r="D37" i="201"/>
  <c r="D53" i="201"/>
  <c r="D65" i="201"/>
  <c r="D10" i="201"/>
  <c r="D58" i="201"/>
  <c r="D21" i="201"/>
  <c r="D5" i="201"/>
  <c r="D16" i="201"/>
  <c r="D28" i="201"/>
  <c r="D24" i="201"/>
  <c r="D23" i="201"/>
  <c r="D18" i="201"/>
  <c r="D30" i="201"/>
  <c r="D13" i="201"/>
  <c r="D25" i="201"/>
  <c r="D3" i="201"/>
  <c r="D20" i="201"/>
  <c r="D15" i="201"/>
  <c r="D27" i="201"/>
  <c r="D22" i="201"/>
  <c r="D44" i="201"/>
  <c r="D17" i="201"/>
  <c r="D29" i="201"/>
  <c r="D19" i="201"/>
  <c r="D60" i="201"/>
  <c r="D14" i="201"/>
  <c r="D26" i="201"/>
  <c r="B59" i="202"/>
  <c r="B63" i="202" s="1"/>
  <c r="D31" i="201"/>
  <c r="D32" i="201"/>
  <c r="D180" i="201"/>
  <c r="D181" i="201"/>
  <c r="D182" i="201"/>
  <c r="D71" i="201"/>
  <c r="D70" i="201"/>
  <c r="D34" i="201"/>
  <c r="D33" i="201"/>
  <c r="E1" i="201"/>
  <c r="T177" i="204" l="1"/>
  <c r="T187" i="204"/>
  <c r="T176" i="204"/>
  <c r="T164" i="204"/>
  <c r="T181" i="204"/>
  <c r="T186" i="204"/>
  <c r="T184" i="204"/>
  <c r="T172" i="204"/>
  <c r="T160" i="204"/>
  <c r="T182" i="204"/>
  <c r="T178" i="204"/>
  <c r="T162" i="204"/>
  <c r="T151" i="204"/>
  <c r="T175" i="204"/>
  <c r="T185" i="204"/>
  <c r="T174" i="204"/>
  <c r="T168" i="204"/>
  <c r="T165" i="204"/>
  <c r="T180" i="204"/>
  <c r="T170" i="204"/>
  <c r="T173" i="204"/>
  <c r="T161" i="204"/>
  <c r="T183" i="204"/>
  <c r="T166" i="204"/>
  <c r="T150" i="204"/>
  <c r="T139" i="204"/>
  <c r="T152" i="204"/>
  <c r="T142" i="204"/>
  <c r="T131" i="204"/>
  <c r="T163" i="204"/>
  <c r="T171" i="204"/>
  <c r="T137" i="204"/>
  <c r="T169" i="204"/>
  <c r="T146" i="204"/>
  <c r="T145" i="204"/>
  <c r="T179" i="204"/>
  <c r="T156" i="204"/>
  <c r="T154" i="204"/>
  <c r="T149" i="204"/>
  <c r="T148" i="204"/>
  <c r="T147" i="204"/>
  <c r="T158" i="204"/>
  <c r="T136" i="204"/>
  <c r="T128" i="204"/>
  <c r="T117" i="204"/>
  <c r="T144" i="204"/>
  <c r="T133" i="204"/>
  <c r="T153" i="204"/>
  <c r="T127" i="204"/>
  <c r="T125" i="204"/>
  <c r="T155" i="204"/>
  <c r="T159" i="204"/>
  <c r="T140" i="204"/>
  <c r="T132" i="204"/>
  <c r="T123" i="204"/>
  <c r="T157" i="204"/>
  <c r="T143" i="204"/>
  <c r="T121" i="204"/>
  <c r="T134" i="204"/>
  <c r="T126" i="204"/>
  <c r="T114" i="204"/>
  <c r="T167" i="204"/>
  <c r="T119" i="204"/>
  <c r="T107" i="204"/>
  <c r="T130" i="204"/>
  <c r="T129" i="204"/>
  <c r="T135" i="204"/>
  <c r="T124" i="204"/>
  <c r="T122" i="204"/>
  <c r="T116" i="204"/>
  <c r="T113" i="204"/>
  <c r="T106" i="204"/>
  <c r="T141" i="204"/>
  <c r="T138" i="204"/>
  <c r="T120" i="204"/>
  <c r="T111" i="204"/>
  <c r="T99" i="204"/>
  <c r="T109" i="204"/>
  <c r="T97" i="204"/>
  <c r="T85" i="204"/>
  <c r="T108" i="204"/>
  <c r="T100" i="204"/>
  <c r="T91" i="204"/>
  <c r="T81" i="204"/>
  <c r="T115" i="204"/>
  <c r="T104" i="204"/>
  <c r="T105" i="204"/>
  <c r="T101" i="204"/>
  <c r="T98" i="204"/>
  <c r="T96" i="204"/>
  <c r="T87" i="204"/>
  <c r="T102" i="204"/>
  <c r="T92" i="204"/>
  <c r="T89" i="204"/>
  <c r="T78" i="204"/>
  <c r="T66" i="204"/>
  <c r="T112" i="204"/>
  <c r="T86" i="204"/>
  <c r="T71" i="204"/>
  <c r="T59" i="204"/>
  <c r="T103" i="204"/>
  <c r="T62" i="204"/>
  <c r="T52" i="204"/>
  <c r="T40" i="204"/>
  <c r="T8" i="204"/>
  <c r="T110" i="204"/>
  <c r="T90" i="204"/>
  <c r="T74" i="204"/>
  <c r="T68" i="204"/>
  <c r="T118" i="204"/>
  <c r="T95" i="204"/>
  <c r="T82" i="204"/>
  <c r="T80" i="204"/>
  <c r="T60" i="204"/>
  <c r="T84" i="204"/>
  <c r="T73" i="204"/>
  <c r="T94" i="204"/>
  <c r="T72" i="204"/>
  <c r="T65" i="204"/>
  <c r="T51" i="204"/>
  <c r="T83" i="204"/>
  <c r="T79" i="204"/>
  <c r="T64" i="204"/>
  <c r="T58" i="204"/>
  <c r="T56" i="204"/>
  <c r="T44" i="204"/>
  <c r="T88" i="204"/>
  <c r="T49" i="204"/>
  <c r="T37" i="204"/>
  <c r="T76" i="204"/>
  <c r="T70" i="204"/>
  <c r="T61" i="204"/>
  <c r="T75" i="204"/>
  <c r="T69" i="204"/>
  <c r="T36" i="204"/>
  <c r="T50" i="204"/>
  <c r="T46" i="204"/>
  <c r="T35" i="204"/>
  <c r="T11" i="204"/>
  <c r="T77" i="204"/>
  <c r="T67" i="204"/>
  <c r="T93" i="204"/>
  <c r="T47" i="204"/>
  <c r="T55" i="204"/>
  <c r="T53" i="204"/>
  <c r="T48" i="204"/>
  <c r="T45" i="204"/>
  <c r="T43" i="204"/>
  <c r="T12" i="204"/>
  <c r="T30" i="204"/>
  <c r="T42" i="204"/>
  <c r="T38" i="204"/>
  <c r="T5" i="204"/>
  <c r="T57" i="204"/>
  <c r="T20" i="204"/>
  <c r="T27" i="204"/>
  <c r="T41" i="204"/>
  <c r="T7" i="204"/>
  <c r="T22" i="204"/>
  <c r="T34" i="204"/>
  <c r="T15" i="204"/>
  <c r="T17" i="204"/>
  <c r="T4" i="204"/>
  <c r="T10" i="204"/>
  <c r="T16" i="204"/>
  <c r="T24" i="204"/>
  <c r="T14" i="204"/>
  <c r="T31" i="204"/>
  <c r="T26" i="204"/>
  <c r="T9" i="204"/>
  <c r="T18" i="204"/>
  <c r="T63" i="204"/>
  <c r="T6" i="204"/>
  <c r="T19" i="204"/>
  <c r="T21" i="204"/>
  <c r="T39" i="204"/>
  <c r="T13" i="204"/>
  <c r="T28" i="204"/>
  <c r="T3" i="204"/>
  <c r="T54" i="204"/>
  <c r="T32" i="204"/>
  <c r="T23" i="204"/>
  <c r="T29" i="204"/>
  <c r="T33" i="204"/>
  <c r="T25" i="204"/>
  <c r="U1" i="204"/>
  <c r="E78" i="201"/>
  <c r="E90" i="201"/>
  <c r="E102" i="201"/>
  <c r="E73" i="201"/>
  <c r="E85" i="201"/>
  <c r="E97" i="201"/>
  <c r="E80" i="201"/>
  <c r="E92" i="201"/>
  <c r="E104" i="201"/>
  <c r="E75" i="201"/>
  <c r="E87" i="201"/>
  <c r="E99" i="201"/>
  <c r="E82" i="201"/>
  <c r="E94" i="201"/>
  <c r="E77" i="201"/>
  <c r="E89" i="201"/>
  <c r="E101" i="201"/>
  <c r="E84" i="201"/>
  <c r="E96" i="201"/>
  <c r="E105" i="201"/>
  <c r="E107" i="201"/>
  <c r="E119" i="201"/>
  <c r="E93" i="201"/>
  <c r="E114" i="201"/>
  <c r="E126" i="201"/>
  <c r="E81" i="201"/>
  <c r="E109" i="201"/>
  <c r="E121" i="201"/>
  <c r="E74" i="201"/>
  <c r="E95" i="201"/>
  <c r="E111" i="201"/>
  <c r="E123" i="201"/>
  <c r="E100" i="201"/>
  <c r="E115" i="201"/>
  <c r="E88" i="201"/>
  <c r="E103" i="201"/>
  <c r="E110" i="201"/>
  <c r="E122" i="201"/>
  <c r="E117" i="201"/>
  <c r="E137" i="201"/>
  <c r="E124" i="201"/>
  <c r="E132" i="201"/>
  <c r="E127" i="201"/>
  <c r="E139" i="201"/>
  <c r="E83" i="201"/>
  <c r="E98" i="201"/>
  <c r="E118" i="201"/>
  <c r="E134" i="201"/>
  <c r="E76" i="201"/>
  <c r="E79" i="201"/>
  <c r="E125" i="201"/>
  <c r="E129" i="201"/>
  <c r="E141" i="201"/>
  <c r="E108" i="201"/>
  <c r="E136" i="201"/>
  <c r="E91" i="201"/>
  <c r="E131" i="201"/>
  <c r="E112" i="201"/>
  <c r="E138" i="201"/>
  <c r="E116" i="201"/>
  <c r="E133" i="201"/>
  <c r="E86" i="201"/>
  <c r="E113" i="201"/>
  <c r="E135" i="201"/>
  <c r="E147" i="201"/>
  <c r="E159" i="201"/>
  <c r="E154" i="201"/>
  <c r="E166" i="201"/>
  <c r="E149" i="201"/>
  <c r="E161" i="201"/>
  <c r="E144" i="201"/>
  <c r="E156" i="201"/>
  <c r="E168" i="201"/>
  <c r="E151" i="201"/>
  <c r="E163" i="201"/>
  <c r="E146" i="201"/>
  <c r="E158" i="201"/>
  <c r="E170" i="201"/>
  <c r="E106" i="201"/>
  <c r="E153" i="201"/>
  <c r="E165" i="201"/>
  <c r="E120" i="201"/>
  <c r="E130" i="201"/>
  <c r="E148" i="201"/>
  <c r="E160" i="201"/>
  <c r="E128" i="201"/>
  <c r="E143" i="201"/>
  <c r="E155" i="201"/>
  <c r="E167" i="201"/>
  <c r="E142" i="201"/>
  <c r="E150" i="201"/>
  <c r="E162" i="201"/>
  <c r="E140" i="201"/>
  <c r="E44" i="201"/>
  <c r="E175" i="201"/>
  <c r="E39" i="201"/>
  <c r="E51" i="201"/>
  <c r="E145" i="201"/>
  <c r="E46" i="201"/>
  <c r="E152" i="201"/>
  <c r="E177" i="201"/>
  <c r="E41" i="201"/>
  <c r="E157" i="201"/>
  <c r="E172" i="201"/>
  <c r="E72" i="201"/>
  <c r="E36" i="201"/>
  <c r="E48" i="201"/>
  <c r="E164" i="201"/>
  <c r="E179" i="201"/>
  <c r="E43" i="201"/>
  <c r="E174" i="201"/>
  <c r="E38" i="201"/>
  <c r="E50" i="201"/>
  <c r="E45" i="201"/>
  <c r="E176" i="201"/>
  <c r="E40" i="201"/>
  <c r="E169" i="201"/>
  <c r="E171" i="201"/>
  <c r="E47" i="201"/>
  <c r="E42" i="201"/>
  <c r="E60" i="201"/>
  <c r="E5" i="201"/>
  <c r="E49" i="201"/>
  <c r="E55" i="201"/>
  <c r="E67" i="201"/>
  <c r="E12" i="201"/>
  <c r="E62" i="201"/>
  <c r="E35" i="201"/>
  <c r="E7" i="201"/>
  <c r="E57" i="201"/>
  <c r="E69" i="201"/>
  <c r="E52" i="201"/>
  <c r="E64" i="201"/>
  <c r="E9" i="201"/>
  <c r="E59" i="201"/>
  <c r="E4" i="201"/>
  <c r="E54" i="201"/>
  <c r="E66" i="201"/>
  <c r="E11" i="201"/>
  <c r="E173" i="201"/>
  <c r="E61" i="201"/>
  <c r="E6" i="201"/>
  <c r="E178" i="201"/>
  <c r="E56" i="201"/>
  <c r="E68" i="201"/>
  <c r="E58" i="201"/>
  <c r="E14" i="201"/>
  <c r="E26" i="201"/>
  <c r="E65" i="201"/>
  <c r="E21" i="201"/>
  <c r="E63" i="201"/>
  <c r="E16" i="201"/>
  <c r="E28" i="201"/>
  <c r="E17" i="201"/>
  <c r="E29" i="201"/>
  <c r="E37" i="201"/>
  <c r="E10" i="201"/>
  <c r="E23" i="201"/>
  <c r="E8" i="201"/>
  <c r="E18" i="201"/>
  <c r="E30" i="201"/>
  <c r="E13" i="201"/>
  <c r="E25" i="201"/>
  <c r="E20" i="201"/>
  <c r="E15" i="201"/>
  <c r="E27" i="201"/>
  <c r="E22" i="201"/>
  <c r="E24" i="201"/>
  <c r="E3" i="201"/>
  <c r="E53" i="201"/>
  <c r="E19" i="201"/>
  <c r="E181" i="201"/>
  <c r="E182" i="201"/>
  <c r="E180" i="201"/>
  <c r="E71" i="201"/>
  <c r="E70" i="201"/>
  <c r="F1" i="201"/>
  <c r="E34" i="201"/>
  <c r="E33" i="201"/>
  <c r="E32" i="201"/>
  <c r="E31" i="201"/>
  <c r="U182" i="204" l="1"/>
  <c r="U170" i="204"/>
  <c r="U187" i="204"/>
  <c r="U181" i="204"/>
  <c r="U169" i="204"/>
  <c r="U186" i="204"/>
  <c r="U174" i="204"/>
  <c r="U177" i="204"/>
  <c r="U165" i="204"/>
  <c r="U178" i="204"/>
  <c r="U163" i="204"/>
  <c r="U155" i="204"/>
  <c r="U153" i="204"/>
  <c r="U185" i="204"/>
  <c r="U175" i="204"/>
  <c r="U171" i="204"/>
  <c r="U179" i="204"/>
  <c r="U157" i="204"/>
  <c r="U184" i="204"/>
  <c r="U168" i="204"/>
  <c r="U180" i="204"/>
  <c r="U173" i="204"/>
  <c r="U161" i="204"/>
  <c r="U183" i="204"/>
  <c r="U166" i="204"/>
  <c r="U150" i="204"/>
  <c r="U139" i="204"/>
  <c r="U176" i="204"/>
  <c r="U149" i="204"/>
  <c r="U144" i="204"/>
  <c r="U160" i="204"/>
  <c r="U136" i="204"/>
  <c r="U146" i="204"/>
  <c r="U145" i="204"/>
  <c r="U156" i="204"/>
  <c r="U154" i="204"/>
  <c r="U151" i="204"/>
  <c r="U148" i="204"/>
  <c r="U147" i="204"/>
  <c r="U158" i="204"/>
  <c r="U172" i="204"/>
  <c r="U167" i="204"/>
  <c r="U143" i="204"/>
  <c r="U138" i="204"/>
  <c r="U122" i="204"/>
  <c r="U152" i="204"/>
  <c r="U142" i="204"/>
  <c r="U130" i="204"/>
  <c r="U135" i="204"/>
  <c r="U159" i="204"/>
  <c r="U129" i="204"/>
  <c r="U116" i="204"/>
  <c r="U162" i="204"/>
  <c r="U134" i="204"/>
  <c r="U126" i="204"/>
  <c r="U164" i="204"/>
  <c r="U119" i="204"/>
  <c r="U141" i="204"/>
  <c r="U137" i="204"/>
  <c r="U131" i="204"/>
  <c r="U124" i="204"/>
  <c r="U112" i="204"/>
  <c r="U100" i="204"/>
  <c r="U123" i="204"/>
  <c r="U140" i="204"/>
  <c r="U128" i="204"/>
  <c r="U127" i="204"/>
  <c r="U133" i="204"/>
  <c r="U132" i="204"/>
  <c r="U125" i="204"/>
  <c r="U113" i="204"/>
  <c r="U106" i="204"/>
  <c r="U120" i="204"/>
  <c r="U111" i="204"/>
  <c r="U99" i="204"/>
  <c r="U104" i="204"/>
  <c r="U102" i="204"/>
  <c r="U90" i="204"/>
  <c r="U115" i="204"/>
  <c r="U88" i="204"/>
  <c r="U121" i="204"/>
  <c r="U114" i="204"/>
  <c r="U109" i="204"/>
  <c r="U107" i="204"/>
  <c r="U105" i="204"/>
  <c r="U95" i="204"/>
  <c r="U84" i="204"/>
  <c r="U80" i="204"/>
  <c r="U89" i="204"/>
  <c r="U78" i="204"/>
  <c r="U86" i="204"/>
  <c r="U71" i="204"/>
  <c r="U59" i="204"/>
  <c r="U118" i="204"/>
  <c r="U117" i="204"/>
  <c r="U110" i="204"/>
  <c r="U103" i="204"/>
  <c r="U94" i="204"/>
  <c r="U83" i="204"/>
  <c r="U76" i="204"/>
  <c r="U64" i="204"/>
  <c r="U96" i="204"/>
  <c r="U75" i="204"/>
  <c r="U57" i="204"/>
  <c r="U45" i="204"/>
  <c r="U13" i="204"/>
  <c r="U82" i="204"/>
  <c r="U67" i="204"/>
  <c r="U87" i="204"/>
  <c r="U108" i="204"/>
  <c r="U92" i="204"/>
  <c r="U73" i="204"/>
  <c r="U72" i="204"/>
  <c r="U66" i="204"/>
  <c r="U91" i="204"/>
  <c r="U81" i="204"/>
  <c r="U79" i="204"/>
  <c r="U58" i="204"/>
  <c r="U56" i="204"/>
  <c r="U44" i="204"/>
  <c r="U49" i="204"/>
  <c r="U97" i="204"/>
  <c r="U70" i="204"/>
  <c r="U54" i="204"/>
  <c r="U42" i="204"/>
  <c r="U4" i="204"/>
  <c r="U101" i="204"/>
  <c r="U98" i="204"/>
  <c r="U93" i="204"/>
  <c r="U77" i="204"/>
  <c r="U69" i="204"/>
  <c r="U68" i="204"/>
  <c r="U51" i="204"/>
  <c r="U39" i="204"/>
  <c r="U63" i="204"/>
  <c r="U37" i="204"/>
  <c r="U6" i="204"/>
  <c r="U10" i="204"/>
  <c r="U74" i="204"/>
  <c r="U65" i="204"/>
  <c r="U53" i="204"/>
  <c r="U43" i="204"/>
  <c r="U41" i="204"/>
  <c r="U85" i="204"/>
  <c r="U40" i="204"/>
  <c r="U14" i="204"/>
  <c r="U46" i="204"/>
  <c r="U38" i="204"/>
  <c r="U8" i="204"/>
  <c r="U23" i="204"/>
  <c r="U12" i="204"/>
  <c r="U61" i="204"/>
  <c r="U5" i="204"/>
  <c r="U20" i="204"/>
  <c r="U11" i="204"/>
  <c r="U27" i="204"/>
  <c r="U62" i="204"/>
  <c r="U7" i="204"/>
  <c r="U22" i="204"/>
  <c r="U15" i="204"/>
  <c r="U17" i="204"/>
  <c r="U29" i="204"/>
  <c r="U36" i="204"/>
  <c r="U16" i="204"/>
  <c r="U24" i="204"/>
  <c r="U9" i="204"/>
  <c r="U18" i="204"/>
  <c r="U35" i="204"/>
  <c r="U19" i="204"/>
  <c r="U21" i="204"/>
  <c r="U33" i="204"/>
  <c r="U60" i="204"/>
  <c r="U55" i="204"/>
  <c r="U52" i="204"/>
  <c r="U50" i="204"/>
  <c r="U48" i="204"/>
  <c r="U47" i="204"/>
  <c r="U26" i="204"/>
  <c r="U30" i="204"/>
  <c r="U34" i="204"/>
  <c r="U32" i="204"/>
  <c r="U28" i="204"/>
  <c r="U31" i="204"/>
  <c r="U3" i="204"/>
  <c r="U25" i="204"/>
  <c r="V1" i="204"/>
  <c r="F83" i="201"/>
  <c r="F95" i="201"/>
  <c r="F78" i="201"/>
  <c r="F90" i="201"/>
  <c r="F102" i="201"/>
  <c r="F73" i="201"/>
  <c r="F85" i="201"/>
  <c r="F97" i="201"/>
  <c r="F80" i="201"/>
  <c r="F92" i="201"/>
  <c r="F104" i="201"/>
  <c r="F75" i="201"/>
  <c r="F87" i="201"/>
  <c r="F99" i="201"/>
  <c r="F82" i="201"/>
  <c r="F94" i="201"/>
  <c r="F77" i="201"/>
  <c r="F89" i="201"/>
  <c r="F101" i="201"/>
  <c r="F74" i="201"/>
  <c r="F79" i="201"/>
  <c r="F112" i="201"/>
  <c r="F124" i="201"/>
  <c r="F105" i="201"/>
  <c r="F107" i="201"/>
  <c r="F119" i="201"/>
  <c r="F93" i="201"/>
  <c r="F114" i="201"/>
  <c r="F81" i="201"/>
  <c r="F84" i="201"/>
  <c r="F116" i="201"/>
  <c r="F76" i="201"/>
  <c r="F108" i="201"/>
  <c r="F120" i="201"/>
  <c r="F100" i="201"/>
  <c r="F115" i="201"/>
  <c r="F88" i="201"/>
  <c r="F103" i="201"/>
  <c r="F110" i="201"/>
  <c r="F130" i="201"/>
  <c r="F142" i="201"/>
  <c r="F117" i="201"/>
  <c r="F137" i="201"/>
  <c r="F96" i="201"/>
  <c r="F121" i="201"/>
  <c r="F132" i="201"/>
  <c r="F111" i="201"/>
  <c r="F127" i="201"/>
  <c r="F139" i="201"/>
  <c r="F98" i="201"/>
  <c r="F118" i="201"/>
  <c r="F134" i="201"/>
  <c r="F125" i="201"/>
  <c r="F129" i="201"/>
  <c r="F141" i="201"/>
  <c r="F122" i="201"/>
  <c r="F136" i="201"/>
  <c r="F91" i="201"/>
  <c r="F131" i="201"/>
  <c r="F109" i="201"/>
  <c r="F126" i="201"/>
  <c r="F138" i="201"/>
  <c r="F106" i="201"/>
  <c r="F128" i="201"/>
  <c r="F140" i="201"/>
  <c r="F152" i="201"/>
  <c r="F164" i="201"/>
  <c r="F113" i="201"/>
  <c r="F147" i="201"/>
  <c r="F159" i="201"/>
  <c r="F123" i="201"/>
  <c r="F154" i="201"/>
  <c r="F166" i="201"/>
  <c r="F149" i="201"/>
  <c r="F161" i="201"/>
  <c r="F144" i="201"/>
  <c r="F156" i="201"/>
  <c r="F168" i="201"/>
  <c r="F151" i="201"/>
  <c r="F163" i="201"/>
  <c r="F146" i="201"/>
  <c r="F158" i="201"/>
  <c r="F170" i="201"/>
  <c r="F153" i="201"/>
  <c r="F165" i="201"/>
  <c r="F148" i="201"/>
  <c r="F160" i="201"/>
  <c r="F86" i="201"/>
  <c r="F135" i="201"/>
  <c r="F143" i="201"/>
  <c r="F155" i="201"/>
  <c r="F167" i="201"/>
  <c r="F173" i="201"/>
  <c r="F37" i="201"/>
  <c r="F49" i="201"/>
  <c r="F44" i="201"/>
  <c r="F175" i="201"/>
  <c r="F39" i="201"/>
  <c r="F51" i="201"/>
  <c r="F145" i="201"/>
  <c r="F72" i="201"/>
  <c r="F46" i="201"/>
  <c r="F150" i="201"/>
  <c r="F177" i="201"/>
  <c r="F41" i="201"/>
  <c r="F157" i="201"/>
  <c r="F172" i="201"/>
  <c r="F36" i="201"/>
  <c r="F48" i="201"/>
  <c r="F133" i="201"/>
  <c r="F162" i="201"/>
  <c r="F179" i="201"/>
  <c r="F43" i="201"/>
  <c r="F174" i="201"/>
  <c r="F38" i="201"/>
  <c r="F50" i="201"/>
  <c r="F45" i="201"/>
  <c r="F176" i="201"/>
  <c r="F40" i="201"/>
  <c r="F53" i="201"/>
  <c r="F65" i="201"/>
  <c r="F10" i="201"/>
  <c r="F42" i="201"/>
  <c r="F60" i="201"/>
  <c r="F35" i="201"/>
  <c r="F5" i="201"/>
  <c r="F169" i="201"/>
  <c r="F47" i="201"/>
  <c r="F55" i="201"/>
  <c r="F67" i="201"/>
  <c r="F12" i="201"/>
  <c r="F62" i="201"/>
  <c r="F7" i="201"/>
  <c r="F57" i="201"/>
  <c r="F69" i="201"/>
  <c r="F52" i="201"/>
  <c r="F64" i="201"/>
  <c r="F9" i="201"/>
  <c r="F59" i="201"/>
  <c r="F4" i="201"/>
  <c r="F54" i="201"/>
  <c r="F66" i="201"/>
  <c r="F11" i="201"/>
  <c r="F171" i="201"/>
  <c r="F61" i="201"/>
  <c r="F6" i="201"/>
  <c r="F63" i="201"/>
  <c r="F8" i="201"/>
  <c r="F19" i="201"/>
  <c r="F30" i="201"/>
  <c r="F58" i="201"/>
  <c r="F14" i="201"/>
  <c r="F26" i="201"/>
  <c r="F56" i="201"/>
  <c r="F21" i="201"/>
  <c r="F16" i="201"/>
  <c r="F28" i="201"/>
  <c r="F68" i="201"/>
  <c r="F23" i="201"/>
  <c r="F18" i="201"/>
  <c r="F13" i="201"/>
  <c r="F25" i="201"/>
  <c r="F20" i="201"/>
  <c r="F22" i="201"/>
  <c r="F15" i="201"/>
  <c r="F27" i="201"/>
  <c r="F178" i="201"/>
  <c r="F17" i="201"/>
  <c r="F29" i="201"/>
  <c r="F24" i="201"/>
  <c r="F3" i="201"/>
  <c r="F182" i="201"/>
  <c r="F180" i="201"/>
  <c r="F181" i="201"/>
  <c r="F71" i="201"/>
  <c r="F70" i="201"/>
  <c r="F34" i="201"/>
  <c r="F33" i="201"/>
  <c r="F32" i="201"/>
  <c r="F31" i="201"/>
  <c r="G1" i="201"/>
  <c r="V187" i="204" l="1"/>
  <c r="V175" i="204"/>
  <c r="V186" i="204"/>
  <c r="V174" i="204"/>
  <c r="V162" i="204"/>
  <c r="V179" i="204"/>
  <c r="V182" i="204"/>
  <c r="V170" i="204"/>
  <c r="V158" i="204"/>
  <c r="V185" i="204"/>
  <c r="V171" i="204"/>
  <c r="V172" i="204"/>
  <c r="V161" i="204"/>
  <c r="V149" i="204"/>
  <c r="V169" i="204"/>
  <c r="V167" i="204"/>
  <c r="V178" i="204"/>
  <c r="V184" i="204"/>
  <c r="V181" i="204"/>
  <c r="V180" i="204"/>
  <c r="V177" i="204"/>
  <c r="V165" i="204"/>
  <c r="V173" i="204"/>
  <c r="V183" i="204"/>
  <c r="V166" i="204"/>
  <c r="V150" i="204"/>
  <c r="V176" i="204"/>
  <c r="V144" i="204"/>
  <c r="V146" i="204"/>
  <c r="V163" i="204"/>
  <c r="V129" i="204"/>
  <c r="V164" i="204"/>
  <c r="V156" i="204"/>
  <c r="V154" i="204"/>
  <c r="V151" i="204"/>
  <c r="V148" i="204"/>
  <c r="V147" i="204"/>
  <c r="V152" i="204"/>
  <c r="V142" i="204"/>
  <c r="V133" i="204"/>
  <c r="V115" i="204"/>
  <c r="V127" i="204"/>
  <c r="V125" i="204"/>
  <c r="V153" i="204"/>
  <c r="V159" i="204"/>
  <c r="V155" i="204"/>
  <c r="V140" i="204"/>
  <c r="V132" i="204"/>
  <c r="V121" i="204"/>
  <c r="V168" i="204"/>
  <c r="V157" i="204"/>
  <c r="V145" i="204"/>
  <c r="V160" i="204"/>
  <c r="V141" i="204"/>
  <c r="V137" i="204"/>
  <c r="V131" i="204"/>
  <c r="V124" i="204"/>
  <c r="V138" i="204"/>
  <c r="V128" i="204"/>
  <c r="V117" i="204"/>
  <c r="V118" i="204"/>
  <c r="V105" i="204"/>
  <c r="V123" i="204"/>
  <c r="V130" i="204"/>
  <c r="V126" i="204"/>
  <c r="V136" i="204"/>
  <c r="V135" i="204"/>
  <c r="V134" i="204"/>
  <c r="V122" i="204"/>
  <c r="V120" i="204"/>
  <c r="V116" i="204"/>
  <c r="V111" i="204"/>
  <c r="V104" i="204"/>
  <c r="V109" i="204"/>
  <c r="V143" i="204"/>
  <c r="V107" i="204"/>
  <c r="V95" i="204"/>
  <c r="V83" i="204"/>
  <c r="V79" i="204"/>
  <c r="V119" i="204"/>
  <c r="V114" i="204"/>
  <c r="V139" i="204"/>
  <c r="V101" i="204"/>
  <c r="V97" i="204"/>
  <c r="V113" i="204"/>
  <c r="V102" i="204"/>
  <c r="V92" i="204"/>
  <c r="V86" i="204"/>
  <c r="V112" i="204"/>
  <c r="V110" i="204"/>
  <c r="V103" i="204"/>
  <c r="V99" i="204"/>
  <c r="V94" i="204"/>
  <c r="V76" i="204"/>
  <c r="V64" i="204"/>
  <c r="V108" i="204"/>
  <c r="V91" i="204"/>
  <c r="V81" i="204"/>
  <c r="V69" i="204"/>
  <c r="V90" i="204"/>
  <c r="V74" i="204"/>
  <c r="V68" i="204"/>
  <c r="V50" i="204"/>
  <c r="V38" i="204"/>
  <c r="V6" i="204"/>
  <c r="V82" i="204"/>
  <c r="V87" i="204"/>
  <c r="V80" i="204"/>
  <c r="V78" i="204"/>
  <c r="V100" i="204"/>
  <c r="V73" i="204"/>
  <c r="V84" i="204"/>
  <c r="V72" i="204"/>
  <c r="V66" i="204"/>
  <c r="V89" i="204"/>
  <c r="V65" i="204"/>
  <c r="V106" i="204"/>
  <c r="V71" i="204"/>
  <c r="V49" i="204"/>
  <c r="V88" i="204"/>
  <c r="V70" i="204"/>
  <c r="V54" i="204"/>
  <c r="V98" i="204"/>
  <c r="V93" i="204"/>
  <c r="V77" i="204"/>
  <c r="V63" i="204"/>
  <c r="V47" i="204"/>
  <c r="V35" i="204"/>
  <c r="V85" i="204"/>
  <c r="V57" i="204"/>
  <c r="V55" i="204"/>
  <c r="V48" i="204"/>
  <c r="V44" i="204"/>
  <c r="V75" i="204"/>
  <c r="V36" i="204"/>
  <c r="V96" i="204"/>
  <c r="V62" i="204"/>
  <c r="V46" i="204"/>
  <c r="V42" i="204"/>
  <c r="V67" i="204"/>
  <c r="V58" i="204"/>
  <c r="V8" i="204"/>
  <c r="V16" i="204"/>
  <c r="V18" i="204"/>
  <c r="V61" i="204"/>
  <c r="V11" i="204"/>
  <c r="V28" i="204"/>
  <c r="V3" i="204"/>
  <c r="V56" i="204"/>
  <c r="V12" i="204"/>
  <c r="V41" i="204"/>
  <c r="V5" i="204"/>
  <c r="V25" i="204"/>
  <c r="V37" i="204"/>
  <c r="V20" i="204"/>
  <c r="V32" i="204"/>
  <c r="V27" i="204"/>
  <c r="V40" i="204"/>
  <c r="V7" i="204"/>
  <c r="V22" i="204"/>
  <c r="V34" i="204"/>
  <c r="V4" i="204"/>
  <c r="V10" i="204"/>
  <c r="V15" i="204"/>
  <c r="V17" i="204"/>
  <c r="V29" i="204"/>
  <c r="V14" i="204"/>
  <c r="V24" i="204"/>
  <c r="V59" i="204"/>
  <c r="V39" i="204"/>
  <c r="V60" i="204"/>
  <c r="V52" i="204"/>
  <c r="V9" i="204"/>
  <c r="V26" i="204"/>
  <c r="V53" i="204"/>
  <c r="V51" i="204"/>
  <c r="V45" i="204"/>
  <c r="V43" i="204"/>
  <c r="V13" i="204"/>
  <c r="V19" i="204"/>
  <c r="V30" i="204"/>
  <c r="V23" i="204"/>
  <c r="V31" i="204"/>
  <c r="V33" i="204"/>
  <c r="V21" i="204"/>
  <c r="W1" i="204"/>
  <c r="G76" i="201"/>
  <c r="G88" i="201"/>
  <c r="G100" i="201"/>
  <c r="G83" i="201"/>
  <c r="G95" i="201"/>
  <c r="G78" i="201"/>
  <c r="G90" i="201"/>
  <c r="G102" i="201"/>
  <c r="G73" i="201"/>
  <c r="G85" i="201"/>
  <c r="G97" i="201"/>
  <c r="G80" i="201"/>
  <c r="G92" i="201"/>
  <c r="G104" i="201"/>
  <c r="G75" i="201"/>
  <c r="G87" i="201"/>
  <c r="G99" i="201"/>
  <c r="G82" i="201"/>
  <c r="G94" i="201"/>
  <c r="G77" i="201"/>
  <c r="G91" i="201"/>
  <c r="G117" i="201"/>
  <c r="G79" i="201"/>
  <c r="G112" i="201"/>
  <c r="G124" i="201"/>
  <c r="G105" i="201"/>
  <c r="G107" i="201"/>
  <c r="G119" i="201"/>
  <c r="G74" i="201"/>
  <c r="G81" i="201"/>
  <c r="G96" i="201"/>
  <c r="G109" i="201"/>
  <c r="G121" i="201"/>
  <c r="G86" i="201"/>
  <c r="G101" i="201"/>
  <c r="G113" i="201"/>
  <c r="G125" i="201"/>
  <c r="G89" i="201"/>
  <c r="G108" i="201"/>
  <c r="G120" i="201"/>
  <c r="G135" i="201"/>
  <c r="G103" i="201"/>
  <c r="G110" i="201"/>
  <c r="G130" i="201"/>
  <c r="G142" i="201"/>
  <c r="G114" i="201"/>
  <c r="G137" i="201"/>
  <c r="G132" i="201"/>
  <c r="G111" i="201"/>
  <c r="G127" i="201"/>
  <c r="G139" i="201"/>
  <c r="G98" i="201"/>
  <c r="G118" i="201"/>
  <c r="G134" i="201"/>
  <c r="G115" i="201"/>
  <c r="G129" i="201"/>
  <c r="G141" i="201"/>
  <c r="G122" i="201"/>
  <c r="G136" i="201"/>
  <c r="G93" i="201"/>
  <c r="G131" i="201"/>
  <c r="G123" i="201"/>
  <c r="G133" i="201"/>
  <c r="G138" i="201"/>
  <c r="G145" i="201"/>
  <c r="G157" i="201"/>
  <c r="G169" i="201"/>
  <c r="G152" i="201"/>
  <c r="G164" i="201"/>
  <c r="G147" i="201"/>
  <c r="G159" i="201"/>
  <c r="G154" i="201"/>
  <c r="G166" i="201"/>
  <c r="G149" i="201"/>
  <c r="G161" i="201"/>
  <c r="G144" i="201"/>
  <c r="G156" i="201"/>
  <c r="G168" i="201"/>
  <c r="G84" i="201"/>
  <c r="G151" i="201"/>
  <c r="G163" i="201"/>
  <c r="G106" i="201"/>
  <c r="G146" i="201"/>
  <c r="G158" i="201"/>
  <c r="G116" i="201"/>
  <c r="G153" i="201"/>
  <c r="G165" i="201"/>
  <c r="G128" i="201"/>
  <c r="G148" i="201"/>
  <c r="G160" i="201"/>
  <c r="G126" i="201"/>
  <c r="G178" i="201"/>
  <c r="G42" i="201"/>
  <c r="G140" i="201"/>
  <c r="G173" i="201"/>
  <c r="G37" i="201"/>
  <c r="G49" i="201"/>
  <c r="G72" i="201"/>
  <c r="G44" i="201"/>
  <c r="G175" i="201"/>
  <c r="G39" i="201"/>
  <c r="G51" i="201"/>
  <c r="G143" i="201"/>
  <c r="G46" i="201"/>
  <c r="G150" i="201"/>
  <c r="G170" i="201"/>
  <c r="G177" i="201"/>
  <c r="G41" i="201"/>
  <c r="G155" i="201"/>
  <c r="G172" i="201"/>
  <c r="G36" i="201"/>
  <c r="G48" i="201"/>
  <c r="G162" i="201"/>
  <c r="G179" i="201"/>
  <c r="G43" i="201"/>
  <c r="G167" i="201"/>
  <c r="G174" i="201"/>
  <c r="G38" i="201"/>
  <c r="G50" i="201"/>
  <c r="G45" i="201"/>
  <c r="G58" i="201"/>
  <c r="G35" i="201"/>
  <c r="G53" i="201"/>
  <c r="G65" i="201"/>
  <c r="G10" i="201"/>
  <c r="G40" i="201"/>
  <c r="G60" i="201"/>
  <c r="G5" i="201"/>
  <c r="G47" i="201"/>
  <c r="G55" i="201"/>
  <c r="G67" i="201"/>
  <c r="G12" i="201"/>
  <c r="G62" i="201"/>
  <c r="G7" i="201"/>
  <c r="G57" i="201"/>
  <c r="G69" i="201"/>
  <c r="G52" i="201"/>
  <c r="G64" i="201"/>
  <c r="G9" i="201"/>
  <c r="G59" i="201"/>
  <c r="G4" i="201"/>
  <c r="G54" i="201"/>
  <c r="G66" i="201"/>
  <c r="G11" i="201"/>
  <c r="G176" i="201"/>
  <c r="G56" i="201"/>
  <c r="G68" i="201"/>
  <c r="G24" i="201"/>
  <c r="G3" i="201"/>
  <c r="G19" i="201"/>
  <c r="G14" i="201"/>
  <c r="G26" i="201"/>
  <c r="G63" i="201"/>
  <c r="G21" i="201"/>
  <c r="G15" i="201"/>
  <c r="G171" i="201"/>
  <c r="G61" i="201"/>
  <c r="G16" i="201"/>
  <c r="G28" i="201"/>
  <c r="G8" i="201"/>
  <c r="G23" i="201"/>
  <c r="G6" i="201"/>
  <c r="G18" i="201"/>
  <c r="G30" i="201"/>
  <c r="G13" i="201"/>
  <c r="G25" i="201"/>
  <c r="G20" i="201"/>
  <c r="G22" i="201"/>
  <c r="G27" i="201"/>
  <c r="G17" i="201"/>
  <c r="G29" i="201"/>
  <c r="G180" i="201"/>
  <c r="G181" i="201"/>
  <c r="G182" i="201"/>
  <c r="G71" i="201"/>
  <c r="G70" i="201"/>
  <c r="G34" i="201"/>
  <c r="G33" i="201"/>
  <c r="G32" i="201"/>
  <c r="G31" i="201"/>
  <c r="H1" i="201"/>
  <c r="W180" i="204" l="1"/>
  <c r="W168" i="204"/>
  <c r="W179" i="204"/>
  <c r="W167" i="204"/>
  <c r="W184" i="204"/>
  <c r="W172" i="204"/>
  <c r="W187" i="204"/>
  <c r="W175" i="204"/>
  <c r="W163" i="204"/>
  <c r="W182" i="204"/>
  <c r="W151" i="204"/>
  <c r="W183" i="204"/>
  <c r="W154" i="204"/>
  <c r="W169" i="204"/>
  <c r="W185" i="204"/>
  <c r="W186" i="204"/>
  <c r="W181" i="204"/>
  <c r="W173" i="204"/>
  <c r="W170" i="204"/>
  <c r="W166" i="204"/>
  <c r="W176" i="204"/>
  <c r="W149" i="204"/>
  <c r="W146" i="204"/>
  <c r="W162" i="204"/>
  <c r="W142" i="204"/>
  <c r="W164" i="204"/>
  <c r="W157" i="204"/>
  <c r="W155" i="204"/>
  <c r="W141" i="204"/>
  <c r="W134" i="204"/>
  <c r="W161" i="204"/>
  <c r="W158" i="204"/>
  <c r="W144" i="204"/>
  <c r="W178" i="204"/>
  <c r="W160" i="204"/>
  <c r="W150" i="204"/>
  <c r="W139" i="204"/>
  <c r="W130" i="204"/>
  <c r="W120" i="204"/>
  <c r="W152" i="204"/>
  <c r="W148" i="204"/>
  <c r="W174" i="204"/>
  <c r="W153" i="204"/>
  <c r="W135" i="204"/>
  <c r="W159" i="204"/>
  <c r="W147" i="204"/>
  <c r="W177" i="204"/>
  <c r="W165" i="204"/>
  <c r="W156" i="204"/>
  <c r="W143" i="204"/>
  <c r="W126" i="204"/>
  <c r="W145" i="204"/>
  <c r="W137" i="204"/>
  <c r="W131" i="204"/>
  <c r="W124" i="204"/>
  <c r="W138" i="204"/>
  <c r="W128" i="204"/>
  <c r="W117" i="204"/>
  <c r="W136" i="204"/>
  <c r="W122" i="204"/>
  <c r="W123" i="204"/>
  <c r="W110" i="204"/>
  <c r="W98" i="204"/>
  <c r="W171" i="204"/>
  <c r="W140" i="204"/>
  <c r="W127" i="204"/>
  <c r="W133" i="204"/>
  <c r="W132" i="204"/>
  <c r="W129" i="204"/>
  <c r="W125" i="204"/>
  <c r="W119" i="204"/>
  <c r="W109" i="204"/>
  <c r="W97" i="204"/>
  <c r="W102" i="204"/>
  <c r="W112" i="204"/>
  <c r="W100" i="204"/>
  <c r="W88" i="204"/>
  <c r="W121" i="204"/>
  <c r="W93" i="204"/>
  <c r="W85" i="204"/>
  <c r="W114" i="204"/>
  <c r="W104" i="204"/>
  <c r="W107" i="204"/>
  <c r="W105" i="204"/>
  <c r="W113" i="204"/>
  <c r="W111" i="204"/>
  <c r="W89" i="204"/>
  <c r="W78" i="204"/>
  <c r="W103" i="204"/>
  <c r="W99" i="204"/>
  <c r="W94" i="204"/>
  <c r="W118" i="204"/>
  <c r="W108" i="204"/>
  <c r="W91" i="204"/>
  <c r="W83" i="204"/>
  <c r="W81" i="204"/>
  <c r="W69" i="204"/>
  <c r="W106" i="204"/>
  <c r="W74" i="204"/>
  <c r="W62" i="204"/>
  <c r="W82" i="204"/>
  <c r="W67" i="204"/>
  <c r="W61" i="204"/>
  <c r="W55" i="204"/>
  <c r="W43" i="204"/>
  <c r="W11" i="204"/>
  <c r="W87" i="204"/>
  <c r="W80" i="204"/>
  <c r="W95" i="204"/>
  <c r="W73" i="204"/>
  <c r="W92" i="204"/>
  <c r="W84" i="204"/>
  <c r="W72" i="204"/>
  <c r="W65" i="204"/>
  <c r="W59" i="204"/>
  <c r="W116" i="204"/>
  <c r="W115" i="204"/>
  <c r="W86" i="204"/>
  <c r="W79" i="204"/>
  <c r="W71" i="204"/>
  <c r="W70" i="204"/>
  <c r="W64" i="204"/>
  <c r="W54" i="204"/>
  <c r="W77" i="204"/>
  <c r="W63" i="204"/>
  <c r="W47" i="204"/>
  <c r="W101" i="204"/>
  <c r="W76" i="204"/>
  <c r="W52" i="204"/>
  <c r="W40" i="204"/>
  <c r="W96" i="204"/>
  <c r="W75" i="204"/>
  <c r="W60" i="204"/>
  <c r="W38" i="204"/>
  <c r="W90" i="204"/>
  <c r="W53" i="204"/>
  <c r="W49" i="204"/>
  <c r="W5" i="204"/>
  <c r="W56" i="204"/>
  <c r="W50" i="204"/>
  <c r="W41" i="204"/>
  <c r="W35" i="204"/>
  <c r="W7" i="204"/>
  <c r="W51" i="204"/>
  <c r="W39" i="204"/>
  <c r="W42" i="204"/>
  <c r="W13" i="204"/>
  <c r="W19" i="204"/>
  <c r="W21" i="204"/>
  <c r="W33" i="204"/>
  <c r="W66" i="204"/>
  <c r="W57" i="204"/>
  <c r="W8" i="204"/>
  <c r="W37" i="204"/>
  <c r="W12" i="204"/>
  <c r="W58" i="204"/>
  <c r="W25" i="204"/>
  <c r="W68" i="204"/>
  <c r="W20" i="204"/>
  <c r="W36" i="204"/>
  <c r="W27" i="204"/>
  <c r="W22" i="204"/>
  <c r="W34" i="204"/>
  <c r="W4" i="204"/>
  <c r="W10" i="204"/>
  <c r="W15" i="204"/>
  <c r="W16" i="204"/>
  <c r="W17" i="204"/>
  <c r="W14" i="204"/>
  <c r="W24" i="204"/>
  <c r="W48" i="204"/>
  <c r="W45" i="204"/>
  <c r="W6" i="204"/>
  <c r="W18" i="204"/>
  <c r="W31" i="204"/>
  <c r="W46" i="204"/>
  <c r="W44" i="204"/>
  <c r="W26" i="204"/>
  <c r="W30" i="204"/>
  <c r="W9" i="204"/>
  <c r="W32" i="204"/>
  <c r="W29" i="204"/>
  <c r="W3" i="204"/>
  <c r="W23" i="204"/>
  <c r="W28" i="204"/>
  <c r="X1" i="204"/>
  <c r="H81" i="201"/>
  <c r="H93" i="201"/>
  <c r="H105" i="201"/>
  <c r="H76" i="201"/>
  <c r="H88" i="201"/>
  <c r="H100" i="201"/>
  <c r="H83" i="201"/>
  <c r="H95" i="201"/>
  <c r="H78" i="201"/>
  <c r="H90" i="201"/>
  <c r="H102" i="201"/>
  <c r="H73" i="201"/>
  <c r="H85" i="201"/>
  <c r="H97" i="201"/>
  <c r="H80" i="201"/>
  <c r="H92" i="201"/>
  <c r="H104" i="201"/>
  <c r="H75" i="201"/>
  <c r="H87" i="201"/>
  <c r="H99" i="201"/>
  <c r="H103" i="201"/>
  <c r="H110" i="201"/>
  <c r="H122" i="201"/>
  <c r="H91" i="201"/>
  <c r="H117" i="201"/>
  <c r="H79" i="201"/>
  <c r="H94" i="201"/>
  <c r="H112" i="201"/>
  <c r="H124" i="201"/>
  <c r="H77" i="201"/>
  <c r="H114" i="201"/>
  <c r="H98" i="201"/>
  <c r="H106" i="201"/>
  <c r="H118" i="201"/>
  <c r="H86" i="201"/>
  <c r="H101" i="201"/>
  <c r="H113" i="201"/>
  <c r="H125" i="201"/>
  <c r="H74" i="201"/>
  <c r="H120" i="201"/>
  <c r="H128" i="201"/>
  <c r="H140" i="201"/>
  <c r="H135" i="201"/>
  <c r="H107" i="201"/>
  <c r="H130" i="201"/>
  <c r="H142" i="201"/>
  <c r="H96" i="201"/>
  <c r="H121" i="201"/>
  <c r="H137" i="201"/>
  <c r="H132" i="201"/>
  <c r="H111" i="201"/>
  <c r="H127" i="201"/>
  <c r="H139" i="201"/>
  <c r="H89" i="201"/>
  <c r="H108" i="201"/>
  <c r="H134" i="201"/>
  <c r="H115" i="201"/>
  <c r="H129" i="201"/>
  <c r="H141" i="201"/>
  <c r="H82" i="201"/>
  <c r="H119" i="201"/>
  <c r="H136" i="201"/>
  <c r="H84" i="201"/>
  <c r="H116" i="201"/>
  <c r="H126" i="201"/>
  <c r="H138" i="201"/>
  <c r="H131" i="201"/>
  <c r="H150" i="201"/>
  <c r="H162" i="201"/>
  <c r="H145" i="201"/>
  <c r="H157" i="201"/>
  <c r="H169" i="201"/>
  <c r="H109" i="201"/>
  <c r="H152" i="201"/>
  <c r="H164" i="201"/>
  <c r="H123" i="201"/>
  <c r="H147" i="201"/>
  <c r="H159" i="201"/>
  <c r="H154" i="201"/>
  <c r="H166" i="201"/>
  <c r="H149" i="201"/>
  <c r="H161" i="201"/>
  <c r="H144" i="201"/>
  <c r="H156" i="201"/>
  <c r="H168" i="201"/>
  <c r="H151" i="201"/>
  <c r="H163" i="201"/>
  <c r="H146" i="201"/>
  <c r="H158" i="201"/>
  <c r="H170" i="201"/>
  <c r="H153" i="201"/>
  <c r="H165" i="201"/>
  <c r="H171" i="201"/>
  <c r="H47" i="201"/>
  <c r="H178" i="201"/>
  <c r="H72" i="201"/>
  <c r="H42" i="201"/>
  <c r="H173" i="201"/>
  <c r="H37" i="201"/>
  <c r="H49" i="201"/>
  <c r="H44" i="201"/>
  <c r="H175" i="201"/>
  <c r="H39" i="201"/>
  <c r="H51" i="201"/>
  <c r="H143" i="201"/>
  <c r="H46" i="201"/>
  <c r="H148" i="201"/>
  <c r="H177" i="201"/>
  <c r="H41" i="201"/>
  <c r="H133" i="201"/>
  <c r="H155" i="201"/>
  <c r="H172" i="201"/>
  <c r="H36" i="201"/>
  <c r="H48" i="201"/>
  <c r="H160" i="201"/>
  <c r="H179" i="201"/>
  <c r="H43" i="201"/>
  <c r="H167" i="201"/>
  <c r="H174" i="201"/>
  <c r="H38" i="201"/>
  <c r="H50" i="201"/>
  <c r="H63" i="201"/>
  <c r="H8" i="201"/>
  <c r="H58" i="201"/>
  <c r="H53" i="201"/>
  <c r="H65" i="201"/>
  <c r="H10" i="201"/>
  <c r="H40" i="201"/>
  <c r="H60" i="201"/>
  <c r="H5" i="201"/>
  <c r="H45" i="201"/>
  <c r="H55" i="201"/>
  <c r="H67" i="201"/>
  <c r="H12" i="201"/>
  <c r="H62" i="201"/>
  <c r="H7" i="201"/>
  <c r="H57" i="201"/>
  <c r="H69" i="201"/>
  <c r="H52" i="201"/>
  <c r="H64" i="201"/>
  <c r="H9" i="201"/>
  <c r="H59" i="201"/>
  <c r="H4" i="201"/>
  <c r="H61" i="201"/>
  <c r="H6" i="201"/>
  <c r="H17" i="201"/>
  <c r="H29" i="201"/>
  <c r="H20" i="201"/>
  <c r="H24" i="201"/>
  <c r="H3" i="201"/>
  <c r="H19" i="201"/>
  <c r="H56" i="201"/>
  <c r="H14" i="201"/>
  <c r="H26" i="201"/>
  <c r="H54" i="201"/>
  <c r="H21" i="201"/>
  <c r="H28" i="201"/>
  <c r="H68" i="201"/>
  <c r="H16" i="201"/>
  <c r="H66" i="201"/>
  <c r="H23" i="201"/>
  <c r="H35" i="201"/>
  <c r="H18" i="201"/>
  <c r="H30" i="201"/>
  <c r="H11" i="201"/>
  <c r="H13" i="201"/>
  <c r="H25" i="201"/>
  <c r="H176" i="201"/>
  <c r="H15" i="201"/>
  <c r="H27" i="201"/>
  <c r="H22" i="201"/>
  <c r="H180" i="201"/>
  <c r="H181" i="201"/>
  <c r="H182" i="201"/>
  <c r="H71" i="201"/>
  <c r="H70" i="201"/>
  <c r="H34" i="201"/>
  <c r="H33" i="201"/>
  <c r="H32" i="201"/>
  <c r="I1" i="201"/>
  <c r="H31" i="201"/>
  <c r="X185" i="204" l="1"/>
  <c r="X173" i="204"/>
  <c r="X184" i="204"/>
  <c r="X172" i="204"/>
  <c r="X160" i="204"/>
  <c r="X177" i="204"/>
  <c r="X187" i="204"/>
  <c r="X180" i="204"/>
  <c r="X168" i="204"/>
  <c r="X156" i="204"/>
  <c r="X175" i="204"/>
  <c r="X162" i="204"/>
  <c r="X157" i="204"/>
  <c r="X176" i="204"/>
  <c r="X147" i="204"/>
  <c r="X182" i="204"/>
  <c r="X167" i="204"/>
  <c r="X163" i="204"/>
  <c r="X178" i="204"/>
  <c r="X186" i="204"/>
  <c r="X181" i="204"/>
  <c r="X170" i="204"/>
  <c r="X166" i="204"/>
  <c r="X183" i="204"/>
  <c r="X149" i="204"/>
  <c r="X142" i="204"/>
  <c r="X179" i="204"/>
  <c r="X150" i="204"/>
  <c r="X140" i="204"/>
  <c r="X127" i="204"/>
  <c r="X159" i="204"/>
  <c r="X169" i="204"/>
  <c r="X161" i="204"/>
  <c r="X158" i="204"/>
  <c r="X144" i="204"/>
  <c r="X152" i="204"/>
  <c r="X174" i="204"/>
  <c r="X148" i="204"/>
  <c r="X125" i="204"/>
  <c r="X153" i="204"/>
  <c r="X151" i="204"/>
  <c r="X132" i="204"/>
  <c r="X155" i="204"/>
  <c r="X154" i="204"/>
  <c r="X129" i="204"/>
  <c r="X165" i="204"/>
  <c r="X146" i="204"/>
  <c r="X143" i="204"/>
  <c r="X145" i="204"/>
  <c r="X134" i="204"/>
  <c r="X119" i="204"/>
  <c r="X164" i="204"/>
  <c r="X141" i="204"/>
  <c r="X138" i="204"/>
  <c r="X128" i="204"/>
  <c r="X136" i="204"/>
  <c r="X122" i="204"/>
  <c r="X171" i="204"/>
  <c r="X133" i="204"/>
  <c r="X115" i="204"/>
  <c r="X121" i="204"/>
  <c r="X103" i="204"/>
  <c r="X130" i="204"/>
  <c r="X126" i="204"/>
  <c r="X135" i="204"/>
  <c r="X131" i="204"/>
  <c r="X137" i="204"/>
  <c r="X120" i="204"/>
  <c r="X124" i="204"/>
  <c r="X109" i="204"/>
  <c r="X102" i="204"/>
  <c r="X117" i="204"/>
  <c r="X107" i="204"/>
  <c r="X139" i="204"/>
  <c r="X118" i="204"/>
  <c r="X105" i="204"/>
  <c r="X93" i="204"/>
  <c r="X114" i="204"/>
  <c r="X104" i="204"/>
  <c r="X113" i="204"/>
  <c r="X111" i="204"/>
  <c r="X98" i="204"/>
  <c r="X86" i="204"/>
  <c r="X123" i="204"/>
  <c r="X112" i="204"/>
  <c r="X110" i="204"/>
  <c r="X108" i="204"/>
  <c r="X91" i="204"/>
  <c r="X83" i="204"/>
  <c r="X81" i="204"/>
  <c r="X106" i="204"/>
  <c r="X74" i="204"/>
  <c r="X62" i="204"/>
  <c r="X116" i="204"/>
  <c r="X100" i="204"/>
  <c r="X88" i="204"/>
  <c r="X79" i="204"/>
  <c r="X67" i="204"/>
  <c r="X99" i="204"/>
  <c r="X87" i="204"/>
  <c r="X80" i="204"/>
  <c r="X60" i="204"/>
  <c r="X48" i="204"/>
  <c r="X36" i="204"/>
  <c r="X4" i="204"/>
  <c r="X16" i="204"/>
  <c r="X95" i="204"/>
  <c r="X78" i="204"/>
  <c r="X92" i="204"/>
  <c r="X84" i="204"/>
  <c r="X72" i="204"/>
  <c r="X66" i="204"/>
  <c r="X89" i="204"/>
  <c r="X58" i="204"/>
  <c r="X56" i="204"/>
  <c r="X94" i="204"/>
  <c r="X71" i="204"/>
  <c r="X70" i="204"/>
  <c r="X77" i="204"/>
  <c r="X63" i="204"/>
  <c r="X47" i="204"/>
  <c r="X101" i="204"/>
  <c r="X97" i="204"/>
  <c r="X76" i="204"/>
  <c r="X52" i="204"/>
  <c r="X96" i="204"/>
  <c r="X85" i="204"/>
  <c r="X75" i="204"/>
  <c r="X69" i="204"/>
  <c r="X57" i="204"/>
  <c r="X45" i="204"/>
  <c r="X7" i="204"/>
  <c r="X90" i="204"/>
  <c r="X68" i="204"/>
  <c r="X82" i="204"/>
  <c r="X64" i="204"/>
  <c r="X59" i="204"/>
  <c r="X46" i="204"/>
  <c r="X42" i="204"/>
  <c r="X12" i="204"/>
  <c r="X43" i="204"/>
  <c r="X54" i="204"/>
  <c r="X40" i="204"/>
  <c r="X13" i="204"/>
  <c r="X73" i="204"/>
  <c r="X44" i="204"/>
  <c r="X8" i="204"/>
  <c r="X18" i="204"/>
  <c r="X9" i="204"/>
  <c r="X26" i="204"/>
  <c r="X19" i="204"/>
  <c r="X61" i="204"/>
  <c r="X41" i="204"/>
  <c r="X37" i="204"/>
  <c r="X23" i="204"/>
  <c r="X5" i="204"/>
  <c r="X30" i="204"/>
  <c r="X25" i="204"/>
  <c r="X11" i="204"/>
  <c r="X20" i="204"/>
  <c r="X32" i="204"/>
  <c r="X65" i="204"/>
  <c r="X27" i="204"/>
  <c r="X22" i="204"/>
  <c r="X39" i="204"/>
  <c r="X35" i="204"/>
  <c r="X10" i="204"/>
  <c r="X15" i="204"/>
  <c r="X17" i="204"/>
  <c r="X55" i="204"/>
  <c r="X53" i="204"/>
  <c r="X51" i="204"/>
  <c r="X50" i="204"/>
  <c r="X14" i="204"/>
  <c r="X24" i="204"/>
  <c r="X49" i="204"/>
  <c r="X38" i="204"/>
  <c r="X31" i="204"/>
  <c r="X6" i="204"/>
  <c r="X34" i="204"/>
  <c r="X21" i="204"/>
  <c r="X28" i="204"/>
  <c r="X29" i="204"/>
  <c r="X33" i="204"/>
  <c r="X3" i="204"/>
  <c r="Y1" i="204"/>
  <c r="I74" i="201"/>
  <c r="I86" i="201"/>
  <c r="I98" i="201"/>
  <c r="I81" i="201"/>
  <c r="I93" i="201"/>
  <c r="I105" i="201"/>
  <c r="I76" i="201"/>
  <c r="I88" i="201"/>
  <c r="I100" i="201"/>
  <c r="I83" i="201"/>
  <c r="I95" i="201"/>
  <c r="I78" i="201"/>
  <c r="I90" i="201"/>
  <c r="I102" i="201"/>
  <c r="I73" i="201"/>
  <c r="I85" i="201"/>
  <c r="I97" i="201"/>
  <c r="I80" i="201"/>
  <c r="I92" i="201"/>
  <c r="I104" i="201"/>
  <c r="I75" i="201"/>
  <c r="I77" i="201"/>
  <c r="I115" i="201"/>
  <c r="I103" i="201"/>
  <c r="I110" i="201"/>
  <c r="I122" i="201"/>
  <c r="I91" i="201"/>
  <c r="I117" i="201"/>
  <c r="I79" i="201"/>
  <c r="I82" i="201"/>
  <c r="I107" i="201"/>
  <c r="I119" i="201"/>
  <c r="I87" i="201"/>
  <c r="I111" i="201"/>
  <c r="I123" i="201"/>
  <c r="I106" i="201"/>
  <c r="I118" i="201"/>
  <c r="I101" i="201"/>
  <c r="I113" i="201"/>
  <c r="I133" i="201"/>
  <c r="I120" i="201"/>
  <c r="I128" i="201"/>
  <c r="I140" i="201"/>
  <c r="I94" i="201"/>
  <c r="I124" i="201"/>
  <c r="I135" i="201"/>
  <c r="I114" i="201"/>
  <c r="I130" i="201"/>
  <c r="I142" i="201"/>
  <c r="I96" i="201"/>
  <c r="I121" i="201"/>
  <c r="I137" i="201"/>
  <c r="I132" i="201"/>
  <c r="I125" i="201"/>
  <c r="I127" i="201"/>
  <c r="I139" i="201"/>
  <c r="I89" i="201"/>
  <c r="I108" i="201"/>
  <c r="I134" i="201"/>
  <c r="I112" i="201"/>
  <c r="I129" i="201"/>
  <c r="I141" i="201"/>
  <c r="I109" i="201"/>
  <c r="I131" i="201"/>
  <c r="I143" i="201"/>
  <c r="I155" i="201"/>
  <c r="I167" i="201"/>
  <c r="I138" i="201"/>
  <c r="I150" i="201"/>
  <c r="I162" i="201"/>
  <c r="I136" i="201"/>
  <c r="I145" i="201"/>
  <c r="I157" i="201"/>
  <c r="I169" i="201"/>
  <c r="I152" i="201"/>
  <c r="I164" i="201"/>
  <c r="I147" i="201"/>
  <c r="I159" i="201"/>
  <c r="I154" i="201"/>
  <c r="I166" i="201"/>
  <c r="I149" i="201"/>
  <c r="I161" i="201"/>
  <c r="I84" i="201"/>
  <c r="I144" i="201"/>
  <c r="I156" i="201"/>
  <c r="I168" i="201"/>
  <c r="I151" i="201"/>
  <c r="I163" i="201"/>
  <c r="I116" i="201"/>
  <c r="I146" i="201"/>
  <c r="I158" i="201"/>
  <c r="I176" i="201"/>
  <c r="I72" i="201"/>
  <c r="I40" i="201"/>
  <c r="I126" i="201"/>
  <c r="I171" i="201"/>
  <c r="I47" i="201"/>
  <c r="I178" i="201"/>
  <c r="I42" i="201"/>
  <c r="I99" i="201"/>
  <c r="I173" i="201"/>
  <c r="I37" i="201"/>
  <c r="I49" i="201"/>
  <c r="I44" i="201"/>
  <c r="I175" i="201"/>
  <c r="I39" i="201"/>
  <c r="I51" i="201"/>
  <c r="I170" i="201"/>
  <c r="I46" i="201"/>
  <c r="I148" i="201"/>
  <c r="I177" i="201"/>
  <c r="I41" i="201"/>
  <c r="I153" i="201"/>
  <c r="I172" i="201"/>
  <c r="I36" i="201"/>
  <c r="I48" i="201"/>
  <c r="I160" i="201"/>
  <c r="I179" i="201"/>
  <c r="I43" i="201"/>
  <c r="I174" i="201"/>
  <c r="I56" i="201"/>
  <c r="I68" i="201"/>
  <c r="I63" i="201"/>
  <c r="I8" i="201"/>
  <c r="I58" i="201"/>
  <c r="I53" i="201"/>
  <c r="I65" i="201"/>
  <c r="I10" i="201"/>
  <c r="I38" i="201"/>
  <c r="I60" i="201"/>
  <c r="I5" i="201"/>
  <c r="I45" i="201"/>
  <c r="I55" i="201"/>
  <c r="I67" i="201"/>
  <c r="I50" i="201"/>
  <c r="I62" i="201"/>
  <c r="I7" i="201"/>
  <c r="I57" i="201"/>
  <c r="I69" i="201"/>
  <c r="I52" i="201"/>
  <c r="I64" i="201"/>
  <c r="I9" i="201"/>
  <c r="I165" i="201"/>
  <c r="I54" i="201"/>
  <c r="I66" i="201"/>
  <c r="I35" i="201"/>
  <c r="I11" i="201"/>
  <c r="I22" i="201"/>
  <c r="I17" i="201"/>
  <c r="I29" i="201"/>
  <c r="I12" i="201"/>
  <c r="I24" i="201"/>
  <c r="I3" i="201"/>
  <c r="I13" i="201"/>
  <c r="I19" i="201"/>
  <c r="I14" i="201"/>
  <c r="I26" i="201"/>
  <c r="I61" i="201"/>
  <c r="I21" i="201"/>
  <c r="I59" i="201"/>
  <c r="I16" i="201"/>
  <c r="I28" i="201"/>
  <c r="I25" i="201"/>
  <c r="I6" i="201"/>
  <c r="I23" i="201"/>
  <c r="I4" i="201"/>
  <c r="I18" i="201"/>
  <c r="I30" i="201"/>
  <c r="I20" i="201"/>
  <c r="I15" i="201"/>
  <c r="I27" i="201"/>
  <c r="I181" i="201"/>
  <c r="I182" i="201"/>
  <c r="I180" i="201"/>
  <c r="I71" i="201"/>
  <c r="I70" i="201"/>
  <c r="I34" i="201"/>
  <c r="I33" i="201"/>
  <c r="J1" i="201"/>
  <c r="I31" i="201"/>
  <c r="I32" i="201"/>
  <c r="Y178" i="204" l="1"/>
  <c r="Y166" i="204"/>
  <c r="Y177" i="204"/>
  <c r="Y165" i="204"/>
  <c r="Y182" i="204"/>
  <c r="Y187" i="204"/>
  <c r="Y185" i="204"/>
  <c r="Y173" i="204"/>
  <c r="Y161" i="204"/>
  <c r="Y149" i="204"/>
  <c r="Y183" i="204"/>
  <c r="Y179" i="204"/>
  <c r="Y160" i="204"/>
  <c r="Y152" i="204"/>
  <c r="Y175" i="204"/>
  <c r="Y171" i="204"/>
  <c r="Y164" i="204"/>
  <c r="Y186" i="204"/>
  <c r="Y181" i="204"/>
  <c r="Y184" i="204"/>
  <c r="Y180" i="204"/>
  <c r="Y176" i="204"/>
  <c r="Y162" i="204"/>
  <c r="Y172" i="204"/>
  <c r="Y169" i="204"/>
  <c r="Y156" i="204"/>
  <c r="Y155" i="204"/>
  <c r="Y154" i="204"/>
  <c r="Y148" i="204"/>
  <c r="Y140" i="204"/>
  <c r="Y170" i="204"/>
  <c r="Y159" i="204"/>
  <c r="Y153" i="204"/>
  <c r="Y132" i="204"/>
  <c r="Y143" i="204"/>
  <c r="Y138" i="204"/>
  <c r="Y174" i="204"/>
  <c r="Y167" i="204"/>
  <c r="Y141" i="204"/>
  <c r="Y144" i="204"/>
  <c r="Y135" i="204"/>
  <c r="Y127" i="204"/>
  <c r="Y118" i="204"/>
  <c r="Y163" i="204"/>
  <c r="Y151" i="204"/>
  <c r="Y147" i="204"/>
  <c r="Y146" i="204"/>
  <c r="Y126" i="204"/>
  <c r="Y145" i="204"/>
  <c r="Y168" i="204"/>
  <c r="Y157" i="204"/>
  <c r="Y137" i="204"/>
  <c r="Y131" i="204"/>
  <c r="Y124" i="204"/>
  <c r="Y136" i="204"/>
  <c r="Y122" i="204"/>
  <c r="Y133" i="204"/>
  <c r="Y115" i="204"/>
  <c r="Y139" i="204"/>
  <c r="Y130" i="204"/>
  <c r="Y120" i="204"/>
  <c r="Y108" i="204"/>
  <c r="Y150" i="204"/>
  <c r="Y129" i="204"/>
  <c r="Y128" i="204"/>
  <c r="Y125" i="204"/>
  <c r="Y142" i="204"/>
  <c r="Y134" i="204"/>
  <c r="Y158" i="204"/>
  <c r="Y117" i="204"/>
  <c r="Y107" i="204"/>
  <c r="Y95" i="204"/>
  <c r="Y112" i="204"/>
  <c r="Y100" i="204"/>
  <c r="Y123" i="204"/>
  <c r="Y110" i="204"/>
  <c r="Y98" i="204"/>
  <c r="Y86" i="204"/>
  <c r="Y101" i="204"/>
  <c r="Y90" i="204"/>
  <c r="Y82" i="204"/>
  <c r="Y119" i="204"/>
  <c r="Y113" i="204"/>
  <c r="Y111" i="204"/>
  <c r="Y105" i="204"/>
  <c r="Y109" i="204"/>
  <c r="Y102" i="204"/>
  <c r="Y99" i="204"/>
  <c r="Y94" i="204"/>
  <c r="Y103" i="204"/>
  <c r="Y106" i="204"/>
  <c r="Y116" i="204"/>
  <c r="Y88" i="204"/>
  <c r="Y79" i="204"/>
  <c r="Y67" i="204"/>
  <c r="Y85" i="204"/>
  <c r="Y72" i="204"/>
  <c r="Y60" i="204"/>
  <c r="Y78" i="204"/>
  <c r="Y73" i="204"/>
  <c r="Y53" i="204"/>
  <c r="Y41" i="204"/>
  <c r="Y9" i="204"/>
  <c r="Y121" i="204"/>
  <c r="Y92" i="204"/>
  <c r="Y84" i="204"/>
  <c r="Y65" i="204"/>
  <c r="Y89" i="204"/>
  <c r="Y71" i="204"/>
  <c r="Y70" i="204"/>
  <c r="Y64" i="204"/>
  <c r="Y91" i="204"/>
  <c r="Y81" i="204"/>
  <c r="Y77" i="204"/>
  <c r="Y114" i="204"/>
  <c r="Y97" i="204"/>
  <c r="Y83" i="204"/>
  <c r="Y76" i="204"/>
  <c r="Y52" i="204"/>
  <c r="Y96" i="204"/>
  <c r="Y93" i="204"/>
  <c r="Y75" i="204"/>
  <c r="Y69" i="204"/>
  <c r="Y57" i="204"/>
  <c r="Y45" i="204"/>
  <c r="Y68" i="204"/>
  <c r="Y62" i="204"/>
  <c r="Y50" i="204"/>
  <c r="Y38" i="204"/>
  <c r="Y104" i="204"/>
  <c r="Y37" i="204"/>
  <c r="Y80" i="204"/>
  <c r="Y35" i="204"/>
  <c r="Y74" i="204"/>
  <c r="Y87" i="204"/>
  <c r="Y66" i="204"/>
  <c r="Y58" i="204"/>
  <c r="Y61" i="204"/>
  <c r="Y51" i="204"/>
  <c r="Y47" i="204"/>
  <c r="Y39" i="204"/>
  <c r="Y10" i="204"/>
  <c r="Y55" i="204"/>
  <c r="Y48" i="204"/>
  <c r="Y16" i="204"/>
  <c r="Y56" i="204"/>
  <c r="Y6" i="204"/>
  <c r="Y31" i="204"/>
  <c r="Y13" i="204"/>
  <c r="Y8" i="204"/>
  <c r="Y19" i="204"/>
  <c r="Y21" i="204"/>
  <c r="Y28" i="204"/>
  <c r="Y12" i="204"/>
  <c r="Y23" i="204"/>
  <c r="Y40" i="204"/>
  <c r="Y36" i="204"/>
  <c r="Y5" i="204"/>
  <c r="Y11" i="204"/>
  <c r="Y25" i="204"/>
  <c r="Y59" i="204"/>
  <c r="Y7" i="204"/>
  <c r="Y20" i="204"/>
  <c r="Y32" i="204"/>
  <c r="Y63" i="204"/>
  <c r="Y27" i="204"/>
  <c r="Y4" i="204"/>
  <c r="Y22" i="204"/>
  <c r="Y54" i="204"/>
  <c r="Y49" i="204"/>
  <c r="Y46" i="204"/>
  <c r="Y44" i="204"/>
  <c r="Y43" i="204"/>
  <c r="Y15" i="204"/>
  <c r="Y17" i="204"/>
  <c r="Y29" i="204"/>
  <c r="Y42" i="204"/>
  <c r="Y14" i="204"/>
  <c r="Y24" i="204"/>
  <c r="Y34" i="204"/>
  <c r="Y30" i="204"/>
  <c r="Y18" i="204"/>
  <c r="Y33" i="204"/>
  <c r="Y3" i="204"/>
  <c r="Y26" i="204"/>
  <c r="Z1" i="204"/>
  <c r="J79" i="201"/>
  <c r="J91" i="201"/>
  <c r="J103" i="201"/>
  <c r="J74" i="201"/>
  <c r="J86" i="201"/>
  <c r="J98" i="201"/>
  <c r="J81" i="201"/>
  <c r="J93" i="201"/>
  <c r="J105" i="201"/>
  <c r="J76" i="201"/>
  <c r="J88" i="201"/>
  <c r="J100" i="201"/>
  <c r="J83" i="201"/>
  <c r="J95" i="201"/>
  <c r="J78" i="201"/>
  <c r="J90" i="201"/>
  <c r="J102" i="201"/>
  <c r="J73" i="201"/>
  <c r="J85" i="201"/>
  <c r="J97" i="201"/>
  <c r="J75" i="201"/>
  <c r="J89" i="201"/>
  <c r="J104" i="201"/>
  <c r="J108" i="201"/>
  <c r="J120" i="201"/>
  <c r="J92" i="201"/>
  <c r="J115" i="201"/>
  <c r="J80" i="201"/>
  <c r="J110" i="201"/>
  <c r="J122" i="201"/>
  <c r="J77" i="201"/>
  <c r="J94" i="201"/>
  <c r="J112" i="201"/>
  <c r="J124" i="201"/>
  <c r="J84" i="201"/>
  <c r="J99" i="201"/>
  <c r="J116" i="201"/>
  <c r="J87" i="201"/>
  <c r="J111" i="201"/>
  <c r="J123" i="201"/>
  <c r="J106" i="201"/>
  <c r="J126" i="201"/>
  <c r="J138" i="201"/>
  <c r="J101" i="201"/>
  <c r="J113" i="201"/>
  <c r="J133" i="201"/>
  <c r="J117" i="201"/>
  <c r="J128" i="201"/>
  <c r="J140" i="201"/>
  <c r="J107" i="201"/>
  <c r="J135" i="201"/>
  <c r="J114" i="201"/>
  <c r="J130" i="201"/>
  <c r="J142" i="201"/>
  <c r="J96" i="201"/>
  <c r="J121" i="201"/>
  <c r="J137" i="201"/>
  <c r="J118" i="201"/>
  <c r="J132" i="201"/>
  <c r="J125" i="201"/>
  <c r="J127" i="201"/>
  <c r="J139" i="201"/>
  <c r="J134" i="201"/>
  <c r="J136" i="201"/>
  <c r="J148" i="201"/>
  <c r="J160" i="201"/>
  <c r="J131" i="201"/>
  <c r="J143" i="201"/>
  <c r="J155" i="201"/>
  <c r="J167" i="201"/>
  <c r="J129" i="201"/>
  <c r="J150" i="201"/>
  <c r="J162" i="201"/>
  <c r="J109" i="201"/>
  <c r="J145" i="201"/>
  <c r="J157" i="201"/>
  <c r="J169" i="201"/>
  <c r="J82" i="201"/>
  <c r="J119" i="201"/>
  <c r="J141" i="201"/>
  <c r="J152" i="201"/>
  <c r="J164" i="201"/>
  <c r="J147" i="201"/>
  <c r="J159" i="201"/>
  <c r="J154" i="201"/>
  <c r="J166" i="201"/>
  <c r="J149" i="201"/>
  <c r="J161" i="201"/>
  <c r="J144" i="201"/>
  <c r="J156" i="201"/>
  <c r="J168" i="201"/>
  <c r="J151" i="201"/>
  <c r="J163" i="201"/>
  <c r="J45" i="201"/>
  <c r="J176" i="201"/>
  <c r="J40" i="201"/>
  <c r="J171" i="201"/>
  <c r="J47" i="201"/>
  <c r="J178" i="201"/>
  <c r="J42" i="201"/>
  <c r="J173" i="201"/>
  <c r="J37" i="201"/>
  <c r="J49" i="201"/>
  <c r="J44" i="201"/>
  <c r="J175" i="201"/>
  <c r="J39" i="201"/>
  <c r="J51" i="201"/>
  <c r="J170" i="201"/>
  <c r="J46" i="201"/>
  <c r="J146" i="201"/>
  <c r="J177" i="201"/>
  <c r="J41" i="201"/>
  <c r="J153" i="201"/>
  <c r="J172" i="201"/>
  <c r="J36" i="201"/>
  <c r="J48" i="201"/>
  <c r="J61" i="201"/>
  <c r="J6" i="201"/>
  <c r="J174" i="201"/>
  <c r="J56" i="201"/>
  <c r="J68" i="201"/>
  <c r="J179" i="201"/>
  <c r="J63" i="201"/>
  <c r="J8" i="201"/>
  <c r="J58" i="201"/>
  <c r="J158" i="201"/>
  <c r="J53" i="201"/>
  <c r="J65" i="201"/>
  <c r="J10" i="201"/>
  <c r="J38" i="201"/>
  <c r="J60" i="201"/>
  <c r="J5" i="201"/>
  <c r="J43" i="201"/>
  <c r="J55" i="201"/>
  <c r="J67" i="201"/>
  <c r="J50" i="201"/>
  <c r="J62" i="201"/>
  <c r="J7" i="201"/>
  <c r="J57" i="201"/>
  <c r="J69" i="201"/>
  <c r="J59" i="201"/>
  <c r="J4" i="201"/>
  <c r="J15" i="201"/>
  <c r="J27" i="201"/>
  <c r="J72" i="201"/>
  <c r="J22" i="201"/>
  <c r="J30" i="201"/>
  <c r="J17" i="201"/>
  <c r="J29" i="201"/>
  <c r="J26" i="201"/>
  <c r="J165" i="201"/>
  <c r="J12" i="201"/>
  <c r="J24" i="201"/>
  <c r="J3" i="201"/>
  <c r="J11" i="201"/>
  <c r="J18" i="201"/>
  <c r="J19" i="201"/>
  <c r="J54" i="201"/>
  <c r="J14" i="201"/>
  <c r="J52" i="201"/>
  <c r="J35" i="201"/>
  <c r="J21" i="201"/>
  <c r="J66" i="201"/>
  <c r="J16" i="201"/>
  <c r="J28" i="201"/>
  <c r="J64" i="201"/>
  <c r="J23" i="201"/>
  <c r="J9" i="201"/>
  <c r="J13" i="201"/>
  <c r="J25" i="201"/>
  <c r="J20" i="201"/>
  <c r="J182" i="201"/>
  <c r="J180" i="201"/>
  <c r="J181" i="201"/>
  <c r="J71" i="201"/>
  <c r="J70" i="201"/>
  <c r="J34" i="201"/>
  <c r="J33" i="201"/>
  <c r="J32" i="201"/>
  <c r="J31" i="201"/>
  <c r="K1" i="201"/>
  <c r="Z183" i="204" l="1"/>
  <c r="Z171" i="204"/>
  <c r="Z182" i="204"/>
  <c r="Z170" i="204"/>
  <c r="Z187" i="204"/>
  <c r="Z175" i="204"/>
  <c r="Z178" i="204"/>
  <c r="Z166" i="204"/>
  <c r="Z179" i="204"/>
  <c r="Z161" i="204"/>
  <c r="Z154" i="204"/>
  <c r="Z176" i="204"/>
  <c r="Z172" i="204"/>
  <c r="Z180" i="204"/>
  <c r="Z159" i="204"/>
  <c r="Z156" i="204"/>
  <c r="Z145" i="204"/>
  <c r="Z164" i="204"/>
  <c r="Z186" i="204"/>
  <c r="Z181" i="204"/>
  <c r="Z185" i="204"/>
  <c r="Z184" i="204"/>
  <c r="Z162" i="204"/>
  <c r="Z169" i="204"/>
  <c r="Z155" i="204"/>
  <c r="Z148" i="204"/>
  <c r="Z140" i="204"/>
  <c r="Z167" i="204"/>
  <c r="Z163" i="204"/>
  <c r="Z158" i="204"/>
  <c r="Z157" i="204"/>
  <c r="Z137" i="204"/>
  <c r="Z168" i="204"/>
  <c r="Z152" i="204"/>
  <c r="Z149" i="204"/>
  <c r="Z174" i="204"/>
  <c r="Z160" i="204"/>
  <c r="Z150" i="204"/>
  <c r="Z153" i="204"/>
  <c r="Z151" i="204"/>
  <c r="Z142" i="204"/>
  <c r="Z123" i="204"/>
  <c r="Z147" i="204"/>
  <c r="Z129" i="204"/>
  <c r="Z146" i="204"/>
  <c r="Z165" i="204"/>
  <c r="Z143" i="204"/>
  <c r="Z134" i="204"/>
  <c r="Z177" i="204"/>
  <c r="Z173" i="204"/>
  <c r="Z128" i="204"/>
  <c r="Z117" i="204"/>
  <c r="Z133" i="204"/>
  <c r="Z139" i="204"/>
  <c r="Z130" i="204"/>
  <c r="Z120" i="204"/>
  <c r="Z125" i="204"/>
  <c r="Z113" i="204"/>
  <c r="Z114" i="204"/>
  <c r="Z101" i="204"/>
  <c r="Z127" i="204"/>
  <c r="Z126" i="204"/>
  <c r="Z135" i="204"/>
  <c r="Z132" i="204"/>
  <c r="Z131" i="204"/>
  <c r="Z136" i="204"/>
  <c r="Z124" i="204"/>
  <c r="Z122" i="204"/>
  <c r="Z107" i="204"/>
  <c r="Z141" i="204"/>
  <c r="Z138" i="204"/>
  <c r="Z112" i="204"/>
  <c r="Z100" i="204"/>
  <c r="Z144" i="204"/>
  <c r="Z105" i="204"/>
  <c r="Z121" i="204"/>
  <c r="Z103" i="204"/>
  <c r="Z91" i="204"/>
  <c r="Z119" i="204"/>
  <c r="Z97" i="204"/>
  <c r="Z96" i="204"/>
  <c r="Z87" i="204"/>
  <c r="Z111" i="204"/>
  <c r="Z109" i="204"/>
  <c r="Z102" i="204"/>
  <c r="Z99" i="204"/>
  <c r="Z83" i="204"/>
  <c r="Z81" i="204"/>
  <c r="Z110" i="204"/>
  <c r="Z108" i="204"/>
  <c r="Z106" i="204"/>
  <c r="Z118" i="204"/>
  <c r="Z116" i="204"/>
  <c r="Z88" i="204"/>
  <c r="Z79" i="204"/>
  <c r="Z85" i="204"/>
  <c r="Z72" i="204"/>
  <c r="Z60" i="204"/>
  <c r="Z115" i="204"/>
  <c r="Z104" i="204"/>
  <c r="Z93" i="204"/>
  <c r="Z77" i="204"/>
  <c r="Z65" i="204"/>
  <c r="Z95" i="204"/>
  <c r="Z92" i="204"/>
  <c r="Z84" i="204"/>
  <c r="Z66" i="204"/>
  <c r="Z46" i="204"/>
  <c r="Z14" i="204"/>
  <c r="Z89" i="204"/>
  <c r="Z71" i="204"/>
  <c r="Z94" i="204"/>
  <c r="Z70" i="204"/>
  <c r="Z64" i="204"/>
  <c r="Z86" i="204"/>
  <c r="Z63" i="204"/>
  <c r="Z76" i="204"/>
  <c r="Z75" i="204"/>
  <c r="Z69" i="204"/>
  <c r="Z57" i="204"/>
  <c r="Z45" i="204"/>
  <c r="Z98" i="204"/>
  <c r="Z68" i="204"/>
  <c r="Z62" i="204"/>
  <c r="Z50" i="204"/>
  <c r="Z90" i="204"/>
  <c r="Z61" i="204"/>
  <c r="Z55" i="204"/>
  <c r="Z43" i="204"/>
  <c r="Z5" i="204"/>
  <c r="Z82" i="204"/>
  <c r="Z80" i="204"/>
  <c r="Z74" i="204"/>
  <c r="Z52" i="204"/>
  <c r="Z56" i="204"/>
  <c r="Z41" i="204"/>
  <c r="Z4" i="204"/>
  <c r="Z9" i="204"/>
  <c r="Z54" i="204"/>
  <c r="Z40" i="204"/>
  <c r="Z78" i="204"/>
  <c r="Z44" i="204"/>
  <c r="Z6" i="204"/>
  <c r="Z73" i="204"/>
  <c r="Z38" i="204"/>
  <c r="Z7" i="204"/>
  <c r="Z13" i="204"/>
  <c r="Z18" i="204"/>
  <c r="Z24" i="204"/>
  <c r="Z37" i="204"/>
  <c r="Z58" i="204"/>
  <c r="Z8" i="204"/>
  <c r="Z19" i="204"/>
  <c r="Z21" i="204"/>
  <c r="Z36" i="204"/>
  <c r="Z28" i="204"/>
  <c r="Z3" i="204"/>
  <c r="Z12" i="204"/>
  <c r="Z23" i="204"/>
  <c r="Z59" i="204"/>
  <c r="Z30" i="204"/>
  <c r="Z67" i="204"/>
  <c r="Z39" i="204"/>
  <c r="Z11" i="204"/>
  <c r="Z25" i="204"/>
  <c r="Z35" i="204"/>
  <c r="Z20" i="204"/>
  <c r="Z53" i="204"/>
  <c r="Z51" i="204"/>
  <c r="Z49" i="204"/>
  <c r="Z48" i="204"/>
  <c r="Z16" i="204"/>
  <c r="Z47" i="204"/>
  <c r="Z42" i="204"/>
  <c r="Z10" i="204"/>
  <c r="Z22" i="204"/>
  <c r="Z34" i="204"/>
  <c r="Z31" i="204"/>
  <c r="Z33" i="204"/>
  <c r="Z26" i="204"/>
  <c r="Z15" i="204"/>
  <c r="Z32" i="204"/>
  <c r="Z17" i="204"/>
  <c r="Z29" i="204"/>
  <c r="Z27" i="204"/>
  <c r="AA1" i="204"/>
  <c r="K84" i="201"/>
  <c r="K96" i="201"/>
  <c r="K79" i="201"/>
  <c r="K91" i="201"/>
  <c r="K103" i="201"/>
  <c r="K74" i="201"/>
  <c r="K86" i="201"/>
  <c r="K98" i="201"/>
  <c r="K81" i="201"/>
  <c r="K93" i="201"/>
  <c r="K105" i="201"/>
  <c r="K76" i="201"/>
  <c r="K88" i="201"/>
  <c r="K100" i="201"/>
  <c r="K83" i="201"/>
  <c r="K95" i="201"/>
  <c r="K78" i="201"/>
  <c r="K90" i="201"/>
  <c r="K102" i="201"/>
  <c r="K73" i="201"/>
  <c r="K75" i="201"/>
  <c r="K101" i="201"/>
  <c r="K113" i="201"/>
  <c r="K125" i="201"/>
  <c r="K89" i="201"/>
  <c r="K104" i="201"/>
  <c r="K108" i="201"/>
  <c r="K120" i="201"/>
  <c r="K92" i="201"/>
  <c r="K115" i="201"/>
  <c r="K80" i="201"/>
  <c r="K117" i="201"/>
  <c r="K109" i="201"/>
  <c r="K121" i="201"/>
  <c r="K99" i="201"/>
  <c r="K116" i="201"/>
  <c r="K123" i="201"/>
  <c r="K131" i="201"/>
  <c r="K106" i="201"/>
  <c r="K126" i="201"/>
  <c r="K138" i="201"/>
  <c r="K110" i="201"/>
  <c r="K133" i="201"/>
  <c r="K94" i="201"/>
  <c r="K124" i="201"/>
  <c r="K128" i="201"/>
  <c r="K140" i="201"/>
  <c r="K107" i="201"/>
  <c r="K135" i="201"/>
  <c r="K85" i="201"/>
  <c r="K114" i="201"/>
  <c r="K130" i="201"/>
  <c r="K142" i="201"/>
  <c r="K87" i="201"/>
  <c r="K111" i="201"/>
  <c r="K137" i="201"/>
  <c r="K77" i="201"/>
  <c r="K118" i="201"/>
  <c r="K132" i="201"/>
  <c r="K122" i="201"/>
  <c r="K127" i="201"/>
  <c r="K139" i="201"/>
  <c r="K82" i="201"/>
  <c r="K97" i="201"/>
  <c r="K119" i="201"/>
  <c r="K129" i="201"/>
  <c r="K141" i="201"/>
  <c r="K153" i="201"/>
  <c r="K165" i="201"/>
  <c r="K148" i="201"/>
  <c r="K160" i="201"/>
  <c r="K143" i="201"/>
  <c r="K155" i="201"/>
  <c r="K167" i="201"/>
  <c r="K136" i="201"/>
  <c r="K150" i="201"/>
  <c r="K162" i="201"/>
  <c r="K134" i="201"/>
  <c r="K145" i="201"/>
  <c r="K157" i="201"/>
  <c r="K169" i="201"/>
  <c r="K152" i="201"/>
  <c r="K164" i="201"/>
  <c r="K147" i="201"/>
  <c r="K159" i="201"/>
  <c r="K154" i="201"/>
  <c r="K166" i="201"/>
  <c r="K149" i="201"/>
  <c r="K161" i="201"/>
  <c r="K144" i="201"/>
  <c r="K156" i="201"/>
  <c r="K163" i="201"/>
  <c r="K174" i="201"/>
  <c r="K38" i="201"/>
  <c r="K50" i="201"/>
  <c r="K45" i="201"/>
  <c r="K168" i="201"/>
  <c r="K176" i="201"/>
  <c r="K40" i="201"/>
  <c r="K171" i="201"/>
  <c r="K47" i="201"/>
  <c r="K178" i="201"/>
  <c r="K42" i="201"/>
  <c r="K173" i="201"/>
  <c r="K37" i="201"/>
  <c r="K49" i="201"/>
  <c r="K112" i="201"/>
  <c r="K44" i="201"/>
  <c r="K175" i="201"/>
  <c r="K39" i="201"/>
  <c r="K51" i="201"/>
  <c r="K170" i="201"/>
  <c r="K46" i="201"/>
  <c r="K146" i="201"/>
  <c r="K177" i="201"/>
  <c r="K41" i="201"/>
  <c r="K54" i="201"/>
  <c r="K66" i="201"/>
  <c r="K11" i="201"/>
  <c r="K61" i="201"/>
  <c r="K6" i="201"/>
  <c r="K172" i="201"/>
  <c r="K56" i="201"/>
  <c r="K68" i="201"/>
  <c r="K179" i="201"/>
  <c r="K63" i="201"/>
  <c r="K8" i="201"/>
  <c r="K58" i="201"/>
  <c r="K158" i="201"/>
  <c r="K53" i="201"/>
  <c r="K65" i="201"/>
  <c r="K10" i="201"/>
  <c r="K36" i="201"/>
  <c r="K60" i="201"/>
  <c r="K5" i="201"/>
  <c r="K43" i="201"/>
  <c r="K55" i="201"/>
  <c r="K67" i="201"/>
  <c r="K48" i="201"/>
  <c r="K62" i="201"/>
  <c r="K35" i="201"/>
  <c r="K7" i="201"/>
  <c r="K151" i="201"/>
  <c r="K72" i="201"/>
  <c r="K52" i="201"/>
  <c r="K64" i="201"/>
  <c r="K9" i="201"/>
  <c r="K20" i="201"/>
  <c r="K15" i="201"/>
  <c r="K27" i="201"/>
  <c r="K23" i="201"/>
  <c r="K22" i="201"/>
  <c r="K17" i="201"/>
  <c r="K29" i="201"/>
  <c r="K12" i="201"/>
  <c r="K24" i="201"/>
  <c r="K3" i="201"/>
  <c r="K19" i="201"/>
  <c r="K14" i="201"/>
  <c r="K26" i="201"/>
  <c r="K4" i="201"/>
  <c r="K59" i="201"/>
  <c r="K21" i="201"/>
  <c r="K57" i="201"/>
  <c r="K16" i="201"/>
  <c r="K28" i="201"/>
  <c r="K69" i="201"/>
  <c r="K18" i="201"/>
  <c r="K30" i="201"/>
  <c r="K13" i="201"/>
  <c r="K25" i="201"/>
  <c r="K180" i="201"/>
  <c r="K181" i="201"/>
  <c r="K182" i="201"/>
  <c r="K71" i="201"/>
  <c r="K70" i="201"/>
  <c r="K34" i="201"/>
  <c r="K33" i="201"/>
  <c r="K31" i="201"/>
  <c r="K32" i="201"/>
  <c r="L1" i="201"/>
  <c r="AA176" i="204" l="1"/>
  <c r="AA187" i="204"/>
  <c r="AA175" i="204"/>
  <c r="AA163" i="204"/>
  <c r="AA180" i="204"/>
  <c r="AA185" i="204"/>
  <c r="AA183" i="204"/>
  <c r="AA171" i="204"/>
  <c r="AA159" i="204"/>
  <c r="AA172" i="204"/>
  <c r="AA173" i="204"/>
  <c r="AA167" i="204"/>
  <c r="AA166" i="204"/>
  <c r="AA150" i="204"/>
  <c r="AA186" i="204"/>
  <c r="AA181" i="204"/>
  <c r="AA178" i="204"/>
  <c r="AA174" i="204"/>
  <c r="AA184" i="204"/>
  <c r="AA177" i="204"/>
  <c r="AA169" i="204"/>
  <c r="AA155" i="204"/>
  <c r="AA179" i="204"/>
  <c r="AA158" i="204"/>
  <c r="AA157" i="204"/>
  <c r="AA156" i="204"/>
  <c r="AA154" i="204"/>
  <c r="AA153" i="204"/>
  <c r="AA145" i="204"/>
  <c r="AA168" i="204"/>
  <c r="AA139" i="204"/>
  <c r="AA130" i="204"/>
  <c r="AA165" i="204"/>
  <c r="AA162" i="204"/>
  <c r="AA152" i="204"/>
  <c r="AA149" i="204"/>
  <c r="AA136" i="204"/>
  <c r="AA160" i="204"/>
  <c r="AA164" i="204"/>
  <c r="AA170" i="204"/>
  <c r="AA147" i="204"/>
  <c r="AA132" i="204"/>
  <c r="AA116" i="204"/>
  <c r="AA182" i="204"/>
  <c r="AA146" i="204"/>
  <c r="AA140" i="204"/>
  <c r="AA126" i="204"/>
  <c r="AA161" i="204"/>
  <c r="AA143" i="204"/>
  <c r="AA131" i="204"/>
  <c r="AA141" i="204"/>
  <c r="AA138" i="204"/>
  <c r="AA122" i="204"/>
  <c r="AA120" i="204"/>
  <c r="AA125" i="204"/>
  <c r="AA113" i="204"/>
  <c r="AA144" i="204"/>
  <c r="AA135" i="204"/>
  <c r="AA127" i="204"/>
  <c r="AA118" i="204"/>
  <c r="AA151" i="204"/>
  <c r="AA119" i="204"/>
  <c r="AA106" i="204"/>
  <c r="AA129" i="204"/>
  <c r="AA128" i="204"/>
  <c r="AA142" i="204"/>
  <c r="AA134" i="204"/>
  <c r="AA133" i="204"/>
  <c r="AA148" i="204"/>
  <c r="AA137" i="204"/>
  <c r="AA124" i="204"/>
  <c r="AA117" i="204"/>
  <c r="AA112" i="204"/>
  <c r="AA105" i="204"/>
  <c r="AA110" i="204"/>
  <c r="AA98" i="204"/>
  <c r="AA123" i="204"/>
  <c r="AA121" i="204"/>
  <c r="AA108" i="204"/>
  <c r="AA96" i="204"/>
  <c r="AA84" i="204"/>
  <c r="AA111" i="204"/>
  <c r="AA80" i="204"/>
  <c r="AA109" i="204"/>
  <c r="AA107" i="204"/>
  <c r="AA102" i="204"/>
  <c r="AA103" i="204"/>
  <c r="AA91" i="204"/>
  <c r="AA85" i="204"/>
  <c r="AA115" i="204"/>
  <c r="AA104" i="204"/>
  <c r="AA100" i="204"/>
  <c r="AA93" i="204"/>
  <c r="AA77" i="204"/>
  <c r="AA65" i="204"/>
  <c r="AA114" i="204"/>
  <c r="AA90" i="204"/>
  <c r="AA82" i="204"/>
  <c r="AA70" i="204"/>
  <c r="AA58" i="204"/>
  <c r="AA59" i="204"/>
  <c r="AA51" i="204"/>
  <c r="AA39" i="204"/>
  <c r="AA7" i="204"/>
  <c r="AA89" i="204"/>
  <c r="AA71" i="204"/>
  <c r="AA94" i="204"/>
  <c r="AA86" i="204"/>
  <c r="AA63" i="204"/>
  <c r="AA81" i="204"/>
  <c r="AA79" i="204"/>
  <c r="AA76" i="204"/>
  <c r="AA97" i="204"/>
  <c r="AA83" i="204"/>
  <c r="AA75" i="204"/>
  <c r="AA69" i="204"/>
  <c r="AA101" i="204"/>
  <c r="AA88" i="204"/>
  <c r="AA68" i="204"/>
  <c r="AA62" i="204"/>
  <c r="AA50" i="204"/>
  <c r="AA61" i="204"/>
  <c r="AA55" i="204"/>
  <c r="AA43" i="204"/>
  <c r="AA74" i="204"/>
  <c r="AA48" i="204"/>
  <c r="AA36" i="204"/>
  <c r="AA87" i="204"/>
  <c r="AA78" i="204"/>
  <c r="AA73" i="204"/>
  <c r="AA49" i="204"/>
  <c r="AA45" i="204"/>
  <c r="AA72" i="204"/>
  <c r="AA99" i="204"/>
  <c r="AA67" i="204"/>
  <c r="AA47" i="204"/>
  <c r="AA95" i="204"/>
  <c r="AA15" i="204"/>
  <c r="AA19" i="204"/>
  <c r="AA57" i="204"/>
  <c r="AA37" i="204"/>
  <c r="AA10" i="204"/>
  <c r="AA92" i="204"/>
  <c r="AA66" i="204"/>
  <c r="AA14" i="204"/>
  <c r="AA17" i="204"/>
  <c r="AA29" i="204"/>
  <c r="AA18" i="204"/>
  <c r="AA64" i="204"/>
  <c r="AA41" i="204"/>
  <c r="AA6" i="204"/>
  <c r="AA9" i="204"/>
  <c r="AA13" i="204"/>
  <c r="AA26" i="204"/>
  <c r="AA40" i="204"/>
  <c r="AA8" i="204"/>
  <c r="AA21" i="204"/>
  <c r="AA33" i="204"/>
  <c r="AA28" i="204"/>
  <c r="AA5" i="204"/>
  <c r="AA12" i="204"/>
  <c r="AA23" i="204"/>
  <c r="AA35" i="204"/>
  <c r="AA30" i="204"/>
  <c r="AA25" i="204"/>
  <c r="AA53" i="204"/>
  <c r="AA11" i="204"/>
  <c r="AA60" i="204"/>
  <c r="AA54" i="204"/>
  <c r="AA52" i="204"/>
  <c r="AA46" i="204"/>
  <c r="AA44" i="204"/>
  <c r="AA42" i="204"/>
  <c r="AA20" i="204"/>
  <c r="AA38" i="204"/>
  <c r="AA4" i="204"/>
  <c r="AA16" i="204"/>
  <c r="AA27" i="204"/>
  <c r="AA56" i="204"/>
  <c r="AA31" i="204"/>
  <c r="AA3" i="204"/>
  <c r="AA22" i="204"/>
  <c r="AA24" i="204"/>
  <c r="AA32" i="204"/>
  <c r="AA34" i="204"/>
  <c r="AB1" i="204"/>
  <c r="L77" i="201"/>
  <c r="L89" i="201"/>
  <c r="L101" i="201"/>
  <c r="L84" i="201"/>
  <c r="L96" i="201"/>
  <c r="L79" i="201"/>
  <c r="L91" i="201"/>
  <c r="L103" i="201"/>
  <c r="L74" i="201"/>
  <c r="L86" i="201"/>
  <c r="L98" i="201"/>
  <c r="L81" i="201"/>
  <c r="L93" i="201"/>
  <c r="L105" i="201"/>
  <c r="L76" i="201"/>
  <c r="L88" i="201"/>
  <c r="L100" i="201"/>
  <c r="L83" i="201"/>
  <c r="L95" i="201"/>
  <c r="L73" i="201"/>
  <c r="L90" i="201"/>
  <c r="L106" i="201"/>
  <c r="L118" i="201"/>
  <c r="L75" i="201"/>
  <c r="L78" i="201"/>
  <c r="L113" i="201"/>
  <c r="L125" i="201"/>
  <c r="L104" i="201"/>
  <c r="L108" i="201"/>
  <c r="L120" i="201"/>
  <c r="L80" i="201"/>
  <c r="L110" i="201"/>
  <c r="L122" i="201"/>
  <c r="L85" i="201"/>
  <c r="L114" i="201"/>
  <c r="L109" i="201"/>
  <c r="L121" i="201"/>
  <c r="L99" i="201"/>
  <c r="L116" i="201"/>
  <c r="L136" i="201"/>
  <c r="L123" i="201"/>
  <c r="L131" i="201"/>
  <c r="L92" i="201"/>
  <c r="L126" i="201"/>
  <c r="L138" i="201"/>
  <c r="L117" i="201"/>
  <c r="L133" i="201"/>
  <c r="L94" i="201"/>
  <c r="L124" i="201"/>
  <c r="L128" i="201"/>
  <c r="L140" i="201"/>
  <c r="L107" i="201"/>
  <c r="L135" i="201"/>
  <c r="L130" i="201"/>
  <c r="L142" i="201"/>
  <c r="L87" i="201"/>
  <c r="L102" i="201"/>
  <c r="L111" i="201"/>
  <c r="L137" i="201"/>
  <c r="L115" i="201"/>
  <c r="L132" i="201"/>
  <c r="L112" i="201"/>
  <c r="L134" i="201"/>
  <c r="L146" i="201"/>
  <c r="L158" i="201"/>
  <c r="L153" i="201"/>
  <c r="L165" i="201"/>
  <c r="L148" i="201"/>
  <c r="L160" i="201"/>
  <c r="L129" i="201"/>
  <c r="L143" i="201"/>
  <c r="L155" i="201"/>
  <c r="L167" i="201"/>
  <c r="L127" i="201"/>
  <c r="L150" i="201"/>
  <c r="L162" i="201"/>
  <c r="L82" i="201"/>
  <c r="L119" i="201"/>
  <c r="L141" i="201"/>
  <c r="L145" i="201"/>
  <c r="L157" i="201"/>
  <c r="L169" i="201"/>
  <c r="L139" i="201"/>
  <c r="L152" i="201"/>
  <c r="L164" i="201"/>
  <c r="L147" i="201"/>
  <c r="L159" i="201"/>
  <c r="L154" i="201"/>
  <c r="L166" i="201"/>
  <c r="L97" i="201"/>
  <c r="L149" i="201"/>
  <c r="L161" i="201"/>
  <c r="L156" i="201"/>
  <c r="L179" i="201"/>
  <c r="L43" i="201"/>
  <c r="L163" i="201"/>
  <c r="L174" i="201"/>
  <c r="L38" i="201"/>
  <c r="L50" i="201"/>
  <c r="L45" i="201"/>
  <c r="L168" i="201"/>
  <c r="L176" i="201"/>
  <c r="L40" i="201"/>
  <c r="L171" i="201"/>
  <c r="L47" i="201"/>
  <c r="L178" i="201"/>
  <c r="L42" i="201"/>
  <c r="L173" i="201"/>
  <c r="L37" i="201"/>
  <c r="L49" i="201"/>
  <c r="L44" i="201"/>
  <c r="L175" i="201"/>
  <c r="L39" i="201"/>
  <c r="L51" i="201"/>
  <c r="L170" i="201"/>
  <c r="L72" i="201"/>
  <c r="L46" i="201"/>
  <c r="L59" i="201"/>
  <c r="L4" i="201"/>
  <c r="L54" i="201"/>
  <c r="L66" i="201"/>
  <c r="L11" i="201"/>
  <c r="L61" i="201"/>
  <c r="L6" i="201"/>
  <c r="L172" i="201"/>
  <c r="L56" i="201"/>
  <c r="L68" i="201"/>
  <c r="L144" i="201"/>
  <c r="L177" i="201"/>
  <c r="L63" i="201"/>
  <c r="L8" i="201"/>
  <c r="L58" i="201"/>
  <c r="L53" i="201"/>
  <c r="L65" i="201"/>
  <c r="L10" i="201"/>
  <c r="L36" i="201"/>
  <c r="L60" i="201"/>
  <c r="L35" i="201"/>
  <c r="L5" i="201"/>
  <c r="L41" i="201"/>
  <c r="L55" i="201"/>
  <c r="L67" i="201"/>
  <c r="L57" i="201"/>
  <c r="L69" i="201"/>
  <c r="L48" i="201"/>
  <c r="L7" i="201"/>
  <c r="L13" i="201"/>
  <c r="L25" i="201"/>
  <c r="L151" i="201"/>
  <c r="L20" i="201"/>
  <c r="L16" i="201"/>
  <c r="L15" i="201"/>
  <c r="L27" i="201"/>
  <c r="L3" i="201"/>
  <c r="L64" i="201"/>
  <c r="L22" i="201"/>
  <c r="L17" i="201"/>
  <c r="L29" i="201"/>
  <c r="L12" i="201"/>
  <c r="L24" i="201"/>
  <c r="L19" i="201"/>
  <c r="L28" i="201"/>
  <c r="L52" i="201"/>
  <c r="L14" i="201"/>
  <c r="L26" i="201"/>
  <c r="L21" i="201"/>
  <c r="L62" i="201"/>
  <c r="L23" i="201"/>
  <c r="L9" i="201"/>
  <c r="L18" i="201"/>
  <c r="L30" i="201"/>
  <c r="L180" i="201"/>
  <c r="L181" i="201"/>
  <c r="L182" i="201"/>
  <c r="L71" i="201"/>
  <c r="L70" i="201"/>
  <c r="L34" i="201"/>
  <c r="L33" i="201"/>
  <c r="L32" i="201"/>
  <c r="M1" i="201"/>
  <c r="L31" i="201"/>
  <c r="AB181" i="204" l="1"/>
  <c r="AB169" i="204"/>
  <c r="AB186" i="204"/>
  <c r="AB187" i="204"/>
  <c r="AB180" i="204"/>
  <c r="AB168" i="204"/>
  <c r="AB185" i="204"/>
  <c r="AB173" i="204"/>
  <c r="AB176" i="204"/>
  <c r="AB164" i="204"/>
  <c r="AB183" i="204"/>
  <c r="AB160" i="204"/>
  <c r="AB152" i="204"/>
  <c r="AB184" i="204"/>
  <c r="AB165" i="204"/>
  <c r="AB174" i="204"/>
  <c r="AB171" i="204"/>
  <c r="AB179" i="204"/>
  <c r="AB158" i="204"/>
  <c r="AB157" i="204"/>
  <c r="AB156" i="204"/>
  <c r="AB154" i="204"/>
  <c r="AB172" i="204"/>
  <c r="AB167" i="204"/>
  <c r="AB163" i="204"/>
  <c r="AB153" i="204"/>
  <c r="AB145" i="204"/>
  <c r="AB182" i="204"/>
  <c r="AB143" i="204"/>
  <c r="AB162" i="204"/>
  <c r="AB135" i="204"/>
  <c r="AB177" i="204"/>
  <c r="AB166" i="204"/>
  <c r="AB142" i="204"/>
  <c r="AB178" i="204"/>
  <c r="AB170" i="204"/>
  <c r="AB155" i="204"/>
  <c r="AB140" i="204"/>
  <c r="AB137" i="204"/>
  <c r="AB129" i="204"/>
  <c r="AB121" i="204"/>
  <c r="AB146" i="204"/>
  <c r="AB161" i="204"/>
  <c r="AB159" i="204"/>
  <c r="AB134" i="204"/>
  <c r="AB128" i="204"/>
  <c r="AB141" i="204"/>
  <c r="AB136" i="204"/>
  <c r="AB133" i="204"/>
  <c r="AB139" i="204"/>
  <c r="AB130" i="204"/>
  <c r="AB125" i="204"/>
  <c r="AB144" i="204"/>
  <c r="AB127" i="204"/>
  <c r="AB118" i="204"/>
  <c r="AB175" i="204"/>
  <c r="AB151" i="204"/>
  <c r="AB150" i="204"/>
  <c r="AB148" i="204"/>
  <c r="AB123" i="204"/>
  <c r="AB126" i="204"/>
  <c r="AB115" i="204"/>
  <c r="AB111" i="204"/>
  <c r="AB99" i="204"/>
  <c r="AB132" i="204"/>
  <c r="AB131" i="204"/>
  <c r="AB149" i="204"/>
  <c r="AB124" i="204"/>
  <c r="AB147" i="204"/>
  <c r="AB122" i="204"/>
  <c r="AB138" i="204"/>
  <c r="AB105" i="204"/>
  <c r="AB110" i="204"/>
  <c r="AB98" i="204"/>
  <c r="AB103" i="204"/>
  <c r="AB114" i="204"/>
  <c r="AB101" i="204"/>
  <c r="AB89" i="204"/>
  <c r="AB109" i="204"/>
  <c r="AB92" i="204"/>
  <c r="AB84" i="204"/>
  <c r="AB113" i="204"/>
  <c r="AB107" i="204"/>
  <c r="AB102" i="204"/>
  <c r="AB120" i="204"/>
  <c r="AB108" i="204"/>
  <c r="AB106" i="204"/>
  <c r="AB88" i="204"/>
  <c r="AB79" i="204"/>
  <c r="AB116" i="204"/>
  <c r="AB112" i="204"/>
  <c r="AB104" i="204"/>
  <c r="AB100" i="204"/>
  <c r="AB93" i="204"/>
  <c r="AB77" i="204"/>
  <c r="AB117" i="204"/>
  <c r="AB90" i="204"/>
  <c r="AB82" i="204"/>
  <c r="AB70" i="204"/>
  <c r="AB58" i="204"/>
  <c r="AB97" i="204"/>
  <c r="AB87" i="204"/>
  <c r="AB75" i="204"/>
  <c r="AB63" i="204"/>
  <c r="AB72" i="204"/>
  <c r="AB56" i="204"/>
  <c r="AB44" i="204"/>
  <c r="AB12" i="204"/>
  <c r="AB119" i="204"/>
  <c r="AB94" i="204"/>
  <c r="AB64" i="204"/>
  <c r="AB86" i="204"/>
  <c r="AB81" i="204"/>
  <c r="AB76" i="204"/>
  <c r="AB91" i="204"/>
  <c r="AB83" i="204"/>
  <c r="AB69" i="204"/>
  <c r="AB68" i="204"/>
  <c r="AB96" i="204"/>
  <c r="AB61" i="204"/>
  <c r="AB55" i="204"/>
  <c r="AB43" i="204"/>
  <c r="AB85" i="204"/>
  <c r="AB74" i="204"/>
  <c r="AB48" i="204"/>
  <c r="AB80" i="204"/>
  <c r="AB78" i="204"/>
  <c r="AB73" i="204"/>
  <c r="AB67" i="204"/>
  <c r="AB53" i="204"/>
  <c r="AB41" i="204"/>
  <c r="AB95" i="204"/>
  <c r="AB42" i="204"/>
  <c r="AB36" i="204"/>
  <c r="AB66" i="204"/>
  <c r="AB65" i="204"/>
  <c r="AB54" i="204"/>
  <c r="AB50" i="204"/>
  <c r="AB40" i="204"/>
  <c r="AB14" i="204"/>
  <c r="AB71" i="204"/>
  <c r="AB51" i="204"/>
  <c r="AB39" i="204"/>
  <c r="AB38" i="204"/>
  <c r="AB5" i="204"/>
  <c r="AB60" i="204"/>
  <c r="AB52" i="204"/>
  <c r="AB6" i="204"/>
  <c r="AB57" i="204"/>
  <c r="AB37" i="204"/>
  <c r="AB15" i="204"/>
  <c r="AB22" i="204"/>
  <c r="AB34" i="204"/>
  <c r="AB17" i="204"/>
  <c r="AB9" i="204"/>
  <c r="AB18" i="204"/>
  <c r="AB13" i="204"/>
  <c r="AB62" i="204"/>
  <c r="AB19" i="204"/>
  <c r="AB26" i="204"/>
  <c r="AB59" i="204"/>
  <c r="AB8" i="204"/>
  <c r="AB21" i="204"/>
  <c r="AB35" i="204"/>
  <c r="AB28" i="204"/>
  <c r="AB23" i="204"/>
  <c r="AB49" i="204"/>
  <c r="AB46" i="204"/>
  <c r="AB7" i="204"/>
  <c r="AB47" i="204"/>
  <c r="AB45" i="204"/>
  <c r="AB11" i="204"/>
  <c r="AB20" i="204"/>
  <c r="AB32" i="204"/>
  <c r="AB4" i="204"/>
  <c r="AB29" i="204"/>
  <c r="AB31" i="204"/>
  <c r="AB3" i="204"/>
  <c r="AB25" i="204"/>
  <c r="AB33" i="204"/>
  <c r="AB16" i="204"/>
  <c r="AB24" i="204"/>
  <c r="AB10" i="204"/>
  <c r="AB30" i="204"/>
  <c r="AB27" i="204"/>
  <c r="AC1" i="204"/>
  <c r="M82" i="201"/>
  <c r="M94" i="201"/>
  <c r="M77" i="201"/>
  <c r="M89" i="201"/>
  <c r="M101" i="201"/>
  <c r="M84" i="201"/>
  <c r="M96" i="201"/>
  <c r="M79" i="201"/>
  <c r="M91" i="201"/>
  <c r="M103" i="201"/>
  <c r="M74" i="201"/>
  <c r="M86" i="201"/>
  <c r="M98" i="201"/>
  <c r="M81" i="201"/>
  <c r="M93" i="201"/>
  <c r="M105" i="201"/>
  <c r="M76" i="201"/>
  <c r="M88" i="201"/>
  <c r="M100" i="201"/>
  <c r="M73" i="201"/>
  <c r="M87" i="201"/>
  <c r="M102" i="201"/>
  <c r="M111" i="201"/>
  <c r="M123" i="201"/>
  <c r="M90" i="201"/>
  <c r="M106" i="201"/>
  <c r="M118" i="201"/>
  <c r="M75" i="201"/>
  <c r="M78" i="201"/>
  <c r="M113" i="201"/>
  <c r="M125" i="201"/>
  <c r="M92" i="201"/>
  <c r="M115" i="201"/>
  <c r="M97" i="201"/>
  <c r="M107" i="201"/>
  <c r="M119" i="201"/>
  <c r="M85" i="201"/>
  <c r="M114" i="201"/>
  <c r="M109" i="201"/>
  <c r="M129" i="201"/>
  <c r="M141" i="201"/>
  <c r="M99" i="201"/>
  <c r="M116" i="201"/>
  <c r="M136" i="201"/>
  <c r="M120" i="201"/>
  <c r="M131" i="201"/>
  <c r="M110" i="201"/>
  <c r="M126" i="201"/>
  <c r="M138" i="201"/>
  <c r="M83" i="201"/>
  <c r="M117" i="201"/>
  <c r="M133" i="201"/>
  <c r="M124" i="201"/>
  <c r="M128" i="201"/>
  <c r="M140" i="201"/>
  <c r="M121" i="201"/>
  <c r="M135" i="201"/>
  <c r="M130" i="201"/>
  <c r="M142" i="201"/>
  <c r="M104" i="201"/>
  <c r="M108" i="201"/>
  <c r="M137" i="201"/>
  <c r="M80" i="201"/>
  <c r="M127" i="201"/>
  <c r="M139" i="201"/>
  <c r="M122" i="201"/>
  <c r="M151" i="201"/>
  <c r="M163" i="201"/>
  <c r="M146" i="201"/>
  <c r="M158" i="201"/>
  <c r="M153" i="201"/>
  <c r="M165" i="201"/>
  <c r="M148" i="201"/>
  <c r="M160" i="201"/>
  <c r="M143" i="201"/>
  <c r="M155" i="201"/>
  <c r="M167" i="201"/>
  <c r="M134" i="201"/>
  <c r="M150" i="201"/>
  <c r="M162" i="201"/>
  <c r="M95" i="201"/>
  <c r="M132" i="201"/>
  <c r="M145" i="201"/>
  <c r="M157" i="201"/>
  <c r="M169" i="201"/>
  <c r="M152" i="201"/>
  <c r="M164" i="201"/>
  <c r="M147" i="201"/>
  <c r="M159" i="201"/>
  <c r="M154" i="201"/>
  <c r="M166" i="201"/>
  <c r="M149" i="201"/>
  <c r="M172" i="201"/>
  <c r="M36" i="201"/>
  <c r="M48" i="201"/>
  <c r="M156" i="201"/>
  <c r="M179" i="201"/>
  <c r="M43" i="201"/>
  <c r="M161" i="201"/>
  <c r="M174" i="201"/>
  <c r="M38" i="201"/>
  <c r="M50" i="201"/>
  <c r="M45" i="201"/>
  <c r="M168" i="201"/>
  <c r="M176" i="201"/>
  <c r="M40" i="201"/>
  <c r="M171" i="201"/>
  <c r="M47" i="201"/>
  <c r="M178" i="201"/>
  <c r="M42" i="201"/>
  <c r="M112" i="201"/>
  <c r="M173" i="201"/>
  <c r="M37" i="201"/>
  <c r="M49" i="201"/>
  <c r="M72" i="201"/>
  <c r="M44" i="201"/>
  <c r="M175" i="201"/>
  <c r="M39" i="201"/>
  <c r="M51" i="201"/>
  <c r="M52" i="201"/>
  <c r="M64" i="201"/>
  <c r="M9" i="201"/>
  <c r="M59" i="201"/>
  <c r="M4" i="201"/>
  <c r="M54" i="201"/>
  <c r="M66" i="201"/>
  <c r="M11" i="201"/>
  <c r="M61" i="201"/>
  <c r="M6" i="201"/>
  <c r="M170" i="201"/>
  <c r="M56" i="201"/>
  <c r="M68" i="201"/>
  <c r="M144" i="201"/>
  <c r="M177" i="201"/>
  <c r="M63" i="201"/>
  <c r="M8" i="201"/>
  <c r="M58" i="201"/>
  <c r="M35" i="201"/>
  <c r="M53" i="201"/>
  <c r="M65" i="201"/>
  <c r="M10" i="201"/>
  <c r="M60" i="201"/>
  <c r="M5" i="201"/>
  <c r="M46" i="201"/>
  <c r="M62" i="201"/>
  <c r="M7" i="201"/>
  <c r="M67" i="201"/>
  <c r="M18" i="201"/>
  <c r="M30" i="201"/>
  <c r="M13" i="201"/>
  <c r="M25" i="201"/>
  <c r="M29" i="201"/>
  <c r="M20" i="201"/>
  <c r="M15" i="201"/>
  <c r="M27" i="201"/>
  <c r="M21" i="201"/>
  <c r="M22" i="201"/>
  <c r="M17" i="201"/>
  <c r="M41" i="201"/>
  <c r="M12" i="201"/>
  <c r="M24" i="201"/>
  <c r="M3" i="201"/>
  <c r="M19" i="201"/>
  <c r="M14" i="201"/>
  <c r="M26" i="201"/>
  <c r="M55" i="201"/>
  <c r="M16" i="201"/>
  <c r="M28" i="201"/>
  <c r="M57" i="201"/>
  <c r="M69" i="201"/>
  <c r="M23" i="201"/>
  <c r="M181" i="201"/>
  <c r="M182" i="201"/>
  <c r="M180" i="201"/>
  <c r="M70" i="201"/>
  <c r="N1" i="201"/>
  <c r="M32" i="201"/>
  <c r="M71" i="201"/>
  <c r="M31" i="201"/>
  <c r="M33" i="201"/>
  <c r="M34" i="201"/>
  <c r="AC186" i="204" l="1"/>
  <c r="AC174" i="204"/>
  <c r="AC187" i="204"/>
  <c r="AC185" i="204"/>
  <c r="AC173" i="204"/>
  <c r="AC161" i="204"/>
  <c r="AC178" i="204"/>
  <c r="AC181" i="204"/>
  <c r="AC169" i="204"/>
  <c r="AC157" i="204"/>
  <c r="AC176" i="204"/>
  <c r="AC156" i="204"/>
  <c r="AC177" i="204"/>
  <c r="AC168" i="204"/>
  <c r="AC158" i="204"/>
  <c r="AC148" i="204"/>
  <c r="AC184" i="204"/>
  <c r="AC165" i="204"/>
  <c r="AC180" i="204"/>
  <c r="AC183" i="204"/>
  <c r="AC179" i="204"/>
  <c r="AC172" i="204"/>
  <c r="AC167" i="204"/>
  <c r="AC163" i="204"/>
  <c r="AC153" i="204"/>
  <c r="AC182" i="204"/>
  <c r="AC143" i="204"/>
  <c r="AC175" i="204"/>
  <c r="AC164" i="204"/>
  <c r="AC159" i="204"/>
  <c r="AC151" i="204"/>
  <c r="AC147" i="204"/>
  <c r="AC146" i="204"/>
  <c r="AC128" i="204"/>
  <c r="AC141" i="204"/>
  <c r="AC160" i="204"/>
  <c r="AC150" i="204"/>
  <c r="AC170" i="204"/>
  <c r="AC139" i="204"/>
  <c r="AC152" i="204"/>
  <c r="AC126" i="204"/>
  <c r="AC114" i="204"/>
  <c r="AC166" i="204"/>
  <c r="AC155" i="204"/>
  <c r="AC154" i="204"/>
  <c r="AC131" i="204"/>
  <c r="AC145" i="204"/>
  <c r="AC138" i="204"/>
  <c r="AC137" i="204"/>
  <c r="AC162" i="204"/>
  <c r="AC120" i="204"/>
  <c r="AC144" i="204"/>
  <c r="AC127" i="204"/>
  <c r="AC171" i="204"/>
  <c r="AC135" i="204"/>
  <c r="AC123" i="204"/>
  <c r="AC149" i="204"/>
  <c r="AC142" i="204"/>
  <c r="AC132" i="204"/>
  <c r="AC116" i="204"/>
  <c r="AC129" i="204"/>
  <c r="AC113" i="204"/>
  <c r="AC104" i="204"/>
  <c r="AC140" i="204"/>
  <c r="AC134" i="204"/>
  <c r="AC133" i="204"/>
  <c r="AC130" i="204"/>
  <c r="AC125" i="204"/>
  <c r="AC136" i="204"/>
  <c r="AC124" i="204"/>
  <c r="AC122" i="204"/>
  <c r="AC110" i="204"/>
  <c r="AC103" i="204"/>
  <c r="AC121" i="204"/>
  <c r="AC118" i="204"/>
  <c r="AC108" i="204"/>
  <c r="AC119" i="204"/>
  <c r="AC106" i="204"/>
  <c r="AC94" i="204"/>
  <c r="AC107" i="204"/>
  <c r="AC95" i="204"/>
  <c r="AC78" i="204"/>
  <c r="AC105" i="204"/>
  <c r="AC99" i="204"/>
  <c r="AC112" i="204"/>
  <c r="AC85" i="204"/>
  <c r="AC100" i="204"/>
  <c r="AC117" i="204"/>
  <c r="AC115" i="204"/>
  <c r="AC90" i="204"/>
  <c r="AC82" i="204"/>
  <c r="AC97" i="204"/>
  <c r="AC87" i="204"/>
  <c r="AC75" i="204"/>
  <c r="AC63" i="204"/>
  <c r="AC101" i="204"/>
  <c r="AC96" i="204"/>
  <c r="AC80" i="204"/>
  <c r="AC68" i="204"/>
  <c r="AC89" i="204"/>
  <c r="AC71" i="204"/>
  <c r="AC65" i="204"/>
  <c r="AC49" i="204"/>
  <c r="AC37" i="204"/>
  <c r="AC5" i="204"/>
  <c r="AC109" i="204"/>
  <c r="AC86" i="204"/>
  <c r="AC102" i="204"/>
  <c r="AC81" i="204"/>
  <c r="AC76" i="204"/>
  <c r="AC70" i="204"/>
  <c r="AC91" i="204"/>
  <c r="AC83" i="204"/>
  <c r="AC79" i="204"/>
  <c r="AC69" i="204"/>
  <c r="AC57" i="204"/>
  <c r="AC77" i="204"/>
  <c r="AC88" i="204"/>
  <c r="AC98" i="204"/>
  <c r="AC93" i="204"/>
  <c r="AC74" i="204"/>
  <c r="AC48" i="204"/>
  <c r="AC73" i="204"/>
  <c r="AC67" i="204"/>
  <c r="AC53" i="204"/>
  <c r="AC66" i="204"/>
  <c r="AC60" i="204"/>
  <c r="AC46" i="204"/>
  <c r="AC92" i="204"/>
  <c r="AC111" i="204"/>
  <c r="AC59" i="204"/>
  <c r="AC35" i="204"/>
  <c r="AC72" i="204"/>
  <c r="AC62" i="204"/>
  <c r="AC58" i="204"/>
  <c r="AC47" i="204"/>
  <c r="AC43" i="204"/>
  <c r="AC11" i="204"/>
  <c r="AC44" i="204"/>
  <c r="AC12" i="204"/>
  <c r="AC17" i="204"/>
  <c r="AC84" i="204"/>
  <c r="AC45" i="204"/>
  <c r="AC15" i="204"/>
  <c r="AC19" i="204"/>
  <c r="AC64" i="204"/>
  <c r="AC61" i="204"/>
  <c r="AC41" i="204"/>
  <c r="AC4" i="204"/>
  <c r="AC10" i="204"/>
  <c r="AC16" i="204"/>
  <c r="AC27" i="204"/>
  <c r="AC14" i="204"/>
  <c r="AC6" i="204"/>
  <c r="AC40" i="204"/>
  <c r="AC36" i="204"/>
  <c r="AC9" i="204"/>
  <c r="AC18" i="204"/>
  <c r="AC24" i="204"/>
  <c r="AC13" i="204"/>
  <c r="AC31" i="204"/>
  <c r="AC26" i="204"/>
  <c r="AC39" i="204"/>
  <c r="AC8" i="204"/>
  <c r="AC21" i="204"/>
  <c r="AC33" i="204"/>
  <c r="AC28" i="204"/>
  <c r="AC3" i="204"/>
  <c r="AC23" i="204"/>
  <c r="AC54" i="204"/>
  <c r="AC52" i="204"/>
  <c r="AC51" i="204"/>
  <c r="AC42" i="204"/>
  <c r="AC55" i="204"/>
  <c r="AC50" i="204"/>
  <c r="AC38" i="204"/>
  <c r="AC7" i="204"/>
  <c r="AC56" i="204"/>
  <c r="AC25" i="204"/>
  <c r="AC29" i="204"/>
  <c r="AC22" i="204"/>
  <c r="AC20" i="204"/>
  <c r="AC30" i="204"/>
  <c r="AC32" i="204"/>
  <c r="AC34" i="204"/>
  <c r="AD1" i="204"/>
  <c r="N75" i="201"/>
  <c r="N87" i="201"/>
  <c r="N99" i="201"/>
  <c r="N82" i="201"/>
  <c r="N94" i="201"/>
  <c r="N77" i="201"/>
  <c r="N89" i="201"/>
  <c r="N101" i="201"/>
  <c r="N84" i="201"/>
  <c r="N96" i="201"/>
  <c r="N79" i="201"/>
  <c r="N91" i="201"/>
  <c r="N103" i="201"/>
  <c r="N74" i="201"/>
  <c r="N86" i="201"/>
  <c r="N98" i="201"/>
  <c r="N81" i="201"/>
  <c r="N93" i="201"/>
  <c r="N105" i="201"/>
  <c r="N76" i="201"/>
  <c r="N73" i="201"/>
  <c r="N116" i="201"/>
  <c r="N102" i="201"/>
  <c r="N111" i="201"/>
  <c r="N123" i="201"/>
  <c r="N90" i="201"/>
  <c r="N106" i="201"/>
  <c r="N118" i="201"/>
  <c r="N78" i="201"/>
  <c r="N104" i="201"/>
  <c r="N108" i="201"/>
  <c r="N120" i="201"/>
  <c r="N112" i="201"/>
  <c r="N124" i="201"/>
  <c r="N97" i="201"/>
  <c r="N107" i="201"/>
  <c r="N119" i="201"/>
  <c r="N134" i="201"/>
  <c r="N88" i="201"/>
  <c r="N109" i="201"/>
  <c r="N129" i="201"/>
  <c r="N141" i="201"/>
  <c r="N113" i="201"/>
  <c r="N136" i="201"/>
  <c r="N92" i="201"/>
  <c r="N131" i="201"/>
  <c r="N110" i="201"/>
  <c r="N126" i="201"/>
  <c r="N138" i="201"/>
  <c r="N83" i="201"/>
  <c r="N117" i="201"/>
  <c r="N133" i="201"/>
  <c r="N85" i="201"/>
  <c r="N100" i="201"/>
  <c r="N114" i="201"/>
  <c r="N128" i="201"/>
  <c r="N140" i="201"/>
  <c r="N121" i="201"/>
  <c r="N135" i="201"/>
  <c r="N125" i="201"/>
  <c r="N130" i="201"/>
  <c r="N142" i="201"/>
  <c r="N95" i="201"/>
  <c r="N122" i="201"/>
  <c r="N132" i="201"/>
  <c r="N144" i="201"/>
  <c r="N156" i="201"/>
  <c r="N168" i="201"/>
  <c r="N151" i="201"/>
  <c r="N163" i="201"/>
  <c r="N146" i="201"/>
  <c r="N158" i="201"/>
  <c r="N80" i="201"/>
  <c r="N153" i="201"/>
  <c r="N165" i="201"/>
  <c r="N148" i="201"/>
  <c r="N160" i="201"/>
  <c r="N127" i="201"/>
  <c r="N143" i="201"/>
  <c r="N155" i="201"/>
  <c r="N167" i="201"/>
  <c r="N115" i="201"/>
  <c r="N150" i="201"/>
  <c r="N162" i="201"/>
  <c r="N139" i="201"/>
  <c r="N145" i="201"/>
  <c r="N157" i="201"/>
  <c r="N169" i="201"/>
  <c r="N137" i="201"/>
  <c r="N152" i="201"/>
  <c r="N164" i="201"/>
  <c r="N147" i="201"/>
  <c r="N159" i="201"/>
  <c r="N177" i="201"/>
  <c r="N41" i="201"/>
  <c r="N149" i="201"/>
  <c r="N172" i="201"/>
  <c r="N36" i="201"/>
  <c r="N48" i="201"/>
  <c r="N154" i="201"/>
  <c r="N179" i="201"/>
  <c r="N43" i="201"/>
  <c r="N161" i="201"/>
  <c r="N174" i="201"/>
  <c r="N38" i="201"/>
  <c r="N50" i="201"/>
  <c r="N166" i="201"/>
  <c r="N45" i="201"/>
  <c r="N176" i="201"/>
  <c r="N40" i="201"/>
  <c r="N171" i="201"/>
  <c r="N47" i="201"/>
  <c r="N178" i="201"/>
  <c r="N72" i="201"/>
  <c r="N42" i="201"/>
  <c r="N173" i="201"/>
  <c r="N37" i="201"/>
  <c r="N49" i="201"/>
  <c r="N44" i="201"/>
  <c r="N51" i="201"/>
  <c r="N57" i="201"/>
  <c r="N69" i="201"/>
  <c r="N52" i="201"/>
  <c r="N64" i="201"/>
  <c r="N9" i="201"/>
  <c r="N59" i="201"/>
  <c r="N4" i="201"/>
  <c r="N54" i="201"/>
  <c r="N66" i="201"/>
  <c r="N11" i="201"/>
  <c r="N61" i="201"/>
  <c r="N6" i="201"/>
  <c r="N170" i="201"/>
  <c r="N56" i="201"/>
  <c r="N68" i="201"/>
  <c r="N35" i="201"/>
  <c r="N175" i="201"/>
  <c r="N63" i="201"/>
  <c r="N8" i="201"/>
  <c r="N58" i="201"/>
  <c r="N53" i="201"/>
  <c r="N65" i="201"/>
  <c r="N10" i="201"/>
  <c r="N39" i="201"/>
  <c r="N55" i="201"/>
  <c r="N67" i="201"/>
  <c r="N60" i="201"/>
  <c r="N23" i="201"/>
  <c r="N7" i="201"/>
  <c r="N18" i="201"/>
  <c r="N30" i="201"/>
  <c r="N14" i="201"/>
  <c r="N5" i="201"/>
  <c r="N13" i="201"/>
  <c r="N25" i="201"/>
  <c r="N20" i="201"/>
  <c r="N15" i="201"/>
  <c r="N27" i="201"/>
  <c r="N22" i="201"/>
  <c r="N17" i="201"/>
  <c r="N29" i="201"/>
  <c r="N12" i="201"/>
  <c r="N24" i="201"/>
  <c r="N3" i="201"/>
  <c r="N19" i="201"/>
  <c r="N21" i="201"/>
  <c r="N46" i="201"/>
  <c r="N62" i="201"/>
  <c r="N16" i="201"/>
  <c r="N28" i="201"/>
  <c r="N26" i="201"/>
  <c r="N182" i="201"/>
  <c r="N180" i="201"/>
  <c r="N181" i="201"/>
  <c r="N71" i="201"/>
  <c r="N70" i="201"/>
  <c r="N34" i="201"/>
  <c r="N33" i="201"/>
  <c r="N32" i="201"/>
  <c r="N31" i="201"/>
  <c r="O1" i="201"/>
  <c r="AD179" i="204" l="1"/>
  <c r="AD167" i="204"/>
  <c r="AD187" i="204"/>
  <c r="AD178" i="204"/>
  <c r="AD166" i="204"/>
  <c r="AD183" i="204"/>
  <c r="AD171" i="204"/>
  <c r="AD186" i="204"/>
  <c r="AD174" i="204"/>
  <c r="AD162" i="204"/>
  <c r="AD159" i="204"/>
  <c r="AD150" i="204"/>
  <c r="AD184" i="204"/>
  <c r="AD180" i="204"/>
  <c r="AD170" i="204"/>
  <c r="AD169" i="204"/>
  <c r="AD164" i="204"/>
  <c r="AD155" i="204"/>
  <c r="AD153" i="204"/>
  <c r="AD165" i="204"/>
  <c r="AD185" i="204"/>
  <c r="AD177" i="204"/>
  <c r="AD168" i="204"/>
  <c r="AD176" i="204"/>
  <c r="AD172" i="204"/>
  <c r="AD182" i="204"/>
  <c r="AD175" i="204"/>
  <c r="AD152" i="204"/>
  <c r="AD147" i="204"/>
  <c r="AD141" i="204"/>
  <c r="AD145" i="204"/>
  <c r="AD144" i="204"/>
  <c r="AD133" i="204"/>
  <c r="AD160" i="204"/>
  <c r="AD163" i="204"/>
  <c r="AD157" i="204"/>
  <c r="AD146" i="204"/>
  <c r="AD140" i="204"/>
  <c r="AD134" i="204"/>
  <c r="AD119" i="204"/>
  <c r="AD161" i="204"/>
  <c r="AD154" i="204"/>
  <c r="AD143" i="204"/>
  <c r="AD181" i="204"/>
  <c r="AD173" i="204"/>
  <c r="AD136" i="204"/>
  <c r="AD156" i="204"/>
  <c r="AD130" i="204"/>
  <c r="AD125" i="204"/>
  <c r="AD135" i="204"/>
  <c r="AD123" i="204"/>
  <c r="AD151" i="204"/>
  <c r="AD149" i="204"/>
  <c r="AD148" i="204"/>
  <c r="AD142" i="204"/>
  <c r="AD132" i="204"/>
  <c r="AD116" i="204"/>
  <c r="AD158" i="204"/>
  <c r="AD129" i="204"/>
  <c r="AD121" i="204"/>
  <c r="AD131" i="204"/>
  <c r="AD128" i="204"/>
  <c r="AD127" i="204"/>
  <c r="AD109" i="204"/>
  <c r="AD97" i="204"/>
  <c r="AD124" i="204"/>
  <c r="AD122" i="204"/>
  <c r="AD137" i="204"/>
  <c r="AD120" i="204"/>
  <c r="AD138" i="204"/>
  <c r="AD118" i="204"/>
  <c r="AD108" i="204"/>
  <c r="AD96" i="204"/>
  <c r="AD101" i="204"/>
  <c r="AD139" i="204"/>
  <c r="AD115" i="204"/>
  <c r="AD111" i="204"/>
  <c r="AD99" i="204"/>
  <c r="AD87" i="204"/>
  <c r="AD113" i="204"/>
  <c r="AD105" i="204"/>
  <c r="AD102" i="204"/>
  <c r="AD98" i="204"/>
  <c r="AD89" i="204"/>
  <c r="AD126" i="204"/>
  <c r="AD112" i="204"/>
  <c r="AD106" i="204"/>
  <c r="AD103" i="204"/>
  <c r="AD110" i="204"/>
  <c r="AD100" i="204"/>
  <c r="AD93" i="204"/>
  <c r="AD117" i="204"/>
  <c r="AD104" i="204"/>
  <c r="AD114" i="204"/>
  <c r="AD80" i="204"/>
  <c r="AD68" i="204"/>
  <c r="AD92" i="204"/>
  <c r="AD84" i="204"/>
  <c r="AD73" i="204"/>
  <c r="AD61" i="204"/>
  <c r="AD64" i="204"/>
  <c r="AD58" i="204"/>
  <c r="AD54" i="204"/>
  <c r="AD42" i="204"/>
  <c r="AD10" i="204"/>
  <c r="AD94" i="204"/>
  <c r="AD86" i="204"/>
  <c r="AD81" i="204"/>
  <c r="AD76" i="204"/>
  <c r="AD70" i="204"/>
  <c r="AD91" i="204"/>
  <c r="AD83" i="204"/>
  <c r="AD79" i="204"/>
  <c r="AD77" i="204"/>
  <c r="AD62" i="204"/>
  <c r="AD107" i="204"/>
  <c r="AD88" i="204"/>
  <c r="AD75" i="204"/>
  <c r="AD74" i="204"/>
  <c r="AD85" i="204"/>
  <c r="AD67" i="204"/>
  <c r="AD53" i="204"/>
  <c r="AD90" i="204"/>
  <c r="AD78" i="204"/>
  <c r="AD66" i="204"/>
  <c r="AD60" i="204"/>
  <c r="AD46" i="204"/>
  <c r="AD95" i="204"/>
  <c r="AD82" i="204"/>
  <c r="AD59" i="204"/>
  <c r="AD51" i="204"/>
  <c r="AD39" i="204"/>
  <c r="AD72" i="204"/>
  <c r="AD69" i="204"/>
  <c r="AD8" i="204"/>
  <c r="AD71" i="204"/>
  <c r="AD38" i="204"/>
  <c r="AD57" i="204"/>
  <c r="AD55" i="204"/>
  <c r="AD52" i="204"/>
  <c r="AD48" i="204"/>
  <c r="AD37" i="204"/>
  <c r="AD4" i="204"/>
  <c r="AD9" i="204"/>
  <c r="AD49" i="204"/>
  <c r="AD36" i="204"/>
  <c r="AD20" i="204"/>
  <c r="AD32" i="204"/>
  <c r="AD15" i="204"/>
  <c r="AD16" i="204"/>
  <c r="AD40" i="204"/>
  <c r="AD14" i="204"/>
  <c r="AD17" i="204"/>
  <c r="AD22" i="204"/>
  <c r="AD6" i="204"/>
  <c r="AD18" i="204"/>
  <c r="AD24" i="204"/>
  <c r="AD35" i="204"/>
  <c r="AD13" i="204"/>
  <c r="AD19" i="204"/>
  <c r="AD65" i="204"/>
  <c r="AD26" i="204"/>
  <c r="AD63" i="204"/>
  <c r="AD5" i="204"/>
  <c r="AD12" i="204"/>
  <c r="AD21" i="204"/>
  <c r="AD33" i="204"/>
  <c r="AD50" i="204"/>
  <c r="AD47" i="204"/>
  <c r="AD45" i="204"/>
  <c r="AD44" i="204"/>
  <c r="AD28" i="204"/>
  <c r="AD56" i="204"/>
  <c r="AD43" i="204"/>
  <c r="AD23" i="204"/>
  <c r="AD7" i="204"/>
  <c r="AD11" i="204"/>
  <c r="AD30" i="204"/>
  <c r="AD41" i="204"/>
  <c r="AD29" i="204"/>
  <c r="AD31" i="204"/>
  <c r="AD3" i="204"/>
  <c r="AD25" i="204"/>
  <c r="AD34" i="204"/>
  <c r="AD27" i="204"/>
  <c r="AE1" i="204"/>
  <c r="O80" i="201"/>
  <c r="O92" i="201"/>
  <c r="O104" i="201"/>
  <c r="O75" i="201"/>
  <c r="O87" i="201"/>
  <c r="O99" i="201"/>
  <c r="O82" i="201"/>
  <c r="O94" i="201"/>
  <c r="O77" i="201"/>
  <c r="O89" i="201"/>
  <c r="O101" i="201"/>
  <c r="O84" i="201"/>
  <c r="O96" i="201"/>
  <c r="O79" i="201"/>
  <c r="O91" i="201"/>
  <c r="O103" i="201"/>
  <c r="O74" i="201"/>
  <c r="O86" i="201"/>
  <c r="O98" i="201"/>
  <c r="O73" i="201"/>
  <c r="O88" i="201"/>
  <c r="O109" i="201"/>
  <c r="O121" i="201"/>
  <c r="O116" i="201"/>
  <c r="O102" i="201"/>
  <c r="O111" i="201"/>
  <c r="O123" i="201"/>
  <c r="O78" i="201"/>
  <c r="O93" i="201"/>
  <c r="O113" i="201"/>
  <c r="O125" i="201"/>
  <c r="O83" i="201"/>
  <c r="O117" i="201"/>
  <c r="O76" i="201"/>
  <c r="O112" i="201"/>
  <c r="O124" i="201"/>
  <c r="O97" i="201"/>
  <c r="O119" i="201"/>
  <c r="O127" i="201"/>
  <c r="O139" i="201"/>
  <c r="O134" i="201"/>
  <c r="O90" i="201"/>
  <c r="O105" i="201"/>
  <c r="O106" i="201"/>
  <c r="O129" i="201"/>
  <c r="O141" i="201"/>
  <c r="O81" i="201"/>
  <c r="O120" i="201"/>
  <c r="O136" i="201"/>
  <c r="O131" i="201"/>
  <c r="O110" i="201"/>
  <c r="O126" i="201"/>
  <c r="O138" i="201"/>
  <c r="O107" i="201"/>
  <c r="O133" i="201"/>
  <c r="O85" i="201"/>
  <c r="O100" i="201"/>
  <c r="O114" i="201"/>
  <c r="O128" i="201"/>
  <c r="O140" i="201"/>
  <c r="O118" i="201"/>
  <c r="O135" i="201"/>
  <c r="O115" i="201"/>
  <c r="O137" i="201"/>
  <c r="O108" i="201"/>
  <c r="O149" i="201"/>
  <c r="O161" i="201"/>
  <c r="O122" i="201"/>
  <c r="O144" i="201"/>
  <c r="O156" i="201"/>
  <c r="O168" i="201"/>
  <c r="O151" i="201"/>
  <c r="O163" i="201"/>
  <c r="O146" i="201"/>
  <c r="O158" i="201"/>
  <c r="O153" i="201"/>
  <c r="O165" i="201"/>
  <c r="O148" i="201"/>
  <c r="O160" i="201"/>
  <c r="O143" i="201"/>
  <c r="O155" i="201"/>
  <c r="O167" i="201"/>
  <c r="O95" i="201"/>
  <c r="O132" i="201"/>
  <c r="O150" i="201"/>
  <c r="O162" i="201"/>
  <c r="O130" i="201"/>
  <c r="O145" i="201"/>
  <c r="O157" i="201"/>
  <c r="O169" i="201"/>
  <c r="O152" i="201"/>
  <c r="O164" i="201"/>
  <c r="O170" i="201"/>
  <c r="O46" i="201"/>
  <c r="O177" i="201"/>
  <c r="O41" i="201"/>
  <c r="O142" i="201"/>
  <c r="O147" i="201"/>
  <c r="O172" i="201"/>
  <c r="O36" i="201"/>
  <c r="O48" i="201"/>
  <c r="O154" i="201"/>
  <c r="O179" i="201"/>
  <c r="O43" i="201"/>
  <c r="O159" i="201"/>
  <c r="O174" i="201"/>
  <c r="O38" i="201"/>
  <c r="O50" i="201"/>
  <c r="O166" i="201"/>
  <c r="O45" i="201"/>
  <c r="O176" i="201"/>
  <c r="O72" i="201"/>
  <c r="O40" i="201"/>
  <c r="O171" i="201"/>
  <c r="O47" i="201"/>
  <c r="O178" i="201"/>
  <c r="O42" i="201"/>
  <c r="O173" i="201"/>
  <c r="O37" i="201"/>
  <c r="O49" i="201"/>
  <c r="O44" i="201"/>
  <c r="O62" i="201"/>
  <c r="O7" i="201"/>
  <c r="O51" i="201"/>
  <c r="O57" i="201"/>
  <c r="O69" i="201"/>
  <c r="O52" i="201"/>
  <c r="O64" i="201"/>
  <c r="O9" i="201"/>
  <c r="O59" i="201"/>
  <c r="O4" i="201"/>
  <c r="O54" i="201"/>
  <c r="O66" i="201"/>
  <c r="O35" i="201"/>
  <c r="O11" i="201"/>
  <c r="O61" i="201"/>
  <c r="O6" i="201"/>
  <c r="O56" i="201"/>
  <c r="O68" i="201"/>
  <c r="O175" i="201"/>
  <c r="O63" i="201"/>
  <c r="O8" i="201"/>
  <c r="O58" i="201"/>
  <c r="O60" i="201"/>
  <c r="O5" i="201"/>
  <c r="O53" i="201"/>
  <c r="O16" i="201"/>
  <c r="O28" i="201"/>
  <c r="O27" i="201"/>
  <c r="O67" i="201"/>
  <c r="O23" i="201"/>
  <c r="O65" i="201"/>
  <c r="O18" i="201"/>
  <c r="O30" i="201"/>
  <c r="O13" i="201"/>
  <c r="O25" i="201"/>
  <c r="O10" i="201"/>
  <c r="O20" i="201"/>
  <c r="O39" i="201"/>
  <c r="O15" i="201"/>
  <c r="O22" i="201"/>
  <c r="O17" i="201"/>
  <c r="O29" i="201"/>
  <c r="O12" i="201"/>
  <c r="O24" i="201"/>
  <c r="O3" i="201"/>
  <c r="O19" i="201"/>
  <c r="O14" i="201"/>
  <c r="O26" i="201"/>
  <c r="O55" i="201"/>
  <c r="O21" i="201"/>
  <c r="O180" i="201"/>
  <c r="O181" i="201"/>
  <c r="O182" i="201"/>
  <c r="O71" i="201"/>
  <c r="O70" i="201"/>
  <c r="O34" i="201"/>
  <c r="O33" i="201"/>
  <c r="O32" i="201"/>
  <c r="O31" i="201"/>
  <c r="P1" i="201"/>
  <c r="AE184" i="204" l="1"/>
  <c r="AE172" i="204"/>
  <c r="AE187" i="204"/>
  <c r="AE183" i="204"/>
  <c r="AE171" i="204"/>
  <c r="AE159" i="204"/>
  <c r="AE176" i="204"/>
  <c r="AE186" i="204"/>
  <c r="AE179" i="204"/>
  <c r="AE167" i="204"/>
  <c r="AE155" i="204"/>
  <c r="AE180" i="204"/>
  <c r="AE166" i="204"/>
  <c r="AE165" i="204"/>
  <c r="AE177" i="204"/>
  <c r="AE173" i="204"/>
  <c r="AE168" i="204"/>
  <c r="AE181" i="204"/>
  <c r="AE146" i="204"/>
  <c r="AE185" i="204"/>
  <c r="AE170" i="204"/>
  <c r="AE163" i="204"/>
  <c r="AE182" i="204"/>
  <c r="AE169" i="204"/>
  <c r="AE175" i="204"/>
  <c r="AE164" i="204"/>
  <c r="AE152" i="204"/>
  <c r="AE147" i="204"/>
  <c r="AE141" i="204"/>
  <c r="AE178" i="204"/>
  <c r="AE151" i="204"/>
  <c r="AE148" i="204"/>
  <c r="AE138" i="204"/>
  <c r="AE126" i="204"/>
  <c r="AE174" i="204"/>
  <c r="AE150" i="204"/>
  <c r="AE162" i="204"/>
  <c r="AE153" i="204"/>
  <c r="AE161" i="204"/>
  <c r="AE154" i="204"/>
  <c r="AE131" i="204"/>
  <c r="AE124" i="204"/>
  <c r="AE143" i="204"/>
  <c r="AE137" i="204"/>
  <c r="AE128" i="204"/>
  <c r="AE145" i="204"/>
  <c r="AE156" i="204"/>
  <c r="AE133" i="204"/>
  <c r="AE157" i="204"/>
  <c r="AE139" i="204"/>
  <c r="AE127" i="204"/>
  <c r="AE118" i="204"/>
  <c r="AE144" i="204"/>
  <c r="AE160" i="204"/>
  <c r="AE149" i="204"/>
  <c r="AE142" i="204"/>
  <c r="AE132" i="204"/>
  <c r="AE158" i="204"/>
  <c r="AE129" i="204"/>
  <c r="AE121" i="204"/>
  <c r="AE114" i="204"/>
  <c r="AE140" i="204"/>
  <c r="AE134" i="204"/>
  <c r="AE130" i="204"/>
  <c r="AE125" i="204"/>
  <c r="AE116" i="204"/>
  <c r="AE102" i="204"/>
  <c r="AE136" i="204"/>
  <c r="AE135" i="204"/>
  <c r="AE122" i="204"/>
  <c r="AE108" i="204"/>
  <c r="AE101" i="204"/>
  <c r="AE123" i="204"/>
  <c r="AE106" i="204"/>
  <c r="AE119" i="204"/>
  <c r="AE113" i="204"/>
  <c r="AE104" i="204"/>
  <c r="AE92" i="204"/>
  <c r="AE86" i="204"/>
  <c r="AE112" i="204"/>
  <c r="AE103" i="204"/>
  <c r="AE120" i="204"/>
  <c r="AE110" i="204"/>
  <c r="AE100" i="204"/>
  <c r="AE117" i="204"/>
  <c r="AE90" i="204"/>
  <c r="AE82" i="204"/>
  <c r="AE115" i="204"/>
  <c r="AE97" i="204"/>
  <c r="AE87" i="204"/>
  <c r="AE80" i="204"/>
  <c r="AE96" i="204"/>
  <c r="AE84" i="204"/>
  <c r="AE73" i="204"/>
  <c r="AE61" i="204"/>
  <c r="AE111" i="204"/>
  <c r="AE109" i="204"/>
  <c r="AE107" i="204"/>
  <c r="AE95" i="204"/>
  <c r="AE78" i="204"/>
  <c r="AE66" i="204"/>
  <c r="AE94" i="204"/>
  <c r="AE47" i="204"/>
  <c r="AE35" i="204"/>
  <c r="AE15" i="204"/>
  <c r="AE81" i="204"/>
  <c r="AE76" i="204"/>
  <c r="AE91" i="204"/>
  <c r="AE83" i="204"/>
  <c r="AE79" i="204"/>
  <c r="AE69" i="204"/>
  <c r="AE77" i="204"/>
  <c r="AE88" i="204"/>
  <c r="AE75" i="204"/>
  <c r="AE55" i="204"/>
  <c r="AE74" i="204"/>
  <c r="AE68" i="204"/>
  <c r="AE98" i="204"/>
  <c r="AE93" i="204"/>
  <c r="AE85" i="204"/>
  <c r="AE60" i="204"/>
  <c r="AE46" i="204"/>
  <c r="AE105" i="204"/>
  <c r="AE59" i="204"/>
  <c r="AE51" i="204"/>
  <c r="AE72" i="204"/>
  <c r="AE56" i="204"/>
  <c r="AE44" i="204"/>
  <c r="AE6" i="204"/>
  <c r="AE99" i="204"/>
  <c r="AE71" i="204"/>
  <c r="AE53" i="204"/>
  <c r="AE41" i="204"/>
  <c r="AE89" i="204"/>
  <c r="AE39" i="204"/>
  <c r="AE67" i="204"/>
  <c r="AE45" i="204"/>
  <c r="AE70" i="204"/>
  <c r="AE42" i="204"/>
  <c r="AE5" i="204"/>
  <c r="AE12" i="204"/>
  <c r="AE17" i="204"/>
  <c r="AE25" i="204"/>
  <c r="AE40" i="204"/>
  <c r="AE4" i="204"/>
  <c r="AE10" i="204"/>
  <c r="AE58" i="204"/>
  <c r="AE36" i="204"/>
  <c r="AE16" i="204"/>
  <c r="AE62" i="204"/>
  <c r="AE14" i="204"/>
  <c r="AE22" i="204"/>
  <c r="AE9" i="204"/>
  <c r="AE29" i="204"/>
  <c r="AE65" i="204"/>
  <c r="AE18" i="204"/>
  <c r="AE24" i="204"/>
  <c r="AE63" i="204"/>
  <c r="AE13" i="204"/>
  <c r="AE19" i="204"/>
  <c r="AE31" i="204"/>
  <c r="AE54" i="204"/>
  <c r="AE52" i="204"/>
  <c r="AE50" i="204"/>
  <c r="AE49" i="204"/>
  <c r="AE8" i="204"/>
  <c r="AE26" i="204"/>
  <c r="AE21" i="204"/>
  <c r="AE48" i="204"/>
  <c r="AE43" i="204"/>
  <c r="AE38" i="204"/>
  <c r="AE23" i="204"/>
  <c r="AE64" i="204"/>
  <c r="AE57" i="204"/>
  <c r="AE37" i="204"/>
  <c r="AE33" i="204"/>
  <c r="AE3" i="204"/>
  <c r="AE7" i="204"/>
  <c r="AE27" i="204"/>
  <c r="AE20" i="204"/>
  <c r="AE32" i="204"/>
  <c r="AE34" i="204"/>
  <c r="AE28" i="204"/>
  <c r="AE11" i="204"/>
  <c r="AE30" i="204"/>
  <c r="AF1" i="204"/>
  <c r="P73" i="201"/>
  <c r="P85" i="201"/>
  <c r="P97" i="201"/>
  <c r="P80" i="201"/>
  <c r="P92" i="201"/>
  <c r="P104" i="201"/>
  <c r="P75" i="201"/>
  <c r="P87" i="201"/>
  <c r="P99" i="201"/>
  <c r="P82" i="201"/>
  <c r="P94" i="201"/>
  <c r="P77" i="201"/>
  <c r="P89" i="201"/>
  <c r="P101" i="201"/>
  <c r="P84" i="201"/>
  <c r="P96" i="201"/>
  <c r="P79" i="201"/>
  <c r="P91" i="201"/>
  <c r="P103" i="201"/>
  <c r="P74" i="201"/>
  <c r="P76" i="201"/>
  <c r="P100" i="201"/>
  <c r="P114" i="201"/>
  <c r="P88" i="201"/>
  <c r="P109" i="201"/>
  <c r="P121" i="201"/>
  <c r="P116" i="201"/>
  <c r="P90" i="201"/>
  <c r="P105" i="201"/>
  <c r="P106" i="201"/>
  <c r="P118" i="201"/>
  <c r="P95" i="201"/>
  <c r="P110" i="201"/>
  <c r="P122" i="201"/>
  <c r="P83" i="201"/>
  <c r="P98" i="201"/>
  <c r="P117" i="201"/>
  <c r="P78" i="201"/>
  <c r="P86" i="201"/>
  <c r="P112" i="201"/>
  <c r="P132" i="201"/>
  <c r="P119" i="201"/>
  <c r="P127" i="201"/>
  <c r="P139" i="201"/>
  <c r="P123" i="201"/>
  <c r="P134" i="201"/>
  <c r="P113" i="201"/>
  <c r="P129" i="201"/>
  <c r="P141" i="201"/>
  <c r="P81" i="201"/>
  <c r="P120" i="201"/>
  <c r="P136" i="201"/>
  <c r="P131" i="201"/>
  <c r="P124" i="201"/>
  <c r="P126" i="201"/>
  <c r="P138" i="201"/>
  <c r="P107" i="201"/>
  <c r="P133" i="201"/>
  <c r="P102" i="201"/>
  <c r="P111" i="201"/>
  <c r="P128" i="201"/>
  <c r="P140" i="201"/>
  <c r="P108" i="201"/>
  <c r="P130" i="201"/>
  <c r="P142" i="201"/>
  <c r="P154" i="201"/>
  <c r="P166" i="201"/>
  <c r="P149" i="201"/>
  <c r="P161" i="201"/>
  <c r="P144" i="201"/>
  <c r="P156" i="201"/>
  <c r="P168" i="201"/>
  <c r="P151" i="201"/>
  <c r="P163" i="201"/>
  <c r="P93" i="201"/>
  <c r="P146" i="201"/>
  <c r="P158" i="201"/>
  <c r="P153" i="201"/>
  <c r="P165" i="201"/>
  <c r="P148" i="201"/>
  <c r="P160" i="201"/>
  <c r="P115" i="201"/>
  <c r="P143" i="201"/>
  <c r="P155" i="201"/>
  <c r="P167" i="201"/>
  <c r="P125" i="201"/>
  <c r="P150" i="201"/>
  <c r="P162" i="201"/>
  <c r="P137" i="201"/>
  <c r="P145" i="201"/>
  <c r="P157" i="201"/>
  <c r="P175" i="201"/>
  <c r="P39" i="201"/>
  <c r="P51" i="201"/>
  <c r="P170" i="201"/>
  <c r="P46" i="201"/>
  <c r="P177" i="201"/>
  <c r="P41" i="201"/>
  <c r="P147" i="201"/>
  <c r="P172" i="201"/>
  <c r="P36" i="201"/>
  <c r="P48" i="201"/>
  <c r="P152" i="201"/>
  <c r="P179" i="201"/>
  <c r="P43" i="201"/>
  <c r="P159" i="201"/>
  <c r="P174" i="201"/>
  <c r="P72" i="201"/>
  <c r="P38" i="201"/>
  <c r="P50" i="201"/>
  <c r="P164" i="201"/>
  <c r="P45" i="201"/>
  <c r="P176" i="201"/>
  <c r="P40" i="201"/>
  <c r="P135" i="201"/>
  <c r="P171" i="201"/>
  <c r="P47" i="201"/>
  <c r="P178" i="201"/>
  <c r="P42" i="201"/>
  <c r="P37" i="201"/>
  <c r="P55" i="201"/>
  <c r="P67" i="201"/>
  <c r="P44" i="201"/>
  <c r="P62" i="201"/>
  <c r="P7" i="201"/>
  <c r="P49" i="201"/>
  <c r="P57" i="201"/>
  <c r="P69" i="201"/>
  <c r="P169" i="201"/>
  <c r="P52" i="201"/>
  <c r="P64" i="201"/>
  <c r="P35" i="201"/>
  <c r="P9" i="201"/>
  <c r="P59" i="201"/>
  <c r="P4" i="201"/>
  <c r="P54" i="201"/>
  <c r="P66" i="201"/>
  <c r="P11" i="201"/>
  <c r="P61" i="201"/>
  <c r="P6" i="201"/>
  <c r="P56" i="201"/>
  <c r="P68" i="201"/>
  <c r="P173" i="201"/>
  <c r="P63" i="201"/>
  <c r="P8" i="201"/>
  <c r="P53" i="201"/>
  <c r="P65" i="201"/>
  <c r="P10" i="201"/>
  <c r="P21" i="201"/>
  <c r="P60" i="201"/>
  <c r="P16" i="201"/>
  <c r="P28" i="201"/>
  <c r="P58" i="201"/>
  <c r="P23" i="201"/>
  <c r="P5" i="201"/>
  <c r="P18" i="201"/>
  <c r="P30" i="201"/>
  <c r="P3" i="201"/>
  <c r="P13" i="201"/>
  <c r="P25" i="201"/>
  <c r="P24" i="201"/>
  <c r="P20" i="201"/>
  <c r="P15" i="201"/>
  <c r="P27" i="201"/>
  <c r="P12" i="201"/>
  <c r="P22" i="201"/>
  <c r="P17" i="201"/>
  <c r="P29" i="201"/>
  <c r="P19" i="201"/>
  <c r="P14" i="201"/>
  <c r="P26" i="201"/>
  <c r="P180" i="201"/>
  <c r="P181" i="201"/>
  <c r="P182" i="201"/>
  <c r="P71" i="201"/>
  <c r="P70" i="201"/>
  <c r="P34" i="201"/>
  <c r="P33" i="201"/>
  <c r="P32" i="201"/>
  <c r="Q1" i="201"/>
  <c r="P31" i="201"/>
  <c r="AF177" i="204" l="1"/>
  <c r="AF187" i="204"/>
  <c r="AF176" i="204"/>
  <c r="AF164" i="204"/>
  <c r="AF181" i="204"/>
  <c r="AF186" i="204"/>
  <c r="AF184" i="204"/>
  <c r="AF172" i="204"/>
  <c r="AF160" i="204"/>
  <c r="AF173" i="204"/>
  <c r="AF168" i="204"/>
  <c r="AF167" i="204"/>
  <c r="AF158" i="204"/>
  <c r="AF170" i="204"/>
  <c r="AF169" i="204"/>
  <c r="AF174" i="204"/>
  <c r="AF163" i="204"/>
  <c r="AF151" i="204"/>
  <c r="AF180" i="204"/>
  <c r="AF183" i="204"/>
  <c r="AF182" i="204"/>
  <c r="AF179" i="204"/>
  <c r="AF175" i="204"/>
  <c r="AF152" i="204"/>
  <c r="AF178" i="204"/>
  <c r="AF159" i="204"/>
  <c r="AF171" i="204"/>
  <c r="AF139" i="204"/>
  <c r="AF185" i="204"/>
  <c r="AF165" i="204"/>
  <c r="AF131" i="204"/>
  <c r="AF161" i="204"/>
  <c r="AF150" i="204"/>
  <c r="AF140" i="204"/>
  <c r="AF137" i="204"/>
  <c r="AF157" i="204"/>
  <c r="AF155" i="204"/>
  <c r="AF162" i="204"/>
  <c r="AF146" i="204"/>
  <c r="AF145" i="204"/>
  <c r="AF144" i="204"/>
  <c r="AF143" i="204"/>
  <c r="AF117" i="204"/>
  <c r="AF166" i="204"/>
  <c r="AF138" i="204"/>
  <c r="AF136" i="204"/>
  <c r="AF156" i="204"/>
  <c r="AF141" i="204"/>
  <c r="AF130" i="204"/>
  <c r="AF125" i="204"/>
  <c r="AF135" i="204"/>
  <c r="AF123" i="204"/>
  <c r="AF149" i="204"/>
  <c r="AF148" i="204"/>
  <c r="AF129" i="204"/>
  <c r="AF121" i="204"/>
  <c r="AF114" i="204"/>
  <c r="AF147" i="204"/>
  <c r="AF134" i="204"/>
  <c r="AF126" i="204"/>
  <c r="AF119" i="204"/>
  <c r="AF133" i="204"/>
  <c r="AF132" i="204"/>
  <c r="AF124" i="204"/>
  <c r="AF122" i="204"/>
  <c r="AF107" i="204"/>
  <c r="AF142" i="204"/>
  <c r="AF118" i="204"/>
  <c r="AF106" i="204"/>
  <c r="AF115" i="204"/>
  <c r="AF111" i="204"/>
  <c r="AF99" i="204"/>
  <c r="AF154" i="204"/>
  <c r="AF153" i="204"/>
  <c r="AF109" i="204"/>
  <c r="AF97" i="204"/>
  <c r="AF85" i="204"/>
  <c r="AF94" i="204"/>
  <c r="AF83" i="204"/>
  <c r="AF81" i="204"/>
  <c r="AF128" i="204"/>
  <c r="AF127" i="204"/>
  <c r="AF112" i="204"/>
  <c r="AF103" i="204"/>
  <c r="AF120" i="204"/>
  <c r="AF110" i="204"/>
  <c r="AF108" i="204"/>
  <c r="AF116" i="204"/>
  <c r="AF104" i="204"/>
  <c r="AF96" i="204"/>
  <c r="AF84" i="204"/>
  <c r="AF101" i="204"/>
  <c r="AF95" i="204"/>
  <c r="AF92" i="204"/>
  <c r="AF78" i="204"/>
  <c r="AF66" i="204"/>
  <c r="AF105" i="204"/>
  <c r="AF98" i="204"/>
  <c r="AF89" i="204"/>
  <c r="AF71" i="204"/>
  <c r="AF59" i="204"/>
  <c r="AF86" i="204"/>
  <c r="AF76" i="204"/>
  <c r="AF70" i="204"/>
  <c r="AF52" i="204"/>
  <c r="AF40" i="204"/>
  <c r="AF8" i="204"/>
  <c r="AF91" i="204"/>
  <c r="AF79" i="204"/>
  <c r="AF102" i="204"/>
  <c r="AF100" i="204"/>
  <c r="AF77" i="204"/>
  <c r="AF88" i="204"/>
  <c r="AF75" i="204"/>
  <c r="AF74" i="204"/>
  <c r="AF68" i="204"/>
  <c r="AF93" i="204"/>
  <c r="AF67" i="204"/>
  <c r="AF90" i="204"/>
  <c r="AF73" i="204"/>
  <c r="AF51" i="204"/>
  <c r="AF113" i="204"/>
  <c r="AF82" i="204"/>
  <c r="AF80" i="204"/>
  <c r="AF72" i="204"/>
  <c r="AF56" i="204"/>
  <c r="AF44" i="204"/>
  <c r="AF87" i="204"/>
  <c r="AF65" i="204"/>
  <c r="AF49" i="204"/>
  <c r="AF37" i="204"/>
  <c r="AF64" i="204"/>
  <c r="AF63" i="204"/>
  <c r="AF50" i="204"/>
  <c r="AF46" i="204"/>
  <c r="AF69" i="204"/>
  <c r="AF38" i="204"/>
  <c r="AF13" i="204"/>
  <c r="AF61" i="204"/>
  <c r="AF57" i="204"/>
  <c r="AF48" i="204"/>
  <c r="AF36" i="204"/>
  <c r="AF14" i="204"/>
  <c r="AF35" i="204"/>
  <c r="AF4" i="204"/>
  <c r="AF9" i="204"/>
  <c r="AF7" i="204"/>
  <c r="AF11" i="204"/>
  <c r="AF30" i="204"/>
  <c r="AF58" i="204"/>
  <c r="AF62" i="204"/>
  <c r="AF10" i="204"/>
  <c r="AF15" i="204"/>
  <c r="AF20" i="204"/>
  <c r="AF16" i="204"/>
  <c r="AF17" i="204"/>
  <c r="AF27" i="204"/>
  <c r="AF6" i="204"/>
  <c r="AF22" i="204"/>
  <c r="AF34" i="204"/>
  <c r="AF39" i="204"/>
  <c r="AF54" i="204"/>
  <c r="AF18" i="204"/>
  <c r="AF24" i="204"/>
  <c r="AF53" i="204"/>
  <c r="AF47" i="204"/>
  <c r="AF45" i="204"/>
  <c r="AF43" i="204"/>
  <c r="AF42" i="204"/>
  <c r="AF19" i="204"/>
  <c r="AF31" i="204"/>
  <c r="AF60" i="204"/>
  <c r="AF55" i="204"/>
  <c r="AF5" i="204"/>
  <c r="AF12" i="204"/>
  <c r="AF26" i="204"/>
  <c r="AF21" i="204"/>
  <c r="AF41" i="204"/>
  <c r="AF28" i="204"/>
  <c r="AF3" i="204"/>
  <c r="AF29" i="204"/>
  <c r="AF33" i="204"/>
  <c r="AF25" i="204"/>
  <c r="AF23" i="204"/>
  <c r="AF32" i="204"/>
  <c r="AG1" i="204"/>
  <c r="Q78" i="201"/>
  <c r="Q90" i="201"/>
  <c r="Q102" i="201"/>
  <c r="Q73" i="201"/>
  <c r="Q85" i="201"/>
  <c r="Q97" i="201"/>
  <c r="Q80" i="201"/>
  <c r="Q92" i="201"/>
  <c r="Q104" i="201"/>
  <c r="Q75" i="201"/>
  <c r="Q87" i="201"/>
  <c r="Q99" i="201"/>
  <c r="Q82" i="201"/>
  <c r="Q94" i="201"/>
  <c r="Q77" i="201"/>
  <c r="Q89" i="201"/>
  <c r="Q101" i="201"/>
  <c r="Q84" i="201"/>
  <c r="Q96" i="201"/>
  <c r="Q107" i="201"/>
  <c r="Q119" i="201"/>
  <c r="Q100" i="201"/>
  <c r="Q114" i="201"/>
  <c r="Q88" i="201"/>
  <c r="Q103" i="201"/>
  <c r="Q109" i="201"/>
  <c r="Q121" i="201"/>
  <c r="Q79" i="201"/>
  <c r="Q111" i="201"/>
  <c r="Q123" i="201"/>
  <c r="Q74" i="201"/>
  <c r="Q115" i="201"/>
  <c r="Q95" i="201"/>
  <c r="Q110" i="201"/>
  <c r="Q122" i="201"/>
  <c r="Q137" i="201"/>
  <c r="Q86" i="201"/>
  <c r="Q112" i="201"/>
  <c r="Q132" i="201"/>
  <c r="Q116" i="201"/>
  <c r="Q127" i="201"/>
  <c r="Q139" i="201"/>
  <c r="Q105" i="201"/>
  <c r="Q106" i="201"/>
  <c r="Q134" i="201"/>
  <c r="Q113" i="201"/>
  <c r="Q129" i="201"/>
  <c r="Q141" i="201"/>
  <c r="Q76" i="201"/>
  <c r="Q81" i="201"/>
  <c r="Q120" i="201"/>
  <c r="Q136" i="201"/>
  <c r="Q83" i="201"/>
  <c r="Q98" i="201"/>
  <c r="Q117" i="201"/>
  <c r="Q131" i="201"/>
  <c r="Q124" i="201"/>
  <c r="Q126" i="201"/>
  <c r="Q138" i="201"/>
  <c r="Q91" i="201"/>
  <c r="Q133" i="201"/>
  <c r="Q93" i="201"/>
  <c r="Q125" i="201"/>
  <c r="Q135" i="201"/>
  <c r="Q140" i="201"/>
  <c r="Q147" i="201"/>
  <c r="Q159" i="201"/>
  <c r="Q108" i="201"/>
  <c r="Q154" i="201"/>
  <c r="Q166" i="201"/>
  <c r="Q118" i="201"/>
  <c r="Q149" i="201"/>
  <c r="Q161" i="201"/>
  <c r="Q144" i="201"/>
  <c r="Q156" i="201"/>
  <c r="Q168" i="201"/>
  <c r="Q151" i="201"/>
  <c r="Q163" i="201"/>
  <c r="Q146" i="201"/>
  <c r="Q158" i="201"/>
  <c r="Q153" i="201"/>
  <c r="Q165" i="201"/>
  <c r="Q148" i="201"/>
  <c r="Q160" i="201"/>
  <c r="Q143" i="201"/>
  <c r="Q155" i="201"/>
  <c r="Q167" i="201"/>
  <c r="Q130" i="201"/>
  <c r="Q150" i="201"/>
  <c r="Q162" i="201"/>
  <c r="Q169" i="201"/>
  <c r="Q44" i="201"/>
  <c r="Q175" i="201"/>
  <c r="Q39" i="201"/>
  <c r="Q51" i="201"/>
  <c r="Q128" i="201"/>
  <c r="Q170" i="201"/>
  <c r="Q46" i="201"/>
  <c r="Q142" i="201"/>
  <c r="Q177" i="201"/>
  <c r="Q41" i="201"/>
  <c r="Q145" i="201"/>
  <c r="Q172" i="201"/>
  <c r="Q72" i="201"/>
  <c r="Q36" i="201"/>
  <c r="Q48" i="201"/>
  <c r="Q152" i="201"/>
  <c r="Q179" i="201"/>
  <c r="Q43" i="201"/>
  <c r="Q157" i="201"/>
  <c r="Q174" i="201"/>
  <c r="Q38" i="201"/>
  <c r="Q50" i="201"/>
  <c r="Q164" i="201"/>
  <c r="Q45" i="201"/>
  <c r="Q176" i="201"/>
  <c r="Q40" i="201"/>
  <c r="Q171" i="201"/>
  <c r="Q47" i="201"/>
  <c r="Q60" i="201"/>
  <c r="Q5" i="201"/>
  <c r="Q37" i="201"/>
  <c r="Q55" i="201"/>
  <c r="Q67" i="201"/>
  <c r="Q42" i="201"/>
  <c r="Q62" i="201"/>
  <c r="Q35" i="201"/>
  <c r="Q7" i="201"/>
  <c r="Q49" i="201"/>
  <c r="Q57" i="201"/>
  <c r="Q69" i="201"/>
  <c r="Q52" i="201"/>
  <c r="Q64" i="201"/>
  <c r="Q9" i="201"/>
  <c r="Q59" i="201"/>
  <c r="Q4" i="201"/>
  <c r="Q54" i="201"/>
  <c r="Q66" i="201"/>
  <c r="Q11" i="201"/>
  <c r="Q61" i="201"/>
  <c r="Q6" i="201"/>
  <c r="Q56" i="201"/>
  <c r="Q68" i="201"/>
  <c r="Q178" i="201"/>
  <c r="Q58" i="201"/>
  <c r="Q14" i="201"/>
  <c r="Q26" i="201"/>
  <c r="Q53" i="201"/>
  <c r="Q21" i="201"/>
  <c r="Q16" i="201"/>
  <c r="Q28" i="201"/>
  <c r="Q65" i="201"/>
  <c r="Q23" i="201"/>
  <c r="Q63" i="201"/>
  <c r="Q18" i="201"/>
  <c r="Q30" i="201"/>
  <c r="Q29" i="201"/>
  <c r="Q10" i="201"/>
  <c r="Q13" i="201"/>
  <c r="Q25" i="201"/>
  <c r="Q173" i="201"/>
  <c r="Q8" i="201"/>
  <c r="Q20" i="201"/>
  <c r="Q15" i="201"/>
  <c r="Q27" i="201"/>
  <c r="Q22" i="201"/>
  <c r="Q12" i="201"/>
  <c r="Q24" i="201"/>
  <c r="Q3" i="201"/>
  <c r="Q17" i="201"/>
  <c r="Q19" i="201"/>
  <c r="Q181" i="201"/>
  <c r="Q182" i="201"/>
  <c r="Q180" i="201"/>
  <c r="Q71" i="201"/>
  <c r="Q70" i="201"/>
  <c r="R1" i="201"/>
  <c r="Q34" i="201"/>
  <c r="Q33" i="201"/>
  <c r="Q31" i="201"/>
  <c r="Q32" i="201"/>
  <c r="AG182" i="204" l="1"/>
  <c r="AG170" i="204"/>
  <c r="AG187" i="204"/>
  <c r="AG181" i="204"/>
  <c r="AG169" i="204"/>
  <c r="AG186" i="204"/>
  <c r="AG174" i="204"/>
  <c r="AG177" i="204"/>
  <c r="AG165" i="204"/>
  <c r="AG184" i="204"/>
  <c r="AG153" i="204"/>
  <c r="AG168" i="204"/>
  <c r="AG180" i="204"/>
  <c r="AG183" i="204"/>
  <c r="AG179" i="204"/>
  <c r="AG175" i="204"/>
  <c r="AG172" i="204"/>
  <c r="AG167" i="204"/>
  <c r="AG178" i="204"/>
  <c r="AG164" i="204"/>
  <c r="AG159" i="204"/>
  <c r="AG171" i="204"/>
  <c r="AG151" i="204"/>
  <c r="AG139" i="204"/>
  <c r="AG185" i="204"/>
  <c r="AG160" i="204"/>
  <c r="AG144" i="204"/>
  <c r="AG161" i="204"/>
  <c r="AG154" i="204"/>
  <c r="AG149" i="204"/>
  <c r="AG143" i="204"/>
  <c r="AG136" i="204"/>
  <c r="AG157" i="204"/>
  <c r="AG155" i="204"/>
  <c r="AG176" i="204"/>
  <c r="AG162" i="204"/>
  <c r="AG163" i="204"/>
  <c r="AG148" i="204"/>
  <c r="AG147" i="204"/>
  <c r="AG138" i="204"/>
  <c r="AG166" i="204"/>
  <c r="AG128" i="204"/>
  <c r="AG122" i="204"/>
  <c r="AG156" i="204"/>
  <c r="AG145" i="204"/>
  <c r="AG133" i="204"/>
  <c r="AG173" i="204"/>
  <c r="AG141" i="204"/>
  <c r="AG127" i="204"/>
  <c r="AG142" i="204"/>
  <c r="AG132" i="204"/>
  <c r="AG116" i="204"/>
  <c r="AG158" i="204"/>
  <c r="AG150" i="204"/>
  <c r="AG134" i="204"/>
  <c r="AG126" i="204"/>
  <c r="AG119" i="204"/>
  <c r="AG140" i="204"/>
  <c r="AG124" i="204"/>
  <c r="AG135" i="204"/>
  <c r="AG120" i="204"/>
  <c r="AG112" i="204"/>
  <c r="AG100" i="204"/>
  <c r="AG137" i="204"/>
  <c r="AG146" i="204"/>
  <c r="AG118" i="204"/>
  <c r="AG106" i="204"/>
  <c r="AG123" i="204"/>
  <c r="AG121" i="204"/>
  <c r="AG115" i="204"/>
  <c r="AG111" i="204"/>
  <c r="AG99" i="204"/>
  <c r="AG114" i="204"/>
  <c r="AG113" i="204"/>
  <c r="AG104" i="204"/>
  <c r="AG102" i="204"/>
  <c r="AG90" i="204"/>
  <c r="AG152" i="204"/>
  <c r="AG129" i="204"/>
  <c r="AG91" i="204"/>
  <c r="AG103" i="204"/>
  <c r="AG110" i="204"/>
  <c r="AG125" i="204"/>
  <c r="AG108" i="204"/>
  <c r="AG117" i="204"/>
  <c r="AG87" i="204"/>
  <c r="AG80" i="204"/>
  <c r="AG101" i="204"/>
  <c r="AG95" i="204"/>
  <c r="AG92" i="204"/>
  <c r="AG78" i="204"/>
  <c r="AG109" i="204"/>
  <c r="AG107" i="204"/>
  <c r="AG105" i="204"/>
  <c r="AG98" i="204"/>
  <c r="AG89" i="204"/>
  <c r="AG71" i="204"/>
  <c r="AG59" i="204"/>
  <c r="AG131" i="204"/>
  <c r="AG86" i="204"/>
  <c r="AG76" i="204"/>
  <c r="AG64" i="204"/>
  <c r="AG130" i="204"/>
  <c r="AG81" i="204"/>
  <c r="AG79" i="204"/>
  <c r="AG69" i="204"/>
  <c r="AG63" i="204"/>
  <c r="AG57" i="204"/>
  <c r="AG45" i="204"/>
  <c r="AG13" i="204"/>
  <c r="AG83" i="204"/>
  <c r="AG77" i="204"/>
  <c r="AG88" i="204"/>
  <c r="AG75" i="204"/>
  <c r="AG74" i="204"/>
  <c r="AG93" i="204"/>
  <c r="AG67" i="204"/>
  <c r="AG61" i="204"/>
  <c r="AG97" i="204"/>
  <c r="AG85" i="204"/>
  <c r="AG96" i="204"/>
  <c r="AG73" i="204"/>
  <c r="AG82" i="204"/>
  <c r="AG72" i="204"/>
  <c r="AG66" i="204"/>
  <c r="AG56" i="204"/>
  <c r="AG44" i="204"/>
  <c r="AG65" i="204"/>
  <c r="AG49" i="204"/>
  <c r="AG58" i="204"/>
  <c r="AG54" i="204"/>
  <c r="AG42" i="204"/>
  <c r="AG4" i="204"/>
  <c r="AG84" i="204"/>
  <c r="AG43" i="204"/>
  <c r="AG40" i="204"/>
  <c r="AG51" i="204"/>
  <c r="AG7" i="204"/>
  <c r="AG55" i="204"/>
  <c r="AG52" i="204"/>
  <c r="AG37" i="204"/>
  <c r="AG94" i="204"/>
  <c r="AG60" i="204"/>
  <c r="AG11" i="204"/>
  <c r="AG70" i="204"/>
  <c r="AG68" i="204"/>
  <c r="AG53" i="204"/>
  <c r="AG41" i="204"/>
  <c r="AG23" i="204"/>
  <c r="AG62" i="204"/>
  <c r="AG36" i="204"/>
  <c r="AG10" i="204"/>
  <c r="AG15" i="204"/>
  <c r="AG20" i="204"/>
  <c r="AG39" i="204"/>
  <c r="AG35" i="204"/>
  <c r="AG14" i="204"/>
  <c r="AG16" i="204"/>
  <c r="AG17" i="204"/>
  <c r="AG27" i="204"/>
  <c r="AG6" i="204"/>
  <c r="AG9" i="204"/>
  <c r="AG22" i="204"/>
  <c r="AG50" i="204"/>
  <c r="AG47" i="204"/>
  <c r="AG29" i="204"/>
  <c r="AG48" i="204"/>
  <c r="AG46" i="204"/>
  <c r="AG38" i="204"/>
  <c r="AG18" i="204"/>
  <c r="AG24" i="204"/>
  <c r="AG8" i="204"/>
  <c r="AG19" i="204"/>
  <c r="AG5" i="204"/>
  <c r="AG12" i="204"/>
  <c r="AG21" i="204"/>
  <c r="AG33" i="204"/>
  <c r="AG28" i="204"/>
  <c r="AG26" i="204"/>
  <c r="AG31" i="204"/>
  <c r="AG3" i="204"/>
  <c r="AG25" i="204"/>
  <c r="AG30" i="204"/>
  <c r="AG32" i="204"/>
  <c r="AG34" i="204"/>
  <c r="AH1" i="204"/>
  <c r="R83" i="201"/>
  <c r="R95" i="201"/>
  <c r="R78" i="201"/>
  <c r="R90" i="201"/>
  <c r="R102" i="201"/>
  <c r="R73" i="201"/>
  <c r="R85" i="201"/>
  <c r="R97" i="201"/>
  <c r="R80" i="201"/>
  <c r="R92" i="201"/>
  <c r="R104" i="201"/>
  <c r="R75" i="201"/>
  <c r="R87" i="201"/>
  <c r="R99" i="201"/>
  <c r="R82" i="201"/>
  <c r="R94" i="201"/>
  <c r="R77" i="201"/>
  <c r="R89" i="201"/>
  <c r="R101" i="201"/>
  <c r="R74" i="201"/>
  <c r="R86" i="201"/>
  <c r="R112" i="201"/>
  <c r="R124" i="201"/>
  <c r="R107" i="201"/>
  <c r="R119" i="201"/>
  <c r="R100" i="201"/>
  <c r="R114" i="201"/>
  <c r="R91" i="201"/>
  <c r="R116" i="201"/>
  <c r="R81" i="201"/>
  <c r="R96" i="201"/>
  <c r="R108" i="201"/>
  <c r="R120" i="201"/>
  <c r="R84" i="201"/>
  <c r="R115" i="201"/>
  <c r="R122" i="201"/>
  <c r="R130" i="201"/>
  <c r="R142" i="201"/>
  <c r="R137" i="201"/>
  <c r="R88" i="201"/>
  <c r="R103" i="201"/>
  <c r="R109" i="201"/>
  <c r="R132" i="201"/>
  <c r="R123" i="201"/>
  <c r="R127" i="201"/>
  <c r="R139" i="201"/>
  <c r="R105" i="201"/>
  <c r="R106" i="201"/>
  <c r="R134" i="201"/>
  <c r="R79" i="201"/>
  <c r="R113" i="201"/>
  <c r="R129" i="201"/>
  <c r="R141" i="201"/>
  <c r="R76" i="201"/>
  <c r="R110" i="201"/>
  <c r="R136" i="201"/>
  <c r="R98" i="201"/>
  <c r="R117" i="201"/>
  <c r="R131" i="201"/>
  <c r="R121" i="201"/>
  <c r="R126" i="201"/>
  <c r="R138" i="201"/>
  <c r="R118" i="201"/>
  <c r="R128" i="201"/>
  <c r="R140" i="201"/>
  <c r="R133" i="201"/>
  <c r="R152" i="201"/>
  <c r="R164" i="201"/>
  <c r="R147" i="201"/>
  <c r="R159" i="201"/>
  <c r="R154" i="201"/>
  <c r="R166" i="201"/>
  <c r="R149" i="201"/>
  <c r="R161" i="201"/>
  <c r="R144" i="201"/>
  <c r="R156" i="201"/>
  <c r="R168" i="201"/>
  <c r="R93" i="201"/>
  <c r="R151" i="201"/>
  <c r="R163" i="201"/>
  <c r="R146" i="201"/>
  <c r="R158" i="201"/>
  <c r="R153" i="201"/>
  <c r="R165" i="201"/>
  <c r="R111" i="201"/>
  <c r="R148" i="201"/>
  <c r="R160" i="201"/>
  <c r="R125" i="201"/>
  <c r="R143" i="201"/>
  <c r="R155" i="201"/>
  <c r="R167" i="201"/>
  <c r="R173" i="201"/>
  <c r="R37" i="201"/>
  <c r="R49" i="201"/>
  <c r="R169" i="201"/>
  <c r="R44" i="201"/>
  <c r="R175" i="201"/>
  <c r="R39" i="201"/>
  <c r="R51" i="201"/>
  <c r="R170" i="201"/>
  <c r="R72" i="201"/>
  <c r="R46" i="201"/>
  <c r="R177" i="201"/>
  <c r="R41" i="201"/>
  <c r="R145" i="201"/>
  <c r="R172" i="201"/>
  <c r="R36" i="201"/>
  <c r="R48" i="201"/>
  <c r="R150" i="201"/>
  <c r="R179" i="201"/>
  <c r="R43" i="201"/>
  <c r="R157" i="201"/>
  <c r="R174" i="201"/>
  <c r="R38" i="201"/>
  <c r="R50" i="201"/>
  <c r="R162" i="201"/>
  <c r="R45" i="201"/>
  <c r="R135" i="201"/>
  <c r="R176" i="201"/>
  <c r="R40" i="201"/>
  <c r="R53" i="201"/>
  <c r="R65" i="201"/>
  <c r="R10" i="201"/>
  <c r="R60" i="201"/>
  <c r="R35" i="201"/>
  <c r="R5" i="201"/>
  <c r="R55" i="201"/>
  <c r="R67" i="201"/>
  <c r="R42" i="201"/>
  <c r="R62" i="201"/>
  <c r="R7" i="201"/>
  <c r="R47" i="201"/>
  <c r="R57" i="201"/>
  <c r="R69" i="201"/>
  <c r="R52" i="201"/>
  <c r="R64" i="201"/>
  <c r="R9" i="201"/>
  <c r="R59" i="201"/>
  <c r="R4" i="201"/>
  <c r="R54" i="201"/>
  <c r="R66" i="201"/>
  <c r="R11" i="201"/>
  <c r="R61" i="201"/>
  <c r="R6" i="201"/>
  <c r="R171" i="201"/>
  <c r="R63" i="201"/>
  <c r="R8" i="201"/>
  <c r="R19" i="201"/>
  <c r="R14" i="201"/>
  <c r="R26" i="201"/>
  <c r="R30" i="201"/>
  <c r="R21" i="201"/>
  <c r="R58" i="201"/>
  <c r="R16" i="201"/>
  <c r="R28" i="201"/>
  <c r="R56" i="201"/>
  <c r="R23" i="201"/>
  <c r="R18" i="201"/>
  <c r="R68" i="201"/>
  <c r="R13" i="201"/>
  <c r="R25" i="201"/>
  <c r="R20" i="201"/>
  <c r="R15" i="201"/>
  <c r="R27" i="201"/>
  <c r="R17" i="201"/>
  <c r="R29" i="201"/>
  <c r="R22" i="201"/>
  <c r="R178" i="201"/>
  <c r="R12" i="201"/>
  <c r="R24" i="201"/>
  <c r="R3" i="201"/>
  <c r="R182" i="201"/>
  <c r="R180" i="201"/>
  <c r="R181" i="201"/>
  <c r="R71" i="201"/>
  <c r="R70" i="201"/>
  <c r="R34" i="201"/>
  <c r="R33" i="201"/>
  <c r="R32" i="201"/>
  <c r="R31" i="201"/>
  <c r="S1" i="201"/>
  <c r="AH187" i="204" l="1"/>
  <c r="AH175" i="204"/>
  <c r="AH186" i="204"/>
  <c r="AH174" i="204"/>
  <c r="AH162" i="204"/>
  <c r="AH179" i="204"/>
  <c r="AH184" i="204"/>
  <c r="AH182" i="204"/>
  <c r="AH170" i="204"/>
  <c r="AH158" i="204"/>
  <c r="AI158" i="204" s="1"/>
  <c r="AH177" i="204"/>
  <c r="AI177" i="204" s="1"/>
  <c r="AH169" i="204"/>
  <c r="AI169" i="204" s="1"/>
  <c r="AH164" i="204"/>
  <c r="AI164" i="204" s="1"/>
  <c r="AH155" i="204"/>
  <c r="AH178" i="204"/>
  <c r="AI178" i="204" s="1"/>
  <c r="AH157" i="204"/>
  <c r="AH149" i="204"/>
  <c r="AH180" i="204"/>
  <c r="AH166" i="204"/>
  <c r="AI166" i="204" s="1"/>
  <c r="AH183" i="204"/>
  <c r="AH167" i="204"/>
  <c r="AH171" i="204"/>
  <c r="AI171" i="204" s="1"/>
  <c r="AH151" i="204"/>
  <c r="AI151" i="204" s="1"/>
  <c r="AH185" i="204"/>
  <c r="AH160" i="204"/>
  <c r="AH144" i="204"/>
  <c r="AH181" i="204"/>
  <c r="AH165" i="204"/>
  <c r="AH150" i="204"/>
  <c r="AH156" i="204"/>
  <c r="AI156" i="204" s="1"/>
  <c r="AH142" i="204"/>
  <c r="AI142" i="204" s="1"/>
  <c r="AH129" i="204"/>
  <c r="AI129" i="204" s="1"/>
  <c r="AH173" i="204"/>
  <c r="AH176" i="204"/>
  <c r="AI176" i="204" s="1"/>
  <c r="AH163" i="204"/>
  <c r="AI163" i="204" s="1"/>
  <c r="AH153" i="204"/>
  <c r="AI153" i="204" s="1"/>
  <c r="AH146" i="204"/>
  <c r="AH172" i="204"/>
  <c r="AH159" i="204"/>
  <c r="AI159" i="204" s="1"/>
  <c r="AH137" i="204"/>
  <c r="AI137" i="204" s="1"/>
  <c r="AH115" i="204"/>
  <c r="AH145" i="204"/>
  <c r="AH141" i="204"/>
  <c r="AI141" i="204" s="1"/>
  <c r="AH130" i="204"/>
  <c r="AI130" i="204" s="1"/>
  <c r="AH125" i="204"/>
  <c r="AH135" i="204"/>
  <c r="AI135" i="204" s="1"/>
  <c r="AH168" i="204"/>
  <c r="AI168" i="204" s="1"/>
  <c r="AH121" i="204"/>
  <c r="AI121" i="204" s="1"/>
  <c r="AH148" i="204"/>
  <c r="AI148" i="204" s="1"/>
  <c r="AH134" i="204"/>
  <c r="AH126" i="204"/>
  <c r="AI126" i="204" s="1"/>
  <c r="AH147" i="204"/>
  <c r="AH140" i="204"/>
  <c r="AH124" i="204"/>
  <c r="AI124" i="204" s="1"/>
  <c r="AH154" i="204"/>
  <c r="AI154" i="204" s="1"/>
  <c r="AH152" i="204"/>
  <c r="AI152" i="204" s="1"/>
  <c r="AH131" i="204"/>
  <c r="AI131" i="204" s="1"/>
  <c r="AH117" i="204"/>
  <c r="AI117" i="204" s="1"/>
  <c r="AH136" i="204"/>
  <c r="AI136" i="204" s="1"/>
  <c r="AH105" i="204"/>
  <c r="AI105" i="204" s="1"/>
  <c r="AH161" i="204"/>
  <c r="AI161" i="204" s="1"/>
  <c r="AH138" i="204"/>
  <c r="AH123" i="204"/>
  <c r="AI123" i="204" s="1"/>
  <c r="AH111" i="204"/>
  <c r="AH114" i="204"/>
  <c r="AH113" i="204"/>
  <c r="AI113" i="204" s="1"/>
  <c r="AH104" i="204"/>
  <c r="AI104" i="204" s="1"/>
  <c r="AH139" i="204"/>
  <c r="AI139" i="204" s="1"/>
  <c r="AH119" i="204"/>
  <c r="AH109" i="204"/>
  <c r="AI109" i="204" s="1"/>
  <c r="AH143" i="204"/>
  <c r="AH128" i="204"/>
  <c r="AI128" i="204" s="1"/>
  <c r="AH127" i="204"/>
  <c r="AH116" i="204"/>
  <c r="AH107" i="204"/>
  <c r="AI107" i="204" s="1"/>
  <c r="AH95" i="204"/>
  <c r="AI95" i="204" s="1"/>
  <c r="AH83" i="204"/>
  <c r="AH88" i="204"/>
  <c r="AI88" i="204" s="1"/>
  <c r="AH79" i="204"/>
  <c r="AI79" i="204" s="1"/>
  <c r="AH103" i="204"/>
  <c r="AI103" i="204" s="1"/>
  <c r="AH112" i="204"/>
  <c r="AH110" i="204"/>
  <c r="AI110" i="204" s="1"/>
  <c r="AH120" i="204"/>
  <c r="AI120" i="204" s="1"/>
  <c r="AH108" i="204"/>
  <c r="AI108" i="204" s="1"/>
  <c r="AH100" i="204"/>
  <c r="AI100" i="204" s="1"/>
  <c r="AH106" i="204"/>
  <c r="AH97" i="204"/>
  <c r="AI97" i="204" s="1"/>
  <c r="AH96" i="204"/>
  <c r="AI96" i="204" s="1"/>
  <c r="AH84" i="204"/>
  <c r="AI84" i="204" s="1"/>
  <c r="AH118" i="204"/>
  <c r="AI118" i="204" s="1"/>
  <c r="AH101" i="204"/>
  <c r="AI101" i="204" s="1"/>
  <c r="AH133" i="204"/>
  <c r="AI133" i="204" s="1"/>
  <c r="AH122" i="204"/>
  <c r="AH98" i="204"/>
  <c r="AI98" i="204" s="1"/>
  <c r="AH89" i="204"/>
  <c r="AI89" i="204" s="1"/>
  <c r="AH132" i="204"/>
  <c r="AI132" i="204" s="1"/>
  <c r="AH86" i="204"/>
  <c r="AI86" i="204" s="1"/>
  <c r="AH76" i="204"/>
  <c r="AI76" i="204" s="1"/>
  <c r="AH64" i="204"/>
  <c r="AI64" i="204" s="1"/>
  <c r="AH102" i="204"/>
  <c r="AI102" i="204" s="1"/>
  <c r="AH94" i="204"/>
  <c r="AH81" i="204"/>
  <c r="AI81" i="204" s="1"/>
  <c r="AH69" i="204"/>
  <c r="AI69" i="204" s="1"/>
  <c r="AH91" i="204"/>
  <c r="AH77" i="204"/>
  <c r="AH62" i="204"/>
  <c r="AI62" i="204" s="1"/>
  <c r="AH50" i="204"/>
  <c r="AI50" i="204" s="1"/>
  <c r="AH38" i="204"/>
  <c r="AI38" i="204" s="1"/>
  <c r="AH6" i="204"/>
  <c r="AI6" i="204" s="1"/>
  <c r="AH75" i="204"/>
  <c r="AI75" i="204" s="1"/>
  <c r="AH74" i="204"/>
  <c r="AI74" i="204" s="1"/>
  <c r="AH68" i="204"/>
  <c r="AI68" i="204" s="1"/>
  <c r="AH93" i="204"/>
  <c r="AI93" i="204" s="1"/>
  <c r="AH85" i="204"/>
  <c r="AI85" i="204" s="1"/>
  <c r="AH60" i="204"/>
  <c r="AI60" i="204" s="1"/>
  <c r="AH73" i="204"/>
  <c r="AI73" i="204" s="1"/>
  <c r="AH90" i="204"/>
  <c r="AH82" i="204"/>
  <c r="AI82" i="204" s="1"/>
  <c r="AH72" i="204"/>
  <c r="AI72" i="204" s="1"/>
  <c r="AH80" i="204"/>
  <c r="AI80" i="204" s="1"/>
  <c r="AH78" i="204"/>
  <c r="AI78" i="204" s="1"/>
  <c r="AH65" i="204"/>
  <c r="AI65" i="204" s="1"/>
  <c r="AH59" i="204"/>
  <c r="AI59" i="204" s="1"/>
  <c r="AH49" i="204"/>
  <c r="AI49" i="204" s="1"/>
  <c r="AH87" i="204"/>
  <c r="AI87" i="204" s="1"/>
  <c r="AH58" i="204"/>
  <c r="AI58" i="204" s="1"/>
  <c r="AH54" i="204"/>
  <c r="AI54" i="204" s="1"/>
  <c r="AH42" i="204"/>
  <c r="AI42" i="204" s="1"/>
  <c r="AH99" i="204"/>
  <c r="AI99" i="204" s="1"/>
  <c r="AH92" i="204"/>
  <c r="AI92" i="204" s="1"/>
  <c r="AH71" i="204"/>
  <c r="AI71" i="204" s="1"/>
  <c r="AH47" i="204"/>
  <c r="AI47" i="204" s="1"/>
  <c r="AH35" i="204"/>
  <c r="AI35" i="204" s="1"/>
  <c r="AH70" i="204"/>
  <c r="AI70" i="204" s="1"/>
  <c r="AH56" i="204"/>
  <c r="AI56" i="204" s="1"/>
  <c r="AH67" i="204"/>
  <c r="AI67" i="204" s="1"/>
  <c r="AH48" i="204"/>
  <c r="AI48" i="204" s="1"/>
  <c r="AH44" i="204"/>
  <c r="AI44" i="204" s="1"/>
  <c r="AH10" i="204"/>
  <c r="AI10" i="204" s="1"/>
  <c r="AH45" i="204"/>
  <c r="AI45" i="204" s="1"/>
  <c r="AH36" i="204"/>
  <c r="AH18" i="204"/>
  <c r="AI18" i="204" s="1"/>
  <c r="AH46" i="204"/>
  <c r="AI46" i="204" s="1"/>
  <c r="AH14" i="204"/>
  <c r="AI14" i="204" s="1"/>
  <c r="AH40" i="204"/>
  <c r="AI40" i="204" s="1"/>
  <c r="AH28" i="204"/>
  <c r="AI28" i="204" s="1"/>
  <c r="AH3" i="204"/>
  <c r="AI3" i="204" s="1"/>
  <c r="AH7" i="204"/>
  <c r="AI7" i="204" s="1"/>
  <c r="AH11" i="204"/>
  <c r="AI11" i="204" s="1"/>
  <c r="AH4" i="204"/>
  <c r="AI4" i="204" s="1"/>
  <c r="AH39" i="204"/>
  <c r="AI39" i="204" s="1"/>
  <c r="AH25" i="204"/>
  <c r="AI25" i="204" s="1"/>
  <c r="AH15" i="204"/>
  <c r="AI15" i="204" s="1"/>
  <c r="AH20" i="204"/>
  <c r="AI20" i="204" s="1"/>
  <c r="AH32" i="204"/>
  <c r="AI32" i="204" s="1"/>
  <c r="AH27" i="204"/>
  <c r="AI27" i="204" s="1"/>
  <c r="AH63" i="204"/>
  <c r="AI63" i="204" s="1"/>
  <c r="AH16" i="204"/>
  <c r="AI16" i="204" s="1"/>
  <c r="AH17" i="204"/>
  <c r="AI17" i="204" s="1"/>
  <c r="AH53" i="204"/>
  <c r="AI53" i="204" s="1"/>
  <c r="AH52" i="204"/>
  <c r="AI52" i="204" s="1"/>
  <c r="AH43" i="204"/>
  <c r="AI43" i="204" s="1"/>
  <c r="AH9" i="204"/>
  <c r="AI9" i="204" s="1"/>
  <c r="AH22" i="204"/>
  <c r="AI22" i="204" s="1"/>
  <c r="AH34" i="204"/>
  <c r="AI34" i="204" s="1"/>
  <c r="AH55" i="204"/>
  <c r="AI55" i="204" s="1"/>
  <c r="AH51" i="204"/>
  <c r="AI51" i="204" s="1"/>
  <c r="AH13" i="204"/>
  <c r="AI13" i="204" s="1"/>
  <c r="AH29" i="204"/>
  <c r="AI29" i="204" s="1"/>
  <c r="AH24" i="204"/>
  <c r="AI24" i="204" s="1"/>
  <c r="AH41" i="204"/>
  <c r="AI41" i="204" s="1"/>
  <c r="AH8" i="204"/>
  <c r="AI8" i="204" s="1"/>
  <c r="AH19" i="204"/>
  <c r="AI19" i="204" s="1"/>
  <c r="AH57" i="204"/>
  <c r="AI57" i="204" s="1"/>
  <c r="AH37" i="204"/>
  <c r="AI37" i="204" s="1"/>
  <c r="AH5" i="204"/>
  <c r="AI5" i="204" s="1"/>
  <c r="AH12" i="204"/>
  <c r="AI12" i="204" s="1"/>
  <c r="AH26" i="204"/>
  <c r="AI26" i="204" s="1"/>
  <c r="AH66" i="204"/>
  <c r="AI66" i="204" s="1"/>
  <c r="AH61" i="204"/>
  <c r="AI61" i="204" s="1"/>
  <c r="AH31" i="204"/>
  <c r="AI31" i="204" s="1"/>
  <c r="AH33" i="204"/>
  <c r="AI33" i="204" s="1"/>
  <c r="AH23" i="204"/>
  <c r="AI23" i="204" s="1"/>
  <c r="AH21" i="204"/>
  <c r="AI21" i="204" s="1"/>
  <c r="AH30" i="204"/>
  <c r="AI30" i="204" s="1"/>
  <c r="AI174" i="204"/>
  <c r="AI165" i="204"/>
  <c r="AI162" i="204"/>
  <c r="AI175" i="204"/>
  <c r="AI172" i="204"/>
  <c r="AI160" i="204"/>
  <c r="AI157" i="204"/>
  <c r="AI179" i="204"/>
  <c r="AI173" i="204"/>
  <c r="AI170" i="204"/>
  <c r="AI167" i="204"/>
  <c r="AI155" i="204"/>
  <c r="AI149" i="204"/>
  <c r="AI146" i="204"/>
  <c r="AI150" i="204"/>
  <c r="AI147" i="204"/>
  <c r="AI144" i="204"/>
  <c r="AI127" i="204"/>
  <c r="AI138" i="204"/>
  <c r="AI125" i="204"/>
  <c r="AI145" i="204"/>
  <c r="AI119" i="204"/>
  <c r="AI83" i="204"/>
  <c r="AI140" i="204"/>
  <c r="AI112" i="204"/>
  <c r="AI114" i="204"/>
  <c r="AI90" i="204"/>
  <c r="AI115" i="204"/>
  <c r="AI106" i="204"/>
  <c r="AI134" i="204"/>
  <c r="AI111" i="204"/>
  <c r="AI94" i="204"/>
  <c r="AI122" i="204"/>
  <c r="AI116" i="204"/>
  <c r="AI77" i="204"/>
  <c r="AI36" i="204"/>
  <c r="S76" i="201"/>
  <c r="S88" i="201"/>
  <c r="S100" i="201"/>
  <c r="S83" i="201"/>
  <c r="S95" i="201"/>
  <c r="S78" i="201"/>
  <c r="S90" i="201"/>
  <c r="S102" i="201"/>
  <c r="S73" i="201"/>
  <c r="S85" i="201"/>
  <c r="S97" i="201"/>
  <c r="S80" i="201"/>
  <c r="S92" i="201"/>
  <c r="S104" i="201"/>
  <c r="S75" i="201"/>
  <c r="S87" i="201"/>
  <c r="S99" i="201"/>
  <c r="S82" i="201"/>
  <c r="S94" i="201"/>
  <c r="S77" i="201"/>
  <c r="S98" i="201"/>
  <c r="S117" i="201"/>
  <c r="S86" i="201"/>
  <c r="S101" i="201"/>
  <c r="S112" i="201"/>
  <c r="S124" i="201"/>
  <c r="S89" i="201"/>
  <c r="S107" i="201"/>
  <c r="S119" i="201"/>
  <c r="S103" i="201"/>
  <c r="S109" i="201"/>
  <c r="S121" i="201"/>
  <c r="S74" i="201"/>
  <c r="S93" i="201"/>
  <c r="S113" i="201"/>
  <c r="S125" i="201"/>
  <c r="S81" i="201"/>
  <c r="S96" i="201"/>
  <c r="S108" i="201"/>
  <c r="S120" i="201"/>
  <c r="S84" i="201"/>
  <c r="S115" i="201"/>
  <c r="S135" i="201"/>
  <c r="S122" i="201"/>
  <c r="S130" i="201"/>
  <c r="S142" i="201"/>
  <c r="S137" i="201"/>
  <c r="S116" i="201"/>
  <c r="S132" i="201"/>
  <c r="S123" i="201"/>
  <c r="S127" i="201"/>
  <c r="S139" i="201"/>
  <c r="S105" i="201"/>
  <c r="S106" i="201"/>
  <c r="S134" i="201"/>
  <c r="S79" i="201"/>
  <c r="S129" i="201"/>
  <c r="S141" i="201"/>
  <c r="S110" i="201"/>
  <c r="S136" i="201"/>
  <c r="S114" i="201"/>
  <c r="S131" i="201"/>
  <c r="S111" i="201"/>
  <c r="S133" i="201"/>
  <c r="S126" i="201"/>
  <c r="S145" i="201"/>
  <c r="S157" i="201"/>
  <c r="S169" i="201"/>
  <c r="S140" i="201"/>
  <c r="S152" i="201"/>
  <c r="S164" i="201"/>
  <c r="S91" i="201"/>
  <c r="S138" i="201"/>
  <c r="S147" i="201"/>
  <c r="S159" i="201"/>
  <c r="S118" i="201"/>
  <c r="S154" i="201"/>
  <c r="S166" i="201"/>
  <c r="S149" i="201"/>
  <c r="S161" i="201"/>
  <c r="S144" i="201"/>
  <c r="S156" i="201"/>
  <c r="S168" i="201"/>
  <c r="S151" i="201"/>
  <c r="S163" i="201"/>
  <c r="S146" i="201"/>
  <c r="S158" i="201"/>
  <c r="S153" i="201"/>
  <c r="S165" i="201"/>
  <c r="S148" i="201"/>
  <c r="S160" i="201"/>
  <c r="S178" i="201"/>
  <c r="S42" i="201"/>
  <c r="S173" i="201"/>
  <c r="S37" i="201"/>
  <c r="S49" i="201"/>
  <c r="S72" i="201"/>
  <c r="S44" i="201"/>
  <c r="S128" i="201"/>
  <c r="S175" i="201"/>
  <c r="S39" i="201"/>
  <c r="S170" i="201"/>
  <c r="S46" i="201"/>
  <c r="S177" i="201"/>
  <c r="S41" i="201"/>
  <c r="S143" i="201"/>
  <c r="S172" i="201"/>
  <c r="S36" i="201"/>
  <c r="S48" i="201"/>
  <c r="S150" i="201"/>
  <c r="S179" i="201"/>
  <c r="S43" i="201"/>
  <c r="S155" i="201"/>
  <c r="S174" i="201"/>
  <c r="S38" i="201"/>
  <c r="S50" i="201"/>
  <c r="S162" i="201"/>
  <c r="S45" i="201"/>
  <c r="S167" i="201"/>
  <c r="S176" i="201"/>
  <c r="S58" i="201"/>
  <c r="S35" i="201"/>
  <c r="S53" i="201"/>
  <c r="S65" i="201"/>
  <c r="S10" i="201"/>
  <c r="S51" i="201"/>
  <c r="S60" i="201"/>
  <c r="S5" i="201"/>
  <c r="S55" i="201"/>
  <c r="S67" i="201"/>
  <c r="S40" i="201"/>
  <c r="S62" i="201"/>
  <c r="S7" i="201"/>
  <c r="S47" i="201"/>
  <c r="S57" i="201"/>
  <c r="S69" i="201"/>
  <c r="S52" i="201"/>
  <c r="S64" i="201"/>
  <c r="S9" i="201"/>
  <c r="S59" i="201"/>
  <c r="S4" i="201"/>
  <c r="S54" i="201"/>
  <c r="S66" i="201"/>
  <c r="S11" i="201"/>
  <c r="S56" i="201"/>
  <c r="S68" i="201"/>
  <c r="S12" i="201"/>
  <c r="S24" i="201"/>
  <c r="S3" i="201"/>
  <c r="S27" i="201"/>
  <c r="S19" i="201"/>
  <c r="S14" i="201"/>
  <c r="S26" i="201"/>
  <c r="S21" i="201"/>
  <c r="S16" i="201"/>
  <c r="S28" i="201"/>
  <c r="S171" i="201"/>
  <c r="S63" i="201"/>
  <c r="S23" i="201"/>
  <c r="S61" i="201"/>
  <c r="S18" i="201"/>
  <c r="S30" i="201"/>
  <c r="S8" i="201"/>
  <c r="S13" i="201"/>
  <c r="S25" i="201"/>
  <c r="S6" i="201"/>
  <c r="S20" i="201"/>
  <c r="S15" i="201"/>
  <c r="S22" i="201"/>
  <c r="S17" i="201"/>
  <c r="S29" i="201"/>
  <c r="S180" i="201"/>
  <c r="S181" i="201"/>
  <c r="S182" i="201"/>
  <c r="S71" i="201"/>
  <c r="S70" i="201"/>
  <c r="S34" i="201"/>
  <c r="S33" i="201"/>
  <c r="S31" i="201"/>
  <c r="S32" i="201"/>
  <c r="T1" i="201"/>
  <c r="T81" i="201" l="1"/>
  <c r="T93" i="201"/>
  <c r="T105" i="201"/>
  <c r="T76" i="201"/>
  <c r="T88" i="201"/>
  <c r="T100" i="201"/>
  <c r="T83" i="201"/>
  <c r="T95" i="201"/>
  <c r="T78" i="201"/>
  <c r="T90" i="201"/>
  <c r="T102" i="201"/>
  <c r="T73" i="201"/>
  <c r="T85" i="201"/>
  <c r="T97" i="201"/>
  <c r="T80" i="201"/>
  <c r="T92" i="201"/>
  <c r="T104" i="201"/>
  <c r="T75" i="201"/>
  <c r="T87" i="201"/>
  <c r="T99" i="201"/>
  <c r="T110" i="201"/>
  <c r="T122" i="201"/>
  <c r="T98" i="201"/>
  <c r="T117" i="201"/>
  <c r="T86" i="201"/>
  <c r="T101" i="201"/>
  <c r="T112" i="201"/>
  <c r="T124" i="201"/>
  <c r="T114" i="201"/>
  <c r="T74" i="201"/>
  <c r="T82" i="201"/>
  <c r="T106" i="201"/>
  <c r="T118" i="201"/>
  <c r="T113" i="201"/>
  <c r="T125" i="201"/>
  <c r="T108" i="201"/>
  <c r="T128" i="201"/>
  <c r="T140" i="201"/>
  <c r="T84" i="201"/>
  <c r="T115" i="201"/>
  <c r="T135" i="201"/>
  <c r="T119" i="201"/>
  <c r="T130" i="201"/>
  <c r="T142" i="201"/>
  <c r="T103" i="201"/>
  <c r="T109" i="201"/>
  <c r="T137" i="201"/>
  <c r="T116" i="201"/>
  <c r="T132" i="201"/>
  <c r="T94" i="201"/>
  <c r="T123" i="201"/>
  <c r="T127" i="201"/>
  <c r="T139" i="201"/>
  <c r="T96" i="201"/>
  <c r="T120" i="201"/>
  <c r="T134" i="201"/>
  <c r="T79" i="201"/>
  <c r="T129" i="201"/>
  <c r="T141" i="201"/>
  <c r="T77" i="201"/>
  <c r="T89" i="201"/>
  <c r="T107" i="201"/>
  <c r="T136" i="201"/>
  <c r="T91" i="201"/>
  <c r="T126" i="201"/>
  <c r="T138" i="201"/>
  <c r="T150" i="201"/>
  <c r="T162" i="201"/>
  <c r="T133" i="201"/>
  <c r="T145" i="201"/>
  <c r="T157" i="201"/>
  <c r="T169" i="201"/>
  <c r="T131" i="201"/>
  <c r="T152" i="201"/>
  <c r="T164" i="201"/>
  <c r="T147" i="201"/>
  <c r="T159" i="201"/>
  <c r="T154" i="201"/>
  <c r="T166" i="201"/>
  <c r="T149" i="201"/>
  <c r="T161" i="201"/>
  <c r="T144" i="201"/>
  <c r="T156" i="201"/>
  <c r="T168" i="201"/>
  <c r="T151" i="201"/>
  <c r="T163" i="201"/>
  <c r="T146" i="201"/>
  <c r="T158" i="201"/>
  <c r="T111" i="201"/>
  <c r="T153" i="201"/>
  <c r="T165" i="201"/>
  <c r="T171" i="201"/>
  <c r="T47" i="201"/>
  <c r="T178" i="201"/>
  <c r="T72" i="201"/>
  <c r="T42" i="201"/>
  <c r="T173" i="201"/>
  <c r="T37" i="201"/>
  <c r="T49" i="201"/>
  <c r="T44" i="201"/>
  <c r="T175" i="201"/>
  <c r="T39" i="201"/>
  <c r="T51" i="201"/>
  <c r="T170" i="201"/>
  <c r="T46" i="201"/>
  <c r="T177" i="201"/>
  <c r="T41" i="201"/>
  <c r="T143" i="201"/>
  <c r="T172" i="201"/>
  <c r="T36" i="201"/>
  <c r="T48" i="201"/>
  <c r="T148" i="201"/>
  <c r="T179" i="201"/>
  <c r="T43" i="201"/>
  <c r="T155" i="201"/>
  <c r="T174" i="201"/>
  <c r="T38" i="201"/>
  <c r="T50" i="201"/>
  <c r="T121" i="201"/>
  <c r="T63" i="201"/>
  <c r="T8" i="201"/>
  <c r="T167" i="201"/>
  <c r="T176" i="201"/>
  <c r="T58" i="201"/>
  <c r="T53" i="201"/>
  <c r="T65" i="201"/>
  <c r="T10" i="201"/>
  <c r="T60" i="201"/>
  <c r="T5" i="201"/>
  <c r="T55" i="201"/>
  <c r="T67" i="201"/>
  <c r="T40" i="201"/>
  <c r="T62" i="201"/>
  <c r="T7" i="201"/>
  <c r="T160" i="201"/>
  <c r="T45" i="201"/>
  <c r="T57" i="201"/>
  <c r="T69" i="201"/>
  <c r="T52" i="201"/>
  <c r="T64" i="201"/>
  <c r="T9" i="201"/>
  <c r="T59" i="201"/>
  <c r="T4" i="201"/>
  <c r="T61" i="201"/>
  <c r="T6" i="201"/>
  <c r="T17" i="201"/>
  <c r="T29" i="201"/>
  <c r="T28" i="201"/>
  <c r="T12" i="201"/>
  <c r="T24" i="201"/>
  <c r="T3" i="201"/>
  <c r="T20" i="201"/>
  <c r="T19" i="201"/>
  <c r="T14" i="201"/>
  <c r="T26" i="201"/>
  <c r="T21" i="201"/>
  <c r="T56" i="201"/>
  <c r="T35" i="201"/>
  <c r="T16" i="201"/>
  <c r="T54" i="201"/>
  <c r="T23" i="201"/>
  <c r="T68" i="201"/>
  <c r="T18" i="201"/>
  <c r="T30" i="201"/>
  <c r="T66" i="201"/>
  <c r="T13" i="201"/>
  <c r="T25" i="201"/>
  <c r="T11" i="201"/>
  <c r="T15" i="201"/>
  <c r="T27" i="201"/>
  <c r="T22" i="201"/>
  <c r="T180" i="201"/>
  <c r="T181" i="201"/>
  <c r="T182" i="201"/>
  <c r="T71" i="201"/>
  <c r="T70" i="201"/>
  <c r="T34" i="201"/>
  <c r="T33" i="201"/>
  <c r="T32" i="201"/>
  <c r="U1" i="201"/>
  <c r="T31" i="201"/>
  <c r="U74" i="201" l="1"/>
  <c r="U86" i="201"/>
  <c r="U98" i="201"/>
  <c r="U81" i="201"/>
  <c r="U93" i="201"/>
  <c r="U105" i="201"/>
  <c r="U76" i="201"/>
  <c r="U88" i="201"/>
  <c r="U100" i="201"/>
  <c r="U83" i="201"/>
  <c r="U95" i="201"/>
  <c r="U78" i="201"/>
  <c r="U90" i="201"/>
  <c r="U102" i="201"/>
  <c r="U73" i="201"/>
  <c r="U85" i="201"/>
  <c r="U97" i="201"/>
  <c r="U80" i="201"/>
  <c r="U92" i="201"/>
  <c r="U104" i="201"/>
  <c r="U75" i="201"/>
  <c r="U77" i="201"/>
  <c r="U84" i="201"/>
  <c r="U99" i="201"/>
  <c r="U115" i="201"/>
  <c r="U87" i="201"/>
  <c r="U110" i="201"/>
  <c r="U122" i="201"/>
  <c r="U117" i="201"/>
  <c r="U89" i="201"/>
  <c r="U107" i="201"/>
  <c r="U119" i="201"/>
  <c r="U79" i="201"/>
  <c r="U94" i="201"/>
  <c r="U111" i="201"/>
  <c r="U123" i="201"/>
  <c r="U82" i="201"/>
  <c r="U106" i="201"/>
  <c r="U118" i="201"/>
  <c r="U125" i="201"/>
  <c r="U133" i="201"/>
  <c r="U108" i="201"/>
  <c r="U128" i="201"/>
  <c r="U140" i="201"/>
  <c r="U101" i="201"/>
  <c r="U112" i="201"/>
  <c r="U135" i="201"/>
  <c r="U130" i="201"/>
  <c r="U142" i="201"/>
  <c r="U103" i="201"/>
  <c r="U109" i="201"/>
  <c r="U137" i="201"/>
  <c r="U116" i="201"/>
  <c r="U132" i="201"/>
  <c r="U113" i="201"/>
  <c r="U127" i="201"/>
  <c r="U139" i="201"/>
  <c r="U96" i="201"/>
  <c r="U120" i="201"/>
  <c r="U134" i="201"/>
  <c r="U124" i="201"/>
  <c r="U129" i="201"/>
  <c r="U141" i="201"/>
  <c r="U121" i="201"/>
  <c r="U131" i="201"/>
  <c r="U143" i="201"/>
  <c r="U155" i="201"/>
  <c r="U167" i="201"/>
  <c r="U126" i="201"/>
  <c r="U150" i="201"/>
  <c r="U162" i="201"/>
  <c r="U145" i="201"/>
  <c r="U157" i="201"/>
  <c r="U169" i="201"/>
  <c r="U91" i="201"/>
  <c r="U138" i="201"/>
  <c r="U152" i="201"/>
  <c r="U164" i="201"/>
  <c r="U114" i="201"/>
  <c r="U136" i="201"/>
  <c r="U147" i="201"/>
  <c r="U159" i="201"/>
  <c r="U154" i="201"/>
  <c r="U166" i="201"/>
  <c r="U149" i="201"/>
  <c r="U161" i="201"/>
  <c r="U144" i="201"/>
  <c r="U156" i="201"/>
  <c r="U168" i="201"/>
  <c r="U151" i="201"/>
  <c r="U163" i="201"/>
  <c r="U146" i="201"/>
  <c r="U158" i="201"/>
  <c r="U165" i="201"/>
  <c r="U176" i="201"/>
  <c r="U72" i="201"/>
  <c r="U40" i="201"/>
  <c r="U171" i="201"/>
  <c r="U47" i="201"/>
  <c r="U178" i="201"/>
  <c r="U42" i="201"/>
  <c r="U173" i="201"/>
  <c r="U37" i="201"/>
  <c r="U49" i="201"/>
  <c r="U44" i="201"/>
  <c r="U175" i="201"/>
  <c r="U39" i="201"/>
  <c r="U170" i="201"/>
  <c r="U46" i="201"/>
  <c r="U177" i="201"/>
  <c r="U41" i="201"/>
  <c r="U172" i="201"/>
  <c r="U36" i="201"/>
  <c r="U48" i="201"/>
  <c r="U148" i="201"/>
  <c r="U179" i="201"/>
  <c r="U43" i="201"/>
  <c r="U153" i="201"/>
  <c r="U56" i="201"/>
  <c r="U68" i="201"/>
  <c r="U63" i="201"/>
  <c r="U8" i="201"/>
  <c r="U174" i="201"/>
  <c r="U58" i="201"/>
  <c r="U51" i="201"/>
  <c r="U53" i="201"/>
  <c r="U65" i="201"/>
  <c r="U10" i="201"/>
  <c r="U60" i="201"/>
  <c r="U5" i="201"/>
  <c r="U55" i="201"/>
  <c r="U67" i="201"/>
  <c r="U38" i="201"/>
  <c r="U62" i="201"/>
  <c r="U7" i="201"/>
  <c r="U160" i="201"/>
  <c r="U45" i="201"/>
  <c r="U57" i="201"/>
  <c r="U69" i="201"/>
  <c r="U50" i="201"/>
  <c r="U52" i="201"/>
  <c r="U64" i="201"/>
  <c r="U9" i="201"/>
  <c r="U54" i="201"/>
  <c r="U66" i="201"/>
  <c r="U35" i="201"/>
  <c r="U11" i="201"/>
  <c r="U22" i="201"/>
  <c r="U17" i="201"/>
  <c r="U29" i="201"/>
  <c r="U25" i="201"/>
  <c r="U12" i="201"/>
  <c r="U24" i="201"/>
  <c r="U3" i="201"/>
  <c r="U19" i="201"/>
  <c r="U14" i="201"/>
  <c r="U26" i="201"/>
  <c r="U21" i="201"/>
  <c r="U16" i="201"/>
  <c r="U28" i="201"/>
  <c r="U61" i="201"/>
  <c r="U23" i="201"/>
  <c r="U59" i="201"/>
  <c r="U18" i="201"/>
  <c r="U30" i="201"/>
  <c r="U6" i="201"/>
  <c r="U4" i="201"/>
  <c r="U20" i="201"/>
  <c r="U15" i="201"/>
  <c r="U27" i="201"/>
  <c r="U13" i="201"/>
  <c r="U181" i="201"/>
  <c r="U182" i="201"/>
  <c r="U180" i="201"/>
  <c r="U71" i="201"/>
  <c r="U70" i="201"/>
  <c r="V1" i="201"/>
  <c r="U34" i="201"/>
  <c r="U33" i="201"/>
  <c r="U32" i="201"/>
  <c r="U31" i="201"/>
  <c r="V79" i="201" l="1"/>
  <c r="V91" i="201"/>
  <c r="V103" i="201"/>
  <c r="V74" i="201"/>
  <c r="V86" i="201"/>
  <c r="V98" i="201"/>
  <c r="V81" i="201"/>
  <c r="V93" i="201"/>
  <c r="V105" i="201"/>
  <c r="V76" i="201"/>
  <c r="V88" i="201"/>
  <c r="V100" i="201"/>
  <c r="V83" i="201"/>
  <c r="V95" i="201"/>
  <c r="V78" i="201"/>
  <c r="V90" i="201"/>
  <c r="V102" i="201"/>
  <c r="V73" i="201"/>
  <c r="V85" i="201"/>
  <c r="V97" i="201"/>
  <c r="V96" i="201"/>
  <c r="V108" i="201"/>
  <c r="V120" i="201"/>
  <c r="V84" i="201"/>
  <c r="V99" i="201"/>
  <c r="V115" i="201"/>
  <c r="V87" i="201"/>
  <c r="V110" i="201"/>
  <c r="V122" i="201"/>
  <c r="V75" i="201"/>
  <c r="V101" i="201"/>
  <c r="V112" i="201"/>
  <c r="V124" i="201"/>
  <c r="V116" i="201"/>
  <c r="V94" i="201"/>
  <c r="V111" i="201"/>
  <c r="V123" i="201"/>
  <c r="V80" i="201"/>
  <c r="V82" i="201"/>
  <c r="V118" i="201"/>
  <c r="V126" i="201"/>
  <c r="V138" i="201"/>
  <c r="V125" i="201"/>
  <c r="V133" i="201"/>
  <c r="V128" i="201"/>
  <c r="V140" i="201"/>
  <c r="V119" i="201"/>
  <c r="V135" i="201"/>
  <c r="V92" i="201"/>
  <c r="V130" i="201"/>
  <c r="V142" i="201"/>
  <c r="V109" i="201"/>
  <c r="V137" i="201"/>
  <c r="V106" i="201"/>
  <c r="V132" i="201"/>
  <c r="V113" i="201"/>
  <c r="V127" i="201"/>
  <c r="V139" i="201"/>
  <c r="V117" i="201"/>
  <c r="V134" i="201"/>
  <c r="V114" i="201"/>
  <c r="V136" i="201"/>
  <c r="V77" i="201"/>
  <c r="V89" i="201"/>
  <c r="V148" i="201"/>
  <c r="V160" i="201"/>
  <c r="V143" i="201"/>
  <c r="V155" i="201"/>
  <c r="V167" i="201"/>
  <c r="V150" i="201"/>
  <c r="V162" i="201"/>
  <c r="V131" i="201"/>
  <c r="V145" i="201"/>
  <c r="V157" i="201"/>
  <c r="V169" i="201"/>
  <c r="V104" i="201"/>
  <c r="V129" i="201"/>
  <c r="V152" i="201"/>
  <c r="V164" i="201"/>
  <c r="V147" i="201"/>
  <c r="V159" i="201"/>
  <c r="V141" i="201"/>
  <c r="V154" i="201"/>
  <c r="V166" i="201"/>
  <c r="V149" i="201"/>
  <c r="V161" i="201"/>
  <c r="V144" i="201"/>
  <c r="V156" i="201"/>
  <c r="V168" i="201"/>
  <c r="V151" i="201"/>
  <c r="V163" i="201"/>
  <c r="V158" i="201"/>
  <c r="V45" i="201"/>
  <c r="V165" i="201"/>
  <c r="V176" i="201"/>
  <c r="V40" i="201"/>
  <c r="V171" i="201"/>
  <c r="V47" i="201"/>
  <c r="V178" i="201"/>
  <c r="V42" i="201"/>
  <c r="V107" i="201"/>
  <c r="V173" i="201"/>
  <c r="V37" i="201"/>
  <c r="V49" i="201"/>
  <c r="V44" i="201"/>
  <c r="V175" i="201"/>
  <c r="V39" i="201"/>
  <c r="V170" i="201"/>
  <c r="V46" i="201"/>
  <c r="V177" i="201"/>
  <c r="V41" i="201"/>
  <c r="V172" i="201"/>
  <c r="V36" i="201"/>
  <c r="V48" i="201"/>
  <c r="V61" i="201"/>
  <c r="V6" i="201"/>
  <c r="V121" i="201"/>
  <c r="V153" i="201"/>
  <c r="V56" i="201"/>
  <c r="V68" i="201"/>
  <c r="V63" i="201"/>
  <c r="V8" i="201"/>
  <c r="V174" i="201"/>
  <c r="V58" i="201"/>
  <c r="V179" i="201"/>
  <c r="V51" i="201"/>
  <c r="V53" i="201"/>
  <c r="V65" i="201"/>
  <c r="V10" i="201"/>
  <c r="V60" i="201"/>
  <c r="V5" i="201"/>
  <c r="V146" i="201"/>
  <c r="V55" i="201"/>
  <c r="V67" i="201"/>
  <c r="V38" i="201"/>
  <c r="V62" i="201"/>
  <c r="V7" i="201"/>
  <c r="V43" i="201"/>
  <c r="V57" i="201"/>
  <c r="V69" i="201"/>
  <c r="V59" i="201"/>
  <c r="V4" i="201"/>
  <c r="V72" i="201"/>
  <c r="V9" i="201"/>
  <c r="V15" i="201"/>
  <c r="V27" i="201"/>
  <c r="V22" i="201"/>
  <c r="V50" i="201"/>
  <c r="V17" i="201"/>
  <c r="V29" i="201"/>
  <c r="V12" i="201"/>
  <c r="V24" i="201"/>
  <c r="V3" i="201"/>
  <c r="V35" i="201"/>
  <c r="V19" i="201"/>
  <c r="V26" i="201"/>
  <c r="V66" i="201"/>
  <c r="V14" i="201"/>
  <c r="V21" i="201"/>
  <c r="V18" i="201"/>
  <c r="V54" i="201"/>
  <c r="V16" i="201"/>
  <c r="V28" i="201"/>
  <c r="V52" i="201"/>
  <c r="V23" i="201"/>
  <c r="V30" i="201"/>
  <c r="V64" i="201"/>
  <c r="V13" i="201"/>
  <c r="V25" i="201"/>
  <c r="V11" i="201"/>
  <c r="V20" i="201"/>
  <c r="V182" i="201"/>
  <c r="V180" i="201"/>
  <c r="V181" i="201"/>
  <c r="V71" i="201"/>
  <c r="V70" i="201"/>
  <c r="V34" i="201"/>
  <c r="V33" i="201"/>
  <c r="V32" i="201"/>
  <c r="V31" i="201"/>
  <c r="W1" i="201"/>
  <c r="W84" i="201" l="1"/>
  <c r="W96" i="201"/>
  <c r="W79" i="201"/>
  <c r="W91" i="201"/>
  <c r="W103" i="201"/>
  <c r="W74" i="201"/>
  <c r="W86" i="201"/>
  <c r="W98" i="201"/>
  <c r="W81" i="201"/>
  <c r="W93" i="201"/>
  <c r="W105" i="201"/>
  <c r="W76" i="201"/>
  <c r="W88" i="201"/>
  <c r="W100" i="201"/>
  <c r="W83" i="201"/>
  <c r="W95" i="201"/>
  <c r="W78" i="201"/>
  <c r="W90" i="201"/>
  <c r="W102" i="201"/>
  <c r="W73" i="201"/>
  <c r="W75" i="201"/>
  <c r="W85" i="201"/>
  <c r="W113" i="201"/>
  <c r="W125" i="201"/>
  <c r="W108" i="201"/>
  <c r="W120" i="201"/>
  <c r="W99" i="201"/>
  <c r="W115" i="201"/>
  <c r="W117" i="201"/>
  <c r="W77" i="201"/>
  <c r="W80" i="201"/>
  <c r="W109" i="201"/>
  <c r="W121" i="201"/>
  <c r="W116" i="201"/>
  <c r="W111" i="201"/>
  <c r="W131" i="201"/>
  <c r="W82" i="201"/>
  <c r="W97" i="201"/>
  <c r="W118" i="201"/>
  <c r="W126" i="201"/>
  <c r="W138" i="201"/>
  <c r="W122" i="201"/>
  <c r="W133" i="201"/>
  <c r="W101" i="201"/>
  <c r="W112" i="201"/>
  <c r="W128" i="201"/>
  <c r="W140" i="201"/>
  <c r="W119" i="201"/>
  <c r="W135" i="201"/>
  <c r="W92" i="201"/>
  <c r="W130" i="201"/>
  <c r="W94" i="201"/>
  <c r="W123" i="201"/>
  <c r="W137" i="201"/>
  <c r="W106" i="201"/>
  <c r="W132" i="201"/>
  <c r="W87" i="201"/>
  <c r="W110" i="201"/>
  <c r="W127" i="201"/>
  <c r="W139" i="201"/>
  <c r="W89" i="201"/>
  <c r="W104" i="201"/>
  <c r="W107" i="201"/>
  <c r="W129" i="201"/>
  <c r="W141" i="201"/>
  <c r="W142" i="201"/>
  <c r="W153" i="201"/>
  <c r="W165" i="201"/>
  <c r="W148" i="201"/>
  <c r="W160" i="201"/>
  <c r="W143" i="201"/>
  <c r="W155" i="201"/>
  <c r="W167" i="201"/>
  <c r="W150" i="201"/>
  <c r="W162" i="201"/>
  <c r="W145" i="201"/>
  <c r="W157" i="201"/>
  <c r="W169" i="201"/>
  <c r="W114" i="201"/>
  <c r="W136" i="201"/>
  <c r="W152" i="201"/>
  <c r="W164" i="201"/>
  <c r="W124" i="201"/>
  <c r="W134" i="201"/>
  <c r="W147" i="201"/>
  <c r="W159" i="201"/>
  <c r="W154" i="201"/>
  <c r="W166" i="201"/>
  <c r="W149" i="201"/>
  <c r="W161" i="201"/>
  <c r="W144" i="201"/>
  <c r="W156" i="201"/>
  <c r="W151" i="201"/>
  <c r="W174" i="201"/>
  <c r="W38" i="201"/>
  <c r="W50" i="201"/>
  <c r="W158" i="201"/>
  <c r="W45" i="201"/>
  <c r="W163" i="201"/>
  <c r="W176" i="201"/>
  <c r="W40" i="201"/>
  <c r="W171" i="201"/>
  <c r="W47" i="201"/>
  <c r="W178" i="201"/>
  <c r="W42" i="201"/>
  <c r="W168" i="201"/>
  <c r="W173" i="201"/>
  <c r="W37" i="201"/>
  <c r="W49" i="201"/>
  <c r="W44" i="201"/>
  <c r="W175" i="201"/>
  <c r="W39" i="201"/>
  <c r="W170" i="201"/>
  <c r="W46" i="201"/>
  <c r="W177" i="201"/>
  <c r="W41" i="201"/>
  <c r="W54" i="201"/>
  <c r="W66" i="201"/>
  <c r="W11" i="201"/>
  <c r="W61" i="201"/>
  <c r="W6" i="201"/>
  <c r="W56" i="201"/>
  <c r="W68" i="201"/>
  <c r="W63" i="201"/>
  <c r="W8" i="201"/>
  <c r="W172" i="201"/>
  <c r="W58" i="201"/>
  <c r="W179" i="201"/>
  <c r="W51" i="201"/>
  <c r="W53" i="201"/>
  <c r="W65" i="201"/>
  <c r="W10" i="201"/>
  <c r="W60" i="201"/>
  <c r="W5" i="201"/>
  <c r="W146" i="201"/>
  <c r="W55" i="201"/>
  <c r="W67" i="201"/>
  <c r="W72" i="201"/>
  <c r="W36" i="201"/>
  <c r="W62" i="201"/>
  <c r="W35" i="201"/>
  <c r="W7" i="201"/>
  <c r="W48" i="201"/>
  <c r="W52" i="201"/>
  <c r="W64" i="201"/>
  <c r="W9" i="201"/>
  <c r="W69" i="201"/>
  <c r="W20" i="201"/>
  <c r="W15" i="201"/>
  <c r="W27" i="201"/>
  <c r="W22" i="201"/>
  <c r="W17" i="201"/>
  <c r="W29" i="201"/>
  <c r="W59" i="201"/>
  <c r="W12" i="201"/>
  <c r="W24" i="201"/>
  <c r="W3" i="201"/>
  <c r="W19" i="201"/>
  <c r="W14" i="201"/>
  <c r="W26" i="201"/>
  <c r="W21" i="201"/>
  <c r="W43" i="201"/>
  <c r="W16" i="201"/>
  <c r="W28" i="201"/>
  <c r="W23" i="201"/>
  <c r="W57" i="201"/>
  <c r="W18" i="201"/>
  <c r="W30" i="201"/>
  <c r="W4" i="201"/>
  <c r="W13" i="201"/>
  <c r="W25" i="201"/>
  <c r="W180" i="201"/>
  <c r="W181" i="201"/>
  <c r="W182" i="201"/>
  <c r="W71" i="201"/>
  <c r="W70" i="201"/>
  <c r="W34" i="201"/>
  <c r="W33" i="201"/>
  <c r="W32" i="201"/>
  <c r="W31" i="201"/>
  <c r="X1" i="201"/>
  <c r="X77" i="201" l="1"/>
  <c r="X89" i="201"/>
  <c r="X101" i="201"/>
  <c r="X84" i="201"/>
  <c r="X96" i="201"/>
  <c r="X79" i="201"/>
  <c r="X91" i="201"/>
  <c r="X103" i="201"/>
  <c r="X74" i="201"/>
  <c r="X86" i="201"/>
  <c r="X98" i="201"/>
  <c r="X81" i="201"/>
  <c r="X93" i="201"/>
  <c r="X105" i="201"/>
  <c r="X76" i="201"/>
  <c r="X88" i="201"/>
  <c r="X100" i="201"/>
  <c r="X83" i="201"/>
  <c r="X95" i="201"/>
  <c r="X73" i="201"/>
  <c r="X82" i="201"/>
  <c r="X97" i="201"/>
  <c r="X106" i="201"/>
  <c r="X118" i="201"/>
  <c r="X85" i="201"/>
  <c r="X113" i="201"/>
  <c r="X125" i="201"/>
  <c r="X108" i="201"/>
  <c r="X120" i="201"/>
  <c r="X75" i="201"/>
  <c r="X87" i="201"/>
  <c r="X102" i="201"/>
  <c r="X110" i="201"/>
  <c r="X122" i="201"/>
  <c r="X92" i="201"/>
  <c r="X114" i="201"/>
  <c r="X80" i="201"/>
  <c r="X109" i="201"/>
  <c r="X121" i="201"/>
  <c r="X136" i="201"/>
  <c r="X78" i="201"/>
  <c r="X111" i="201"/>
  <c r="X131" i="201"/>
  <c r="X99" i="201"/>
  <c r="X115" i="201"/>
  <c r="X126" i="201"/>
  <c r="X138" i="201"/>
  <c r="X90" i="201"/>
  <c r="X133" i="201"/>
  <c r="X112" i="201"/>
  <c r="X128" i="201"/>
  <c r="X140" i="201"/>
  <c r="X119" i="201"/>
  <c r="X135" i="201"/>
  <c r="X116" i="201"/>
  <c r="X130" i="201"/>
  <c r="X142" i="201"/>
  <c r="X94" i="201"/>
  <c r="X123" i="201"/>
  <c r="X137" i="201"/>
  <c r="X132" i="201"/>
  <c r="X124" i="201"/>
  <c r="X134" i="201"/>
  <c r="X117" i="201"/>
  <c r="X146" i="201"/>
  <c r="X158" i="201"/>
  <c r="X153" i="201"/>
  <c r="X165" i="201"/>
  <c r="X148" i="201"/>
  <c r="X160" i="201"/>
  <c r="X143" i="201"/>
  <c r="X155" i="201"/>
  <c r="X167" i="201"/>
  <c r="X150" i="201"/>
  <c r="X162" i="201"/>
  <c r="X104" i="201"/>
  <c r="X129" i="201"/>
  <c r="X145" i="201"/>
  <c r="X157" i="201"/>
  <c r="X169" i="201"/>
  <c r="X127" i="201"/>
  <c r="X152" i="201"/>
  <c r="X164" i="201"/>
  <c r="X141" i="201"/>
  <c r="X147" i="201"/>
  <c r="X159" i="201"/>
  <c r="X139" i="201"/>
  <c r="X154" i="201"/>
  <c r="X166" i="201"/>
  <c r="X149" i="201"/>
  <c r="X161" i="201"/>
  <c r="X144" i="201"/>
  <c r="X179" i="201"/>
  <c r="X43" i="201"/>
  <c r="X151" i="201"/>
  <c r="X174" i="201"/>
  <c r="X38" i="201"/>
  <c r="X50" i="201"/>
  <c r="X156" i="201"/>
  <c r="X45" i="201"/>
  <c r="X163" i="201"/>
  <c r="X176" i="201"/>
  <c r="X40" i="201"/>
  <c r="X171" i="201"/>
  <c r="X47" i="201"/>
  <c r="X107" i="201"/>
  <c r="X178" i="201"/>
  <c r="X42" i="201"/>
  <c r="X168" i="201"/>
  <c r="X173" i="201"/>
  <c r="X37" i="201"/>
  <c r="X49" i="201"/>
  <c r="X44" i="201"/>
  <c r="X175" i="201"/>
  <c r="X39" i="201"/>
  <c r="X170" i="201"/>
  <c r="X72" i="201"/>
  <c r="X46" i="201"/>
  <c r="X59" i="201"/>
  <c r="X4" i="201"/>
  <c r="X54" i="201"/>
  <c r="X66" i="201"/>
  <c r="X11" i="201"/>
  <c r="X61" i="201"/>
  <c r="X6" i="201"/>
  <c r="X56" i="201"/>
  <c r="X68" i="201"/>
  <c r="X63" i="201"/>
  <c r="X8" i="201"/>
  <c r="X172" i="201"/>
  <c r="X58" i="201"/>
  <c r="X177" i="201"/>
  <c r="X51" i="201"/>
  <c r="X53" i="201"/>
  <c r="X65" i="201"/>
  <c r="X10" i="201"/>
  <c r="X60" i="201"/>
  <c r="X35" i="201"/>
  <c r="X5" i="201"/>
  <c r="X55" i="201"/>
  <c r="X67" i="201"/>
  <c r="X41" i="201"/>
  <c r="X57" i="201"/>
  <c r="X69" i="201"/>
  <c r="X62" i="201"/>
  <c r="X13" i="201"/>
  <c r="X25" i="201"/>
  <c r="X48" i="201"/>
  <c r="X9" i="201"/>
  <c r="X20" i="201"/>
  <c r="X28" i="201"/>
  <c r="X36" i="201"/>
  <c r="X7" i="201"/>
  <c r="X15" i="201"/>
  <c r="X27" i="201"/>
  <c r="X22" i="201"/>
  <c r="X3" i="201"/>
  <c r="X17" i="201"/>
  <c r="X29" i="201"/>
  <c r="X12" i="201"/>
  <c r="X24" i="201"/>
  <c r="X19" i="201"/>
  <c r="X52" i="201"/>
  <c r="X14" i="201"/>
  <c r="X26" i="201"/>
  <c r="X16" i="201"/>
  <c r="X21" i="201"/>
  <c r="X23" i="201"/>
  <c r="X64" i="201"/>
  <c r="X18" i="201"/>
  <c r="X30" i="201"/>
  <c r="X180" i="201"/>
  <c r="X181" i="201"/>
  <c r="X182" i="201"/>
  <c r="X71" i="201"/>
  <c r="X70" i="201"/>
  <c r="X34" i="201"/>
  <c r="X33" i="201"/>
  <c r="X32" i="201"/>
  <c r="Y1" i="201"/>
  <c r="X31" i="201"/>
  <c r="Y82" i="201" l="1"/>
  <c r="Y94" i="201"/>
  <c r="Y77" i="201"/>
  <c r="Y89" i="201"/>
  <c r="Y101" i="201"/>
  <c r="Y84" i="201"/>
  <c r="Y96" i="201"/>
  <c r="Y79" i="201"/>
  <c r="Y91" i="201"/>
  <c r="Y103" i="201"/>
  <c r="Y74" i="201"/>
  <c r="Y86" i="201"/>
  <c r="Y98" i="201"/>
  <c r="Y81" i="201"/>
  <c r="Y93" i="201"/>
  <c r="Y105" i="201"/>
  <c r="Y76" i="201"/>
  <c r="Y88" i="201"/>
  <c r="Y100" i="201"/>
  <c r="Y73" i="201"/>
  <c r="Y111" i="201"/>
  <c r="Y123" i="201"/>
  <c r="Y97" i="201"/>
  <c r="Y106" i="201"/>
  <c r="Y118" i="201"/>
  <c r="Y85" i="201"/>
  <c r="Y113" i="201"/>
  <c r="Y125" i="201"/>
  <c r="Y99" i="201"/>
  <c r="Y115" i="201"/>
  <c r="Y104" i="201"/>
  <c r="Y107" i="201"/>
  <c r="Y119" i="201"/>
  <c r="Y92" i="201"/>
  <c r="Y114" i="201"/>
  <c r="Y95" i="201"/>
  <c r="Y121" i="201"/>
  <c r="Y129" i="201"/>
  <c r="Y141" i="201"/>
  <c r="Y80" i="201"/>
  <c r="Y136" i="201"/>
  <c r="Y78" i="201"/>
  <c r="Y108" i="201"/>
  <c r="Y131" i="201"/>
  <c r="Y75" i="201"/>
  <c r="Y122" i="201"/>
  <c r="Y126" i="201"/>
  <c r="Y138" i="201"/>
  <c r="Y90" i="201"/>
  <c r="Y133" i="201"/>
  <c r="Y112" i="201"/>
  <c r="Y128" i="201"/>
  <c r="Y140" i="201"/>
  <c r="Y109" i="201"/>
  <c r="Y135" i="201"/>
  <c r="Y83" i="201"/>
  <c r="Y116" i="201"/>
  <c r="Y130" i="201"/>
  <c r="Y142" i="201"/>
  <c r="Y120" i="201"/>
  <c r="Y137" i="201"/>
  <c r="Y117" i="201"/>
  <c r="Y127" i="201"/>
  <c r="Y139" i="201"/>
  <c r="Y151" i="201"/>
  <c r="Y163" i="201"/>
  <c r="Y146" i="201"/>
  <c r="Y158" i="201"/>
  <c r="Y102" i="201"/>
  <c r="Y153" i="201"/>
  <c r="Y165" i="201"/>
  <c r="Y148" i="201"/>
  <c r="Y160" i="201"/>
  <c r="Y143" i="201"/>
  <c r="Y155" i="201"/>
  <c r="Y167" i="201"/>
  <c r="Y150" i="201"/>
  <c r="Y162" i="201"/>
  <c r="Y110" i="201"/>
  <c r="Y145" i="201"/>
  <c r="Y157" i="201"/>
  <c r="Y169" i="201"/>
  <c r="Y124" i="201"/>
  <c r="Y134" i="201"/>
  <c r="Y152" i="201"/>
  <c r="Y164" i="201"/>
  <c r="Y132" i="201"/>
  <c r="Y147" i="201"/>
  <c r="Y159" i="201"/>
  <c r="Y154" i="201"/>
  <c r="Y166" i="201"/>
  <c r="Y87" i="201"/>
  <c r="Y172" i="201"/>
  <c r="Y36" i="201"/>
  <c r="Y48" i="201"/>
  <c r="Y144" i="201"/>
  <c r="Y179" i="201"/>
  <c r="Y43" i="201"/>
  <c r="Y149" i="201"/>
  <c r="Y174" i="201"/>
  <c r="Y38" i="201"/>
  <c r="Y50" i="201"/>
  <c r="Y156" i="201"/>
  <c r="Y45" i="201"/>
  <c r="Y161" i="201"/>
  <c r="Y176" i="201"/>
  <c r="Y40" i="201"/>
  <c r="Y171" i="201"/>
  <c r="Y47" i="201"/>
  <c r="Y178" i="201"/>
  <c r="Y42" i="201"/>
  <c r="Y168" i="201"/>
  <c r="Y173" i="201"/>
  <c r="Y37" i="201"/>
  <c r="Y49" i="201"/>
  <c r="Y72" i="201"/>
  <c r="Y44" i="201"/>
  <c r="Y175" i="201"/>
  <c r="Y39" i="201"/>
  <c r="Y46" i="201"/>
  <c r="Y52" i="201"/>
  <c r="Y64" i="201"/>
  <c r="Y9" i="201"/>
  <c r="Y59" i="201"/>
  <c r="Y4" i="201"/>
  <c r="Y54" i="201"/>
  <c r="Y66" i="201"/>
  <c r="Y11" i="201"/>
  <c r="Y61" i="201"/>
  <c r="Y6" i="201"/>
  <c r="Y56" i="201"/>
  <c r="Y68" i="201"/>
  <c r="Y63" i="201"/>
  <c r="Y8" i="201"/>
  <c r="Y170" i="201"/>
  <c r="Y58" i="201"/>
  <c r="Y35" i="201"/>
  <c r="Y177" i="201"/>
  <c r="Y51" i="201"/>
  <c r="Y53" i="201"/>
  <c r="Y65" i="201"/>
  <c r="Y10" i="201"/>
  <c r="Y60" i="201"/>
  <c r="Y5" i="201"/>
  <c r="Y62" i="201"/>
  <c r="Y7" i="201"/>
  <c r="Y55" i="201"/>
  <c r="Y18" i="201"/>
  <c r="Y30" i="201"/>
  <c r="Y69" i="201"/>
  <c r="Y13" i="201"/>
  <c r="Y25" i="201"/>
  <c r="Y67" i="201"/>
  <c r="Y20" i="201"/>
  <c r="Y15" i="201"/>
  <c r="Y27" i="201"/>
  <c r="Y29" i="201"/>
  <c r="Y22" i="201"/>
  <c r="Y17" i="201"/>
  <c r="Y12" i="201"/>
  <c r="Y24" i="201"/>
  <c r="Y3" i="201"/>
  <c r="Y41" i="201"/>
  <c r="Y19" i="201"/>
  <c r="Y14" i="201"/>
  <c r="Y26" i="201"/>
  <c r="Y16" i="201"/>
  <c r="Y28" i="201"/>
  <c r="Y57" i="201"/>
  <c r="Y23" i="201"/>
  <c r="Y21" i="201"/>
  <c r="Y181" i="201"/>
  <c r="Y182" i="201"/>
  <c r="Y180" i="201"/>
  <c r="Y71" i="201"/>
  <c r="Y70" i="201"/>
  <c r="Y34" i="201"/>
  <c r="Y33" i="201"/>
  <c r="Y32" i="201"/>
  <c r="Z1" i="201"/>
  <c r="Y31" i="201"/>
  <c r="Z75" i="201" l="1"/>
  <c r="Z87" i="201"/>
  <c r="Z99" i="201"/>
  <c r="Z82" i="201"/>
  <c r="Z94" i="201"/>
  <c r="Z77" i="201"/>
  <c r="Z89" i="201"/>
  <c r="Z101" i="201"/>
  <c r="Z84" i="201"/>
  <c r="Z96" i="201"/>
  <c r="Z79" i="201"/>
  <c r="Z91" i="201"/>
  <c r="Z103" i="201"/>
  <c r="Z74" i="201"/>
  <c r="Z86" i="201"/>
  <c r="Z98" i="201"/>
  <c r="Z81" i="201"/>
  <c r="Z93" i="201"/>
  <c r="Z105" i="201"/>
  <c r="Z76" i="201"/>
  <c r="Z83" i="201"/>
  <c r="Z116" i="201"/>
  <c r="Z73" i="201"/>
  <c r="Z111" i="201"/>
  <c r="Z123" i="201"/>
  <c r="Z97" i="201"/>
  <c r="Z106" i="201"/>
  <c r="Z118" i="201"/>
  <c r="Z88" i="201"/>
  <c r="Z108" i="201"/>
  <c r="Z120" i="201"/>
  <c r="Z78" i="201"/>
  <c r="Z112" i="201"/>
  <c r="Z124" i="201"/>
  <c r="Z104" i="201"/>
  <c r="Z107" i="201"/>
  <c r="Z119" i="201"/>
  <c r="Z114" i="201"/>
  <c r="Z134" i="201"/>
  <c r="Z95" i="201"/>
  <c r="Z121" i="201"/>
  <c r="Z129" i="201"/>
  <c r="Z141" i="201"/>
  <c r="Z80" i="201"/>
  <c r="Z125" i="201"/>
  <c r="Z136" i="201"/>
  <c r="Z115" i="201"/>
  <c r="Z131" i="201"/>
  <c r="Z122" i="201"/>
  <c r="Z126" i="201"/>
  <c r="Z138" i="201"/>
  <c r="Z90" i="201"/>
  <c r="Z133" i="201"/>
  <c r="Z92" i="201"/>
  <c r="Z128" i="201"/>
  <c r="Z140" i="201"/>
  <c r="Z109" i="201"/>
  <c r="Z135" i="201"/>
  <c r="Z85" i="201"/>
  <c r="Z100" i="201"/>
  <c r="Z113" i="201"/>
  <c r="Z130" i="201"/>
  <c r="Z142" i="201"/>
  <c r="Z102" i="201"/>
  <c r="Z110" i="201"/>
  <c r="Z132" i="201"/>
  <c r="Z144" i="201"/>
  <c r="Z156" i="201"/>
  <c r="Z168" i="201"/>
  <c r="Z117" i="201"/>
  <c r="Z151" i="201"/>
  <c r="Z163" i="201"/>
  <c r="Z146" i="201"/>
  <c r="Z158" i="201"/>
  <c r="Z153" i="201"/>
  <c r="Z165" i="201"/>
  <c r="Z148" i="201"/>
  <c r="Z160" i="201"/>
  <c r="Z143" i="201"/>
  <c r="Z155" i="201"/>
  <c r="Z167" i="201"/>
  <c r="Z150" i="201"/>
  <c r="Z162" i="201"/>
  <c r="Z127" i="201"/>
  <c r="Z145" i="201"/>
  <c r="Z157" i="201"/>
  <c r="Z169" i="201"/>
  <c r="Z152" i="201"/>
  <c r="Z164" i="201"/>
  <c r="Z139" i="201"/>
  <c r="Z147" i="201"/>
  <c r="Z159" i="201"/>
  <c r="Z177" i="201"/>
  <c r="Z41" i="201"/>
  <c r="Z172" i="201"/>
  <c r="Z36" i="201"/>
  <c r="Z48" i="201"/>
  <c r="Z179" i="201"/>
  <c r="Z43" i="201"/>
  <c r="Z149" i="201"/>
  <c r="Z174" i="201"/>
  <c r="Z38" i="201"/>
  <c r="Z50" i="201"/>
  <c r="Z154" i="201"/>
  <c r="Z45" i="201"/>
  <c r="Z161" i="201"/>
  <c r="Z176" i="201"/>
  <c r="Z40" i="201"/>
  <c r="Z166" i="201"/>
  <c r="Z171" i="201"/>
  <c r="Z47" i="201"/>
  <c r="Z178" i="201"/>
  <c r="Z72" i="201"/>
  <c r="Z42" i="201"/>
  <c r="Z173" i="201"/>
  <c r="Z37" i="201"/>
  <c r="Z49" i="201"/>
  <c r="Z44" i="201"/>
  <c r="Z39" i="201"/>
  <c r="Z57" i="201"/>
  <c r="Z69" i="201"/>
  <c r="Z46" i="201"/>
  <c r="Z52" i="201"/>
  <c r="Z64" i="201"/>
  <c r="Z9" i="201"/>
  <c r="Z137" i="201"/>
  <c r="Z59" i="201"/>
  <c r="Z4" i="201"/>
  <c r="Z54" i="201"/>
  <c r="Z66" i="201"/>
  <c r="Z11" i="201"/>
  <c r="Z61" i="201"/>
  <c r="Z6" i="201"/>
  <c r="Z56" i="201"/>
  <c r="Z68" i="201"/>
  <c r="Z35" i="201"/>
  <c r="Z63" i="201"/>
  <c r="Z8" i="201"/>
  <c r="Z170" i="201"/>
  <c r="Z58" i="201"/>
  <c r="Z175" i="201"/>
  <c r="Z51" i="201"/>
  <c r="Z53" i="201"/>
  <c r="Z65" i="201"/>
  <c r="Z10" i="201"/>
  <c r="Z55" i="201"/>
  <c r="Z67" i="201"/>
  <c r="Z23" i="201"/>
  <c r="Z62" i="201"/>
  <c r="Z18" i="201"/>
  <c r="Z30" i="201"/>
  <c r="Z60" i="201"/>
  <c r="Z13" i="201"/>
  <c r="Z25" i="201"/>
  <c r="Z7" i="201"/>
  <c r="Z20" i="201"/>
  <c r="Z5" i="201"/>
  <c r="Z15" i="201"/>
  <c r="Z27" i="201"/>
  <c r="Z14" i="201"/>
  <c r="Z22" i="201"/>
  <c r="Z17" i="201"/>
  <c r="Z29" i="201"/>
  <c r="Z12" i="201"/>
  <c r="Z24" i="201"/>
  <c r="Z3" i="201"/>
  <c r="Z26" i="201"/>
  <c r="Z19" i="201"/>
  <c r="Z21" i="201"/>
  <c r="Z16" i="201"/>
  <c r="Z28" i="201"/>
  <c r="Z182" i="201"/>
  <c r="Z180" i="201"/>
  <c r="Z181" i="201"/>
  <c r="Z71" i="201"/>
  <c r="Z70" i="201"/>
  <c r="Z34" i="201"/>
  <c r="Z33" i="201"/>
  <c r="Z32" i="201"/>
  <c r="Z31" i="201"/>
  <c r="AA1" i="201"/>
  <c r="AA80" i="201" l="1"/>
  <c r="AA92" i="201"/>
  <c r="AA104" i="201"/>
  <c r="AA75" i="201"/>
  <c r="AA87" i="201"/>
  <c r="AA99" i="201"/>
  <c r="AA82" i="201"/>
  <c r="AA94" i="201"/>
  <c r="AA77" i="201"/>
  <c r="AA89" i="201"/>
  <c r="AA101" i="201"/>
  <c r="AA84" i="201"/>
  <c r="AA96" i="201"/>
  <c r="AA79" i="201"/>
  <c r="AA91" i="201"/>
  <c r="AA103" i="201"/>
  <c r="AA74" i="201"/>
  <c r="AA86" i="201"/>
  <c r="AA98" i="201"/>
  <c r="AA76" i="201"/>
  <c r="AA95" i="201"/>
  <c r="AA109" i="201"/>
  <c r="AA121" i="201"/>
  <c r="AA83" i="201"/>
  <c r="AA116" i="201"/>
  <c r="AA73" i="201"/>
  <c r="AA111" i="201"/>
  <c r="AA123" i="201"/>
  <c r="AA85" i="201"/>
  <c r="AA100" i="201"/>
  <c r="AA113" i="201"/>
  <c r="AA125" i="201"/>
  <c r="AA90" i="201"/>
  <c r="AA105" i="201"/>
  <c r="AA117" i="201"/>
  <c r="AA78" i="201"/>
  <c r="AA93" i="201"/>
  <c r="AA112" i="201"/>
  <c r="AA124" i="201"/>
  <c r="AA107" i="201"/>
  <c r="AA127" i="201"/>
  <c r="AA139" i="201"/>
  <c r="AA114" i="201"/>
  <c r="AA134" i="201"/>
  <c r="AA97" i="201"/>
  <c r="AA118" i="201"/>
  <c r="AA129" i="201"/>
  <c r="AA141" i="201"/>
  <c r="AA88" i="201"/>
  <c r="AA108" i="201"/>
  <c r="AA136" i="201"/>
  <c r="AA115" i="201"/>
  <c r="AA131" i="201"/>
  <c r="AA122" i="201"/>
  <c r="AA126" i="201"/>
  <c r="AA138" i="201"/>
  <c r="AA81" i="201"/>
  <c r="AA119" i="201"/>
  <c r="AA133" i="201"/>
  <c r="AA128" i="201"/>
  <c r="AA140" i="201"/>
  <c r="AA106" i="201"/>
  <c r="AA135" i="201"/>
  <c r="AA137" i="201"/>
  <c r="AA149" i="201"/>
  <c r="AA161" i="201"/>
  <c r="AA142" i="201"/>
  <c r="AA144" i="201"/>
  <c r="AA156" i="201"/>
  <c r="AA168" i="201"/>
  <c r="AA151" i="201"/>
  <c r="AA163" i="201"/>
  <c r="AA102" i="201"/>
  <c r="AA146" i="201"/>
  <c r="AA158" i="201"/>
  <c r="AA153" i="201"/>
  <c r="AA165" i="201"/>
  <c r="AA148" i="201"/>
  <c r="AA160" i="201"/>
  <c r="AA143" i="201"/>
  <c r="AA155" i="201"/>
  <c r="AA167" i="201"/>
  <c r="AA110" i="201"/>
  <c r="AA150" i="201"/>
  <c r="AA162" i="201"/>
  <c r="AA120" i="201"/>
  <c r="AA145" i="201"/>
  <c r="AA157" i="201"/>
  <c r="AA169" i="201"/>
  <c r="AA132" i="201"/>
  <c r="AA152" i="201"/>
  <c r="AA164" i="201"/>
  <c r="AA170" i="201"/>
  <c r="AA46" i="201"/>
  <c r="AA177" i="201"/>
  <c r="AA41" i="201"/>
  <c r="AA172" i="201"/>
  <c r="AA36" i="201"/>
  <c r="AA48" i="201"/>
  <c r="AA179" i="201"/>
  <c r="AA43" i="201"/>
  <c r="AA130" i="201"/>
  <c r="AA147" i="201"/>
  <c r="AA174" i="201"/>
  <c r="AA38" i="201"/>
  <c r="AA50" i="201"/>
  <c r="AA154" i="201"/>
  <c r="AA45" i="201"/>
  <c r="AA159" i="201"/>
  <c r="AA176" i="201"/>
  <c r="AA72" i="201"/>
  <c r="AA40" i="201"/>
  <c r="AA166" i="201"/>
  <c r="AA171" i="201"/>
  <c r="AA47" i="201"/>
  <c r="AA178" i="201"/>
  <c r="AA42" i="201"/>
  <c r="AA173" i="201"/>
  <c r="AA37" i="201"/>
  <c r="AA49" i="201"/>
  <c r="AA62" i="201"/>
  <c r="AA7" i="201"/>
  <c r="AA39" i="201"/>
  <c r="AA57" i="201"/>
  <c r="AA69" i="201"/>
  <c r="AA44" i="201"/>
  <c r="AA52" i="201"/>
  <c r="AA64" i="201"/>
  <c r="AA9" i="201"/>
  <c r="AA59" i="201"/>
  <c r="AA4" i="201"/>
  <c r="AA54" i="201"/>
  <c r="AA66" i="201"/>
  <c r="AA35" i="201"/>
  <c r="AA11" i="201"/>
  <c r="AA61" i="201"/>
  <c r="AA6" i="201"/>
  <c r="AA56" i="201"/>
  <c r="AA68" i="201"/>
  <c r="AA63" i="201"/>
  <c r="AA8" i="201"/>
  <c r="AA58" i="201"/>
  <c r="AA60" i="201"/>
  <c r="AA5" i="201"/>
  <c r="AA16" i="201"/>
  <c r="AA28" i="201"/>
  <c r="AA55" i="201"/>
  <c r="AA23" i="201"/>
  <c r="AA53" i="201"/>
  <c r="AA18" i="201"/>
  <c r="AA30" i="201"/>
  <c r="AA27" i="201"/>
  <c r="AA67" i="201"/>
  <c r="AA13" i="201"/>
  <c r="AA25" i="201"/>
  <c r="AA51" i="201"/>
  <c r="AA65" i="201"/>
  <c r="AA20" i="201"/>
  <c r="AA19" i="201"/>
  <c r="AA15" i="201"/>
  <c r="AA10" i="201"/>
  <c r="AA22" i="201"/>
  <c r="AA17" i="201"/>
  <c r="AA29" i="201"/>
  <c r="AA175" i="201"/>
  <c r="AA12" i="201"/>
  <c r="AA24" i="201"/>
  <c r="AA3" i="201"/>
  <c r="AA14" i="201"/>
  <c r="AA26" i="201"/>
  <c r="AA21" i="201"/>
  <c r="AA180" i="201"/>
  <c r="AA181" i="201"/>
  <c r="AA182" i="201"/>
  <c r="AA71" i="201"/>
  <c r="AA70" i="201"/>
  <c r="AA34" i="201"/>
  <c r="AA33" i="201"/>
  <c r="AA32" i="201"/>
  <c r="AA31" i="201"/>
  <c r="AB1" i="201"/>
  <c r="AB73" i="201" l="1"/>
  <c r="AB85" i="201"/>
  <c r="AB97" i="201"/>
  <c r="AB80" i="201"/>
  <c r="AB92" i="201"/>
  <c r="AB104" i="201"/>
  <c r="AB75" i="201"/>
  <c r="AB87" i="201"/>
  <c r="AB99" i="201"/>
  <c r="AB82" i="201"/>
  <c r="AB94" i="201"/>
  <c r="AB77" i="201"/>
  <c r="AB89" i="201"/>
  <c r="AB101" i="201"/>
  <c r="AB84" i="201"/>
  <c r="AB96" i="201"/>
  <c r="AB79" i="201"/>
  <c r="AB91" i="201"/>
  <c r="AB103" i="201"/>
  <c r="AB74" i="201"/>
  <c r="AB76" i="201"/>
  <c r="AB114" i="201"/>
  <c r="AB95" i="201"/>
  <c r="AB109" i="201"/>
  <c r="AB121" i="201"/>
  <c r="AB83" i="201"/>
  <c r="AB98" i="201"/>
  <c r="AB116" i="201"/>
  <c r="AB106" i="201"/>
  <c r="AB118" i="201"/>
  <c r="AB102" i="201"/>
  <c r="AB110" i="201"/>
  <c r="AB122" i="201"/>
  <c r="AB90" i="201"/>
  <c r="AB105" i="201"/>
  <c r="AB117" i="201"/>
  <c r="AB93" i="201"/>
  <c r="AB124" i="201"/>
  <c r="AB132" i="201"/>
  <c r="AB107" i="201"/>
  <c r="AB127" i="201"/>
  <c r="AB139" i="201"/>
  <c r="AB86" i="201"/>
  <c r="AB111" i="201"/>
  <c r="AB134" i="201"/>
  <c r="AB78" i="201"/>
  <c r="AB125" i="201"/>
  <c r="AB129" i="201"/>
  <c r="AB141" i="201"/>
  <c r="AB88" i="201"/>
  <c r="AB108" i="201"/>
  <c r="AB136" i="201"/>
  <c r="AB115" i="201"/>
  <c r="AB131" i="201"/>
  <c r="AB112" i="201"/>
  <c r="AB126" i="201"/>
  <c r="AB138" i="201"/>
  <c r="AB81" i="201"/>
  <c r="AB119" i="201"/>
  <c r="AB133" i="201"/>
  <c r="AB123" i="201"/>
  <c r="AB128" i="201"/>
  <c r="AB140" i="201"/>
  <c r="AB120" i="201"/>
  <c r="AB130" i="201"/>
  <c r="AB142" i="201"/>
  <c r="AB100" i="201"/>
  <c r="AB135" i="201"/>
  <c r="AB154" i="201"/>
  <c r="AB166" i="201"/>
  <c r="AB149" i="201"/>
  <c r="AB161" i="201"/>
  <c r="AB113" i="201"/>
  <c r="AB144" i="201"/>
  <c r="AB156" i="201"/>
  <c r="AB168" i="201"/>
  <c r="AB151" i="201"/>
  <c r="AB163" i="201"/>
  <c r="AB146" i="201"/>
  <c r="AB158" i="201"/>
  <c r="AB153" i="201"/>
  <c r="AB165" i="201"/>
  <c r="AB148" i="201"/>
  <c r="AB160" i="201"/>
  <c r="AB143" i="201"/>
  <c r="AB155" i="201"/>
  <c r="AB167" i="201"/>
  <c r="AB150" i="201"/>
  <c r="AB162" i="201"/>
  <c r="AB145" i="201"/>
  <c r="AB157" i="201"/>
  <c r="AB175" i="201"/>
  <c r="AB39" i="201"/>
  <c r="AB51" i="201"/>
  <c r="AB170" i="201"/>
  <c r="AB46" i="201"/>
  <c r="AB169" i="201"/>
  <c r="AB177" i="201"/>
  <c r="AB41" i="201"/>
  <c r="AB172" i="201"/>
  <c r="AB36" i="201"/>
  <c r="AB48" i="201"/>
  <c r="AB179" i="201"/>
  <c r="AB43" i="201"/>
  <c r="AB147" i="201"/>
  <c r="AB174" i="201"/>
  <c r="AB72" i="201"/>
  <c r="AB38" i="201"/>
  <c r="AB50" i="201"/>
  <c r="AB152" i="201"/>
  <c r="AB45" i="201"/>
  <c r="AB159" i="201"/>
  <c r="AB176" i="201"/>
  <c r="AB40" i="201"/>
  <c r="AB164" i="201"/>
  <c r="AB171" i="201"/>
  <c r="AB47" i="201"/>
  <c r="AB178" i="201"/>
  <c r="AB42" i="201"/>
  <c r="AB55" i="201"/>
  <c r="AB67" i="201"/>
  <c r="AB62" i="201"/>
  <c r="AB7" i="201"/>
  <c r="AB37" i="201"/>
  <c r="AB57" i="201"/>
  <c r="AB69" i="201"/>
  <c r="AB137" i="201"/>
  <c r="AB44" i="201"/>
  <c r="AB52" i="201"/>
  <c r="AB64" i="201"/>
  <c r="AB35" i="201"/>
  <c r="AB9" i="201"/>
  <c r="AB49" i="201"/>
  <c r="AB59" i="201"/>
  <c r="AB4" i="201"/>
  <c r="AB54" i="201"/>
  <c r="AB66" i="201"/>
  <c r="AB11" i="201"/>
  <c r="AB61" i="201"/>
  <c r="AB6" i="201"/>
  <c r="AB56" i="201"/>
  <c r="AB68" i="201"/>
  <c r="AB63" i="201"/>
  <c r="AB8" i="201"/>
  <c r="AB173" i="201"/>
  <c r="AB53" i="201"/>
  <c r="AB65" i="201"/>
  <c r="AB10" i="201"/>
  <c r="AB21" i="201"/>
  <c r="AB16" i="201"/>
  <c r="AB28" i="201"/>
  <c r="AB12" i="201"/>
  <c r="AB23" i="201"/>
  <c r="AB24" i="201"/>
  <c r="AB60" i="201"/>
  <c r="AB18" i="201"/>
  <c r="AB30" i="201"/>
  <c r="AB58" i="201"/>
  <c r="AB13" i="201"/>
  <c r="AB25" i="201"/>
  <c r="AB5" i="201"/>
  <c r="AB20" i="201"/>
  <c r="AB15" i="201"/>
  <c r="AB27" i="201"/>
  <c r="AB22" i="201"/>
  <c r="AB17" i="201"/>
  <c r="AB29" i="201"/>
  <c r="AB19" i="201"/>
  <c r="AB14" i="201"/>
  <c r="AB26" i="201"/>
  <c r="AB3" i="201"/>
  <c r="AB180" i="201"/>
  <c r="AB181" i="201"/>
  <c r="AB182" i="201"/>
  <c r="AB71" i="201"/>
  <c r="AB70" i="201"/>
  <c r="AB34" i="201"/>
  <c r="AB33" i="201"/>
  <c r="AB32" i="201"/>
  <c r="AC1" i="201"/>
  <c r="AB31" i="201"/>
  <c r="AC78" i="201" l="1"/>
  <c r="AC90" i="201"/>
  <c r="AC102" i="201"/>
  <c r="AC73" i="201"/>
  <c r="AC85" i="201"/>
  <c r="AC97" i="201"/>
  <c r="AC80" i="201"/>
  <c r="AC92" i="201"/>
  <c r="AC104" i="201"/>
  <c r="AC75" i="201"/>
  <c r="AC87" i="201"/>
  <c r="AC99" i="201"/>
  <c r="AC82" i="201"/>
  <c r="AC94" i="201"/>
  <c r="AC77" i="201"/>
  <c r="AC89" i="201"/>
  <c r="AC101" i="201"/>
  <c r="AC84" i="201"/>
  <c r="AC96" i="201"/>
  <c r="AC81" i="201"/>
  <c r="AC107" i="201"/>
  <c r="AC119" i="201"/>
  <c r="AC76" i="201"/>
  <c r="AC114" i="201"/>
  <c r="AC95" i="201"/>
  <c r="AC109" i="201"/>
  <c r="AC121" i="201"/>
  <c r="AC86" i="201"/>
  <c r="AC111" i="201"/>
  <c r="AC123" i="201"/>
  <c r="AC91" i="201"/>
  <c r="AC115" i="201"/>
  <c r="AC74" i="201"/>
  <c r="AC79" i="201"/>
  <c r="AC110" i="201"/>
  <c r="AC122" i="201"/>
  <c r="AC117" i="201"/>
  <c r="AC137" i="201"/>
  <c r="AC93" i="201"/>
  <c r="AC124" i="201"/>
  <c r="AC132" i="201"/>
  <c r="AC127" i="201"/>
  <c r="AC139" i="201"/>
  <c r="AC118" i="201"/>
  <c r="AC134" i="201"/>
  <c r="AC125" i="201"/>
  <c r="AC129" i="201"/>
  <c r="AC141" i="201"/>
  <c r="AC88" i="201"/>
  <c r="AC103" i="201"/>
  <c r="AC108" i="201"/>
  <c r="AC136" i="201"/>
  <c r="AC105" i="201"/>
  <c r="AC131" i="201"/>
  <c r="AC112" i="201"/>
  <c r="AC126" i="201"/>
  <c r="AC138" i="201"/>
  <c r="AC83" i="201"/>
  <c r="AC98" i="201"/>
  <c r="AC116" i="201"/>
  <c r="AC133" i="201"/>
  <c r="AC100" i="201"/>
  <c r="AC113" i="201"/>
  <c r="AC135" i="201"/>
  <c r="AC128" i="201"/>
  <c r="AC147" i="201"/>
  <c r="AC159" i="201"/>
  <c r="AC154" i="201"/>
  <c r="AC166" i="201"/>
  <c r="AC140" i="201"/>
  <c r="AC142" i="201"/>
  <c r="AC149" i="201"/>
  <c r="AC161" i="201"/>
  <c r="AC144" i="201"/>
  <c r="AC156" i="201"/>
  <c r="AC168" i="201"/>
  <c r="AC151" i="201"/>
  <c r="AC163" i="201"/>
  <c r="AC146" i="201"/>
  <c r="AC158" i="201"/>
  <c r="AC153" i="201"/>
  <c r="AC165" i="201"/>
  <c r="AC148" i="201"/>
  <c r="AC160" i="201"/>
  <c r="AC106" i="201"/>
  <c r="AC143" i="201"/>
  <c r="AC155" i="201"/>
  <c r="AC167" i="201"/>
  <c r="AC120" i="201"/>
  <c r="AC150" i="201"/>
  <c r="AC162" i="201"/>
  <c r="AC44" i="201"/>
  <c r="AC175" i="201"/>
  <c r="AC39" i="201"/>
  <c r="AC51" i="201"/>
  <c r="AC170" i="201"/>
  <c r="AC46" i="201"/>
  <c r="AC169" i="201"/>
  <c r="AC177" i="201"/>
  <c r="AC41" i="201"/>
  <c r="AC172" i="201"/>
  <c r="AC72" i="201"/>
  <c r="AC36" i="201"/>
  <c r="AC48" i="201"/>
  <c r="AC130" i="201"/>
  <c r="AC179" i="201"/>
  <c r="AC43" i="201"/>
  <c r="AC145" i="201"/>
  <c r="AC174" i="201"/>
  <c r="AC38" i="201"/>
  <c r="AC50" i="201"/>
  <c r="AC152" i="201"/>
  <c r="AC45" i="201"/>
  <c r="AC157" i="201"/>
  <c r="AC176" i="201"/>
  <c r="AC40" i="201"/>
  <c r="AC164" i="201"/>
  <c r="AC171" i="201"/>
  <c r="AC47" i="201"/>
  <c r="AC178" i="201"/>
  <c r="AC60" i="201"/>
  <c r="AC5" i="201"/>
  <c r="AC55" i="201"/>
  <c r="AC67" i="201"/>
  <c r="AC62" i="201"/>
  <c r="AC35" i="201"/>
  <c r="AC7" i="201"/>
  <c r="AC37" i="201"/>
  <c r="AC57" i="201"/>
  <c r="AC69" i="201"/>
  <c r="AC42" i="201"/>
  <c r="AC52" i="201"/>
  <c r="AC64" i="201"/>
  <c r="AC9" i="201"/>
  <c r="AC49" i="201"/>
  <c r="AC59" i="201"/>
  <c r="AC4" i="201"/>
  <c r="AC54" i="201"/>
  <c r="AC66" i="201"/>
  <c r="AC11" i="201"/>
  <c r="AC61" i="201"/>
  <c r="AC6" i="201"/>
  <c r="AC56" i="201"/>
  <c r="AC68" i="201"/>
  <c r="AC58" i="201"/>
  <c r="AC14" i="201"/>
  <c r="AC26" i="201"/>
  <c r="AC21" i="201"/>
  <c r="AC16" i="201"/>
  <c r="AC28" i="201"/>
  <c r="AC53" i="201"/>
  <c r="AC23" i="201"/>
  <c r="AC25" i="201"/>
  <c r="AC18" i="201"/>
  <c r="AC30" i="201"/>
  <c r="AC65" i="201"/>
  <c r="AC13" i="201"/>
  <c r="AC63" i="201"/>
  <c r="AC20" i="201"/>
  <c r="AC29" i="201"/>
  <c r="AC173" i="201"/>
  <c r="AC10" i="201"/>
  <c r="AC15" i="201"/>
  <c r="AC27" i="201"/>
  <c r="AC8" i="201"/>
  <c r="AC22" i="201"/>
  <c r="AC12" i="201"/>
  <c r="AC24" i="201"/>
  <c r="AC3" i="201"/>
  <c r="AC19" i="201"/>
  <c r="AC17" i="201"/>
  <c r="AC181" i="201"/>
  <c r="AC182" i="201"/>
  <c r="AC180" i="201"/>
  <c r="AD1" i="201"/>
  <c r="AC70" i="201"/>
  <c r="AC71" i="201"/>
  <c r="AC31" i="201"/>
  <c r="AC33" i="201"/>
  <c r="AC34" i="201"/>
  <c r="AC32" i="201"/>
  <c r="AD83" i="201" l="1"/>
  <c r="AD95" i="201"/>
  <c r="AD78" i="201"/>
  <c r="AD90" i="201"/>
  <c r="AD102" i="201"/>
  <c r="AD73" i="201"/>
  <c r="AD85" i="201"/>
  <c r="AD97" i="201"/>
  <c r="AD80" i="201"/>
  <c r="AD92" i="201"/>
  <c r="AD104" i="201"/>
  <c r="AD75" i="201"/>
  <c r="AD87" i="201"/>
  <c r="AD99" i="201"/>
  <c r="AD82" i="201"/>
  <c r="AD94" i="201"/>
  <c r="AD77" i="201"/>
  <c r="AD89" i="201"/>
  <c r="AD101" i="201"/>
  <c r="AD74" i="201"/>
  <c r="AD93" i="201"/>
  <c r="AD112" i="201"/>
  <c r="AD124" i="201"/>
  <c r="AD81" i="201"/>
  <c r="AD96" i="201"/>
  <c r="AD107" i="201"/>
  <c r="AD119" i="201"/>
  <c r="AD76" i="201"/>
  <c r="AD84" i="201"/>
  <c r="AD114" i="201"/>
  <c r="AD98" i="201"/>
  <c r="AD116" i="201"/>
  <c r="AD88" i="201"/>
  <c r="AD103" i="201"/>
  <c r="AD108" i="201"/>
  <c r="AD120" i="201"/>
  <c r="AD91" i="201"/>
  <c r="AD115" i="201"/>
  <c r="AD110" i="201"/>
  <c r="AD130" i="201"/>
  <c r="AD117" i="201"/>
  <c r="AD137" i="201"/>
  <c r="AD121" i="201"/>
  <c r="AD132" i="201"/>
  <c r="AD86" i="201"/>
  <c r="AD111" i="201"/>
  <c r="AD127" i="201"/>
  <c r="AD139" i="201"/>
  <c r="AD118" i="201"/>
  <c r="AD134" i="201"/>
  <c r="AD125" i="201"/>
  <c r="AD129" i="201"/>
  <c r="AD141" i="201"/>
  <c r="AD122" i="201"/>
  <c r="AD136" i="201"/>
  <c r="AD105" i="201"/>
  <c r="AD131" i="201"/>
  <c r="AD79" i="201"/>
  <c r="AD109" i="201"/>
  <c r="AD126" i="201"/>
  <c r="AD138" i="201"/>
  <c r="AD106" i="201"/>
  <c r="AD128" i="201"/>
  <c r="AD140" i="201"/>
  <c r="AD152" i="201"/>
  <c r="AD164" i="201"/>
  <c r="AD100" i="201"/>
  <c r="AD135" i="201"/>
  <c r="AD147" i="201"/>
  <c r="AD159" i="201"/>
  <c r="AD133" i="201"/>
  <c r="AD154" i="201"/>
  <c r="AD166" i="201"/>
  <c r="AD113" i="201"/>
  <c r="AD142" i="201"/>
  <c r="AD149" i="201"/>
  <c r="AD161" i="201"/>
  <c r="AD123" i="201"/>
  <c r="AD144" i="201"/>
  <c r="AD156" i="201"/>
  <c r="AD168" i="201"/>
  <c r="AD151" i="201"/>
  <c r="AD163" i="201"/>
  <c r="AD146" i="201"/>
  <c r="AD158" i="201"/>
  <c r="AD153" i="201"/>
  <c r="AD165" i="201"/>
  <c r="AD148" i="201"/>
  <c r="AD160" i="201"/>
  <c r="AD143" i="201"/>
  <c r="AD155" i="201"/>
  <c r="AD167" i="201"/>
  <c r="AD173" i="201"/>
  <c r="AD37" i="201"/>
  <c r="AD49" i="201"/>
  <c r="AD44" i="201"/>
  <c r="AD175" i="201"/>
  <c r="AD39" i="201"/>
  <c r="AD170" i="201"/>
  <c r="AD72" i="201"/>
  <c r="AD46" i="201"/>
  <c r="AD169" i="201"/>
  <c r="AD177" i="201"/>
  <c r="AD41" i="201"/>
  <c r="AD172" i="201"/>
  <c r="AD36" i="201"/>
  <c r="AD48" i="201"/>
  <c r="AD179" i="201"/>
  <c r="AD43" i="201"/>
  <c r="AD145" i="201"/>
  <c r="AD174" i="201"/>
  <c r="AD38" i="201"/>
  <c r="AD50" i="201"/>
  <c r="AD150" i="201"/>
  <c r="AD45" i="201"/>
  <c r="AD157" i="201"/>
  <c r="AD176" i="201"/>
  <c r="AD40" i="201"/>
  <c r="AD171" i="201"/>
  <c r="AD53" i="201"/>
  <c r="AD65" i="201"/>
  <c r="AD10" i="201"/>
  <c r="AD178" i="201"/>
  <c r="AD60" i="201"/>
  <c r="AD35" i="201"/>
  <c r="AD5" i="201"/>
  <c r="AD55" i="201"/>
  <c r="AD67" i="201"/>
  <c r="AD62" i="201"/>
  <c r="AD7" i="201"/>
  <c r="AD57" i="201"/>
  <c r="AD69" i="201"/>
  <c r="AD42" i="201"/>
  <c r="AD52" i="201"/>
  <c r="AD64" i="201"/>
  <c r="AD9" i="201"/>
  <c r="AD47" i="201"/>
  <c r="AD59" i="201"/>
  <c r="AD4" i="201"/>
  <c r="AD54" i="201"/>
  <c r="AD66" i="201"/>
  <c r="AD11" i="201"/>
  <c r="AD162" i="201"/>
  <c r="AD61" i="201"/>
  <c r="AD6" i="201"/>
  <c r="AD51" i="201"/>
  <c r="AD63" i="201"/>
  <c r="AD8" i="201"/>
  <c r="AD19" i="201"/>
  <c r="AD14" i="201"/>
  <c r="AD26" i="201"/>
  <c r="AD21" i="201"/>
  <c r="AD16" i="201"/>
  <c r="AD28" i="201"/>
  <c r="AD23" i="201"/>
  <c r="AD30" i="201"/>
  <c r="AD58" i="201"/>
  <c r="AD18" i="201"/>
  <c r="AD56" i="201"/>
  <c r="AD13" i="201"/>
  <c r="AD25" i="201"/>
  <c r="AD22" i="201"/>
  <c r="AD20" i="201"/>
  <c r="AD68" i="201"/>
  <c r="AD15" i="201"/>
  <c r="AD27" i="201"/>
  <c r="AD17" i="201"/>
  <c r="AD29" i="201"/>
  <c r="AD12" i="201"/>
  <c r="AD24" i="201"/>
  <c r="AD3" i="201"/>
  <c r="AD182" i="201"/>
  <c r="AD180" i="201"/>
  <c r="AD181" i="201"/>
  <c r="AD71" i="201"/>
  <c r="AD70" i="201"/>
  <c r="AD34" i="201"/>
  <c r="AD33" i="201"/>
  <c r="AD32" i="201"/>
  <c r="AD31" i="201"/>
  <c r="AE1" i="201"/>
  <c r="AE76" i="201" l="1"/>
  <c r="AE88" i="201"/>
  <c r="AE100" i="201"/>
  <c r="AE83" i="201"/>
  <c r="AE95" i="201"/>
  <c r="AE78" i="201"/>
  <c r="AE90" i="201"/>
  <c r="AE102" i="201"/>
  <c r="AE73" i="201"/>
  <c r="AE85" i="201"/>
  <c r="AE97" i="201"/>
  <c r="AE80" i="201"/>
  <c r="AE92" i="201"/>
  <c r="AE104" i="201"/>
  <c r="AE75" i="201"/>
  <c r="AE87" i="201"/>
  <c r="AE99" i="201"/>
  <c r="AE82" i="201"/>
  <c r="AE94" i="201"/>
  <c r="AE77" i="201"/>
  <c r="AE105" i="201"/>
  <c r="AE117" i="201"/>
  <c r="AE93" i="201"/>
  <c r="AE112" i="201"/>
  <c r="AE124" i="201"/>
  <c r="AE81" i="201"/>
  <c r="AE96" i="201"/>
  <c r="AE107" i="201"/>
  <c r="AE119" i="201"/>
  <c r="AE109" i="201"/>
  <c r="AE121" i="201"/>
  <c r="AE113" i="201"/>
  <c r="AE125" i="201"/>
  <c r="AE103" i="201"/>
  <c r="AE108" i="201"/>
  <c r="AE120" i="201"/>
  <c r="AE91" i="201"/>
  <c r="AE135" i="201"/>
  <c r="AE74" i="201"/>
  <c r="AE110" i="201"/>
  <c r="AE130" i="201"/>
  <c r="AE84" i="201"/>
  <c r="AE114" i="201"/>
  <c r="AE137" i="201"/>
  <c r="AE132" i="201"/>
  <c r="AE86" i="201"/>
  <c r="AE101" i="201"/>
  <c r="AE111" i="201"/>
  <c r="AE127" i="201"/>
  <c r="AE139" i="201"/>
  <c r="AE118" i="201"/>
  <c r="AE134" i="201"/>
  <c r="AE115" i="201"/>
  <c r="AE129" i="201"/>
  <c r="AE141" i="201"/>
  <c r="AE122" i="201"/>
  <c r="AE136" i="201"/>
  <c r="AE131" i="201"/>
  <c r="AE123" i="201"/>
  <c r="AE133" i="201"/>
  <c r="AE145" i="201"/>
  <c r="AE157" i="201"/>
  <c r="AE169" i="201"/>
  <c r="AE89" i="201"/>
  <c r="AE128" i="201"/>
  <c r="AE152" i="201"/>
  <c r="AE164" i="201"/>
  <c r="AE79" i="201"/>
  <c r="AE126" i="201"/>
  <c r="AE147" i="201"/>
  <c r="AE159" i="201"/>
  <c r="AE140" i="201"/>
  <c r="AE154" i="201"/>
  <c r="AE166" i="201"/>
  <c r="AE138" i="201"/>
  <c r="AE142" i="201"/>
  <c r="AE149" i="201"/>
  <c r="AE161" i="201"/>
  <c r="AE144" i="201"/>
  <c r="AE156" i="201"/>
  <c r="AE168" i="201"/>
  <c r="AE151" i="201"/>
  <c r="AE163" i="201"/>
  <c r="AE146" i="201"/>
  <c r="AE158" i="201"/>
  <c r="AE153" i="201"/>
  <c r="AE165" i="201"/>
  <c r="AE106" i="201"/>
  <c r="AE148" i="201"/>
  <c r="AE160" i="201"/>
  <c r="AE167" i="201"/>
  <c r="AE178" i="201"/>
  <c r="AE42" i="201"/>
  <c r="AE173" i="201"/>
  <c r="AE37" i="201"/>
  <c r="AE49" i="201"/>
  <c r="AE98" i="201"/>
  <c r="AE72" i="201"/>
  <c r="AE44" i="201"/>
  <c r="AE175" i="201"/>
  <c r="AE39" i="201"/>
  <c r="AE170" i="201"/>
  <c r="AE46" i="201"/>
  <c r="AE177" i="201"/>
  <c r="AE41" i="201"/>
  <c r="AE172" i="201"/>
  <c r="AE36" i="201"/>
  <c r="AE48" i="201"/>
  <c r="AE179" i="201"/>
  <c r="AE43" i="201"/>
  <c r="AE116" i="201"/>
  <c r="AE143" i="201"/>
  <c r="AE174" i="201"/>
  <c r="AE38" i="201"/>
  <c r="AE50" i="201"/>
  <c r="AE150" i="201"/>
  <c r="AE45" i="201"/>
  <c r="AE58" i="201"/>
  <c r="AE35" i="201"/>
  <c r="AE171" i="201"/>
  <c r="AE53" i="201"/>
  <c r="AE65" i="201"/>
  <c r="AE10" i="201"/>
  <c r="AE155" i="201"/>
  <c r="AE176" i="201"/>
  <c r="AE60" i="201"/>
  <c r="AE5" i="201"/>
  <c r="AE55" i="201"/>
  <c r="AE67" i="201"/>
  <c r="AE62" i="201"/>
  <c r="AE7" i="201"/>
  <c r="AE57" i="201"/>
  <c r="AE69" i="201"/>
  <c r="AE40" i="201"/>
  <c r="AE52" i="201"/>
  <c r="AE64" i="201"/>
  <c r="AE9" i="201"/>
  <c r="AE47" i="201"/>
  <c r="AE59" i="201"/>
  <c r="AE4" i="201"/>
  <c r="AE54" i="201"/>
  <c r="AE66" i="201"/>
  <c r="AE11" i="201"/>
  <c r="AE56" i="201"/>
  <c r="AE68" i="201"/>
  <c r="AE12" i="201"/>
  <c r="AE24" i="201"/>
  <c r="AE3" i="201"/>
  <c r="AE19" i="201"/>
  <c r="AE162" i="201"/>
  <c r="AE14" i="201"/>
  <c r="AE26" i="201"/>
  <c r="AE21" i="201"/>
  <c r="AE16" i="201"/>
  <c r="AE28" i="201"/>
  <c r="AE51" i="201"/>
  <c r="AE23" i="201"/>
  <c r="AE18" i="201"/>
  <c r="AE30" i="201"/>
  <c r="AE15" i="201"/>
  <c r="AE63" i="201"/>
  <c r="AE13" i="201"/>
  <c r="AE25" i="201"/>
  <c r="AE8" i="201"/>
  <c r="AE61" i="201"/>
  <c r="AE20" i="201"/>
  <c r="AE27" i="201"/>
  <c r="AE6" i="201"/>
  <c r="AE22" i="201"/>
  <c r="AE17" i="201"/>
  <c r="AE29" i="201"/>
  <c r="AE180" i="201"/>
  <c r="AE181" i="201"/>
  <c r="AE182" i="201"/>
  <c r="AE71" i="201"/>
  <c r="AE70" i="201"/>
  <c r="AE34" i="201"/>
  <c r="AE33" i="201"/>
  <c r="AE32" i="201"/>
  <c r="AE31" i="201"/>
  <c r="AF1" i="201"/>
  <c r="AF81" i="201" l="1"/>
  <c r="AF93" i="201"/>
  <c r="AF76" i="201"/>
  <c r="AF88" i="201"/>
  <c r="AF100" i="201"/>
  <c r="AF83" i="201"/>
  <c r="AF95" i="201"/>
  <c r="AF78" i="201"/>
  <c r="AF90" i="201"/>
  <c r="AF102" i="201"/>
  <c r="AF73" i="201"/>
  <c r="AF85" i="201"/>
  <c r="AF97" i="201"/>
  <c r="AF80" i="201"/>
  <c r="AF92" i="201"/>
  <c r="AF104" i="201"/>
  <c r="AF75" i="201"/>
  <c r="AF87" i="201"/>
  <c r="AF99" i="201"/>
  <c r="AF79" i="201"/>
  <c r="AF94" i="201"/>
  <c r="AF110" i="201"/>
  <c r="AF122" i="201"/>
  <c r="AF82" i="201"/>
  <c r="AF105" i="201"/>
  <c r="AF117" i="201"/>
  <c r="AF112" i="201"/>
  <c r="AF124" i="201"/>
  <c r="AF84" i="201"/>
  <c r="AF114" i="201"/>
  <c r="AF89" i="201"/>
  <c r="AF106" i="201"/>
  <c r="AF118" i="201"/>
  <c r="AF77" i="201"/>
  <c r="AF113" i="201"/>
  <c r="AF125" i="201"/>
  <c r="AF120" i="201"/>
  <c r="AF128" i="201"/>
  <c r="AF140" i="201"/>
  <c r="AF91" i="201"/>
  <c r="AF135" i="201"/>
  <c r="AF74" i="201"/>
  <c r="AF107" i="201"/>
  <c r="AF130" i="201"/>
  <c r="AF142" i="201"/>
  <c r="AF121" i="201"/>
  <c r="AF137" i="201"/>
  <c r="AF132" i="201"/>
  <c r="AF86" i="201"/>
  <c r="AF101" i="201"/>
  <c r="AF111" i="201"/>
  <c r="AF127" i="201"/>
  <c r="AF139" i="201"/>
  <c r="AF103" i="201"/>
  <c r="AF108" i="201"/>
  <c r="AF134" i="201"/>
  <c r="AF115" i="201"/>
  <c r="AF129" i="201"/>
  <c r="AF141" i="201"/>
  <c r="AF96" i="201"/>
  <c r="AF119" i="201"/>
  <c r="AF136" i="201"/>
  <c r="AF98" i="201"/>
  <c r="AF116" i="201"/>
  <c r="AF126" i="201"/>
  <c r="AF138" i="201"/>
  <c r="AF150" i="201"/>
  <c r="AF162" i="201"/>
  <c r="AF145" i="201"/>
  <c r="AF157" i="201"/>
  <c r="AF169" i="201"/>
  <c r="AF152" i="201"/>
  <c r="AF164" i="201"/>
  <c r="AF133" i="201"/>
  <c r="AF147" i="201"/>
  <c r="AF159" i="201"/>
  <c r="AF109" i="201"/>
  <c r="AF131" i="201"/>
  <c r="AF154" i="201"/>
  <c r="AF166" i="201"/>
  <c r="AF123" i="201"/>
  <c r="AF149" i="201"/>
  <c r="AF161" i="201"/>
  <c r="AF144" i="201"/>
  <c r="AF156" i="201"/>
  <c r="AF168" i="201"/>
  <c r="AF151" i="201"/>
  <c r="AF163" i="201"/>
  <c r="AF146" i="201"/>
  <c r="AF158" i="201"/>
  <c r="AF153" i="201"/>
  <c r="AF165" i="201"/>
  <c r="AF160" i="201"/>
  <c r="AF171" i="201"/>
  <c r="AF47" i="201"/>
  <c r="AF167" i="201"/>
  <c r="AF178" i="201"/>
  <c r="AF72" i="201"/>
  <c r="AF42" i="201"/>
  <c r="AF173" i="201"/>
  <c r="AF37" i="201"/>
  <c r="AF49" i="201"/>
  <c r="AF44" i="201"/>
  <c r="AF175" i="201"/>
  <c r="AF39" i="201"/>
  <c r="AF170" i="201"/>
  <c r="AF46" i="201"/>
  <c r="AF177" i="201"/>
  <c r="AF41" i="201"/>
  <c r="AF172" i="201"/>
  <c r="AF36" i="201"/>
  <c r="AF48" i="201"/>
  <c r="AF179" i="201"/>
  <c r="AF43" i="201"/>
  <c r="AF143" i="201"/>
  <c r="AF174" i="201"/>
  <c r="AF38" i="201"/>
  <c r="AF50" i="201"/>
  <c r="AF51" i="201"/>
  <c r="AF63" i="201"/>
  <c r="AF8" i="201"/>
  <c r="AF58" i="201"/>
  <c r="AF53" i="201"/>
  <c r="AF65" i="201"/>
  <c r="AF10" i="201"/>
  <c r="AF155" i="201"/>
  <c r="AF176" i="201"/>
  <c r="AF60" i="201"/>
  <c r="AF5" i="201"/>
  <c r="AF55" i="201"/>
  <c r="AF67" i="201"/>
  <c r="AF62" i="201"/>
  <c r="AF7" i="201"/>
  <c r="AF57" i="201"/>
  <c r="AF69" i="201"/>
  <c r="AF40" i="201"/>
  <c r="AF52" i="201"/>
  <c r="AF64" i="201"/>
  <c r="AF9" i="201"/>
  <c r="AF148" i="201"/>
  <c r="AF45" i="201"/>
  <c r="AF59" i="201"/>
  <c r="AF4" i="201"/>
  <c r="AF61" i="201"/>
  <c r="AF6" i="201"/>
  <c r="AF11" i="201"/>
  <c r="AF17" i="201"/>
  <c r="AF29" i="201"/>
  <c r="AF12" i="201"/>
  <c r="AF24" i="201"/>
  <c r="AF3" i="201"/>
  <c r="AF68" i="201"/>
  <c r="AF19" i="201"/>
  <c r="AF28" i="201"/>
  <c r="AF20" i="201"/>
  <c r="AF35" i="201"/>
  <c r="AF14" i="201"/>
  <c r="AF26" i="201"/>
  <c r="AF21" i="201"/>
  <c r="AF16" i="201"/>
  <c r="AF23" i="201"/>
  <c r="AF56" i="201"/>
  <c r="AF18" i="201"/>
  <c r="AF30" i="201"/>
  <c r="AF54" i="201"/>
  <c r="AF13" i="201"/>
  <c r="AF25" i="201"/>
  <c r="AF66" i="201"/>
  <c r="AF15" i="201"/>
  <c r="AF27" i="201"/>
  <c r="AF22" i="201"/>
  <c r="AF180" i="201"/>
  <c r="AF181" i="201"/>
  <c r="AF182" i="201"/>
  <c r="AF71" i="201"/>
  <c r="AF70" i="201"/>
  <c r="AF34" i="201"/>
  <c r="AF33" i="201"/>
  <c r="AF32" i="201"/>
  <c r="AG1" i="201"/>
  <c r="AF31" i="201"/>
  <c r="AG74" i="201" l="1"/>
  <c r="AG86" i="201"/>
  <c r="AG98" i="201"/>
  <c r="AG81" i="201"/>
  <c r="AG93" i="201"/>
  <c r="AG76" i="201"/>
  <c r="AG88" i="201"/>
  <c r="AG100" i="201"/>
  <c r="AG83" i="201"/>
  <c r="AG95" i="201"/>
  <c r="AG78" i="201"/>
  <c r="AG90" i="201"/>
  <c r="AG102" i="201"/>
  <c r="AG73" i="201"/>
  <c r="AG85" i="201"/>
  <c r="AG97" i="201"/>
  <c r="AG80" i="201"/>
  <c r="AG92" i="201"/>
  <c r="AG104" i="201"/>
  <c r="AG75" i="201"/>
  <c r="AG91" i="201"/>
  <c r="AG115" i="201"/>
  <c r="AG79" i="201"/>
  <c r="AG94" i="201"/>
  <c r="AG110" i="201"/>
  <c r="AG122" i="201"/>
  <c r="AG82" i="201"/>
  <c r="AG105" i="201"/>
  <c r="AG117" i="201"/>
  <c r="AG96" i="201"/>
  <c r="AG107" i="201"/>
  <c r="AG119" i="201"/>
  <c r="AG101" i="201"/>
  <c r="AG111" i="201"/>
  <c r="AG123" i="201"/>
  <c r="AG89" i="201"/>
  <c r="AG106" i="201"/>
  <c r="AG118" i="201"/>
  <c r="AG113" i="201"/>
  <c r="AG133" i="201"/>
  <c r="AG120" i="201"/>
  <c r="AG128" i="201"/>
  <c r="AG140" i="201"/>
  <c r="AG124" i="201"/>
  <c r="AG135" i="201"/>
  <c r="AG84" i="201"/>
  <c r="AG99" i="201"/>
  <c r="AG114" i="201"/>
  <c r="AG130" i="201"/>
  <c r="AG121" i="201"/>
  <c r="AG137" i="201"/>
  <c r="AG132" i="201"/>
  <c r="AG125" i="201"/>
  <c r="AG127" i="201"/>
  <c r="AG139" i="201"/>
  <c r="AG103" i="201"/>
  <c r="AG108" i="201"/>
  <c r="AG134" i="201"/>
  <c r="AG112" i="201"/>
  <c r="AG129" i="201"/>
  <c r="AG141" i="201"/>
  <c r="AG77" i="201"/>
  <c r="AG87" i="201"/>
  <c r="AG109" i="201"/>
  <c r="AG131" i="201"/>
  <c r="AG143" i="201"/>
  <c r="AG155" i="201"/>
  <c r="AG167" i="201"/>
  <c r="AG150" i="201"/>
  <c r="AG162" i="201"/>
  <c r="AG145" i="201"/>
  <c r="AG157" i="201"/>
  <c r="AG169" i="201"/>
  <c r="AG126" i="201"/>
  <c r="AG152" i="201"/>
  <c r="AG164" i="201"/>
  <c r="AG147" i="201"/>
  <c r="AG159" i="201"/>
  <c r="AG138" i="201"/>
  <c r="AG142" i="201"/>
  <c r="AG154" i="201"/>
  <c r="AG166" i="201"/>
  <c r="AG136" i="201"/>
  <c r="AG149" i="201"/>
  <c r="AG161" i="201"/>
  <c r="AG144" i="201"/>
  <c r="AG156" i="201"/>
  <c r="AG168" i="201"/>
  <c r="AG151" i="201"/>
  <c r="AG163" i="201"/>
  <c r="AG146" i="201"/>
  <c r="AG158" i="201"/>
  <c r="AG153" i="201"/>
  <c r="AG176" i="201"/>
  <c r="AG72" i="201"/>
  <c r="AG40" i="201"/>
  <c r="AG160" i="201"/>
  <c r="AG171" i="201"/>
  <c r="AG47" i="201"/>
  <c r="AG165" i="201"/>
  <c r="AG178" i="201"/>
  <c r="AG42" i="201"/>
  <c r="AG173" i="201"/>
  <c r="AG37" i="201"/>
  <c r="AG49" i="201"/>
  <c r="AG44" i="201"/>
  <c r="AG175" i="201"/>
  <c r="AG39" i="201"/>
  <c r="AG170" i="201"/>
  <c r="AG46" i="201"/>
  <c r="AG177" i="201"/>
  <c r="AG41" i="201"/>
  <c r="AG172" i="201"/>
  <c r="AG36" i="201"/>
  <c r="AG48" i="201"/>
  <c r="AG116" i="201"/>
  <c r="AG179" i="201"/>
  <c r="AG43" i="201"/>
  <c r="AG56" i="201"/>
  <c r="AG68" i="201"/>
  <c r="AG51" i="201"/>
  <c r="AG63" i="201"/>
  <c r="AG8" i="201"/>
  <c r="AG58" i="201"/>
  <c r="AG53" i="201"/>
  <c r="AG65" i="201"/>
  <c r="AG10" i="201"/>
  <c r="AG174" i="201"/>
  <c r="AG60" i="201"/>
  <c r="AG5" i="201"/>
  <c r="AG55" i="201"/>
  <c r="AG67" i="201"/>
  <c r="AG62" i="201"/>
  <c r="AG7" i="201"/>
  <c r="AG57" i="201"/>
  <c r="AG69" i="201"/>
  <c r="AG38" i="201"/>
  <c r="AG52" i="201"/>
  <c r="AG64" i="201"/>
  <c r="AG9" i="201"/>
  <c r="AG50" i="201"/>
  <c r="AG54" i="201"/>
  <c r="AG66" i="201"/>
  <c r="AG35" i="201"/>
  <c r="AG11" i="201"/>
  <c r="AG148" i="201"/>
  <c r="AG4" i="201"/>
  <c r="AG22" i="201"/>
  <c r="AG61" i="201"/>
  <c r="AG17" i="201"/>
  <c r="AG29" i="201"/>
  <c r="AG12" i="201"/>
  <c r="AG24" i="201"/>
  <c r="AG3" i="201"/>
  <c r="AG19" i="201"/>
  <c r="AG25" i="201"/>
  <c r="AG14" i="201"/>
  <c r="AG26" i="201"/>
  <c r="AG21" i="201"/>
  <c r="AG16" i="201"/>
  <c r="AG28" i="201"/>
  <c r="AG13" i="201"/>
  <c r="AG23" i="201"/>
  <c r="AG18" i="201"/>
  <c r="AG30" i="201"/>
  <c r="AG45" i="201"/>
  <c r="AG59" i="201"/>
  <c r="AG20" i="201"/>
  <c r="AG6" i="201"/>
  <c r="AG15" i="201"/>
  <c r="AG27" i="201"/>
  <c r="AG181" i="201"/>
  <c r="AG182" i="201"/>
  <c r="AG180" i="201"/>
  <c r="AG71" i="201"/>
  <c r="AG70" i="201"/>
  <c r="AH1" i="201"/>
  <c r="AG34" i="201"/>
  <c r="AG33" i="201"/>
  <c r="AG32" i="201"/>
  <c r="AG31" i="201"/>
  <c r="AH79" i="201" l="1"/>
  <c r="AI79" i="201" s="1"/>
  <c r="AH91" i="201"/>
  <c r="AH103" i="201"/>
  <c r="AI103" i="201" s="1"/>
  <c r="AH74" i="201"/>
  <c r="AI74" i="201" s="1"/>
  <c r="AH86" i="201"/>
  <c r="AH98" i="201"/>
  <c r="AI98" i="201" s="1"/>
  <c r="AH81" i="201"/>
  <c r="AH93" i="201"/>
  <c r="AI93" i="201" s="1"/>
  <c r="AH76" i="201"/>
  <c r="AI76" i="201" s="1"/>
  <c r="AH88" i="201"/>
  <c r="AI88" i="201" s="1"/>
  <c r="AH100" i="201"/>
  <c r="AI100" i="201" s="1"/>
  <c r="AH83" i="201"/>
  <c r="AI83" i="201" s="1"/>
  <c r="AH95" i="201"/>
  <c r="AI95" i="201" s="1"/>
  <c r="AH78" i="201"/>
  <c r="AH90" i="201"/>
  <c r="AI90" i="201" s="1"/>
  <c r="AH102" i="201"/>
  <c r="AI102" i="201" s="1"/>
  <c r="AH73" i="201"/>
  <c r="AI73" i="201" s="1"/>
  <c r="AH85" i="201"/>
  <c r="AI85" i="201" s="1"/>
  <c r="AH97" i="201"/>
  <c r="AI97" i="201" s="1"/>
  <c r="AH80" i="201"/>
  <c r="AI80" i="201" s="1"/>
  <c r="AH108" i="201"/>
  <c r="AI108" i="201" s="1"/>
  <c r="AH120" i="201"/>
  <c r="AI120" i="201" s="1"/>
  <c r="AH115" i="201"/>
  <c r="AI115" i="201" s="1"/>
  <c r="AH94" i="201"/>
  <c r="AI94" i="201" s="1"/>
  <c r="AH110" i="201"/>
  <c r="AI110" i="201" s="1"/>
  <c r="AH122" i="201"/>
  <c r="AH112" i="201"/>
  <c r="AI112" i="201" s="1"/>
  <c r="AH124" i="201"/>
  <c r="AI124" i="201" s="1"/>
  <c r="AH75" i="201"/>
  <c r="AI75" i="201" s="1"/>
  <c r="AH116" i="201"/>
  <c r="AI116" i="201" s="1"/>
  <c r="AH101" i="201"/>
  <c r="AI101" i="201" s="1"/>
  <c r="AH111" i="201"/>
  <c r="AI111" i="201" s="1"/>
  <c r="AH123" i="201"/>
  <c r="AI123" i="201" s="1"/>
  <c r="AH89" i="201"/>
  <c r="AI89" i="201" s="1"/>
  <c r="AH104" i="201"/>
  <c r="AI104" i="201" s="1"/>
  <c r="AH106" i="201"/>
  <c r="AI106" i="201" s="1"/>
  <c r="AH126" i="201"/>
  <c r="AI126" i="201" s="1"/>
  <c r="AH138" i="201"/>
  <c r="AH113" i="201"/>
  <c r="AI113" i="201" s="1"/>
  <c r="AH133" i="201"/>
  <c r="AI133" i="201" s="1"/>
  <c r="AH82" i="201"/>
  <c r="AI82" i="201" s="1"/>
  <c r="AH117" i="201"/>
  <c r="AI117" i="201" s="1"/>
  <c r="AH128" i="201"/>
  <c r="AI128" i="201" s="1"/>
  <c r="AH140" i="201"/>
  <c r="AI140" i="201" s="1"/>
  <c r="AH107" i="201"/>
  <c r="AI107" i="201" s="1"/>
  <c r="AH135" i="201"/>
  <c r="AI135" i="201" s="1"/>
  <c r="AH84" i="201"/>
  <c r="AI84" i="201" s="1"/>
  <c r="AH99" i="201"/>
  <c r="AI99" i="201" s="1"/>
  <c r="AH114" i="201"/>
  <c r="AI114" i="201" s="1"/>
  <c r="AH130" i="201"/>
  <c r="AH121" i="201"/>
  <c r="AI121" i="201" s="1"/>
  <c r="AH137" i="201"/>
  <c r="AI137" i="201" s="1"/>
  <c r="AH118" i="201"/>
  <c r="AI118" i="201" s="1"/>
  <c r="AH132" i="201"/>
  <c r="AI132" i="201" s="1"/>
  <c r="AH92" i="201"/>
  <c r="AI92" i="201" s="1"/>
  <c r="AH125" i="201"/>
  <c r="AI125" i="201" s="1"/>
  <c r="AH127" i="201"/>
  <c r="AI127" i="201" s="1"/>
  <c r="AH139" i="201"/>
  <c r="AI139" i="201" s="1"/>
  <c r="AH105" i="201"/>
  <c r="AI105" i="201" s="1"/>
  <c r="AH134" i="201"/>
  <c r="AI134" i="201" s="1"/>
  <c r="AH136" i="201"/>
  <c r="AI136" i="201" s="1"/>
  <c r="AH148" i="201"/>
  <c r="AH160" i="201"/>
  <c r="AI160" i="201" s="1"/>
  <c r="AH77" i="201"/>
  <c r="AI77" i="201" s="1"/>
  <c r="AH143" i="201"/>
  <c r="AH155" i="201"/>
  <c r="AI155" i="201" s="1"/>
  <c r="AH167" i="201"/>
  <c r="AI167" i="201" s="1"/>
  <c r="AH150" i="201"/>
  <c r="AI150" i="201" s="1"/>
  <c r="AH162" i="201"/>
  <c r="AI162" i="201" s="1"/>
  <c r="AH145" i="201"/>
  <c r="AI145" i="201" s="1"/>
  <c r="AH157" i="201"/>
  <c r="AI157" i="201" s="1"/>
  <c r="AH169" i="201"/>
  <c r="AI169" i="201" s="1"/>
  <c r="AH152" i="201"/>
  <c r="AI152" i="201" s="1"/>
  <c r="AH164" i="201"/>
  <c r="AI164" i="201" s="1"/>
  <c r="AH109" i="201"/>
  <c r="AI109" i="201" s="1"/>
  <c r="AH131" i="201"/>
  <c r="AI131" i="201" s="1"/>
  <c r="AH147" i="201"/>
  <c r="AI147" i="201" s="1"/>
  <c r="AH159" i="201"/>
  <c r="AI159" i="201" s="1"/>
  <c r="AH119" i="201"/>
  <c r="AI119" i="201" s="1"/>
  <c r="AH129" i="201"/>
  <c r="AI129" i="201" s="1"/>
  <c r="AH142" i="201"/>
  <c r="AI142" i="201" s="1"/>
  <c r="AH154" i="201"/>
  <c r="AI154" i="201" s="1"/>
  <c r="AH166" i="201"/>
  <c r="AI166" i="201" s="1"/>
  <c r="AH149" i="201"/>
  <c r="AI149" i="201" s="1"/>
  <c r="AH161" i="201"/>
  <c r="AI161" i="201" s="1"/>
  <c r="AH96" i="201"/>
  <c r="AH141" i="201"/>
  <c r="AI141" i="201" s="1"/>
  <c r="AH144" i="201"/>
  <c r="AI144" i="201" s="1"/>
  <c r="AH156" i="201"/>
  <c r="AI156" i="201" s="1"/>
  <c r="AH168" i="201"/>
  <c r="AI168" i="201" s="1"/>
  <c r="AH151" i="201"/>
  <c r="AI151" i="201" s="1"/>
  <c r="AH163" i="201"/>
  <c r="AI163" i="201" s="1"/>
  <c r="AH146" i="201"/>
  <c r="AI146" i="201" s="1"/>
  <c r="AH45" i="201"/>
  <c r="AI45" i="201" s="1"/>
  <c r="AH87" i="201"/>
  <c r="AI87" i="201" s="1"/>
  <c r="AH153" i="201"/>
  <c r="AI153" i="201" s="1"/>
  <c r="AH176" i="201"/>
  <c r="AI176" i="201" s="1"/>
  <c r="AH40" i="201"/>
  <c r="AI40" i="201" s="1"/>
  <c r="AH158" i="201"/>
  <c r="AI158" i="201" s="1"/>
  <c r="AH171" i="201"/>
  <c r="AI171" i="201" s="1"/>
  <c r="AH47" i="201"/>
  <c r="AI47" i="201" s="1"/>
  <c r="AH165" i="201"/>
  <c r="AI165" i="201" s="1"/>
  <c r="AH178" i="201"/>
  <c r="AI178" i="201" s="1"/>
  <c r="AH42" i="201"/>
  <c r="AI42" i="201" s="1"/>
  <c r="AH173" i="201"/>
  <c r="AI173" i="201" s="1"/>
  <c r="AH37" i="201"/>
  <c r="AI37" i="201" s="1"/>
  <c r="AH49" i="201"/>
  <c r="AI49" i="201" s="1"/>
  <c r="AH44" i="201"/>
  <c r="AI44" i="201" s="1"/>
  <c r="AH175" i="201"/>
  <c r="AI175" i="201" s="1"/>
  <c r="AH39" i="201"/>
  <c r="AI39" i="201" s="1"/>
  <c r="AH170" i="201"/>
  <c r="AI170" i="201" s="1"/>
  <c r="AH46" i="201"/>
  <c r="AI46" i="201" s="1"/>
  <c r="AH177" i="201"/>
  <c r="AI177" i="201" s="1"/>
  <c r="AH41" i="201"/>
  <c r="AI41" i="201" s="1"/>
  <c r="AH172" i="201"/>
  <c r="AI172" i="201" s="1"/>
  <c r="AH36" i="201"/>
  <c r="AI36" i="201" s="1"/>
  <c r="AH48" i="201"/>
  <c r="AI48" i="201" s="1"/>
  <c r="AH61" i="201"/>
  <c r="AI61" i="201" s="1"/>
  <c r="AH6" i="201"/>
  <c r="AI6" i="201" s="1"/>
  <c r="AH56" i="201"/>
  <c r="AI56" i="201" s="1"/>
  <c r="AH68" i="201"/>
  <c r="AI68" i="201" s="1"/>
  <c r="AH51" i="201"/>
  <c r="AI51" i="201" s="1"/>
  <c r="AH63" i="201"/>
  <c r="AI63" i="201" s="1"/>
  <c r="AH8" i="201"/>
  <c r="AI8" i="201" s="1"/>
  <c r="AH58" i="201"/>
  <c r="AI58" i="201" s="1"/>
  <c r="AH53" i="201"/>
  <c r="AI53" i="201" s="1"/>
  <c r="AH65" i="201"/>
  <c r="AI65" i="201" s="1"/>
  <c r="AH10" i="201"/>
  <c r="AI10" i="201" s="1"/>
  <c r="AH174" i="201"/>
  <c r="AI174" i="201" s="1"/>
  <c r="AH60" i="201"/>
  <c r="AI60" i="201" s="1"/>
  <c r="AH5" i="201"/>
  <c r="AI5" i="201" s="1"/>
  <c r="AH179" i="201"/>
  <c r="AI179" i="201" s="1"/>
  <c r="AH55" i="201"/>
  <c r="AI55" i="201" s="1"/>
  <c r="AH67" i="201"/>
  <c r="AI67" i="201" s="1"/>
  <c r="AH72" i="201"/>
  <c r="AI72" i="201" s="1"/>
  <c r="AH62" i="201"/>
  <c r="AI62" i="201" s="1"/>
  <c r="AH7" i="201"/>
  <c r="AI7" i="201" s="1"/>
  <c r="AH57" i="201"/>
  <c r="AI57" i="201" s="1"/>
  <c r="AH69" i="201"/>
  <c r="AI69" i="201" s="1"/>
  <c r="AH43" i="201"/>
  <c r="AI43" i="201" s="1"/>
  <c r="AH59" i="201"/>
  <c r="AI59" i="201" s="1"/>
  <c r="AH4" i="201"/>
  <c r="AI4" i="201" s="1"/>
  <c r="AH64" i="201"/>
  <c r="AI64" i="201" s="1"/>
  <c r="AH15" i="201"/>
  <c r="AI15" i="201" s="1"/>
  <c r="AH27" i="201"/>
  <c r="AI27" i="201" s="1"/>
  <c r="AH11" i="201"/>
  <c r="AI11" i="201" s="1"/>
  <c r="AH22" i="201"/>
  <c r="AI22" i="201" s="1"/>
  <c r="AH26" i="201"/>
  <c r="AI26" i="201" s="1"/>
  <c r="AH18" i="201"/>
  <c r="AI18" i="201" s="1"/>
  <c r="AH35" i="201"/>
  <c r="AI35" i="201" s="1"/>
  <c r="AH9" i="201"/>
  <c r="AI9" i="201" s="1"/>
  <c r="AH17" i="201"/>
  <c r="AI17" i="201" s="1"/>
  <c r="AH29" i="201"/>
  <c r="AI29" i="201" s="1"/>
  <c r="AH50" i="201"/>
  <c r="AI50" i="201" s="1"/>
  <c r="AH12" i="201"/>
  <c r="AI12" i="201" s="1"/>
  <c r="AH24" i="201"/>
  <c r="AI24" i="201" s="1"/>
  <c r="AH3" i="201"/>
  <c r="AI3" i="201" s="1"/>
  <c r="AH38" i="201"/>
  <c r="AI38" i="201" s="1"/>
  <c r="AH19" i="201"/>
  <c r="AI19" i="201" s="1"/>
  <c r="AH14" i="201"/>
  <c r="AI14" i="201" s="1"/>
  <c r="AH21" i="201"/>
  <c r="AI21" i="201" s="1"/>
  <c r="AH16" i="201"/>
  <c r="AI16" i="201" s="1"/>
  <c r="AH28" i="201"/>
  <c r="AI28" i="201" s="1"/>
  <c r="AH23" i="201"/>
  <c r="AI23" i="201" s="1"/>
  <c r="AH52" i="201"/>
  <c r="AI52" i="201" s="1"/>
  <c r="AH13" i="201"/>
  <c r="AI13" i="201" s="1"/>
  <c r="AH25" i="201"/>
  <c r="AI25" i="201" s="1"/>
  <c r="AH30" i="201"/>
  <c r="AI30" i="201" s="1"/>
  <c r="AH66" i="201"/>
  <c r="AI66" i="201" s="1"/>
  <c r="AH20" i="201"/>
  <c r="AI20" i="201" s="1"/>
  <c r="AH54" i="201"/>
  <c r="AI54" i="201" s="1"/>
  <c r="AH182" i="201"/>
  <c r="AH180" i="201"/>
  <c r="AH181" i="201"/>
  <c r="AI122" i="201"/>
  <c r="AI148" i="201"/>
  <c r="AI138" i="201"/>
  <c r="AI130" i="201"/>
  <c r="AI86" i="201"/>
  <c r="AI81" i="201"/>
  <c r="AI78" i="201"/>
  <c r="AH71" i="201"/>
  <c r="AI71" i="201" s="1"/>
  <c r="AH70" i="201"/>
  <c r="AI70" i="201" s="1"/>
  <c r="AI96" i="201"/>
  <c r="AH34" i="201"/>
  <c r="AI34" i="201" s="1"/>
  <c r="AH33" i="201"/>
  <c r="AI33" i="201" s="1"/>
  <c r="AH32" i="201"/>
  <c r="AI32" i="201" s="1"/>
  <c r="AH31" i="201"/>
  <c r="AI31" i="201" s="1"/>
  <c r="T55" i="199" l="1"/>
  <c r="T56" i="199"/>
  <c r="T57" i="199"/>
  <c r="T52" i="199" l="1"/>
  <c r="T53" i="199"/>
  <c r="T54" i="199"/>
  <c r="T51" i="199"/>
  <c r="T47" i="199"/>
  <c r="T50" i="199"/>
  <c r="T48" i="199" l="1"/>
  <c r="T49" i="199"/>
  <c r="T44" i="199" l="1"/>
  <c r="T45" i="199"/>
  <c r="T46" i="199"/>
  <c r="T37" i="199" l="1"/>
  <c r="T38" i="199"/>
  <c r="T39" i="199"/>
  <c r="T40" i="199"/>
  <c r="T41" i="199"/>
  <c r="T42" i="199"/>
  <c r="T43" i="199"/>
  <c r="T36" i="199" l="1"/>
  <c r="T34" i="199" l="1"/>
  <c r="T33" i="199" l="1"/>
  <c r="T35" i="199"/>
  <c r="T29" i="199" l="1"/>
  <c r="T30" i="199"/>
  <c r="T31" i="199"/>
  <c r="T32" i="199"/>
  <c r="T22" i="199" l="1"/>
  <c r="T23" i="199"/>
  <c r="T18" i="199"/>
  <c r="T19" i="199"/>
  <c r="T20" i="199"/>
  <c r="T21" i="199"/>
  <c r="T24" i="199"/>
  <c r="T25" i="199" l="1"/>
  <c r="T26" i="199"/>
  <c r="T27" i="199"/>
  <c r="T28" i="199"/>
  <c r="T17" i="199" l="1"/>
  <c r="T12" i="199" l="1"/>
  <c r="T13" i="199"/>
  <c r="T14" i="199"/>
  <c r="T15" i="199"/>
  <c r="T16" i="199"/>
  <c r="T10" i="199" l="1"/>
  <c r="T11" i="199"/>
  <c r="T9" i="199" l="1"/>
  <c r="D1" i="200" l="1"/>
  <c r="D63" i="200" l="1"/>
  <c r="D67" i="200"/>
  <c r="D69" i="200"/>
  <c r="D64" i="200"/>
  <c r="D65" i="200"/>
  <c r="D68" i="200"/>
  <c r="D66" i="200"/>
  <c r="D70" i="200"/>
  <c r="D27" i="200"/>
  <c r="D82" i="200"/>
  <c r="D17" i="200"/>
  <c r="D22" i="200"/>
  <c r="D15" i="200"/>
  <c r="D50" i="200"/>
  <c r="D176" i="200"/>
  <c r="D164" i="200"/>
  <c r="D152" i="200"/>
  <c r="D181" i="200"/>
  <c r="D169" i="200"/>
  <c r="D157" i="200"/>
  <c r="D174" i="200"/>
  <c r="D162" i="200"/>
  <c r="D179" i="200"/>
  <c r="D167" i="200"/>
  <c r="D155" i="200"/>
  <c r="D172" i="200"/>
  <c r="D160" i="200"/>
  <c r="D177" i="200"/>
  <c r="D165" i="200"/>
  <c r="D153" i="200"/>
  <c r="D182" i="200"/>
  <c r="D170" i="200"/>
  <c r="D175" i="200"/>
  <c r="D163" i="200"/>
  <c r="D151" i="200"/>
  <c r="D180" i="200"/>
  <c r="D168" i="200"/>
  <c r="D156" i="200"/>
  <c r="D173" i="200"/>
  <c r="D161" i="200"/>
  <c r="D178" i="200"/>
  <c r="D166" i="200"/>
  <c r="D154" i="200"/>
  <c r="D171" i="200"/>
  <c r="D159" i="200"/>
  <c r="D147" i="200"/>
  <c r="D135" i="200"/>
  <c r="D123" i="200"/>
  <c r="D140" i="200"/>
  <c r="D128" i="200"/>
  <c r="D145" i="200"/>
  <c r="D133" i="200"/>
  <c r="D121" i="200"/>
  <c r="D150" i="200"/>
  <c r="D138" i="200"/>
  <c r="D126" i="200"/>
  <c r="D143" i="200"/>
  <c r="D131" i="200"/>
  <c r="D119" i="200"/>
  <c r="D148" i="200"/>
  <c r="D136" i="200"/>
  <c r="D124" i="200"/>
  <c r="D141" i="200"/>
  <c r="D129" i="200"/>
  <c r="D146" i="200"/>
  <c r="D134" i="200"/>
  <c r="D122" i="200"/>
  <c r="D139" i="200"/>
  <c r="D127" i="200"/>
  <c r="D144" i="200"/>
  <c r="D132" i="200"/>
  <c r="D120" i="200"/>
  <c r="D158" i="200"/>
  <c r="D149" i="200"/>
  <c r="D137" i="200"/>
  <c r="D125" i="200"/>
  <c r="D118" i="200"/>
  <c r="D106" i="200"/>
  <c r="D94" i="200"/>
  <c r="D111" i="200"/>
  <c r="D99" i="200"/>
  <c r="D116" i="200"/>
  <c r="D104" i="200"/>
  <c r="D92" i="200"/>
  <c r="D109" i="200"/>
  <c r="D97" i="200"/>
  <c r="D114" i="200"/>
  <c r="D102" i="200"/>
  <c r="D90" i="200"/>
  <c r="D107" i="200"/>
  <c r="D95" i="200"/>
  <c r="D130" i="200"/>
  <c r="D112" i="200"/>
  <c r="D100" i="200"/>
  <c r="D117" i="200"/>
  <c r="D105" i="200"/>
  <c r="D93" i="200"/>
  <c r="D110" i="200"/>
  <c r="D98" i="200"/>
  <c r="D115" i="200"/>
  <c r="D103" i="200"/>
  <c r="D91" i="200"/>
  <c r="D108" i="200"/>
  <c r="D96" i="200"/>
  <c r="D87" i="200"/>
  <c r="D74" i="200"/>
  <c r="D58" i="200"/>
  <c r="D142" i="200"/>
  <c r="D79" i="200"/>
  <c r="D85" i="200"/>
  <c r="D72" i="200"/>
  <c r="D56" i="200"/>
  <c r="D77" i="200"/>
  <c r="D61" i="200"/>
  <c r="D101" i="200"/>
  <c r="D83" i="200"/>
  <c r="D54" i="200"/>
  <c r="D88" i="200"/>
  <c r="D75" i="200"/>
  <c r="D59" i="200"/>
  <c r="D80" i="200"/>
  <c r="D86" i="200"/>
  <c r="D73" i="200"/>
  <c r="D57" i="200"/>
  <c r="D78" i="200"/>
  <c r="D62" i="200"/>
  <c r="D113" i="200"/>
  <c r="D84" i="200"/>
  <c r="D71" i="200"/>
  <c r="D55" i="200"/>
  <c r="D76" i="200"/>
  <c r="D60" i="200"/>
  <c r="D89" i="200"/>
  <c r="D81" i="200"/>
  <c r="D43" i="200"/>
  <c r="D9" i="200"/>
  <c r="D48" i="200"/>
  <c r="D36" i="200"/>
  <c r="D4" i="200"/>
  <c r="D53" i="200"/>
  <c r="D41" i="200"/>
  <c r="D11" i="200"/>
  <c r="D46" i="200"/>
  <c r="D6" i="200"/>
  <c r="D51" i="200"/>
  <c r="D39" i="200"/>
  <c r="D32" i="200"/>
  <c r="D44" i="200"/>
  <c r="D8" i="200"/>
  <c r="D49" i="200"/>
  <c r="D37" i="200"/>
  <c r="D34" i="200"/>
  <c r="D42" i="200"/>
  <c r="D10" i="200"/>
  <c r="D47" i="200"/>
  <c r="D35" i="200"/>
  <c r="D5" i="200"/>
  <c r="D52" i="200"/>
  <c r="D40" i="200"/>
  <c r="D31" i="200"/>
  <c r="D12" i="200"/>
  <c r="D45" i="200"/>
  <c r="D7" i="200"/>
  <c r="D20" i="200"/>
  <c r="D3" i="200"/>
  <c r="D25" i="200"/>
  <c r="D30" i="200"/>
  <c r="D18" i="200"/>
  <c r="D14" i="200"/>
  <c r="D33" i="200"/>
  <c r="D29" i="200"/>
  <c r="D23" i="200"/>
  <c r="D38" i="200"/>
  <c r="D28" i="200"/>
  <c r="D16" i="200"/>
  <c r="D21" i="200"/>
  <c r="D13" i="200"/>
  <c r="D26" i="200"/>
  <c r="D19" i="200"/>
  <c r="D24" i="200"/>
  <c r="E1" i="200"/>
  <c r="E82" i="200" l="1"/>
  <c r="E70" i="200"/>
  <c r="E63" i="200"/>
  <c r="E65" i="200"/>
  <c r="E67" i="200"/>
  <c r="E64" i="200"/>
  <c r="E69" i="200"/>
  <c r="E68" i="200"/>
  <c r="E66" i="200"/>
  <c r="E181" i="200"/>
  <c r="E169" i="200"/>
  <c r="E157" i="200"/>
  <c r="E174" i="200"/>
  <c r="E162" i="200"/>
  <c r="E179" i="200"/>
  <c r="E167" i="200"/>
  <c r="E155" i="200"/>
  <c r="E172" i="200"/>
  <c r="E160" i="200"/>
  <c r="E177" i="200"/>
  <c r="E165" i="200"/>
  <c r="E153" i="200"/>
  <c r="E182" i="200"/>
  <c r="E170" i="200"/>
  <c r="E158" i="200"/>
  <c r="E175" i="200"/>
  <c r="E163" i="200"/>
  <c r="E180" i="200"/>
  <c r="E168" i="200"/>
  <c r="E156" i="200"/>
  <c r="E173" i="200"/>
  <c r="E161" i="200"/>
  <c r="E178" i="200"/>
  <c r="E166" i="200"/>
  <c r="E154" i="200"/>
  <c r="E171" i="200"/>
  <c r="E159" i="200"/>
  <c r="E176" i="200"/>
  <c r="E164" i="200"/>
  <c r="E152" i="200"/>
  <c r="E140" i="200"/>
  <c r="E128" i="200"/>
  <c r="E145" i="200"/>
  <c r="E133" i="200"/>
  <c r="E121" i="200"/>
  <c r="E150" i="200"/>
  <c r="E138" i="200"/>
  <c r="E126" i="200"/>
  <c r="E143" i="200"/>
  <c r="E131" i="200"/>
  <c r="E119" i="200"/>
  <c r="E151" i="200"/>
  <c r="E148" i="200"/>
  <c r="E136" i="200"/>
  <c r="E124" i="200"/>
  <c r="E141" i="200"/>
  <c r="E129" i="200"/>
  <c r="E146" i="200"/>
  <c r="E134" i="200"/>
  <c r="E122" i="200"/>
  <c r="E139" i="200"/>
  <c r="E127" i="200"/>
  <c r="E144" i="200"/>
  <c r="E132" i="200"/>
  <c r="E120" i="200"/>
  <c r="E149" i="200"/>
  <c r="E137" i="200"/>
  <c r="E125" i="200"/>
  <c r="E142" i="200"/>
  <c r="E130" i="200"/>
  <c r="E123" i="200"/>
  <c r="E111" i="200"/>
  <c r="E99" i="200"/>
  <c r="E116" i="200"/>
  <c r="E104" i="200"/>
  <c r="E92" i="200"/>
  <c r="E109" i="200"/>
  <c r="E97" i="200"/>
  <c r="E114" i="200"/>
  <c r="E102" i="200"/>
  <c r="E90" i="200"/>
  <c r="E107" i="200"/>
  <c r="E95" i="200"/>
  <c r="E135" i="200"/>
  <c r="E112" i="200"/>
  <c r="E100" i="200"/>
  <c r="E117" i="200"/>
  <c r="E105" i="200"/>
  <c r="E93" i="200"/>
  <c r="E110" i="200"/>
  <c r="E98" i="200"/>
  <c r="E115" i="200"/>
  <c r="E103" i="200"/>
  <c r="E91" i="200"/>
  <c r="E108" i="200"/>
  <c r="E96" i="200"/>
  <c r="E147" i="200"/>
  <c r="E113" i="200"/>
  <c r="E101" i="200"/>
  <c r="E89" i="200"/>
  <c r="E79" i="200"/>
  <c r="E85" i="200"/>
  <c r="E72" i="200"/>
  <c r="E56" i="200"/>
  <c r="E77" i="200"/>
  <c r="E61" i="200"/>
  <c r="E106" i="200"/>
  <c r="E83" i="200"/>
  <c r="E54" i="200"/>
  <c r="E88" i="200"/>
  <c r="E75" i="200"/>
  <c r="E59" i="200"/>
  <c r="E80" i="200"/>
  <c r="E86" i="200"/>
  <c r="E73" i="200"/>
  <c r="E57" i="200"/>
  <c r="E78" i="200"/>
  <c r="E62" i="200"/>
  <c r="E118" i="200"/>
  <c r="E84" i="200"/>
  <c r="E71" i="200"/>
  <c r="E55" i="200"/>
  <c r="E76" i="200"/>
  <c r="E60" i="200"/>
  <c r="E94" i="200"/>
  <c r="E81" i="200"/>
  <c r="E87" i="200"/>
  <c r="E74" i="200"/>
  <c r="E48" i="200"/>
  <c r="E36" i="200"/>
  <c r="E33" i="200"/>
  <c r="E14" i="200"/>
  <c r="E53" i="200"/>
  <c r="E41" i="200"/>
  <c r="E9" i="200"/>
  <c r="E46" i="200"/>
  <c r="E4" i="200"/>
  <c r="E51" i="200"/>
  <c r="E39" i="200"/>
  <c r="E11" i="200"/>
  <c r="E44" i="200"/>
  <c r="E6" i="200"/>
  <c r="E49" i="200"/>
  <c r="E37" i="200"/>
  <c r="E32" i="200"/>
  <c r="E42" i="200"/>
  <c r="E8" i="200"/>
  <c r="E47" i="200"/>
  <c r="E35" i="200"/>
  <c r="E34" i="200"/>
  <c r="E52" i="200"/>
  <c r="E40" i="200"/>
  <c r="E10" i="200"/>
  <c r="E58" i="200"/>
  <c r="E45" i="200"/>
  <c r="E5" i="200"/>
  <c r="E50" i="200"/>
  <c r="E38" i="200"/>
  <c r="E31" i="200"/>
  <c r="E12" i="200"/>
  <c r="E17" i="200"/>
  <c r="E29" i="200"/>
  <c r="E24" i="200"/>
  <c r="E3" i="200"/>
  <c r="E19" i="200"/>
  <c r="E26" i="200"/>
  <c r="E43" i="200"/>
  <c r="E13" i="200"/>
  <c r="E21" i="200"/>
  <c r="E16" i="200"/>
  <c r="E28" i="200"/>
  <c r="E23" i="200"/>
  <c r="E7" i="200"/>
  <c r="E18" i="200"/>
  <c r="E30" i="200"/>
  <c r="E25" i="200"/>
  <c r="E20" i="200"/>
  <c r="E27" i="200"/>
  <c r="E15" i="200"/>
  <c r="E22" i="200"/>
  <c r="F1" i="200"/>
  <c r="F82" i="200" l="1"/>
  <c r="F70" i="200"/>
  <c r="F65" i="200"/>
  <c r="F63" i="200"/>
  <c r="F67" i="200"/>
  <c r="F69" i="200"/>
  <c r="F66" i="200"/>
  <c r="F64" i="200"/>
  <c r="F68" i="200"/>
  <c r="F174" i="200"/>
  <c r="F162" i="200"/>
  <c r="F179" i="200"/>
  <c r="F167" i="200"/>
  <c r="F155" i="200"/>
  <c r="F172" i="200"/>
  <c r="F160" i="200"/>
  <c r="F177" i="200"/>
  <c r="F165" i="200"/>
  <c r="F153" i="200"/>
  <c r="F182" i="200"/>
  <c r="F170" i="200"/>
  <c r="F158" i="200"/>
  <c r="F175" i="200"/>
  <c r="F163" i="200"/>
  <c r="F151" i="200"/>
  <c r="F180" i="200"/>
  <c r="F168" i="200"/>
  <c r="F173" i="200"/>
  <c r="F161" i="200"/>
  <c r="F178" i="200"/>
  <c r="F166" i="200"/>
  <c r="F154" i="200"/>
  <c r="F171" i="200"/>
  <c r="F159" i="200"/>
  <c r="F176" i="200"/>
  <c r="F164" i="200"/>
  <c r="F152" i="200"/>
  <c r="F181" i="200"/>
  <c r="F169" i="200"/>
  <c r="F157" i="200"/>
  <c r="F145" i="200"/>
  <c r="F133" i="200"/>
  <c r="F121" i="200"/>
  <c r="F150" i="200"/>
  <c r="F138" i="200"/>
  <c r="F126" i="200"/>
  <c r="F143" i="200"/>
  <c r="F131" i="200"/>
  <c r="F119" i="200"/>
  <c r="F156" i="200"/>
  <c r="F148" i="200"/>
  <c r="F136" i="200"/>
  <c r="F124" i="200"/>
  <c r="F141" i="200"/>
  <c r="F129" i="200"/>
  <c r="F146" i="200"/>
  <c r="F134" i="200"/>
  <c r="F122" i="200"/>
  <c r="F139" i="200"/>
  <c r="F127" i="200"/>
  <c r="F144" i="200"/>
  <c r="F132" i="200"/>
  <c r="F120" i="200"/>
  <c r="F149" i="200"/>
  <c r="F137" i="200"/>
  <c r="F125" i="200"/>
  <c r="F142" i="200"/>
  <c r="F130" i="200"/>
  <c r="F147" i="200"/>
  <c r="F135" i="200"/>
  <c r="F123" i="200"/>
  <c r="F116" i="200"/>
  <c r="F104" i="200"/>
  <c r="F92" i="200"/>
  <c r="F109" i="200"/>
  <c r="F97" i="200"/>
  <c r="F114" i="200"/>
  <c r="F102" i="200"/>
  <c r="F90" i="200"/>
  <c r="F107" i="200"/>
  <c r="F95" i="200"/>
  <c r="F140" i="200"/>
  <c r="F112" i="200"/>
  <c r="F100" i="200"/>
  <c r="F117" i="200"/>
  <c r="F105" i="200"/>
  <c r="F93" i="200"/>
  <c r="F110" i="200"/>
  <c r="F98" i="200"/>
  <c r="F115" i="200"/>
  <c r="F103" i="200"/>
  <c r="F91" i="200"/>
  <c r="F108" i="200"/>
  <c r="F96" i="200"/>
  <c r="F113" i="200"/>
  <c r="F101" i="200"/>
  <c r="F89" i="200"/>
  <c r="F118" i="200"/>
  <c r="F106" i="200"/>
  <c r="F94" i="200"/>
  <c r="F85" i="200"/>
  <c r="F72" i="200"/>
  <c r="F56" i="200"/>
  <c r="F77" i="200"/>
  <c r="F61" i="200"/>
  <c r="F111" i="200"/>
  <c r="F83" i="200"/>
  <c r="F54" i="200"/>
  <c r="F88" i="200"/>
  <c r="F75" i="200"/>
  <c r="F59" i="200"/>
  <c r="F128" i="200"/>
  <c r="F80" i="200"/>
  <c r="F86" i="200"/>
  <c r="F73" i="200"/>
  <c r="F57" i="200"/>
  <c r="F78" i="200"/>
  <c r="F62" i="200"/>
  <c r="F84" i="200"/>
  <c r="F71" i="200"/>
  <c r="F55" i="200"/>
  <c r="F76" i="200"/>
  <c r="F60" i="200"/>
  <c r="F99" i="200"/>
  <c r="F81" i="200"/>
  <c r="F87" i="200"/>
  <c r="F74" i="200"/>
  <c r="F58" i="200"/>
  <c r="F79" i="200"/>
  <c r="F53" i="200"/>
  <c r="F41" i="200"/>
  <c r="F7" i="200"/>
  <c r="F46" i="200"/>
  <c r="F33" i="200"/>
  <c r="F51" i="200"/>
  <c r="F39" i="200"/>
  <c r="F9" i="200"/>
  <c r="F44" i="200"/>
  <c r="F4" i="200"/>
  <c r="F49" i="200"/>
  <c r="F37" i="200"/>
  <c r="F11" i="200"/>
  <c r="F42" i="200"/>
  <c r="F6" i="200"/>
  <c r="F47" i="200"/>
  <c r="F35" i="200"/>
  <c r="F32" i="200"/>
  <c r="F52" i="200"/>
  <c r="F40" i="200"/>
  <c r="F8" i="200"/>
  <c r="F45" i="200"/>
  <c r="F34" i="200"/>
  <c r="F50" i="200"/>
  <c r="F38" i="200"/>
  <c r="F10" i="200"/>
  <c r="F43" i="200"/>
  <c r="F5" i="200"/>
  <c r="F15" i="200"/>
  <c r="F22" i="200"/>
  <c r="F31" i="200"/>
  <c r="F17" i="200"/>
  <c r="F29" i="200"/>
  <c r="F24" i="200"/>
  <c r="F3" i="200"/>
  <c r="F48" i="200"/>
  <c r="F19" i="200"/>
  <c r="F26" i="200"/>
  <c r="F13" i="200"/>
  <c r="F21" i="200"/>
  <c r="F16" i="200"/>
  <c r="F28" i="200"/>
  <c r="F14" i="200"/>
  <c r="F23" i="200"/>
  <c r="F12" i="200"/>
  <c r="F18" i="200"/>
  <c r="F30" i="200"/>
  <c r="F25" i="200"/>
  <c r="F36" i="200"/>
  <c r="F20" i="200"/>
  <c r="F27" i="200"/>
  <c r="G1" i="200"/>
  <c r="Q43" i="196"/>
  <c r="Q44" i="196"/>
  <c r="Q42" i="196"/>
  <c r="P46" i="196"/>
  <c r="B50" i="196" s="1"/>
  <c r="O45" i="196"/>
  <c r="B49" i="196" s="1"/>
  <c r="B47" i="196"/>
  <c r="B63" i="199"/>
  <c r="B62" i="199"/>
  <c r="B61" i="199"/>
  <c r="B59" i="199"/>
  <c r="T8" i="199"/>
  <c r="T7" i="199"/>
  <c r="T6" i="199"/>
  <c r="T5" i="199"/>
  <c r="G82" i="200" l="1"/>
  <c r="G66" i="200"/>
  <c r="G63" i="200"/>
  <c r="G70" i="200"/>
  <c r="G65" i="200"/>
  <c r="G68" i="200"/>
  <c r="G67" i="200"/>
  <c r="G69" i="200"/>
  <c r="G64" i="200"/>
  <c r="G179" i="200"/>
  <c r="G167" i="200"/>
  <c r="G155" i="200"/>
  <c r="G172" i="200"/>
  <c r="G160" i="200"/>
  <c r="G177" i="200"/>
  <c r="G165" i="200"/>
  <c r="G153" i="200"/>
  <c r="G182" i="200"/>
  <c r="G170" i="200"/>
  <c r="G158" i="200"/>
  <c r="G175" i="200"/>
  <c r="G163" i="200"/>
  <c r="G151" i="200"/>
  <c r="G180" i="200"/>
  <c r="G168" i="200"/>
  <c r="G156" i="200"/>
  <c r="G173" i="200"/>
  <c r="G178" i="200"/>
  <c r="G166" i="200"/>
  <c r="G154" i="200"/>
  <c r="G171" i="200"/>
  <c r="G159" i="200"/>
  <c r="G176" i="200"/>
  <c r="G164" i="200"/>
  <c r="G152" i="200"/>
  <c r="G181" i="200"/>
  <c r="G169" i="200"/>
  <c r="G157" i="200"/>
  <c r="G174" i="200"/>
  <c r="G162" i="200"/>
  <c r="G150" i="200"/>
  <c r="G138" i="200"/>
  <c r="G126" i="200"/>
  <c r="G143" i="200"/>
  <c r="G131" i="200"/>
  <c r="G119" i="200"/>
  <c r="G161" i="200"/>
  <c r="G148" i="200"/>
  <c r="G136" i="200"/>
  <c r="G124" i="200"/>
  <c r="G141" i="200"/>
  <c r="G129" i="200"/>
  <c r="G146" i="200"/>
  <c r="G134" i="200"/>
  <c r="G122" i="200"/>
  <c r="G139" i="200"/>
  <c r="G127" i="200"/>
  <c r="G144" i="200"/>
  <c r="G132" i="200"/>
  <c r="G120" i="200"/>
  <c r="G149" i="200"/>
  <c r="G137" i="200"/>
  <c r="G125" i="200"/>
  <c r="G142" i="200"/>
  <c r="G130" i="200"/>
  <c r="G147" i="200"/>
  <c r="G135" i="200"/>
  <c r="G123" i="200"/>
  <c r="G140" i="200"/>
  <c r="G128" i="200"/>
  <c r="G109" i="200"/>
  <c r="G97" i="200"/>
  <c r="G114" i="200"/>
  <c r="G102" i="200"/>
  <c r="G90" i="200"/>
  <c r="G107" i="200"/>
  <c r="G95" i="200"/>
  <c r="G145" i="200"/>
  <c r="G112" i="200"/>
  <c r="G100" i="200"/>
  <c r="G117" i="200"/>
  <c r="G105" i="200"/>
  <c r="G93" i="200"/>
  <c r="G110" i="200"/>
  <c r="G98" i="200"/>
  <c r="G115" i="200"/>
  <c r="G103" i="200"/>
  <c r="G91" i="200"/>
  <c r="G108" i="200"/>
  <c r="G96" i="200"/>
  <c r="G113" i="200"/>
  <c r="G101" i="200"/>
  <c r="G89" i="200"/>
  <c r="G121" i="200"/>
  <c r="G118" i="200"/>
  <c r="G106" i="200"/>
  <c r="G94" i="200"/>
  <c r="G133" i="200"/>
  <c r="G111" i="200"/>
  <c r="G99" i="200"/>
  <c r="G77" i="200"/>
  <c r="G61" i="200"/>
  <c r="G116" i="200"/>
  <c r="G83" i="200"/>
  <c r="G54" i="200"/>
  <c r="G88" i="200"/>
  <c r="G75" i="200"/>
  <c r="G59" i="200"/>
  <c r="G92" i="200"/>
  <c r="G80" i="200"/>
  <c r="G86" i="200"/>
  <c r="G73" i="200"/>
  <c r="G57" i="200"/>
  <c r="G78" i="200"/>
  <c r="G62" i="200"/>
  <c r="G84" i="200"/>
  <c r="G71" i="200"/>
  <c r="G55" i="200"/>
  <c r="G76" i="200"/>
  <c r="G60" i="200"/>
  <c r="G104" i="200"/>
  <c r="G81" i="200"/>
  <c r="G87" i="200"/>
  <c r="G74" i="200"/>
  <c r="G58" i="200"/>
  <c r="G79" i="200"/>
  <c r="G85" i="200"/>
  <c r="G72" i="200"/>
  <c r="G46" i="200"/>
  <c r="G31" i="200"/>
  <c r="G12" i="200"/>
  <c r="G51" i="200"/>
  <c r="G39" i="200"/>
  <c r="G7" i="200"/>
  <c r="G56" i="200"/>
  <c r="G44" i="200"/>
  <c r="G33" i="200"/>
  <c r="G49" i="200"/>
  <c r="G37" i="200"/>
  <c r="G9" i="200"/>
  <c r="G42" i="200"/>
  <c r="G4" i="200"/>
  <c r="G47" i="200"/>
  <c r="G35" i="200"/>
  <c r="G11" i="200"/>
  <c r="G52" i="200"/>
  <c r="G40" i="200"/>
  <c r="G6" i="200"/>
  <c r="G45" i="200"/>
  <c r="G32" i="200"/>
  <c r="G13" i="200"/>
  <c r="G50" i="200"/>
  <c r="G38" i="200"/>
  <c r="G8" i="200"/>
  <c r="G43" i="200"/>
  <c r="G34" i="200"/>
  <c r="G48" i="200"/>
  <c r="G36" i="200"/>
  <c r="G10" i="200"/>
  <c r="G27" i="200"/>
  <c r="G15" i="200"/>
  <c r="G22" i="200"/>
  <c r="G53" i="200"/>
  <c r="G5" i="200"/>
  <c r="G17" i="200"/>
  <c r="G29" i="200"/>
  <c r="G24" i="200"/>
  <c r="G3" i="200"/>
  <c r="G19" i="200"/>
  <c r="G26" i="200"/>
  <c r="G21" i="200"/>
  <c r="G16" i="200"/>
  <c r="G28" i="200"/>
  <c r="G14" i="200"/>
  <c r="G23" i="200"/>
  <c r="G41" i="200"/>
  <c r="G18" i="200"/>
  <c r="G30" i="200"/>
  <c r="G25" i="200"/>
  <c r="G20" i="200"/>
  <c r="H1" i="200"/>
  <c r="B60" i="199"/>
  <c r="B64" i="199" s="1"/>
  <c r="T58" i="199"/>
  <c r="B51" i="196"/>
  <c r="B48" i="196" s="1"/>
  <c r="B52" i="196" s="1"/>
  <c r="H82" i="200" l="1"/>
  <c r="H66" i="200"/>
  <c r="H68" i="200"/>
  <c r="H63" i="200"/>
  <c r="H70" i="200"/>
  <c r="H65" i="200"/>
  <c r="H67" i="200"/>
  <c r="H64" i="200"/>
  <c r="H69" i="200"/>
  <c r="H172" i="200"/>
  <c r="H160" i="200"/>
  <c r="H177" i="200"/>
  <c r="H165" i="200"/>
  <c r="H153" i="200"/>
  <c r="H182" i="200"/>
  <c r="H170" i="200"/>
  <c r="H158" i="200"/>
  <c r="H175" i="200"/>
  <c r="H163" i="200"/>
  <c r="H151" i="200"/>
  <c r="H180" i="200"/>
  <c r="H168" i="200"/>
  <c r="H156" i="200"/>
  <c r="H173" i="200"/>
  <c r="H161" i="200"/>
  <c r="H178" i="200"/>
  <c r="H166" i="200"/>
  <c r="H171" i="200"/>
  <c r="H159" i="200"/>
  <c r="H176" i="200"/>
  <c r="H164" i="200"/>
  <c r="H152" i="200"/>
  <c r="H181" i="200"/>
  <c r="H169" i="200"/>
  <c r="H157" i="200"/>
  <c r="H174" i="200"/>
  <c r="H162" i="200"/>
  <c r="H179" i="200"/>
  <c r="H167" i="200"/>
  <c r="H155" i="200"/>
  <c r="H143" i="200"/>
  <c r="H131" i="200"/>
  <c r="H119" i="200"/>
  <c r="H148" i="200"/>
  <c r="H136" i="200"/>
  <c r="H124" i="200"/>
  <c r="H141" i="200"/>
  <c r="H129" i="200"/>
  <c r="H146" i="200"/>
  <c r="H134" i="200"/>
  <c r="H122" i="200"/>
  <c r="H139" i="200"/>
  <c r="H127" i="200"/>
  <c r="H144" i="200"/>
  <c r="H132" i="200"/>
  <c r="H120" i="200"/>
  <c r="H149" i="200"/>
  <c r="H137" i="200"/>
  <c r="H125" i="200"/>
  <c r="H142" i="200"/>
  <c r="H130" i="200"/>
  <c r="H154" i="200"/>
  <c r="H147" i="200"/>
  <c r="H135" i="200"/>
  <c r="H123" i="200"/>
  <c r="H140" i="200"/>
  <c r="H128" i="200"/>
  <c r="H145" i="200"/>
  <c r="H133" i="200"/>
  <c r="H114" i="200"/>
  <c r="H102" i="200"/>
  <c r="H90" i="200"/>
  <c r="H107" i="200"/>
  <c r="H95" i="200"/>
  <c r="H150" i="200"/>
  <c r="H112" i="200"/>
  <c r="H100" i="200"/>
  <c r="H117" i="200"/>
  <c r="H105" i="200"/>
  <c r="H93" i="200"/>
  <c r="H126" i="200"/>
  <c r="H110" i="200"/>
  <c r="H98" i="200"/>
  <c r="H115" i="200"/>
  <c r="H103" i="200"/>
  <c r="H91" i="200"/>
  <c r="H108" i="200"/>
  <c r="H96" i="200"/>
  <c r="H113" i="200"/>
  <c r="H101" i="200"/>
  <c r="H89" i="200"/>
  <c r="H121" i="200"/>
  <c r="H118" i="200"/>
  <c r="H106" i="200"/>
  <c r="H94" i="200"/>
  <c r="H138" i="200"/>
  <c r="H111" i="200"/>
  <c r="H99" i="200"/>
  <c r="H116" i="200"/>
  <c r="H104" i="200"/>
  <c r="H92" i="200"/>
  <c r="H83" i="200"/>
  <c r="H54" i="200"/>
  <c r="H88" i="200"/>
  <c r="H75" i="200"/>
  <c r="H59" i="200"/>
  <c r="H97" i="200"/>
  <c r="H80" i="200"/>
  <c r="H86" i="200"/>
  <c r="H73" i="200"/>
  <c r="H57" i="200"/>
  <c r="H78" i="200"/>
  <c r="H62" i="200"/>
  <c r="H84" i="200"/>
  <c r="H71" i="200"/>
  <c r="H55" i="200"/>
  <c r="H76" i="200"/>
  <c r="H60" i="200"/>
  <c r="H109" i="200"/>
  <c r="H81" i="200"/>
  <c r="H87" i="200"/>
  <c r="H74" i="200"/>
  <c r="H58" i="200"/>
  <c r="H79" i="200"/>
  <c r="H85" i="200"/>
  <c r="H72" i="200"/>
  <c r="H56" i="200"/>
  <c r="H77" i="200"/>
  <c r="H51" i="200"/>
  <c r="H39" i="200"/>
  <c r="H5" i="200"/>
  <c r="H61" i="200"/>
  <c r="H44" i="200"/>
  <c r="H31" i="200"/>
  <c r="H12" i="200"/>
  <c r="H49" i="200"/>
  <c r="H37" i="200"/>
  <c r="H7" i="200"/>
  <c r="H42" i="200"/>
  <c r="H33" i="200"/>
  <c r="H47" i="200"/>
  <c r="H35" i="200"/>
  <c r="H9" i="200"/>
  <c r="H52" i="200"/>
  <c r="H40" i="200"/>
  <c r="H4" i="200"/>
  <c r="H45" i="200"/>
  <c r="H11" i="200"/>
  <c r="H50" i="200"/>
  <c r="H38" i="200"/>
  <c r="H6" i="200"/>
  <c r="H43" i="200"/>
  <c r="H32" i="200"/>
  <c r="H48" i="200"/>
  <c r="H36" i="200"/>
  <c r="H8" i="200"/>
  <c r="H53" i="200"/>
  <c r="H41" i="200"/>
  <c r="H34" i="200"/>
  <c r="H20" i="200"/>
  <c r="H27" i="200"/>
  <c r="H30" i="200"/>
  <c r="H15" i="200"/>
  <c r="H22" i="200"/>
  <c r="H10" i="200"/>
  <c r="H17" i="200"/>
  <c r="H29" i="200"/>
  <c r="H24" i="200"/>
  <c r="H3" i="200"/>
  <c r="H19" i="200"/>
  <c r="H13" i="200"/>
  <c r="H26" i="200"/>
  <c r="H21" i="200"/>
  <c r="H46" i="200"/>
  <c r="H16" i="200"/>
  <c r="H28" i="200"/>
  <c r="H14" i="200"/>
  <c r="H23" i="200"/>
  <c r="H18" i="200"/>
  <c r="H25" i="200"/>
  <c r="I1" i="200"/>
  <c r="T46" i="196"/>
  <c r="T45" i="196"/>
  <c r="I82" i="200" l="1"/>
  <c r="I64" i="200"/>
  <c r="I68" i="200"/>
  <c r="I63" i="200"/>
  <c r="I70" i="200"/>
  <c r="I65" i="200"/>
  <c r="I66" i="200"/>
  <c r="I67" i="200"/>
  <c r="I69" i="200"/>
  <c r="I177" i="200"/>
  <c r="I165" i="200"/>
  <c r="I153" i="200"/>
  <c r="I182" i="200"/>
  <c r="I170" i="200"/>
  <c r="I158" i="200"/>
  <c r="I175" i="200"/>
  <c r="I163" i="200"/>
  <c r="I151" i="200"/>
  <c r="I180" i="200"/>
  <c r="I168" i="200"/>
  <c r="I156" i="200"/>
  <c r="I173" i="200"/>
  <c r="I161" i="200"/>
  <c r="I178" i="200"/>
  <c r="I166" i="200"/>
  <c r="I154" i="200"/>
  <c r="I171" i="200"/>
  <c r="I176" i="200"/>
  <c r="I164" i="200"/>
  <c r="I152" i="200"/>
  <c r="I181" i="200"/>
  <c r="I169" i="200"/>
  <c r="I157" i="200"/>
  <c r="I174" i="200"/>
  <c r="I162" i="200"/>
  <c r="I179" i="200"/>
  <c r="I167" i="200"/>
  <c r="I155" i="200"/>
  <c r="I172" i="200"/>
  <c r="I160" i="200"/>
  <c r="I148" i="200"/>
  <c r="I136" i="200"/>
  <c r="I124" i="200"/>
  <c r="I141" i="200"/>
  <c r="I129" i="200"/>
  <c r="I146" i="200"/>
  <c r="I134" i="200"/>
  <c r="I122" i="200"/>
  <c r="I139" i="200"/>
  <c r="I127" i="200"/>
  <c r="I144" i="200"/>
  <c r="I132" i="200"/>
  <c r="I120" i="200"/>
  <c r="I149" i="200"/>
  <c r="I137" i="200"/>
  <c r="I125" i="200"/>
  <c r="I142" i="200"/>
  <c r="I130" i="200"/>
  <c r="I159" i="200"/>
  <c r="I147" i="200"/>
  <c r="I135" i="200"/>
  <c r="I123" i="200"/>
  <c r="I140" i="200"/>
  <c r="I128" i="200"/>
  <c r="I145" i="200"/>
  <c r="I133" i="200"/>
  <c r="I121" i="200"/>
  <c r="I150" i="200"/>
  <c r="I138" i="200"/>
  <c r="I126" i="200"/>
  <c r="I107" i="200"/>
  <c r="I95" i="200"/>
  <c r="I112" i="200"/>
  <c r="I100" i="200"/>
  <c r="I117" i="200"/>
  <c r="I105" i="200"/>
  <c r="I93" i="200"/>
  <c r="I131" i="200"/>
  <c r="I110" i="200"/>
  <c r="I98" i="200"/>
  <c r="I115" i="200"/>
  <c r="I103" i="200"/>
  <c r="I91" i="200"/>
  <c r="I108" i="200"/>
  <c r="I96" i="200"/>
  <c r="I113" i="200"/>
  <c r="I101" i="200"/>
  <c r="I89" i="200"/>
  <c r="I119" i="200"/>
  <c r="I118" i="200"/>
  <c r="I106" i="200"/>
  <c r="I94" i="200"/>
  <c r="I143" i="200"/>
  <c r="I111" i="200"/>
  <c r="I99" i="200"/>
  <c r="I116" i="200"/>
  <c r="I104" i="200"/>
  <c r="I92" i="200"/>
  <c r="I109" i="200"/>
  <c r="I97" i="200"/>
  <c r="I88" i="200"/>
  <c r="I75" i="200"/>
  <c r="I59" i="200"/>
  <c r="I102" i="200"/>
  <c r="I80" i="200"/>
  <c r="I86" i="200"/>
  <c r="I73" i="200"/>
  <c r="I57" i="200"/>
  <c r="I78" i="200"/>
  <c r="I62" i="200"/>
  <c r="I84" i="200"/>
  <c r="I71" i="200"/>
  <c r="I55" i="200"/>
  <c r="I76" i="200"/>
  <c r="I60" i="200"/>
  <c r="I114" i="200"/>
  <c r="I81" i="200"/>
  <c r="I87" i="200"/>
  <c r="I74" i="200"/>
  <c r="I58" i="200"/>
  <c r="I90" i="200"/>
  <c r="I79" i="200"/>
  <c r="I85" i="200"/>
  <c r="I72" i="200"/>
  <c r="I56" i="200"/>
  <c r="I77" i="200"/>
  <c r="I61" i="200"/>
  <c r="I83" i="200"/>
  <c r="I44" i="200"/>
  <c r="I10" i="200"/>
  <c r="I49" i="200"/>
  <c r="I37" i="200"/>
  <c r="I5" i="200"/>
  <c r="I42" i="200"/>
  <c r="I31" i="200"/>
  <c r="I12" i="200"/>
  <c r="I47" i="200"/>
  <c r="I35" i="200"/>
  <c r="I7" i="200"/>
  <c r="I52" i="200"/>
  <c r="I40" i="200"/>
  <c r="I33" i="200"/>
  <c r="I45" i="200"/>
  <c r="I9" i="200"/>
  <c r="I50" i="200"/>
  <c r="I38" i="200"/>
  <c r="I4" i="200"/>
  <c r="I54" i="200"/>
  <c r="I43" i="200"/>
  <c r="I11" i="200"/>
  <c r="I48" i="200"/>
  <c r="I36" i="200"/>
  <c r="I6" i="200"/>
  <c r="I53" i="200"/>
  <c r="I41" i="200"/>
  <c r="I32" i="200"/>
  <c r="I46" i="200"/>
  <c r="I8" i="200"/>
  <c r="I25" i="200"/>
  <c r="I20" i="200"/>
  <c r="I39" i="200"/>
  <c r="I27" i="200"/>
  <c r="I15" i="200"/>
  <c r="I22" i="200"/>
  <c r="I30" i="200"/>
  <c r="I17" i="200"/>
  <c r="I29" i="200"/>
  <c r="I3" i="200"/>
  <c r="I24" i="200"/>
  <c r="I19" i="200"/>
  <c r="I51" i="200"/>
  <c r="I13" i="200"/>
  <c r="I26" i="200"/>
  <c r="I21" i="200"/>
  <c r="I34" i="200"/>
  <c r="I16" i="200"/>
  <c r="I28" i="200"/>
  <c r="I14" i="200"/>
  <c r="I23" i="200"/>
  <c r="I18" i="200"/>
  <c r="J1" i="200"/>
  <c r="T37" i="196"/>
  <c r="T38" i="196"/>
  <c r="T39" i="196"/>
  <c r="T40" i="196"/>
  <c r="T42" i="196"/>
  <c r="T43" i="196"/>
  <c r="T44" i="196"/>
  <c r="J82" i="200" l="1"/>
  <c r="J69" i="200"/>
  <c r="J64" i="200"/>
  <c r="J66" i="200"/>
  <c r="J68" i="200"/>
  <c r="J63" i="200"/>
  <c r="J70" i="200"/>
  <c r="J65" i="200"/>
  <c r="J67" i="200"/>
  <c r="J182" i="200"/>
  <c r="J170" i="200"/>
  <c r="J158" i="200"/>
  <c r="J175" i="200"/>
  <c r="J163" i="200"/>
  <c r="J151" i="200"/>
  <c r="J180" i="200"/>
  <c r="J168" i="200"/>
  <c r="J156" i="200"/>
  <c r="J173" i="200"/>
  <c r="J161" i="200"/>
  <c r="J178" i="200"/>
  <c r="J166" i="200"/>
  <c r="J154" i="200"/>
  <c r="J171" i="200"/>
  <c r="J159" i="200"/>
  <c r="J176" i="200"/>
  <c r="J164" i="200"/>
  <c r="J181" i="200"/>
  <c r="J169" i="200"/>
  <c r="J157" i="200"/>
  <c r="J174" i="200"/>
  <c r="J162" i="200"/>
  <c r="J179" i="200"/>
  <c r="J167" i="200"/>
  <c r="J155" i="200"/>
  <c r="J172" i="200"/>
  <c r="J160" i="200"/>
  <c r="J177" i="200"/>
  <c r="J165" i="200"/>
  <c r="J153" i="200"/>
  <c r="J141" i="200"/>
  <c r="J129" i="200"/>
  <c r="J152" i="200"/>
  <c r="J146" i="200"/>
  <c r="J134" i="200"/>
  <c r="J122" i="200"/>
  <c r="J139" i="200"/>
  <c r="J127" i="200"/>
  <c r="J144" i="200"/>
  <c r="J132" i="200"/>
  <c r="J120" i="200"/>
  <c r="J149" i="200"/>
  <c r="J137" i="200"/>
  <c r="J125" i="200"/>
  <c r="J142" i="200"/>
  <c r="J130" i="200"/>
  <c r="J147" i="200"/>
  <c r="J135" i="200"/>
  <c r="J123" i="200"/>
  <c r="J140" i="200"/>
  <c r="J128" i="200"/>
  <c r="J145" i="200"/>
  <c r="J133" i="200"/>
  <c r="J121" i="200"/>
  <c r="J150" i="200"/>
  <c r="J138" i="200"/>
  <c r="J126" i="200"/>
  <c r="J143" i="200"/>
  <c r="J131" i="200"/>
  <c r="J112" i="200"/>
  <c r="J100" i="200"/>
  <c r="J117" i="200"/>
  <c r="J105" i="200"/>
  <c r="J93" i="200"/>
  <c r="J136" i="200"/>
  <c r="J110" i="200"/>
  <c r="J98" i="200"/>
  <c r="J115" i="200"/>
  <c r="J103" i="200"/>
  <c r="J91" i="200"/>
  <c r="J108" i="200"/>
  <c r="J96" i="200"/>
  <c r="J113" i="200"/>
  <c r="J101" i="200"/>
  <c r="J89" i="200"/>
  <c r="J119" i="200"/>
  <c r="J118" i="200"/>
  <c r="J106" i="200"/>
  <c r="J94" i="200"/>
  <c r="J148" i="200"/>
  <c r="J111" i="200"/>
  <c r="J99" i="200"/>
  <c r="J116" i="200"/>
  <c r="J104" i="200"/>
  <c r="J92" i="200"/>
  <c r="J124" i="200"/>
  <c r="J109" i="200"/>
  <c r="J97" i="200"/>
  <c r="J114" i="200"/>
  <c r="J102" i="200"/>
  <c r="J90" i="200"/>
  <c r="J107" i="200"/>
  <c r="J80" i="200"/>
  <c r="J86" i="200"/>
  <c r="J73" i="200"/>
  <c r="J57" i="200"/>
  <c r="J78" i="200"/>
  <c r="J62" i="200"/>
  <c r="J84" i="200"/>
  <c r="J71" i="200"/>
  <c r="J55" i="200"/>
  <c r="J76" i="200"/>
  <c r="J60" i="200"/>
  <c r="J81" i="200"/>
  <c r="J87" i="200"/>
  <c r="J74" i="200"/>
  <c r="J58" i="200"/>
  <c r="J95" i="200"/>
  <c r="J79" i="200"/>
  <c r="J85" i="200"/>
  <c r="J72" i="200"/>
  <c r="J56" i="200"/>
  <c r="J77" i="200"/>
  <c r="J61" i="200"/>
  <c r="J83" i="200"/>
  <c r="J54" i="200"/>
  <c r="J88" i="200"/>
  <c r="J75" i="200"/>
  <c r="J49" i="200"/>
  <c r="J37" i="200"/>
  <c r="J34" i="200"/>
  <c r="J15" i="200"/>
  <c r="J42" i="200"/>
  <c r="J10" i="200"/>
  <c r="J47" i="200"/>
  <c r="J35" i="200"/>
  <c r="J5" i="200"/>
  <c r="J52" i="200"/>
  <c r="J40" i="200"/>
  <c r="J31" i="200"/>
  <c r="J12" i="200"/>
  <c r="J45" i="200"/>
  <c r="J7" i="200"/>
  <c r="J50" i="200"/>
  <c r="J38" i="200"/>
  <c r="J33" i="200"/>
  <c r="J59" i="200"/>
  <c r="J43" i="200"/>
  <c r="J9" i="200"/>
  <c r="J48" i="200"/>
  <c r="J36" i="200"/>
  <c r="J4" i="200"/>
  <c r="J53" i="200"/>
  <c r="J41" i="200"/>
  <c r="J11" i="200"/>
  <c r="J46" i="200"/>
  <c r="J6" i="200"/>
  <c r="J51" i="200"/>
  <c r="J39" i="200"/>
  <c r="J32" i="200"/>
  <c r="J18" i="200"/>
  <c r="J30" i="200"/>
  <c r="J44" i="200"/>
  <c r="J25" i="200"/>
  <c r="J20" i="200"/>
  <c r="J27" i="200"/>
  <c r="J22" i="200"/>
  <c r="J17" i="200"/>
  <c r="J29" i="200"/>
  <c r="J24" i="200"/>
  <c r="J3" i="200"/>
  <c r="J19" i="200"/>
  <c r="J13" i="200"/>
  <c r="J26" i="200"/>
  <c r="J21" i="200"/>
  <c r="J8" i="200"/>
  <c r="J16" i="200"/>
  <c r="J28" i="200"/>
  <c r="J14" i="200"/>
  <c r="J23" i="200"/>
  <c r="K1" i="200"/>
  <c r="T22" i="196"/>
  <c r="T23" i="196"/>
  <c r="T24" i="196"/>
  <c r="T25" i="196"/>
  <c r="T26" i="196"/>
  <c r="T27" i="196"/>
  <c r="T28" i="196"/>
  <c r="T29" i="196"/>
  <c r="T30" i="196"/>
  <c r="T31" i="196"/>
  <c r="T32" i="196"/>
  <c r="K82" i="200" l="1"/>
  <c r="K66" i="200"/>
  <c r="K68" i="200"/>
  <c r="K70" i="200"/>
  <c r="K67" i="200"/>
  <c r="K64" i="200"/>
  <c r="K63" i="200"/>
  <c r="K69" i="200"/>
  <c r="K65" i="200"/>
  <c r="K175" i="200"/>
  <c r="K163" i="200"/>
  <c r="K151" i="200"/>
  <c r="K180" i="200"/>
  <c r="K168" i="200"/>
  <c r="K156" i="200"/>
  <c r="K173" i="200"/>
  <c r="K161" i="200"/>
  <c r="K178" i="200"/>
  <c r="K166" i="200"/>
  <c r="K154" i="200"/>
  <c r="K171" i="200"/>
  <c r="K159" i="200"/>
  <c r="K176" i="200"/>
  <c r="K164" i="200"/>
  <c r="K152" i="200"/>
  <c r="K181" i="200"/>
  <c r="K169" i="200"/>
  <c r="K174" i="200"/>
  <c r="K162" i="200"/>
  <c r="K150" i="200"/>
  <c r="K179" i="200"/>
  <c r="K167" i="200"/>
  <c r="K155" i="200"/>
  <c r="K172" i="200"/>
  <c r="K160" i="200"/>
  <c r="K177" i="200"/>
  <c r="K165" i="200"/>
  <c r="K153" i="200"/>
  <c r="K182" i="200"/>
  <c r="K170" i="200"/>
  <c r="K158" i="200"/>
  <c r="K157" i="200"/>
  <c r="K146" i="200"/>
  <c r="K134" i="200"/>
  <c r="K122" i="200"/>
  <c r="K139" i="200"/>
  <c r="K127" i="200"/>
  <c r="K144" i="200"/>
  <c r="K132" i="200"/>
  <c r="K120" i="200"/>
  <c r="K149" i="200"/>
  <c r="K137" i="200"/>
  <c r="K125" i="200"/>
  <c r="K142" i="200"/>
  <c r="K130" i="200"/>
  <c r="K147" i="200"/>
  <c r="K135" i="200"/>
  <c r="K123" i="200"/>
  <c r="K140" i="200"/>
  <c r="K128" i="200"/>
  <c r="K145" i="200"/>
  <c r="K133" i="200"/>
  <c r="K121" i="200"/>
  <c r="K138" i="200"/>
  <c r="K126" i="200"/>
  <c r="K143" i="200"/>
  <c r="K131" i="200"/>
  <c r="K119" i="200"/>
  <c r="K148" i="200"/>
  <c r="K136" i="200"/>
  <c r="K124" i="200"/>
  <c r="K117" i="200"/>
  <c r="K105" i="200"/>
  <c r="K93" i="200"/>
  <c r="K141" i="200"/>
  <c r="K110" i="200"/>
  <c r="K98" i="200"/>
  <c r="K115" i="200"/>
  <c r="K103" i="200"/>
  <c r="K91" i="200"/>
  <c r="K108" i="200"/>
  <c r="K96" i="200"/>
  <c r="K113" i="200"/>
  <c r="K101" i="200"/>
  <c r="K89" i="200"/>
  <c r="K118" i="200"/>
  <c r="K106" i="200"/>
  <c r="K94" i="200"/>
  <c r="K111" i="200"/>
  <c r="K99" i="200"/>
  <c r="K116" i="200"/>
  <c r="K104" i="200"/>
  <c r="K92" i="200"/>
  <c r="K129" i="200"/>
  <c r="K109" i="200"/>
  <c r="K97" i="200"/>
  <c r="K114" i="200"/>
  <c r="K102" i="200"/>
  <c r="K90" i="200"/>
  <c r="K107" i="200"/>
  <c r="K95" i="200"/>
  <c r="K86" i="200"/>
  <c r="K73" i="200"/>
  <c r="K57" i="200"/>
  <c r="K78" i="200"/>
  <c r="K62" i="200"/>
  <c r="K84" i="200"/>
  <c r="K71" i="200"/>
  <c r="K55" i="200"/>
  <c r="K76" i="200"/>
  <c r="K60" i="200"/>
  <c r="K81" i="200"/>
  <c r="K87" i="200"/>
  <c r="K74" i="200"/>
  <c r="K58" i="200"/>
  <c r="K100" i="200"/>
  <c r="K79" i="200"/>
  <c r="K85" i="200"/>
  <c r="K72" i="200"/>
  <c r="K56" i="200"/>
  <c r="K77" i="200"/>
  <c r="K61" i="200"/>
  <c r="K83" i="200"/>
  <c r="K54" i="200"/>
  <c r="K88" i="200"/>
  <c r="K75" i="200"/>
  <c r="K59" i="200"/>
  <c r="K112" i="200"/>
  <c r="K80" i="200"/>
  <c r="K42" i="200"/>
  <c r="K8" i="200"/>
  <c r="K47" i="200"/>
  <c r="K35" i="200"/>
  <c r="K34" i="200"/>
  <c r="K52" i="200"/>
  <c r="K40" i="200"/>
  <c r="K10" i="200"/>
  <c r="K45" i="200"/>
  <c r="K5" i="200"/>
  <c r="K50" i="200"/>
  <c r="K38" i="200"/>
  <c r="K31" i="200"/>
  <c r="K43" i="200"/>
  <c r="K7" i="200"/>
  <c r="K48" i="200"/>
  <c r="K36" i="200"/>
  <c r="K33" i="200"/>
  <c r="K53" i="200"/>
  <c r="K41" i="200"/>
  <c r="K9" i="200"/>
  <c r="K46" i="200"/>
  <c r="K4" i="200"/>
  <c r="K51" i="200"/>
  <c r="K39" i="200"/>
  <c r="K11" i="200"/>
  <c r="K44" i="200"/>
  <c r="K6" i="200"/>
  <c r="K49" i="200"/>
  <c r="K14" i="200"/>
  <c r="K23" i="200"/>
  <c r="K18" i="200"/>
  <c r="K30" i="200"/>
  <c r="K25" i="200"/>
  <c r="K20" i="200"/>
  <c r="K32" i="200"/>
  <c r="K15" i="200"/>
  <c r="K27" i="200"/>
  <c r="K28" i="200"/>
  <c r="K22" i="200"/>
  <c r="K17" i="200"/>
  <c r="K29" i="200"/>
  <c r="K37" i="200"/>
  <c r="K24" i="200"/>
  <c r="K3" i="200"/>
  <c r="K19" i="200"/>
  <c r="K12" i="200"/>
  <c r="K13" i="200"/>
  <c r="K26" i="200"/>
  <c r="K21" i="200"/>
  <c r="K16" i="200"/>
  <c r="L1" i="200"/>
  <c r="T20" i="196"/>
  <c r="T21" i="196"/>
  <c r="L82" i="200" l="1"/>
  <c r="L67" i="200"/>
  <c r="L64" i="200"/>
  <c r="L66" i="200"/>
  <c r="L63" i="200"/>
  <c r="L68" i="200"/>
  <c r="L69" i="200"/>
  <c r="L70" i="200"/>
  <c r="L65" i="200"/>
  <c r="L180" i="200"/>
  <c r="L168" i="200"/>
  <c r="L156" i="200"/>
  <c r="L173" i="200"/>
  <c r="L161" i="200"/>
  <c r="L178" i="200"/>
  <c r="L166" i="200"/>
  <c r="L154" i="200"/>
  <c r="L171" i="200"/>
  <c r="L159" i="200"/>
  <c r="L176" i="200"/>
  <c r="L164" i="200"/>
  <c r="L152" i="200"/>
  <c r="L181" i="200"/>
  <c r="L169" i="200"/>
  <c r="L157" i="200"/>
  <c r="L174" i="200"/>
  <c r="L162" i="200"/>
  <c r="L179" i="200"/>
  <c r="L167" i="200"/>
  <c r="L155" i="200"/>
  <c r="L172" i="200"/>
  <c r="L160" i="200"/>
  <c r="L177" i="200"/>
  <c r="L165" i="200"/>
  <c r="L153" i="200"/>
  <c r="L182" i="200"/>
  <c r="L170" i="200"/>
  <c r="L158" i="200"/>
  <c r="L175" i="200"/>
  <c r="L163" i="200"/>
  <c r="L151" i="200"/>
  <c r="L139" i="200"/>
  <c r="L127" i="200"/>
  <c r="L144" i="200"/>
  <c r="L132" i="200"/>
  <c r="L120" i="200"/>
  <c r="L149" i="200"/>
  <c r="L137" i="200"/>
  <c r="L125" i="200"/>
  <c r="L142" i="200"/>
  <c r="L130" i="200"/>
  <c r="L147" i="200"/>
  <c r="L135" i="200"/>
  <c r="L123" i="200"/>
  <c r="L140" i="200"/>
  <c r="L128" i="200"/>
  <c r="L145" i="200"/>
  <c r="L133" i="200"/>
  <c r="L121" i="200"/>
  <c r="L138" i="200"/>
  <c r="L126" i="200"/>
  <c r="L150" i="200"/>
  <c r="L143" i="200"/>
  <c r="L131" i="200"/>
  <c r="L119" i="200"/>
  <c r="L148" i="200"/>
  <c r="L136" i="200"/>
  <c r="L124" i="200"/>
  <c r="L141" i="200"/>
  <c r="L129" i="200"/>
  <c r="L146" i="200"/>
  <c r="L110" i="200"/>
  <c r="L98" i="200"/>
  <c r="L115" i="200"/>
  <c r="L103" i="200"/>
  <c r="L91" i="200"/>
  <c r="L108" i="200"/>
  <c r="L96" i="200"/>
  <c r="L122" i="200"/>
  <c r="L113" i="200"/>
  <c r="L101" i="200"/>
  <c r="L89" i="200"/>
  <c r="L118" i="200"/>
  <c r="L106" i="200"/>
  <c r="L94" i="200"/>
  <c r="L111" i="200"/>
  <c r="L99" i="200"/>
  <c r="L116" i="200"/>
  <c r="L104" i="200"/>
  <c r="L92" i="200"/>
  <c r="L134" i="200"/>
  <c r="L109" i="200"/>
  <c r="L97" i="200"/>
  <c r="L114" i="200"/>
  <c r="L102" i="200"/>
  <c r="L90" i="200"/>
  <c r="L107" i="200"/>
  <c r="L95" i="200"/>
  <c r="L112" i="200"/>
  <c r="L100" i="200"/>
  <c r="L93" i="200"/>
  <c r="L78" i="200"/>
  <c r="L62" i="200"/>
  <c r="L84" i="200"/>
  <c r="L71" i="200"/>
  <c r="L55" i="200"/>
  <c r="L76" i="200"/>
  <c r="L60" i="200"/>
  <c r="L81" i="200"/>
  <c r="L87" i="200"/>
  <c r="L74" i="200"/>
  <c r="L58" i="200"/>
  <c r="L105" i="200"/>
  <c r="L79" i="200"/>
  <c r="L85" i="200"/>
  <c r="L72" i="200"/>
  <c r="L56" i="200"/>
  <c r="L77" i="200"/>
  <c r="L61" i="200"/>
  <c r="L83" i="200"/>
  <c r="L54" i="200"/>
  <c r="L88" i="200"/>
  <c r="L75" i="200"/>
  <c r="L59" i="200"/>
  <c r="L117" i="200"/>
  <c r="L80" i="200"/>
  <c r="L86" i="200"/>
  <c r="L73" i="200"/>
  <c r="L47" i="200"/>
  <c r="L35" i="200"/>
  <c r="L32" i="200"/>
  <c r="L13" i="200"/>
  <c r="L52" i="200"/>
  <c r="L40" i="200"/>
  <c r="L8" i="200"/>
  <c r="L45" i="200"/>
  <c r="L34" i="200"/>
  <c r="L50" i="200"/>
  <c r="L38" i="200"/>
  <c r="L10" i="200"/>
  <c r="L43" i="200"/>
  <c r="L5" i="200"/>
  <c r="L48" i="200"/>
  <c r="L36" i="200"/>
  <c r="L31" i="200"/>
  <c r="L53" i="200"/>
  <c r="L41" i="200"/>
  <c r="L7" i="200"/>
  <c r="L46" i="200"/>
  <c r="L33" i="200"/>
  <c r="L51" i="200"/>
  <c r="L39" i="200"/>
  <c r="L9" i="200"/>
  <c r="L44" i="200"/>
  <c r="L4" i="200"/>
  <c r="L49" i="200"/>
  <c r="L37" i="200"/>
  <c r="L11" i="200"/>
  <c r="L57" i="200"/>
  <c r="L16" i="200"/>
  <c r="L28" i="200"/>
  <c r="L14" i="200"/>
  <c r="L23" i="200"/>
  <c r="L18" i="200"/>
  <c r="L30" i="200"/>
  <c r="L25" i="200"/>
  <c r="L20" i="200"/>
  <c r="L6" i="200"/>
  <c r="L15" i="200"/>
  <c r="L27" i="200"/>
  <c r="L42" i="200"/>
  <c r="L22" i="200"/>
  <c r="L17" i="200"/>
  <c r="L29" i="200"/>
  <c r="L24" i="200"/>
  <c r="L3" i="200"/>
  <c r="L19" i="200"/>
  <c r="L12" i="200"/>
  <c r="L26" i="200"/>
  <c r="L21" i="200"/>
  <c r="M1" i="200"/>
  <c r="T33" i="196"/>
  <c r="T34" i="196"/>
  <c r="T35" i="196"/>
  <c r="T36" i="196"/>
  <c r="T41" i="196"/>
  <c r="M82" i="200" l="1"/>
  <c r="M67" i="200"/>
  <c r="M69" i="200"/>
  <c r="M64" i="200"/>
  <c r="M66" i="200"/>
  <c r="M68" i="200"/>
  <c r="M63" i="200"/>
  <c r="M70" i="200"/>
  <c r="M65" i="200"/>
  <c r="M173" i="200"/>
  <c r="M161" i="200"/>
  <c r="M178" i="200"/>
  <c r="M166" i="200"/>
  <c r="M154" i="200"/>
  <c r="M171" i="200"/>
  <c r="M159" i="200"/>
  <c r="M176" i="200"/>
  <c r="M164" i="200"/>
  <c r="M152" i="200"/>
  <c r="M181" i="200"/>
  <c r="M169" i="200"/>
  <c r="M157" i="200"/>
  <c r="M174" i="200"/>
  <c r="M162" i="200"/>
  <c r="M179" i="200"/>
  <c r="M167" i="200"/>
  <c r="M172" i="200"/>
  <c r="M160" i="200"/>
  <c r="M177" i="200"/>
  <c r="M165" i="200"/>
  <c r="M153" i="200"/>
  <c r="M182" i="200"/>
  <c r="M170" i="200"/>
  <c r="M158" i="200"/>
  <c r="M175" i="200"/>
  <c r="M163" i="200"/>
  <c r="M151" i="200"/>
  <c r="M180" i="200"/>
  <c r="M168" i="200"/>
  <c r="M156" i="200"/>
  <c r="M144" i="200"/>
  <c r="M132" i="200"/>
  <c r="M120" i="200"/>
  <c r="M149" i="200"/>
  <c r="M137" i="200"/>
  <c r="M125" i="200"/>
  <c r="M142" i="200"/>
  <c r="M130" i="200"/>
  <c r="M147" i="200"/>
  <c r="M135" i="200"/>
  <c r="M123" i="200"/>
  <c r="M140" i="200"/>
  <c r="M128" i="200"/>
  <c r="M155" i="200"/>
  <c r="M145" i="200"/>
  <c r="M133" i="200"/>
  <c r="M121" i="200"/>
  <c r="M138" i="200"/>
  <c r="M126" i="200"/>
  <c r="M150" i="200"/>
  <c r="M143" i="200"/>
  <c r="M131" i="200"/>
  <c r="M119" i="200"/>
  <c r="M148" i="200"/>
  <c r="M136" i="200"/>
  <c r="M124" i="200"/>
  <c r="M141" i="200"/>
  <c r="M129" i="200"/>
  <c r="M146" i="200"/>
  <c r="M134" i="200"/>
  <c r="M115" i="200"/>
  <c r="M103" i="200"/>
  <c r="M91" i="200"/>
  <c r="M127" i="200"/>
  <c r="M108" i="200"/>
  <c r="M96" i="200"/>
  <c r="M122" i="200"/>
  <c r="M113" i="200"/>
  <c r="M101" i="200"/>
  <c r="M89" i="200"/>
  <c r="M118" i="200"/>
  <c r="M106" i="200"/>
  <c r="M94" i="200"/>
  <c r="M111" i="200"/>
  <c r="M99" i="200"/>
  <c r="M116" i="200"/>
  <c r="M104" i="200"/>
  <c r="M92" i="200"/>
  <c r="M139" i="200"/>
  <c r="M109" i="200"/>
  <c r="M97" i="200"/>
  <c r="M114" i="200"/>
  <c r="M102" i="200"/>
  <c r="M90" i="200"/>
  <c r="M107" i="200"/>
  <c r="M95" i="200"/>
  <c r="M112" i="200"/>
  <c r="M100" i="200"/>
  <c r="M117" i="200"/>
  <c r="M105" i="200"/>
  <c r="M93" i="200"/>
  <c r="M84" i="200"/>
  <c r="M71" i="200"/>
  <c r="M55" i="200"/>
  <c r="M76" i="200"/>
  <c r="M60" i="200"/>
  <c r="M81" i="200"/>
  <c r="M87" i="200"/>
  <c r="M74" i="200"/>
  <c r="M58" i="200"/>
  <c r="M110" i="200"/>
  <c r="M79" i="200"/>
  <c r="M85" i="200"/>
  <c r="M72" i="200"/>
  <c r="M56" i="200"/>
  <c r="M77" i="200"/>
  <c r="M61" i="200"/>
  <c r="M83" i="200"/>
  <c r="M54" i="200"/>
  <c r="M88" i="200"/>
  <c r="M75" i="200"/>
  <c r="M59" i="200"/>
  <c r="M80" i="200"/>
  <c r="M86" i="200"/>
  <c r="M73" i="200"/>
  <c r="M57" i="200"/>
  <c r="M98" i="200"/>
  <c r="M78" i="200"/>
  <c r="M62" i="200"/>
  <c r="M52" i="200"/>
  <c r="M40" i="200"/>
  <c r="M6" i="200"/>
  <c r="M45" i="200"/>
  <c r="M32" i="200"/>
  <c r="M50" i="200"/>
  <c r="M38" i="200"/>
  <c r="M8" i="200"/>
  <c r="M43" i="200"/>
  <c r="M34" i="200"/>
  <c r="M48" i="200"/>
  <c r="M36" i="200"/>
  <c r="M10" i="200"/>
  <c r="M53" i="200"/>
  <c r="M41" i="200"/>
  <c r="M5" i="200"/>
  <c r="M46" i="200"/>
  <c r="M31" i="200"/>
  <c r="M12" i="200"/>
  <c r="M51" i="200"/>
  <c r="M39" i="200"/>
  <c r="M7" i="200"/>
  <c r="M44" i="200"/>
  <c r="M33" i="200"/>
  <c r="M49" i="200"/>
  <c r="M37" i="200"/>
  <c r="M9" i="200"/>
  <c r="M42" i="200"/>
  <c r="M4" i="200"/>
  <c r="M35" i="200"/>
  <c r="M21" i="200"/>
  <c r="M16" i="200"/>
  <c r="M28" i="200"/>
  <c r="M14" i="200"/>
  <c r="M23" i="200"/>
  <c r="M18" i="200"/>
  <c r="M30" i="200"/>
  <c r="M25" i="200"/>
  <c r="M47" i="200"/>
  <c r="M20" i="200"/>
  <c r="M11" i="200"/>
  <c r="M15" i="200"/>
  <c r="M27" i="200"/>
  <c r="M22" i="200"/>
  <c r="M17" i="200"/>
  <c r="M29" i="200"/>
  <c r="M24" i="200"/>
  <c r="M3" i="200"/>
  <c r="M13" i="200"/>
  <c r="M19" i="200"/>
  <c r="M26" i="200"/>
  <c r="N1" i="200"/>
  <c r="T19" i="196"/>
  <c r="N82" i="200" l="1"/>
  <c r="N65" i="200"/>
  <c r="N69" i="200"/>
  <c r="N64" i="200"/>
  <c r="N66" i="200"/>
  <c r="N70" i="200"/>
  <c r="N67" i="200"/>
  <c r="N68" i="200"/>
  <c r="N63" i="200"/>
  <c r="N178" i="200"/>
  <c r="N166" i="200"/>
  <c r="N154" i="200"/>
  <c r="N171" i="200"/>
  <c r="N159" i="200"/>
  <c r="N176" i="200"/>
  <c r="N164" i="200"/>
  <c r="N152" i="200"/>
  <c r="N181" i="200"/>
  <c r="N169" i="200"/>
  <c r="N157" i="200"/>
  <c r="N174" i="200"/>
  <c r="N162" i="200"/>
  <c r="N179" i="200"/>
  <c r="N167" i="200"/>
  <c r="N155" i="200"/>
  <c r="N172" i="200"/>
  <c r="N177" i="200"/>
  <c r="N165" i="200"/>
  <c r="N153" i="200"/>
  <c r="N182" i="200"/>
  <c r="N170" i="200"/>
  <c r="N158" i="200"/>
  <c r="N175" i="200"/>
  <c r="N163" i="200"/>
  <c r="N151" i="200"/>
  <c r="N180" i="200"/>
  <c r="N168" i="200"/>
  <c r="N156" i="200"/>
  <c r="N173" i="200"/>
  <c r="N161" i="200"/>
  <c r="N149" i="200"/>
  <c r="N137" i="200"/>
  <c r="N125" i="200"/>
  <c r="N142" i="200"/>
  <c r="N130" i="200"/>
  <c r="N147" i="200"/>
  <c r="N135" i="200"/>
  <c r="N123" i="200"/>
  <c r="N140" i="200"/>
  <c r="N128" i="200"/>
  <c r="N160" i="200"/>
  <c r="N145" i="200"/>
  <c r="N133" i="200"/>
  <c r="N121" i="200"/>
  <c r="N138" i="200"/>
  <c r="N126" i="200"/>
  <c r="N150" i="200"/>
  <c r="N143" i="200"/>
  <c r="N131" i="200"/>
  <c r="N119" i="200"/>
  <c r="N148" i="200"/>
  <c r="N136" i="200"/>
  <c r="N124" i="200"/>
  <c r="N141" i="200"/>
  <c r="N129" i="200"/>
  <c r="N146" i="200"/>
  <c r="N134" i="200"/>
  <c r="N122" i="200"/>
  <c r="N139" i="200"/>
  <c r="N127" i="200"/>
  <c r="N132" i="200"/>
  <c r="N108" i="200"/>
  <c r="N96" i="200"/>
  <c r="N120" i="200"/>
  <c r="N113" i="200"/>
  <c r="N101" i="200"/>
  <c r="N89" i="200"/>
  <c r="N118" i="200"/>
  <c r="N106" i="200"/>
  <c r="N94" i="200"/>
  <c r="N111" i="200"/>
  <c r="N99" i="200"/>
  <c r="N116" i="200"/>
  <c r="N104" i="200"/>
  <c r="N92" i="200"/>
  <c r="N144" i="200"/>
  <c r="N109" i="200"/>
  <c r="N97" i="200"/>
  <c r="N114" i="200"/>
  <c r="N102" i="200"/>
  <c r="N90" i="200"/>
  <c r="N107" i="200"/>
  <c r="N95" i="200"/>
  <c r="N112" i="200"/>
  <c r="N100" i="200"/>
  <c r="N117" i="200"/>
  <c r="N105" i="200"/>
  <c r="N93" i="200"/>
  <c r="N110" i="200"/>
  <c r="N98" i="200"/>
  <c r="N76" i="200"/>
  <c r="N60" i="200"/>
  <c r="N81" i="200"/>
  <c r="N87" i="200"/>
  <c r="N74" i="200"/>
  <c r="N58" i="200"/>
  <c r="N115" i="200"/>
  <c r="N79" i="200"/>
  <c r="N85" i="200"/>
  <c r="N72" i="200"/>
  <c r="N56" i="200"/>
  <c r="N91" i="200"/>
  <c r="N77" i="200"/>
  <c r="N61" i="200"/>
  <c r="N83" i="200"/>
  <c r="N54" i="200"/>
  <c r="N88" i="200"/>
  <c r="N75" i="200"/>
  <c r="N59" i="200"/>
  <c r="N80" i="200"/>
  <c r="N86" i="200"/>
  <c r="N73" i="200"/>
  <c r="N57" i="200"/>
  <c r="N103" i="200"/>
  <c r="N78" i="200"/>
  <c r="N62" i="200"/>
  <c r="N84" i="200"/>
  <c r="N71" i="200"/>
  <c r="N45" i="200"/>
  <c r="N11" i="200"/>
  <c r="N50" i="200"/>
  <c r="N38" i="200"/>
  <c r="N6" i="200"/>
  <c r="N43" i="200"/>
  <c r="N32" i="200"/>
  <c r="N48" i="200"/>
  <c r="N36" i="200"/>
  <c r="N8" i="200"/>
  <c r="N55" i="200"/>
  <c r="N53" i="200"/>
  <c r="N41" i="200"/>
  <c r="N34" i="200"/>
  <c r="N46" i="200"/>
  <c r="N10" i="200"/>
  <c r="N51" i="200"/>
  <c r="N39" i="200"/>
  <c r="N5" i="200"/>
  <c r="N44" i="200"/>
  <c r="N31" i="200"/>
  <c r="N12" i="200"/>
  <c r="N49" i="200"/>
  <c r="N37" i="200"/>
  <c r="N7" i="200"/>
  <c r="N42" i="200"/>
  <c r="N33" i="200"/>
  <c r="N47" i="200"/>
  <c r="N35" i="200"/>
  <c r="N9" i="200"/>
  <c r="N4" i="200"/>
  <c r="N26" i="200"/>
  <c r="N21" i="200"/>
  <c r="N16" i="200"/>
  <c r="N28" i="200"/>
  <c r="N14" i="200"/>
  <c r="N23" i="200"/>
  <c r="N52" i="200"/>
  <c r="N18" i="200"/>
  <c r="N30" i="200"/>
  <c r="N25" i="200"/>
  <c r="N20" i="200"/>
  <c r="N15" i="200"/>
  <c r="N27" i="200"/>
  <c r="N3" i="200"/>
  <c r="N22" i="200"/>
  <c r="N17" i="200"/>
  <c r="N29" i="200"/>
  <c r="N24" i="200"/>
  <c r="N40" i="200"/>
  <c r="N13" i="200"/>
  <c r="N19" i="200"/>
  <c r="O1" i="200"/>
  <c r="T17" i="196"/>
  <c r="T18" i="196"/>
  <c r="O82" i="200" l="1"/>
  <c r="O70" i="200"/>
  <c r="O65" i="200"/>
  <c r="O67" i="200"/>
  <c r="O69" i="200"/>
  <c r="O64" i="200"/>
  <c r="O66" i="200"/>
  <c r="O63" i="200"/>
  <c r="O68" i="200"/>
  <c r="O171" i="200"/>
  <c r="O159" i="200"/>
  <c r="O176" i="200"/>
  <c r="O164" i="200"/>
  <c r="O152" i="200"/>
  <c r="O181" i="200"/>
  <c r="O169" i="200"/>
  <c r="O157" i="200"/>
  <c r="O174" i="200"/>
  <c r="O162" i="200"/>
  <c r="O150" i="200"/>
  <c r="O179" i="200"/>
  <c r="O167" i="200"/>
  <c r="O155" i="200"/>
  <c r="O172" i="200"/>
  <c r="O160" i="200"/>
  <c r="O177" i="200"/>
  <c r="O165" i="200"/>
  <c r="O182" i="200"/>
  <c r="O170" i="200"/>
  <c r="O158" i="200"/>
  <c r="O175" i="200"/>
  <c r="O163" i="200"/>
  <c r="O151" i="200"/>
  <c r="O180" i="200"/>
  <c r="O168" i="200"/>
  <c r="O156" i="200"/>
  <c r="O173" i="200"/>
  <c r="O161" i="200"/>
  <c r="O178" i="200"/>
  <c r="O166" i="200"/>
  <c r="O154" i="200"/>
  <c r="O142" i="200"/>
  <c r="O130" i="200"/>
  <c r="O118" i="200"/>
  <c r="O147" i="200"/>
  <c r="O135" i="200"/>
  <c r="O123" i="200"/>
  <c r="O140" i="200"/>
  <c r="O128" i="200"/>
  <c r="O145" i="200"/>
  <c r="O133" i="200"/>
  <c r="O121" i="200"/>
  <c r="O138" i="200"/>
  <c r="O126" i="200"/>
  <c r="O143" i="200"/>
  <c r="O131" i="200"/>
  <c r="O119" i="200"/>
  <c r="O148" i="200"/>
  <c r="O136" i="200"/>
  <c r="O124" i="200"/>
  <c r="O141" i="200"/>
  <c r="O129" i="200"/>
  <c r="O146" i="200"/>
  <c r="O134" i="200"/>
  <c r="O122" i="200"/>
  <c r="O139" i="200"/>
  <c r="O127" i="200"/>
  <c r="O153" i="200"/>
  <c r="O144" i="200"/>
  <c r="O132" i="200"/>
  <c r="O120" i="200"/>
  <c r="O113" i="200"/>
  <c r="O101" i="200"/>
  <c r="O89" i="200"/>
  <c r="O106" i="200"/>
  <c r="O94" i="200"/>
  <c r="O111" i="200"/>
  <c r="O99" i="200"/>
  <c r="O116" i="200"/>
  <c r="O104" i="200"/>
  <c r="O92" i="200"/>
  <c r="O149" i="200"/>
  <c r="O109" i="200"/>
  <c r="O97" i="200"/>
  <c r="O114" i="200"/>
  <c r="O102" i="200"/>
  <c r="O90" i="200"/>
  <c r="O125" i="200"/>
  <c r="O107" i="200"/>
  <c r="O95" i="200"/>
  <c r="O112" i="200"/>
  <c r="O100" i="200"/>
  <c r="O117" i="200"/>
  <c r="O105" i="200"/>
  <c r="O93" i="200"/>
  <c r="O110" i="200"/>
  <c r="O98" i="200"/>
  <c r="O115" i="200"/>
  <c r="O103" i="200"/>
  <c r="O91" i="200"/>
  <c r="O81" i="200"/>
  <c r="O87" i="200"/>
  <c r="O74" i="200"/>
  <c r="O58" i="200"/>
  <c r="O137" i="200"/>
  <c r="O79" i="200"/>
  <c r="O85" i="200"/>
  <c r="O72" i="200"/>
  <c r="O56" i="200"/>
  <c r="O96" i="200"/>
  <c r="O77" i="200"/>
  <c r="O61" i="200"/>
  <c r="O83" i="200"/>
  <c r="O54" i="200"/>
  <c r="O88" i="200"/>
  <c r="O75" i="200"/>
  <c r="O59" i="200"/>
  <c r="O80" i="200"/>
  <c r="O86" i="200"/>
  <c r="O73" i="200"/>
  <c r="O57" i="200"/>
  <c r="O108" i="200"/>
  <c r="O78" i="200"/>
  <c r="O62" i="200"/>
  <c r="O84" i="200"/>
  <c r="O71" i="200"/>
  <c r="O55" i="200"/>
  <c r="O76" i="200"/>
  <c r="O50" i="200"/>
  <c r="O38" i="200"/>
  <c r="O4" i="200"/>
  <c r="O43" i="200"/>
  <c r="O11" i="200"/>
  <c r="O48" i="200"/>
  <c r="O36" i="200"/>
  <c r="O6" i="200"/>
  <c r="O60" i="200"/>
  <c r="O53" i="200"/>
  <c r="O41" i="200"/>
  <c r="O32" i="200"/>
  <c r="O46" i="200"/>
  <c r="O8" i="200"/>
  <c r="O51" i="200"/>
  <c r="O39" i="200"/>
  <c r="O34" i="200"/>
  <c r="O44" i="200"/>
  <c r="O10" i="200"/>
  <c r="O49" i="200"/>
  <c r="O37" i="200"/>
  <c r="O5" i="200"/>
  <c r="O42" i="200"/>
  <c r="O31" i="200"/>
  <c r="O12" i="200"/>
  <c r="O47" i="200"/>
  <c r="O35" i="200"/>
  <c r="O7" i="200"/>
  <c r="O52" i="200"/>
  <c r="O40" i="200"/>
  <c r="O33" i="200"/>
  <c r="O13" i="200"/>
  <c r="O19" i="200"/>
  <c r="O29" i="200"/>
  <c r="O9" i="200"/>
  <c r="O26" i="200"/>
  <c r="O21" i="200"/>
  <c r="O16" i="200"/>
  <c r="O28" i="200"/>
  <c r="O14" i="200"/>
  <c r="O23" i="200"/>
  <c r="O18" i="200"/>
  <c r="O30" i="200"/>
  <c r="O25" i="200"/>
  <c r="O20" i="200"/>
  <c r="O15" i="200"/>
  <c r="O27" i="200"/>
  <c r="O22" i="200"/>
  <c r="O45" i="200"/>
  <c r="O17" i="200"/>
  <c r="O24" i="200"/>
  <c r="O3" i="200"/>
  <c r="P1" i="200"/>
  <c r="T13" i="196"/>
  <c r="T14" i="196"/>
  <c r="T15" i="196"/>
  <c r="T16" i="196"/>
  <c r="T9" i="196"/>
  <c r="T10" i="196"/>
  <c r="T11" i="196"/>
  <c r="T12" i="196"/>
  <c r="P82" i="200" l="1"/>
  <c r="P63" i="200"/>
  <c r="P67" i="200"/>
  <c r="P69" i="200"/>
  <c r="P70" i="200"/>
  <c r="P64" i="200"/>
  <c r="P68" i="200"/>
  <c r="P66" i="200"/>
  <c r="P65" i="200"/>
  <c r="P176" i="200"/>
  <c r="P164" i="200"/>
  <c r="P152" i="200"/>
  <c r="P181" i="200"/>
  <c r="P169" i="200"/>
  <c r="P157" i="200"/>
  <c r="P174" i="200"/>
  <c r="P162" i="200"/>
  <c r="P150" i="200"/>
  <c r="P179" i="200"/>
  <c r="P167" i="200"/>
  <c r="P155" i="200"/>
  <c r="P172" i="200"/>
  <c r="P160" i="200"/>
  <c r="P177" i="200"/>
  <c r="P165" i="200"/>
  <c r="P153" i="200"/>
  <c r="P182" i="200"/>
  <c r="P170" i="200"/>
  <c r="P175" i="200"/>
  <c r="P163" i="200"/>
  <c r="P151" i="200"/>
  <c r="P180" i="200"/>
  <c r="P168" i="200"/>
  <c r="P156" i="200"/>
  <c r="P173" i="200"/>
  <c r="P161" i="200"/>
  <c r="P178" i="200"/>
  <c r="P166" i="200"/>
  <c r="P154" i="200"/>
  <c r="P171" i="200"/>
  <c r="P159" i="200"/>
  <c r="P147" i="200"/>
  <c r="P135" i="200"/>
  <c r="P123" i="200"/>
  <c r="P140" i="200"/>
  <c r="P128" i="200"/>
  <c r="P145" i="200"/>
  <c r="P133" i="200"/>
  <c r="P121" i="200"/>
  <c r="P138" i="200"/>
  <c r="P126" i="200"/>
  <c r="P143" i="200"/>
  <c r="P131" i="200"/>
  <c r="P119" i="200"/>
  <c r="P148" i="200"/>
  <c r="P136" i="200"/>
  <c r="P124" i="200"/>
  <c r="P141" i="200"/>
  <c r="P129" i="200"/>
  <c r="P146" i="200"/>
  <c r="P134" i="200"/>
  <c r="P122" i="200"/>
  <c r="P139" i="200"/>
  <c r="P127" i="200"/>
  <c r="P158" i="200"/>
  <c r="P144" i="200"/>
  <c r="P132" i="200"/>
  <c r="P120" i="200"/>
  <c r="P149" i="200"/>
  <c r="P137" i="200"/>
  <c r="P125" i="200"/>
  <c r="P106" i="200"/>
  <c r="P94" i="200"/>
  <c r="P118" i="200"/>
  <c r="P111" i="200"/>
  <c r="P99" i="200"/>
  <c r="P116" i="200"/>
  <c r="P104" i="200"/>
  <c r="P92" i="200"/>
  <c r="P109" i="200"/>
  <c r="P97" i="200"/>
  <c r="P114" i="200"/>
  <c r="P102" i="200"/>
  <c r="P90" i="200"/>
  <c r="P130" i="200"/>
  <c r="P107" i="200"/>
  <c r="P95" i="200"/>
  <c r="P112" i="200"/>
  <c r="P100" i="200"/>
  <c r="P117" i="200"/>
  <c r="P105" i="200"/>
  <c r="P93" i="200"/>
  <c r="P110" i="200"/>
  <c r="P98" i="200"/>
  <c r="P115" i="200"/>
  <c r="P103" i="200"/>
  <c r="P91" i="200"/>
  <c r="P142" i="200"/>
  <c r="P108" i="200"/>
  <c r="P96" i="200"/>
  <c r="P87" i="200"/>
  <c r="P74" i="200"/>
  <c r="P58" i="200"/>
  <c r="P79" i="200"/>
  <c r="P85" i="200"/>
  <c r="P72" i="200"/>
  <c r="P56" i="200"/>
  <c r="P101" i="200"/>
  <c r="P77" i="200"/>
  <c r="P61" i="200"/>
  <c r="P83" i="200"/>
  <c r="P54" i="200"/>
  <c r="P88" i="200"/>
  <c r="P75" i="200"/>
  <c r="P59" i="200"/>
  <c r="P80" i="200"/>
  <c r="P86" i="200"/>
  <c r="P73" i="200"/>
  <c r="P57" i="200"/>
  <c r="P113" i="200"/>
  <c r="P78" i="200"/>
  <c r="P62" i="200"/>
  <c r="P84" i="200"/>
  <c r="P71" i="200"/>
  <c r="P55" i="200"/>
  <c r="P89" i="200"/>
  <c r="P76" i="200"/>
  <c r="P60" i="200"/>
  <c r="P81" i="200"/>
  <c r="P43" i="200"/>
  <c r="P9" i="200"/>
  <c r="P48" i="200"/>
  <c r="P36" i="200"/>
  <c r="P4" i="200"/>
  <c r="P53" i="200"/>
  <c r="P41" i="200"/>
  <c r="P11" i="200"/>
  <c r="P46" i="200"/>
  <c r="P6" i="200"/>
  <c r="P51" i="200"/>
  <c r="P39" i="200"/>
  <c r="P32" i="200"/>
  <c r="P44" i="200"/>
  <c r="P8" i="200"/>
  <c r="P49" i="200"/>
  <c r="P37" i="200"/>
  <c r="P34" i="200"/>
  <c r="P42" i="200"/>
  <c r="P10" i="200"/>
  <c r="P47" i="200"/>
  <c r="P35" i="200"/>
  <c r="P5" i="200"/>
  <c r="P52" i="200"/>
  <c r="P40" i="200"/>
  <c r="P31" i="200"/>
  <c r="P45" i="200"/>
  <c r="P7" i="200"/>
  <c r="P24" i="200"/>
  <c r="P3" i="200"/>
  <c r="P13" i="200"/>
  <c r="P19" i="200"/>
  <c r="P26" i="200"/>
  <c r="P29" i="200"/>
  <c r="P21" i="200"/>
  <c r="P38" i="200"/>
  <c r="P16" i="200"/>
  <c r="P28" i="200"/>
  <c r="P14" i="200"/>
  <c r="P23" i="200"/>
  <c r="P18" i="200"/>
  <c r="P30" i="200"/>
  <c r="P33" i="200"/>
  <c r="P25" i="200"/>
  <c r="P20" i="200"/>
  <c r="P50" i="200"/>
  <c r="P15" i="200"/>
  <c r="P27" i="200"/>
  <c r="P22" i="200"/>
  <c r="P12" i="200"/>
  <c r="P17" i="200"/>
  <c r="Q1" i="200"/>
  <c r="T8" i="196"/>
  <c r="Q82" i="200" l="1"/>
  <c r="Q63" i="200"/>
  <c r="Q65" i="200"/>
  <c r="Q67" i="200"/>
  <c r="Q69" i="200"/>
  <c r="Q64" i="200"/>
  <c r="Q66" i="200"/>
  <c r="Q68" i="200"/>
  <c r="Q70" i="200"/>
  <c r="Q181" i="200"/>
  <c r="Q169" i="200"/>
  <c r="Q157" i="200"/>
  <c r="Q174" i="200"/>
  <c r="Q162" i="200"/>
  <c r="Q150" i="200"/>
  <c r="Q179" i="200"/>
  <c r="Q167" i="200"/>
  <c r="Q155" i="200"/>
  <c r="Q172" i="200"/>
  <c r="Q160" i="200"/>
  <c r="Q177" i="200"/>
  <c r="Q165" i="200"/>
  <c r="Q153" i="200"/>
  <c r="Q182" i="200"/>
  <c r="Q170" i="200"/>
  <c r="Q158" i="200"/>
  <c r="Q175" i="200"/>
  <c r="Q163" i="200"/>
  <c r="Q180" i="200"/>
  <c r="Q168" i="200"/>
  <c r="Q156" i="200"/>
  <c r="Q173" i="200"/>
  <c r="Q161" i="200"/>
  <c r="Q178" i="200"/>
  <c r="Q166" i="200"/>
  <c r="Q154" i="200"/>
  <c r="Q171" i="200"/>
  <c r="Q159" i="200"/>
  <c r="Q176" i="200"/>
  <c r="Q164" i="200"/>
  <c r="Q152" i="200"/>
  <c r="Q140" i="200"/>
  <c r="Q128" i="200"/>
  <c r="Q145" i="200"/>
  <c r="Q133" i="200"/>
  <c r="Q121" i="200"/>
  <c r="Q138" i="200"/>
  <c r="Q126" i="200"/>
  <c r="Q151" i="200"/>
  <c r="Q143" i="200"/>
  <c r="Q131" i="200"/>
  <c r="Q119" i="200"/>
  <c r="Q148" i="200"/>
  <c r="Q136" i="200"/>
  <c r="Q124" i="200"/>
  <c r="Q141" i="200"/>
  <c r="Q129" i="200"/>
  <c r="Q146" i="200"/>
  <c r="Q134" i="200"/>
  <c r="Q122" i="200"/>
  <c r="Q139" i="200"/>
  <c r="Q127" i="200"/>
  <c r="Q144" i="200"/>
  <c r="Q132" i="200"/>
  <c r="Q120" i="200"/>
  <c r="Q149" i="200"/>
  <c r="Q137" i="200"/>
  <c r="Q125" i="200"/>
  <c r="Q142" i="200"/>
  <c r="Q130" i="200"/>
  <c r="Q118" i="200"/>
  <c r="Q111" i="200"/>
  <c r="Q99" i="200"/>
  <c r="Q116" i="200"/>
  <c r="Q104" i="200"/>
  <c r="Q92" i="200"/>
  <c r="Q109" i="200"/>
  <c r="Q97" i="200"/>
  <c r="Q114" i="200"/>
  <c r="Q102" i="200"/>
  <c r="Q90" i="200"/>
  <c r="Q135" i="200"/>
  <c r="Q107" i="200"/>
  <c r="Q95" i="200"/>
  <c r="Q112" i="200"/>
  <c r="Q100" i="200"/>
  <c r="Q117" i="200"/>
  <c r="Q105" i="200"/>
  <c r="Q93" i="200"/>
  <c r="Q110" i="200"/>
  <c r="Q98" i="200"/>
  <c r="Q115" i="200"/>
  <c r="Q103" i="200"/>
  <c r="Q91" i="200"/>
  <c r="Q147" i="200"/>
  <c r="Q108" i="200"/>
  <c r="Q96" i="200"/>
  <c r="Q113" i="200"/>
  <c r="Q101" i="200"/>
  <c r="Q89" i="200"/>
  <c r="Q79" i="200"/>
  <c r="Q85" i="200"/>
  <c r="Q72" i="200"/>
  <c r="Q56" i="200"/>
  <c r="Q106" i="200"/>
  <c r="Q77" i="200"/>
  <c r="Q61" i="200"/>
  <c r="Q83" i="200"/>
  <c r="Q54" i="200"/>
  <c r="Q88" i="200"/>
  <c r="Q75" i="200"/>
  <c r="Q59" i="200"/>
  <c r="Q123" i="200"/>
  <c r="Q80" i="200"/>
  <c r="Q86" i="200"/>
  <c r="Q73" i="200"/>
  <c r="Q57" i="200"/>
  <c r="Q78" i="200"/>
  <c r="Q62" i="200"/>
  <c r="Q84" i="200"/>
  <c r="Q71" i="200"/>
  <c r="Q55" i="200"/>
  <c r="Q94" i="200"/>
  <c r="Q76" i="200"/>
  <c r="Q60" i="200"/>
  <c r="Q81" i="200"/>
  <c r="Q87" i="200"/>
  <c r="Q74" i="200"/>
  <c r="Q48" i="200"/>
  <c r="Q36" i="200"/>
  <c r="Q33" i="200"/>
  <c r="Q14" i="200"/>
  <c r="Q53" i="200"/>
  <c r="Q41" i="200"/>
  <c r="Q9" i="200"/>
  <c r="Q46" i="200"/>
  <c r="Q4" i="200"/>
  <c r="Q51" i="200"/>
  <c r="Q39" i="200"/>
  <c r="Q11" i="200"/>
  <c r="Q44" i="200"/>
  <c r="Q6" i="200"/>
  <c r="Q49" i="200"/>
  <c r="Q37" i="200"/>
  <c r="Q32" i="200"/>
  <c r="Q42" i="200"/>
  <c r="Q8" i="200"/>
  <c r="Q47" i="200"/>
  <c r="Q35" i="200"/>
  <c r="Q34" i="200"/>
  <c r="Q58" i="200"/>
  <c r="Q52" i="200"/>
  <c r="Q40" i="200"/>
  <c r="Q10" i="200"/>
  <c r="Q45" i="200"/>
  <c r="Q5" i="200"/>
  <c r="Q50" i="200"/>
  <c r="Q38" i="200"/>
  <c r="Q31" i="200"/>
  <c r="Q12" i="200"/>
  <c r="Q17" i="200"/>
  <c r="Q29" i="200"/>
  <c r="Q24" i="200"/>
  <c r="Q3" i="200"/>
  <c r="Q13" i="200"/>
  <c r="Q19" i="200"/>
  <c r="Q43" i="200"/>
  <c r="Q26" i="200"/>
  <c r="Q21" i="200"/>
  <c r="Q16" i="200"/>
  <c r="Q28" i="200"/>
  <c r="Q23" i="200"/>
  <c r="Q18" i="200"/>
  <c r="Q30" i="200"/>
  <c r="Q7" i="200"/>
  <c r="Q25" i="200"/>
  <c r="Q20" i="200"/>
  <c r="Q15" i="200"/>
  <c r="Q27" i="200"/>
  <c r="Q22" i="200"/>
  <c r="R1" i="200"/>
  <c r="T5" i="196"/>
  <c r="T6" i="196"/>
  <c r="T7" i="196"/>
  <c r="R82" i="200" l="1"/>
  <c r="R70" i="200"/>
  <c r="R65" i="200"/>
  <c r="R67" i="200"/>
  <c r="R69" i="200"/>
  <c r="R66" i="200"/>
  <c r="R68" i="200"/>
  <c r="R64" i="200"/>
  <c r="R63" i="200"/>
  <c r="R174" i="200"/>
  <c r="R162" i="200"/>
  <c r="R150" i="200"/>
  <c r="R179" i="200"/>
  <c r="R167" i="200"/>
  <c r="R155" i="200"/>
  <c r="R172" i="200"/>
  <c r="R160" i="200"/>
  <c r="R177" i="200"/>
  <c r="R165" i="200"/>
  <c r="R153" i="200"/>
  <c r="R182" i="200"/>
  <c r="R170" i="200"/>
  <c r="R158" i="200"/>
  <c r="R175" i="200"/>
  <c r="R163" i="200"/>
  <c r="R151" i="200"/>
  <c r="R180" i="200"/>
  <c r="R168" i="200"/>
  <c r="R173" i="200"/>
  <c r="R161" i="200"/>
  <c r="R178" i="200"/>
  <c r="R166" i="200"/>
  <c r="R154" i="200"/>
  <c r="R171" i="200"/>
  <c r="R159" i="200"/>
  <c r="R176" i="200"/>
  <c r="R164" i="200"/>
  <c r="R152" i="200"/>
  <c r="R181" i="200"/>
  <c r="R169" i="200"/>
  <c r="R157" i="200"/>
  <c r="R145" i="200"/>
  <c r="R133" i="200"/>
  <c r="R121" i="200"/>
  <c r="R138" i="200"/>
  <c r="R126" i="200"/>
  <c r="R156" i="200"/>
  <c r="R143" i="200"/>
  <c r="R131" i="200"/>
  <c r="R119" i="200"/>
  <c r="R148" i="200"/>
  <c r="R136" i="200"/>
  <c r="R124" i="200"/>
  <c r="R141" i="200"/>
  <c r="R129" i="200"/>
  <c r="R146" i="200"/>
  <c r="R134" i="200"/>
  <c r="R122" i="200"/>
  <c r="R139" i="200"/>
  <c r="R127" i="200"/>
  <c r="R144" i="200"/>
  <c r="R132" i="200"/>
  <c r="R120" i="200"/>
  <c r="R149" i="200"/>
  <c r="R137" i="200"/>
  <c r="R125" i="200"/>
  <c r="R142" i="200"/>
  <c r="R130" i="200"/>
  <c r="R147" i="200"/>
  <c r="R135" i="200"/>
  <c r="R123" i="200"/>
  <c r="R116" i="200"/>
  <c r="R104" i="200"/>
  <c r="R92" i="200"/>
  <c r="R109" i="200"/>
  <c r="R97" i="200"/>
  <c r="R114" i="200"/>
  <c r="R102" i="200"/>
  <c r="R90" i="200"/>
  <c r="R140" i="200"/>
  <c r="R107" i="200"/>
  <c r="R95" i="200"/>
  <c r="R112" i="200"/>
  <c r="R100" i="200"/>
  <c r="R88" i="200"/>
  <c r="R117" i="200"/>
  <c r="R105" i="200"/>
  <c r="R93" i="200"/>
  <c r="R110" i="200"/>
  <c r="R98" i="200"/>
  <c r="R115" i="200"/>
  <c r="R103" i="200"/>
  <c r="R91" i="200"/>
  <c r="R108" i="200"/>
  <c r="R96" i="200"/>
  <c r="R113" i="200"/>
  <c r="R101" i="200"/>
  <c r="R89" i="200"/>
  <c r="R128" i="200"/>
  <c r="R106" i="200"/>
  <c r="R94" i="200"/>
  <c r="R85" i="200"/>
  <c r="R72" i="200"/>
  <c r="R56" i="200"/>
  <c r="R111" i="200"/>
  <c r="R77" i="200"/>
  <c r="R61" i="200"/>
  <c r="R83" i="200"/>
  <c r="R54" i="200"/>
  <c r="R75" i="200"/>
  <c r="R59" i="200"/>
  <c r="R80" i="200"/>
  <c r="R86" i="200"/>
  <c r="R73" i="200"/>
  <c r="R57" i="200"/>
  <c r="R78" i="200"/>
  <c r="R62" i="200"/>
  <c r="R118" i="200"/>
  <c r="R84" i="200"/>
  <c r="R71" i="200"/>
  <c r="R55" i="200"/>
  <c r="R99" i="200"/>
  <c r="R76" i="200"/>
  <c r="R60" i="200"/>
  <c r="R81" i="200"/>
  <c r="R53" i="200"/>
  <c r="R87" i="200"/>
  <c r="R74" i="200"/>
  <c r="R58" i="200"/>
  <c r="R79" i="200"/>
  <c r="R41" i="200"/>
  <c r="R7" i="200"/>
  <c r="R46" i="200"/>
  <c r="R33" i="200"/>
  <c r="R51" i="200"/>
  <c r="R39" i="200"/>
  <c r="R9" i="200"/>
  <c r="R44" i="200"/>
  <c r="R4" i="200"/>
  <c r="R49" i="200"/>
  <c r="R37" i="200"/>
  <c r="R11" i="200"/>
  <c r="R42" i="200"/>
  <c r="R6" i="200"/>
  <c r="R47" i="200"/>
  <c r="R35" i="200"/>
  <c r="R32" i="200"/>
  <c r="R52" i="200"/>
  <c r="R40" i="200"/>
  <c r="R8" i="200"/>
  <c r="R45" i="200"/>
  <c r="R34" i="200"/>
  <c r="R50" i="200"/>
  <c r="R38" i="200"/>
  <c r="R10" i="200"/>
  <c r="R43" i="200"/>
  <c r="R5" i="200"/>
  <c r="R22" i="200"/>
  <c r="R12" i="200"/>
  <c r="R17" i="200"/>
  <c r="R29" i="200"/>
  <c r="R48" i="200"/>
  <c r="R31" i="200"/>
  <c r="R24" i="200"/>
  <c r="R3" i="200"/>
  <c r="R13" i="200"/>
  <c r="R19" i="200"/>
  <c r="R26" i="200"/>
  <c r="R21" i="200"/>
  <c r="R14" i="200"/>
  <c r="R16" i="200"/>
  <c r="R28" i="200"/>
  <c r="R23" i="200"/>
  <c r="R18" i="200"/>
  <c r="R30" i="200"/>
  <c r="R36" i="200"/>
  <c r="R25" i="200"/>
  <c r="R20" i="200"/>
  <c r="R15" i="200"/>
  <c r="R27" i="200"/>
  <c r="S1" i="200"/>
  <c r="T47" i="196"/>
  <c r="D1" i="197"/>
  <c r="S82" i="200" l="1"/>
  <c r="S66" i="200"/>
  <c r="S63" i="200"/>
  <c r="S70" i="200"/>
  <c r="S65" i="200"/>
  <c r="S67" i="200"/>
  <c r="S68" i="200"/>
  <c r="S69" i="200"/>
  <c r="S64" i="200"/>
  <c r="S179" i="200"/>
  <c r="S167" i="200"/>
  <c r="S155" i="200"/>
  <c r="S172" i="200"/>
  <c r="S160" i="200"/>
  <c r="S177" i="200"/>
  <c r="S165" i="200"/>
  <c r="S153" i="200"/>
  <c r="S182" i="200"/>
  <c r="S170" i="200"/>
  <c r="S158" i="200"/>
  <c r="S175" i="200"/>
  <c r="S163" i="200"/>
  <c r="S151" i="200"/>
  <c r="S180" i="200"/>
  <c r="S168" i="200"/>
  <c r="S156" i="200"/>
  <c r="S173" i="200"/>
  <c r="S178" i="200"/>
  <c r="S166" i="200"/>
  <c r="S154" i="200"/>
  <c r="S171" i="200"/>
  <c r="S159" i="200"/>
  <c r="S176" i="200"/>
  <c r="S164" i="200"/>
  <c r="S152" i="200"/>
  <c r="S181" i="200"/>
  <c r="S169" i="200"/>
  <c r="S157" i="200"/>
  <c r="S174" i="200"/>
  <c r="S162" i="200"/>
  <c r="S150" i="200"/>
  <c r="S138" i="200"/>
  <c r="S126" i="200"/>
  <c r="S161" i="200"/>
  <c r="S143" i="200"/>
  <c r="S131" i="200"/>
  <c r="S119" i="200"/>
  <c r="S148" i="200"/>
  <c r="S136" i="200"/>
  <c r="S124" i="200"/>
  <c r="S141" i="200"/>
  <c r="S129" i="200"/>
  <c r="S146" i="200"/>
  <c r="S134" i="200"/>
  <c r="S122" i="200"/>
  <c r="S139" i="200"/>
  <c r="S127" i="200"/>
  <c r="S144" i="200"/>
  <c r="S132" i="200"/>
  <c r="S120" i="200"/>
  <c r="S149" i="200"/>
  <c r="S137" i="200"/>
  <c r="S125" i="200"/>
  <c r="S142" i="200"/>
  <c r="S130" i="200"/>
  <c r="S147" i="200"/>
  <c r="S135" i="200"/>
  <c r="S123" i="200"/>
  <c r="S140" i="200"/>
  <c r="S128" i="200"/>
  <c r="S109" i="200"/>
  <c r="S97" i="200"/>
  <c r="S114" i="200"/>
  <c r="S102" i="200"/>
  <c r="S90" i="200"/>
  <c r="S145" i="200"/>
  <c r="S107" i="200"/>
  <c r="S95" i="200"/>
  <c r="S112" i="200"/>
  <c r="S100" i="200"/>
  <c r="S117" i="200"/>
  <c r="S105" i="200"/>
  <c r="S93" i="200"/>
  <c r="S110" i="200"/>
  <c r="S98" i="200"/>
  <c r="S115" i="200"/>
  <c r="S103" i="200"/>
  <c r="S91" i="200"/>
  <c r="S121" i="200"/>
  <c r="S108" i="200"/>
  <c r="S96" i="200"/>
  <c r="S113" i="200"/>
  <c r="S101" i="200"/>
  <c r="S89" i="200"/>
  <c r="S133" i="200"/>
  <c r="S106" i="200"/>
  <c r="S94" i="200"/>
  <c r="S118" i="200"/>
  <c r="S111" i="200"/>
  <c r="S99" i="200"/>
  <c r="S116" i="200"/>
  <c r="S77" i="200"/>
  <c r="S61" i="200"/>
  <c r="S83" i="200"/>
  <c r="S54" i="200"/>
  <c r="S92" i="200"/>
  <c r="S75" i="200"/>
  <c r="S59" i="200"/>
  <c r="S88" i="200"/>
  <c r="S80" i="200"/>
  <c r="S86" i="200"/>
  <c r="S73" i="200"/>
  <c r="S57" i="200"/>
  <c r="S78" i="200"/>
  <c r="S62" i="200"/>
  <c r="S84" i="200"/>
  <c r="S71" i="200"/>
  <c r="S55" i="200"/>
  <c r="S104" i="200"/>
  <c r="S76" i="200"/>
  <c r="S60" i="200"/>
  <c r="S81" i="200"/>
  <c r="S87" i="200"/>
  <c r="S74" i="200"/>
  <c r="S58" i="200"/>
  <c r="S79" i="200"/>
  <c r="S85" i="200"/>
  <c r="S72" i="200"/>
  <c r="S53" i="200"/>
  <c r="S46" i="200"/>
  <c r="S31" i="200"/>
  <c r="S12" i="200"/>
  <c r="S56" i="200"/>
  <c r="S51" i="200"/>
  <c r="S39" i="200"/>
  <c r="S7" i="200"/>
  <c r="S44" i="200"/>
  <c r="S33" i="200"/>
  <c r="S49" i="200"/>
  <c r="S37" i="200"/>
  <c r="S9" i="200"/>
  <c r="S42" i="200"/>
  <c r="S4" i="200"/>
  <c r="S47" i="200"/>
  <c r="S35" i="200"/>
  <c r="S11" i="200"/>
  <c r="S52" i="200"/>
  <c r="S40" i="200"/>
  <c r="S6" i="200"/>
  <c r="S45" i="200"/>
  <c r="S32" i="200"/>
  <c r="S13" i="200"/>
  <c r="S50" i="200"/>
  <c r="S38" i="200"/>
  <c r="S8" i="200"/>
  <c r="S43" i="200"/>
  <c r="S34" i="200"/>
  <c r="S48" i="200"/>
  <c r="S36" i="200"/>
  <c r="S10" i="200"/>
  <c r="S15" i="200"/>
  <c r="S27" i="200"/>
  <c r="S22" i="200"/>
  <c r="S17" i="200"/>
  <c r="S29" i="200"/>
  <c r="S5" i="200"/>
  <c r="S24" i="200"/>
  <c r="S3" i="200"/>
  <c r="S19" i="200"/>
  <c r="S26" i="200"/>
  <c r="S21" i="200"/>
  <c r="S14" i="200"/>
  <c r="S16" i="200"/>
  <c r="S28" i="200"/>
  <c r="S41" i="200"/>
  <c r="S23" i="200"/>
  <c r="S18" i="200"/>
  <c r="S30" i="200"/>
  <c r="S25" i="200"/>
  <c r="S20" i="200"/>
  <c r="T1" i="200"/>
  <c r="D172" i="197"/>
  <c r="D174" i="197"/>
  <c r="D173" i="197"/>
  <c r="D150" i="197"/>
  <c r="D63" i="197"/>
  <c r="D59" i="197"/>
  <c r="D58" i="197"/>
  <c r="D57" i="197"/>
  <c r="D64" i="197"/>
  <c r="D54" i="197"/>
  <c r="D53" i="197"/>
  <c r="D65" i="197"/>
  <c r="D60" i="197"/>
  <c r="D55" i="197"/>
  <c r="D62" i="197"/>
  <c r="D52" i="197"/>
  <c r="D66" i="197"/>
  <c r="D56" i="197"/>
  <c r="D61" i="197"/>
  <c r="E1" i="197"/>
  <c r="E168" i="197" s="1"/>
  <c r="D170" i="197"/>
  <c r="D161" i="197"/>
  <c r="D157" i="197"/>
  <c r="D149" i="197"/>
  <c r="D167" i="197"/>
  <c r="D162" i="197"/>
  <c r="D5" i="197"/>
  <c r="D9" i="197"/>
  <c r="D13" i="197"/>
  <c r="D4" i="197"/>
  <c r="D6" i="197"/>
  <c r="D11" i="197"/>
  <c r="D16" i="197"/>
  <c r="D20" i="197"/>
  <c r="D24" i="197"/>
  <c r="D28" i="197"/>
  <c r="D8" i="197"/>
  <c r="D18" i="197"/>
  <c r="D7" i="197"/>
  <c r="D14" i="197"/>
  <c r="D17" i="197"/>
  <c r="D19" i="197"/>
  <c r="D27" i="197"/>
  <c r="D12" i="197"/>
  <c r="D21" i="197"/>
  <c r="D30" i="197"/>
  <c r="D29" i="197"/>
  <c r="D25" i="197"/>
  <c r="D32" i="197"/>
  <c r="D33" i="197"/>
  <c r="D37" i="197"/>
  <c r="D41" i="197"/>
  <c r="D45" i="197"/>
  <c r="D49" i="197"/>
  <c r="D10" i="197"/>
  <c r="D22" i="197"/>
  <c r="D31" i="197"/>
  <c r="D34" i="197"/>
  <c r="D39" i="197"/>
  <c r="D44" i="197"/>
  <c r="D23" i="197"/>
  <c r="D40" i="197"/>
  <c r="D43" i="197"/>
  <c r="D50" i="197"/>
  <c r="D15" i="197"/>
  <c r="D35" i="197"/>
  <c r="D38" i="197"/>
  <c r="D46" i="197"/>
  <c r="D26" i="197"/>
  <c r="D36" i="197"/>
  <c r="D47" i="197"/>
  <c r="D42" i="197"/>
  <c r="D48" i="197"/>
  <c r="D51" i="197"/>
  <c r="D68" i="197"/>
  <c r="D72" i="197"/>
  <c r="D76" i="197"/>
  <c r="D80" i="197"/>
  <c r="D84" i="197"/>
  <c r="D88" i="197"/>
  <c r="D67" i="197"/>
  <c r="D71" i="197"/>
  <c r="D75" i="197"/>
  <c r="D79" i="197"/>
  <c r="D83" i="197"/>
  <c r="D87" i="197"/>
  <c r="D91" i="197"/>
  <c r="D95" i="197"/>
  <c r="D99" i="197"/>
  <c r="D103" i="197"/>
  <c r="D70" i="197"/>
  <c r="D74" i="197"/>
  <c r="D78" i="197"/>
  <c r="D82" i="197"/>
  <c r="D86" i="197"/>
  <c r="D90" i="197"/>
  <c r="D69" i="197"/>
  <c r="D73" i="197"/>
  <c r="D77" i="197"/>
  <c r="D81" i="197"/>
  <c r="D96" i="197"/>
  <c r="D101" i="197"/>
  <c r="D107" i="197"/>
  <c r="D111" i="197"/>
  <c r="D94" i="197"/>
  <c r="D100" i="197"/>
  <c r="D93" i="197"/>
  <c r="D98" i="197"/>
  <c r="D85" i="197"/>
  <c r="D89" i="197"/>
  <c r="D92" i="197"/>
  <c r="D97" i="197"/>
  <c r="D102" i="197"/>
  <c r="D104" i="197"/>
  <c r="D108" i="197"/>
  <c r="D112" i="197"/>
  <c r="D116" i="197"/>
  <c r="D120" i="197"/>
  <c r="D124" i="197"/>
  <c r="D128" i="197"/>
  <c r="D132" i="197"/>
  <c r="D106" i="197"/>
  <c r="D114" i="197"/>
  <c r="D119" i="197"/>
  <c r="D125" i="197"/>
  <c r="D130" i="197"/>
  <c r="D135" i="197"/>
  <c r="D139" i="197"/>
  <c r="D143" i="197"/>
  <c r="D147" i="197"/>
  <c r="D151" i="197"/>
  <c r="D155" i="197"/>
  <c r="D105" i="197"/>
  <c r="D113" i="197"/>
  <c r="D118" i="197"/>
  <c r="D123" i="197"/>
  <c r="D129" i="197"/>
  <c r="D134" i="197"/>
  <c r="D138" i="197"/>
  <c r="D142" i="197"/>
  <c r="D146" i="197"/>
  <c r="D110" i="197"/>
  <c r="D117" i="197"/>
  <c r="D122" i="197"/>
  <c r="D127" i="197"/>
  <c r="D133" i="197"/>
  <c r="D137" i="197"/>
  <c r="D141" i="197"/>
  <c r="D145" i="197"/>
  <c r="D109" i="197"/>
  <c r="D115" i="197"/>
  <c r="D121" i="197"/>
  <c r="D126" i="197"/>
  <c r="D131" i="197"/>
  <c r="D136" i="197"/>
  <c r="D140" i="197"/>
  <c r="D144" i="197"/>
  <c r="D148" i="197"/>
  <c r="D152" i="197"/>
  <c r="D156" i="197"/>
  <c r="D160" i="197"/>
  <c r="D164" i="197"/>
  <c r="D168" i="197"/>
  <c r="D3" i="197"/>
  <c r="E3" i="197"/>
  <c r="E170" i="197"/>
  <c r="D169" i="197"/>
  <c r="E164" i="197"/>
  <c r="D163" i="197"/>
  <c r="E159" i="197"/>
  <c r="D158" i="197"/>
  <c r="D153" i="197"/>
  <c r="E6" i="197"/>
  <c r="E10" i="197"/>
  <c r="E14" i="197"/>
  <c r="E5" i="197"/>
  <c r="E7" i="197"/>
  <c r="E12" i="197"/>
  <c r="E17" i="197"/>
  <c r="E21" i="197"/>
  <c r="E25" i="197"/>
  <c r="E4" i="197"/>
  <c r="E13" i="197"/>
  <c r="E19" i="197"/>
  <c r="E8" i="197"/>
  <c r="E11" i="197"/>
  <c r="E18" i="197"/>
  <c r="E20" i="197"/>
  <c r="E23" i="197"/>
  <c r="E28" i="197"/>
  <c r="E9" i="197"/>
  <c r="E15" i="197"/>
  <c r="E16" i="197"/>
  <c r="E26" i="197"/>
  <c r="E31" i="197"/>
  <c r="E24" i="197"/>
  <c r="E27" i="197"/>
  <c r="E30" i="197"/>
  <c r="E29" i="197"/>
  <c r="E34" i="197"/>
  <c r="E38" i="197"/>
  <c r="E42" i="197"/>
  <c r="E46" i="197"/>
  <c r="E32" i="197"/>
  <c r="E35" i="197"/>
  <c r="E40" i="197"/>
  <c r="E45" i="197"/>
  <c r="E50" i="197"/>
  <c r="E37" i="197"/>
  <c r="E48" i="197"/>
  <c r="E51" i="197"/>
  <c r="E43" i="197"/>
  <c r="E49" i="197"/>
  <c r="E33" i="197"/>
  <c r="E41" i="197"/>
  <c r="E44" i="197"/>
  <c r="E22" i="197"/>
  <c r="E36" i="197"/>
  <c r="E39" i="197"/>
  <c r="E47" i="197"/>
  <c r="E69" i="197"/>
  <c r="E73" i="197"/>
  <c r="E77" i="197"/>
  <c r="E81" i="197"/>
  <c r="E85" i="197"/>
  <c r="E68" i="197"/>
  <c r="E72" i="197"/>
  <c r="E76" i="197"/>
  <c r="E80" i="197"/>
  <c r="E84" i="197"/>
  <c r="E88" i="197"/>
  <c r="E92" i="197"/>
  <c r="E96" i="197"/>
  <c r="E100" i="197"/>
  <c r="E67" i="197"/>
  <c r="E71" i="197"/>
  <c r="E75" i="197"/>
  <c r="E79" i="197"/>
  <c r="E83" i="197"/>
  <c r="E87" i="197"/>
  <c r="E91" i="197"/>
  <c r="E70" i="197"/>
  <c r="E74" i="197"/>
  <c r="E78" i="197"/>
  <c r="E82" i="197"/>
  <c r="E89" i="197"/>
  <c r="E97" i="197"/>
  <c r="E102" i="197"/>
  <c r="E104" i="197"/>
  <c r="E108" i="197"/>
  <c r="E95" i="197"/>
  <c r="E101" i="197"/>
  <c r="E94" i="197"/>
  <c r="E99" i="197"/>
  <c r="E86" i="197"/>
  <c r="E90" i="197"/>
  <c r="E93" i="197"/>
  <c r="E98" i="197"/>
  <c r="E103" i="197"/>
  <c r="E105" i="197"/>
  <c r="E109" i="197"/>
  <c r="E113" i="197"/>
  <c r="E117" i="197"/>
  <c r="E121" i="197"/>
  <c r="E125" i="197"/>
  <c r="E129" i="197"/>
  <c r="E133" i="197"/>
  <c r="E107" i="197"/>
  <c r="E115" i="197"/>
  <c r="E120" i="197"/>
  <c r="E126" i="197"/>
  <c r="E131" i="197"/>
  <c r="E136" i="197"/>
  <c r="E140" i="197"/>
  <c r="E144" i="197"/>
  <c r="E148" i="197"/>
  <c r="E152" i="197"/>
  <c r="E156" i="197"/>
  <c r="E106" i="197"/>
  <c r="E114" i="197"/>
  <c r="E119" i="197"/>
  <c r="E124" i="197"/>
  <c r="E130" i="197"/>
  <c r="E135" i="197"/>
  <c r="E139" i="197"/>
  <c r="E143" i="197"/>
  <c r="E147" i="197"/>
  <c r="E111" i="197"/>
  <c r="E112" i="197"/>
  <c r="E118" i="197"/>
  <c r="E123" i="197"/>
  <c r="E128" i="197"/>
  <c r="E134" i="197"/>
  <c r="E138" i="197"/>
  <c r="E142" i="197"/>
  <c r="E146" i="197"/>
  <c r="E110" i="197"/>
  <c r="E116" i="197"/>
  <c r="E122" i="197"/>
  <c r="E127" i="197"/>
  <c r="E132" i="197"/>
  <c r="E137" i="197"/>
  <c r="E141" i="197"/>
  <c r="E145" i="197"/>
  <c r="E149" i="197"/>
  <c r="E153" i="197"/>
  <c r="E157" i="197"/>
  <c r="E161" i="197"/>
  <c r="E165" i="197"/>
  <c r="E169" i="197"/>
  <c r="E166" i="197"/>
  <c r="D165" i="197"/>
  <c r="E160" i="197"/>
  <c r="D159" i="197"/>
  <c r="E155" i="197"/>
  <c r="D154" i="197"/>
  <c r="D171" i="197"/>
  <c r="E167" i="197"/>
  <c r="D166" i="197"/>
  <c r="D176" i="197"/>
  <c r="D177" i="197"/>
  <c r="D175" i="197"/>
  <c r="E177" i="197"/>
  <c r="E175" i="197"/>
  <c r="E176" i="197"/>
  <c r="F1" i="197"/>
  <c r="E158" i="197" l="1"/>
  <c r="E163" i="197"/>
  <c r="E171" i="197"/>
  <c r="E151" i="197"/>
  <c r="T82" i="200"/>
  <c r="T66" i="200"/>
  <c r="T68" i="200"/>
  <c r="T63" i="200"/>
  <c r="T70" i="200"/>
  <c r="T65" i="200"/>
  <c r="T67" i="200"/>
  <c r="T64" i="200"/>
  <c r="T69" i="200"/>
  <c r="T172" i="200"/>
  <c r="T160" i="200"/>
  <c r="T177" i="200"/>
  <c r="T165" i="200"/>
  <c r="T153" i="200"/>
  <c r="T182" i="200"/>
  <c r="T170" i="200"/>
  <c r="T158" i="200"/>
  <c r="T175" i="200"/>
  <c r="T163" i="200"/>
  <c r="T151" i="200"/>
  <c r="T180" i="200"/>
  <c r="T168" i="200"/>
  <c r="T156" i="200"/>
  <c r="T173" i="200"/>
  <c r="T161" i="200"/>
  <c r="T178" i="200"/>
  <c r="T166" i="200"/>
  <c r="T171" i="200"/>
  <c r="T159" i="200"/>
  <c r="T176" i="200"/>
  <c r="T164" i="200"/>
  <c r="T152" i="200"/>
  <c r="T181" i="200"/>
  <c r="T169" i="200"/>
  <c r="T157" i="200"/>
  <c r="T174" i="200"/>
  <c r="T162" i="200"/>
  <c r="T150" i="200"/>
  <c r="T179" i="200"/>
  <c r="T167" i="200"/>
  <c r="T155" i="200"/>
  <c r="T143" i="200"/>
  <c r="T131" i="200"/>
  <c r="T119" i="200"/>
  <c r="T148" i="200"/>
  <c r="T136" i="200"/>
  <c r="T124" i="200"/>
  <c r="T141" i="200"/>
  <c r="T129" i="200"/>
  <c r="T146" i="200"/>
  <c r="T134" i="200"/>
  <c r="T122" i="200"/>
  <c r="T139" i="200"/>
  <c r="T127" i="200"/>
  <c r="T144" i="200"/>
  <c r="T132" i="200"/>
  <c r="T120" i="200"/>
  <c r="T149" i="200"/>
  <c r="T137" i="200"/>
  <c r="T125" i="200"/>
  <c r="T154" i="200"/>
  <c r="T142" i="200"/>
  <c r="T130" i="200"/>
  <c r="T118" i="200"/>
  <c r="T147" i="200"/>
  <c r="T135" i="200"/>
  <c r="T123" i="200"/>
  <c r="T140" i="200"/>
  <c r="T128" i="200"/>
  <c r="T145" i="200"/>
  <c r="T133" i="200"/>
  <c r="T114" i="200"/>
  <c r="T102" i="200"/>
  <c r="T90" i="200"/>
  <c r="T107" i="200"/>
  <c r="T95" i="200"/>
  <c r="T112" i="200"/>
  <c r="T100" i="200"/>
  <c r="T126" i="200"/>
  <c r="T117" i="200"/>
  <c r="T105" i="200"/>
  <c r="T93" i="200"/>
  <c r="T110" i="200"/>
  <c r="T98" i="200"/>
  <c r="T115" i="200"/>
  <c r="T103" i="200"/>
  <c r="T91" i="200"/>
  <c r="T121" i="200"/>
  <c r="T108" i="200"/>
  <c r="T96" i="200"/>
  <c r="T113" i="200"/>
  <c r="T101" i="200"/>
  <c r="T89" i="200"/>
  <c r="T138" i="200"/>
  <c r="T106" i="200"/>
  <c r="T94" i="200"/>
  <c r="T111" i="200"/>
  <c r="T99" i="200"/>
  <c r="T116" i="200"/>
  <c r="T104" i="200"/>
  <c r="T92" i="200"/>
  <c r="T83" i="200"/>
  <c r="T54" i="200"/>
  <c r="T97" i="200"/>
  <c r="T75" i="200"/>
  <c r="T59" i="200"/>
  <c r="T88" i="200"/>
  <c r="T80" i="200"/>
  <c r="T86" i="200"/>
  <c r="T73" i="200"/>
  <c r="T57" i="200"/>
  <c r="T78" i="200"/>
  <c r="T62" i="200"/>
  <c r="T84" i="200"/>
  <c r="T71" i="200"/>
  <c r="T55" i="200"/>
  <c r="T109" i="200"/>
  <c r="T76" i="200"/>
  <c r="T60" i="200"/>
  <c r="T81" i="200"/>
  <c r="T87" i="200"/>
  <c r="T74" i="200"/>
  <c r="T58" i="200"/>
  <c r="T79" i="200"/>
  <c r="T85" i="200"/>
  <c r="T72" i="200"/>
  <c r="T56" i="200"/>
  <c r="T77" i="200"/>
  <c r="T61" i="200"/>
  <c r="T51" i="200"/>
  <c r="T39" i="200"/>
  <c r="T5" i="200"/>
  <c r="T44" i="200"/>
  <c r="T31" i="200"/>
  <c r="T49" i="200"/>
  <c r="T37" i="200"/>
  <c r="T7" i="200"/>
  <c r="T42" i="200"/>
  <c r="T33" i="200"/>
  <c r="T47" i="200"/>
  <c r="T35" i="200"/>
  <c r="T9" i="200"/>
  <c r="T52" i="200"/>
  <c r="T40" i="200"/>
  <c r="T4" i="200"/>
  <c r="T45" i="200"/>
  <c r="T11" i="200"/>
  <c r="T50" i="200"/>
  <c r="T38" i="200"/>
  <c r="T6" i="200"/>
  <c r="T43" i="200"/>
  <c r="T32" i="200"/>
  <c r="T48" i="200"/>
  <c r="T36" i="200"/>
  <c r="T8" i="200"/>
  <c r="T41" i="200"/>
  <c r="T34" i="200"/>
  <c r="T20" i="200"/>
  <c r="T53" i="200"/>
  <c r="T15" i="200"/>
  <c r="T27" i="200"/>
  <c r="T12" i="200"/>
  <c r="T22" i="200"/>
  <c r="T17" i="200"/>
  <c r="T29" i="200"/>
  <c r="T30" i="200"/>
  <c r="T10" i="200"/>
  <c r="T13" i="200"/>
  <c r="T24" i="200"/>
  <c r="T3" i="200"/>
  <c r="T19" i="200"/>
  <c r="T26" i="200"/>
  <c r="T46" i="200"/>
  <c r="T21" i="200"/>
  <c r="T14" i="200"/>
  <c r="T16" i="200"/>
  <c r="T28" i="200"/>
  <c r="T23" i="200"/>
  <c r="T18" i="200"/>
  <c r="T25" i="200"/>
  <c r="U1" i="200"/>
  <c r="E162" i="197"/>
  <c r="E172" i="197"/>
  <c r="E174" i="197"/>
  <c r="E173" i="197"/>
  <c r="F172" i="197"/>
  <c r="F174" i="197"/>
  <c r="F173" i="197"/>
  <c r="F61" i="197"/>
  <c r="F52" i="197"/>
  <c r="F56" i="197"/>
  <c r="F55" i="197"/>
  <c r="F63" i="197"/>
  <c r="F57" i="197"/>
  <c r="F58" i="197"/>
  <c r="F62" i="197"/>
  <c r="F53" i="197"/>
  <c r="F65" i="197"/>
  <c r="F60" i="197"/>
  <c r="F64" i="197"/>
  <c r="F59" i="197"/>
  <c r="F66" i="197"/>
  <c r="F54" i="197"/>
  <c r="E150" i="197"/>
  <c r="E154" i="197"/>
  <c r="E56" i="197"/>
  <c r="E52" i="197"/>
  <c r="E63" i="197"/>
  <c r="E54" i="197"/>
  <c r="E58" i="197"/>
  <c r="E57" i="197"/>
  <c r="E64" i="197"/>
  <c r="E53" i="197"/>
  <c r="E65" i="197"/>
  <c r="E55" i="197"/>
  <c r="E62" i="197"/>
  <c r="E60" i="197"/>
  <c r="E59" i="197"/>
  <c r="E66" i="197"/>
  <c r="E61" i="197"/>
  <c r="F7" i="197"/>
  <c r="F11" i="197"/>
  <c r="F6" i="197"/>
  <c r="F8" i="197"/>
  <c r="F13" i="197"/>
  <c r="F18" i="197"/>
  <c r="F22" i="197"/>
  <c r="F26" i="197"/>
  <c r="F5" i="197"/>
  <c r="F10" i="197"/>
  <c r="F15" i="197"/>
  <c r="F20" i="197"/>
  <c r="F19" i="197"/>
  <c r="F12" i="197"/>
  <c r="F21" i="197"/>
  <c r="F24" i="197"/>
  <c r="F4" i="197"/>
  <c r="F23" i="197"/>
  <c r="F32" i="197"/>
  <c r="F9" i="197"/>
  <c r="F14" i="197"/>
  <c r="F16" i="197"/>
  <c r="F17" i="197"/>
  <c r="F31" i="197"/>
  <c r="F35" i="197"/>
  <c r="F39" i="197"/>
  <c r="F43" i="197"/>
  <c r="F47" i="197"/>
  <c r="F25" i="197"/>
  <c r="F28" i="197"/>
  <c r="F36" i="197"/>
  <c r="F41" i="197"/>
  <c r="F46" i="197"/>
  <c r="F51" i="197"/>
  <c r="F34" i="197"/>
  <c r="F42" i="197"/>
  <c r="F45" i="197"/>
  <c r="F30" i="197"/>
  <c r="F37" i="197"/>
  <c r="F40" i="197"/>
  <c r="F48" i="197"/>
  <c r="F50" i="197"/>
  <c r="F29" i="197"/>
  <c r="F38" i="197"/>
  <c r="F49" i="197"/>
  <c r="F27" i="197"/>
  <c r="F33" i="197"/>
  <c r="F44" i="197"/>
  <c r="F70" i="197"/>
  <c r="F74" i="197"/>
  <c r="F78" i="197"/>
  <c r="F82" i="197"/>
  <c r="F86" i="197"/>
  <c r="F69" i="197"/>
  <c r="F73" i="197"/>
  <c r="F77" i="197"/>
  <c r="F81" i="197"/>
  <c r="F85" i="197"/>
  <c r="F89" i="197"/>
  <c r="F93" i="197"/>
  <c r="F97" i="197"/>
  <c r="F101" i="197"/>
  <c r="F68" i="197"/>
  <c r="F72" i="197"/>
  <c r="F76" i="197"/>
  <c r="F80" i="197"/>
  <c r="F84" i="197"/>
  <c r="F88" i="197"/>
  <c r="F67" i="197"/>
  <c r="F71" i="197"/>
  <c r="F75" i="197"/>
  <c r="F79" i="197"/>
  <c r="F83" i="197"/>
  <c r="F90" i="197"/>
  <c r="F92" i="197"/>
  <c r="F98" i="197"/>
  <c r="F103" i="197"/>
  <c r="F105" i="197"/>
  <c r="F109" i="197"/>
  <c r="F96" i="197"/>
  <c r="F102" i="197"/>
  <c r="F95" i="197"/>
  <c r="F100" i="197"/>
  <c r="F87" i="197"/>
  <c r="F91" i="197"/>
  <c r="F94" i="197"/>
  <c r="F99" i="197"/>
  <c r="F106" i="197"/>
  <c r="F110" i="197"/>
  <c r="F114" i="197"/>
  <c r="F118" i="197"/>
  <c r="F122" i="197"/>
  <c r="F126" i="197"/>
  <c r="F130" i="197"/>
  <c r="F134" i="197"/>
  <c r="F104" i="197"/>
  <c r="F108" i="197"/>
  <c r="F116" i="197"/>
  <c r="F121" i="197"/>
  <c r="F127" i="197"/>
  <c r="F132" i="197"/>
  <c r="F137" i="197"/>
  <c r="F141" i="197"/>
  <c r="F145" i="197"/>
  <c r="F149" i="197"/>
  <c r="F153" i="197"/>
  <c r="F157" i="197"/>
  <c r="F107" i="197"/>
  <c r="F115" i="197"/>
  <c r="F120" i="197"/>
  <c r="F125" i="197"/>
  <c r="F131" i="197"/>
  <c r="F136" i="197"/>
  <c r="F140" i="197"/>
  <c r="F144" i="197"/>
  <c r="F113" i="197"/>
  <c r="F119" i="197"/>
  <c r="F124" i="197"/>
  <c r="F129" i="197"/>
  <c r="F135" i="197"/>
  <c r="F139" i="197"/>
  <c r="F143" i="197"/>
  <c r="F147" i="197"/>
  <c r="F111" i="197"/>
  <c r="F112" i="197"/>
  <c r="F117" i="197"/>
  <c r="F123" i="197"/>
  <c r="F128" i="197"/>
  <c r="F133" i="197"/>
  <c r="F138" i="197"/>
  <c r="F142" i="197"/>
  <c r="F146" i="197"/>
  <c r="F150" i="197"/>
  <c r="F154" i="197"/>
  <c r="F158" i="197"/>
  <c r="F162" i="197"/>
  <c r="F166" i="197"/>
  <c r="F170" i="197"/>
  <c r="F163" i="197"/>
  <c r="F156" i="197"/>
  <c r="F161" i="197"/>
  <c r="F167" i="197"/>
  <c r="F155" i="197"/>
  <c r="F160" i="197"/>
  <c r="F165" i="197"/>
  <c r="F171" i="197"/>
  <c r="F152" i="197"/>
  <c r="F159" i="197"/>
  <c r="F164" i="197"/>
  <c r="F169" i="197"/>
  <c r="F3" i="197"/>
  <c r="F148" i="197"/>
  <c r="F151" i="197"/>
  <c r="F168" i="197"/>
  <c r="F176" i="197"/>
  <c r="F175" i="197"/>
  <c r="F177" i="197"/>
  <c r="G1" i="197"/>
  <c r="U82" i="200" l="1"/>
  <c r="U64" i="200"/>
  <c r="U68" i="200"/>
  <c r="U66" i="200"/>
  <c r="U63" i="200"/>
  <c r="U70" i="200"/>
  <c r="U65" i="200"/>
  <c r="U69" i="200"/>
  <c r="U67" i="200"/>
  <c r="U177" i="200"/>
  <c r="U165" i="200"/>
  <c r="U153" i="200"/>
  <c r="U182" i="200"/>
  <c r="U170" i="200"/>
  <c r="U158" i="200"/>
  <c r="U175" i="200"/>
  <c r="U163" i="200"/>
  <c r="U151" i="200"/>
  <c r="U180" i="200"/>
  <c r="U168" i="200"/>
  <c r="U156" i="200"/>
  <c r="U173" i="200"/>
  <c r="U161" i="200"/>
  <c r="U178" i="200"/>
  <c r="U166" i="200"/>
  <c r="U154" i="200"/>
  <c r="U171" i="200"/>
  <c r="U176" i="200"/>
  <c r="U164" i="200"/>
  <c r="U152" i="200"/>
  <c r="U181" i="200"/>
  <c r="U169" i="200"/>
  <c r="U157" i="200"/>
  <c r="U174" i="200"/>
  <c r="U162" i="200"/>
  <c r="U150" i="200"/>
  <c r="U179" i="200"/>
  <c r="U167" i="200"/>
  <c r="U155" i="200"/>
  <c r="U172" i="200"/>
  <c r="U160" i="200"/>
  <c r="U148" i="200"/>
  <c r="U136" i="200"/>
  <c r="U124" i="200"/>
  <c r="U141" i="200"/>
  <c r="U129" i="200"/>
  <c r="U146" i="200"/>
  <c r="U134" i="200"/>
  <c r="U122" i="200"/>
  <c r="U139" i="200"/>
  <c r="U127" i="200"/>
  <c r="U144" i="200"/>
  <c r="U132" i="200"/>
  <c r="U120" i="200"/>
  <c r="U149" i="200"/>
  <c r="U137" i="200"/>
  <c r="U125" i="200"/>
  <c r="U159" i="200"/>
  <c r="U142" i="200"/>
  <c r="U130" i="200"/>
  <c r="U118" i="200"/>
  <c r="U147" i="200"/>
  <c r="U135" i="200"/>
  <c r="U123" i="200"/>
  <c r="U140" i="200"/>
  <c r="U128" i="200"/>
  <c r="U145" i="200"/>
  <c r="U133" i="200"/>
  <c r="U121" i="200"/>
  <c r="U138" i="200"/>
  <c r="U126" i="200"/>
  <c r="U107" i="200"/>
  <c r="U95" i="200"/>
  <c r="U112" i="200"/>
  <c r="U100" i="200"/>
  <c r="U131" i="200"/>
  <c r="U117" i="200"/>
  <c r="U105" i="200"/>
  <c r="U93" i="200"/>
  <c r="U110" i="200"/>
  <c r="U98" i="200"/>
  <c r="U115" i="200"/>
  <c r="U103" i="200"/>
  <c r="U91" i="200"/>
  <c r="U119" i="200"/>
  <c r="U108" i="200"/>
  <c r="U96" i="200"/>
  <c r="U113" i="200"/>
  <c r="U101" i="200"/>
  <c r="U89" i="200"/>
  <c r="U143" i="200"/>
  <c r="U106" i="200"/>
  <c r="U94" i="200"/>
  <c r="U111" i="200"/>
  <c r="U99" i="200"/>
  <c r="U116" i="200"/>
  <c r="U104" i="200"/>
  <c r="U92" i="200"/>
  <c r="U109" i="200"/>
  <c r="U97" i="200"/>
  <c r="U102" i="200"/>
  <c r="U75" i="200"/>
  <c r="U59" i="200"/>
  <c r="U88" i="200"/>
  <c r="U80" i="200"/>
  <c r="U86" i="200"/>
  <c r="U73" i="200"/>
  <c r="U57" i="200"/>
  <c r="U78" i="200"/>
  <c r="U62" i="200"/>
  <c r="U84" i="200"/>
  <c r="U71" i="200"/>
  <c r="U55" i="200"/>
  <c r="U114" i="200"/>
  <c r="U76" i="200"/>
  <c r="U60" i="200"/>
  <c r="U81" i="200"/>
  <c r="U90" i="200"/>
  <c r="U87" i="200"/>
  <c r="U74" i="200"/>
  <c r="U58" i="200"/>
  <c r="U79" i="200"/>
  <c r="U85" i="200"/>
  <c r="U72" i="200"/>
  <c r="U56" i="200"/>
  <c r="U77" i="200"/>
  <c r="U61" i="200"/>
  <c r="U83" i="200"/>
  <c r="U44" i="200"/>
  <c r="U10" i="200"/>
  <c r="U49" i="200"/>
  <c r="U37" i="200"/>
  <c r="U5" i="200"/>
  <c r="U42" i="200"/>
  <c r="U31" i="200"/>
  <c r="U47" i="200"/>
  <c r="U35" i="200"/>
  <c r="U7" i="200"/>
  <c r="U52" i="200"/>
  <c r="U40" i="200"/>
  <c r="U33" i="200"/>
  <c r="U45" i="200"/>
  <c r="U9" i="200"/>
  <c r="U54" i="200"/>
  <c r="U50" i="200"/>
  <c r="U38" i="200"/>
  <c r="U4" i="200"/>
  <c r="U43" i="200"/>
  <c r="U11" i="200"/>
  <c r="U48" i="200"/>
  <c r="U36" i="200"/>
  <c r="U6" i="200"/>
  <c r="U41" i="200"/>
  <c r="U32" i="200"/>
  <c r="U53" i="200"/>
  <c r="U46" i="200"/>
  <c r="U8" i="200"/>
  <c r="U25" i="200"/>
  <c r="U39" i="200"/>
  <c r="U20" i="200"/>
  <c r="U30" i="200"/>
  <c r="U15" i="200"/>
  <c r="U27" i="200"/>
  <c r="U3" i="200"/>
  <c r="U12" i="200"/>
  <c r="U22" i="200"/>
  <c r="U17" i="200"/>
  <c r="U29" i="200"/>
  <c r="U13" i="200"/>
  <c r="U24" i="200"/>
  <c r="U51" i="200"/>
  <c r="U19" i="200"/>
  <c r="U26" i="200"/>
  <c r="U21" i="200"/>
  <c r="U14" i="200"/>
  <c r="U16" i="200"/>
  <c r="U28" i="200"/>
  <c r="U34" i="200"/>
  <c r="U23" i="200"/>
  <c r="U18" i="200"/>
  <c r="V1" i="200"/>
  <c r="G172" i="197"/>
  <c r="G174" i="197"/>
  <c r="G173" i="197"/>
  <c r="G54" i="197"/>
  <c r="G66" i="197"/>
  <c r="G65" i="197"/>
  <c r="G61" i="197"/>
  <c r="G55" i="197"/>
  <c r="G62" i="197"/>
  <c r="G57" i="197"/>
  <c r="G56" i="197"/>
  <c r="G63" i="197"/>
  <c r="G53" i="197"/>
  <c r="G60" i="197"/>
  <c r="G58" i="197"/>
  <c r="G59" i="197"/>
  <c r="G52" i="197"/>
  <c r="G64" i="197"/>
  <c r="G4" i="197"/>
  <c r="G8" i="197"/>
  <c r="G12" i="197"/>
  <c r="G7" i="197"/>
  <c r="G9" i="197"/>
  <c r="G14" i="197"/>
  <c r="G15" i="197"/>
  <c r="G19" i="197"/>
  <c r="G23" i="197"/>
  <c r="G27" i="197"/>
  <c r="G6" i="197"/>
  <c r="G16" i="197"/>
  <c r="G21" i="197"/>
  <c r="G10" i="197"/>
  <c r="G13" i="197"/>
  <c r="G20" i="197"/>
  <c r="G25" i="197"/>
  <c r="G29" i="197"/>
  <c r="G22" i="197"/>
  <c r="G28" i="197"/>
  <c r="G26" i="197"/>
  <c r="G32" i="197"/>
  <c r="G5" i="197"/>
  <c r="G11" i="197"/>
  <c r="G17" i="197"/>
  <c r="G18" i="197"/>
  <c r="G24" i="197"/>
  <c r="G36" i="197"/>
  <c r="G40" i="197"/>
  <c r="G44" i="197"/>
  <c r="G48" i="197"/>
  <c r="G37" i="197"/>
  <c r="G42" i="197"/>
  <c r="G47" i="197"/>
  <c r="G33" i="197"/>
  <c r="G39" i="197"/>
  <c r="G34" i="197"/>
  <c r="G45" i="197"/>
  <c r="G51" i="197"/>
  <c r="G30" i="197"/>
  <c r="G31" i="197"/>
  <c r="G35" i="197"/>
  <c r="G43" i="197"/>
  <c r="G46" i="197"/>
  <c r="G50" i="197"/>
  <c r="G38" i="197"/>
  <c r="G41" i="197"/>
  <c r="G49" i="197"/>
  <c r="G67" i="197"/>
  <c r="G71" i="197"/>
  <c r="G75" i="197"/>
  <c r="G79" i="197"/>
  <c r="G83" i="197"/>
  <c r="G87" i="197"/>
  <c r="G70" i="197"/>
  <c r="G74" i="197"/>
  <c r="G78" i="197"/>
  <c r="G82" i="197"/>
  <c r="G86" i="197"/>
  <c r="G90" i="197"/>
  <c r="G94" i="197"/>
  <c r="G98" i="197"/>
  <c r="G102" i="197"/>
  <c r="G69" i="197"/>
  <c r="G73" i="197"/>
  <c r="G77" i="197"/>
  <c r="G81" i="197"/>
  <c r="G85" i="197"/>
  <c r="G89" i="197"/>
  <c r="G68" i="197"/>
  <c r="G72" i="197"/>
  <c r="G76" i="197"/>
  <c r="G80" i="197"/>
  <c r="G84" i="197"/>
  <c r="G91" i="197"/>
  <c r="G93" i="197"/>
  <c r="G99" i="197"/>
  <c r="G106" i="197"/>
  <c r="G110" i="197"/>
  <c r="G92" i="197"/>
  <c r="G97" i="197"/>
  <c r="G103" i="197"/>
  <c r="G96" i="197"/>
  <c r="G101" i="197"/>
  <c r="G104" i="197"/>
  <c r="G88" i="197"/>
  <c r="G95" i="197"/>
  <c r="G100" i="197"/>
  <c r="G107" i="197"/>
  <c r="G111" i="197"/>
  <c r="G115" i="197"/>
  <c r="G119" i="197"/>
  <c r="G123" i="197"/>
  <c r="G127" i="197"/>
  <c r="G131" i="197"/>
  <c r="G109" i="197"/>
  <c r="G112" i="197"/>
  <c r="G117" i="197"/>
  <c r="G122" i="197"/>
  <c r="G128" i="197"/>
  <c r="G133" i="197"/>
  <c r="G138" i="197"/>
  <c r="G142" i="197"/>
  <c r="G146" i="197"/>
  <c r="G150" i="197"/>
  <c r="G154" i="197"/>
  <c r="G108" i="197"/>
  <c r="G116" i="197"/>
  <c r="G121" i="197"/>
  <c r="G126" i="197"/>
  <c r="G132" i="197"/>
  <c r="G137" i="197"/>
  <c r="G141" i="197"/>
  <c r="G145" i="197"/>
  <c r="G105" i="197"/>
  <c r="G114" i="197"/>
  <c r="G120" i="197"/>
  <c r="G125" i="197"/>
  <c r="G130" i="197"/>
  <c r="G136" i="197"/>
  <c r="G140" i="197"/>
  <c r="G144" i="197"/>
  <c r="G148" i="197"/>
  <c r="G113" i="197"/>
  <c r="G118" i="197"/>
  <c r="G124" i="197"/>
  <c r="G129" i="197"/>
  <c r="G134" i="197"/>
  <c r="G135" i="197"/>
  <c r="G139" i="197"/>
  <c r="G143" i="197"/>
  <c r="G147" i="197"/>
  <c r="G151" i="197"/>
  <c r="G155" i="197"/>
  <c r="G159" i="197"/>
  <c r="G163" i="197"/>
  <c r="G167" i="197"/>
  <c r="G171" i="197"/>
  <c r="G3" i="197"/>
  <c r="G169" i="197"/>
  <c r="G149" i="197"/>
  <c r="G157" i="197"/>
  <c r="G162" i="197"/>
  <c r="G168" i="197"/>
  <c r="G156" i="197"/>
  <c r="G161" i="197"/>
  <c r="G166" i="197"/>
  <c r="G153" i="197"/>
  <c r="G160" i="197"/>
  <c r="G165" i="197"/>
  <c r="G170" i="197"/>
  <c r="G152" i="197"/>
  <c r="G158" i="197"/>
  <c r="G164" i="197"/>
  <c r="G175" i="197"/>
  <c r="G177" i="197"/>
  <c r="G176" i="197"/>
  <c r="H1" i="197"/>
  <c r="V82" i="200" l="1"/>
  <c r="V64" i="200"/>
  <c r="V66" i="200"/>
  <c r="V68" i="200"/>
  <c r="V63" i="200"/>
  <c r="V65" i="200"/>
  <c r="V69" i="200"/>
  <c r="V70" i="200"/>
  <c r="V67" i="200"/>
  <c r="V182" i="200"/>
  <c r="V170" i="200"/>
  <c r="V158" i="200"/>
  <c r="V175" i="200"/>
  <c r="V163" i="200"/>
  <c r="V151" i="200"/>
  <c r="V180" i="200"/>
  <c r="V168" i="200"/>
  <c r="V156" i="200"/>
  <c r="V173" i="200"/>
  <c r="V161" i="200"/>
  <c r="V178" i="200"/>
  <c r="V166" i="200"/>
  <c r="V154" i="200"/>
  <c r="V171" i="200"/>
  <c r="V159" i="200"/>
  <c r="V176" i="200"/>
  <c r="V164" i="200"/>
  <c r="V181" i="200"/>
  <c r="V169" i="200"/>
  <c r="V157" i="200"/>
  <c r="V174" i="200"/>
  <c r="V162" i="200"/>
  <c r="V150" i="200"/>
  <c r="V179" i="200"/>
  <c r="V167" i="200"/>
  <c r="V155" i="200"/>
  <c r="V172" i="200"/>
  <c r="V160" i="200"/>
  <c r="V177" i="200"/>
  <c r="V165" i="200"/>
  <c r="V153" i="200"/>
  <c r="V152" i="200"/>
  <c r="V141" i="200"/>
  <c r="V129" i="200"/>
  <c r="V146" i="200"/>
  <c r="V134" i="200"/>
  <c r="V122" i="200"/>
  <c r="V139" i="200"/>
  <c r="V127" i="200"/>
  <c r="V144" i="200"/>
  <c r="V132" i="200"/>
  <c r="V120" i="200"/>
  <c r="V149" i="200"/>
  <c r="V137" i="200"/>
  <c r="V125" i="200"/>
  <c r="V142" i="200"/>
  <c r="V130" i="200"/>
  <c r="V118" i="200"/>
  <c r="V147" i="200"/>
  <c r="V135" i="200"/>
  <c r="V123" i="200"/>
  <c r="V140" i="200"/>
  <c r="V128" i="200"/>
  <c r="V145" i="200"/>
  <c r="V133" i="200"/>
  <c r="V121" i="200"/>
  <c r="V138" i="200"/>
  <c r="V126" i="200"/>
  <c r="V143" i="200"/>
  <c r="V131" i="200"/>
  <c r="V112" i="200"/>
  <c r="V100" i="200"/>
  <c r="V88" i="200"/>
  <c r="V136" i="200"/>
  <c r="V117" i="200"/>
  <c r="V105" i="200"/>
  <c r="V93" i="200"/>
  <c r="V110" i="200"/>
  <c r="V98" i="200"/>
  <c r="V115" i="200"/>
  <c r="V103" i="200"/>
  <c r="V91" i="200"/>
  <c r="V119" i="200"/>
  <c r="V108" i="200"/>
  <c r="V96" i="200"/>
  <c r="V113" i="200"/>
  <c r="V101" i="200"/>
  <c r="V89" i="200"/>
  <c r="V148" i="200"/>
  <c r="V106" i="200"/>
  <c r="V94" i="200"/>
  <c r="V111" i="200"/>
  <c r="V99" i="200"/>
  <c r="V124" i="200"/>
  <c r="V116" i="200"/>
  <c r="V104" i="200"/>
  <c r="V92" i="200"/>
  <c r="V109" i="200"/>
  <c r="V97" i="200"/>
  <c r="V114" i="200"/>
  <c r="V102" i="200"/>
  <c r="V90" i="200"/>
  <c r="V80" i="200"/>
  <c r="V86" i="200"/>
  <c r="V73" i="200"/>
  <c r="V57" i="200"/>
  <c r="V78" i="200"/>
  <c r="V62" i="200"/>
  <c r="V84" i="200"/>
  <c r="V71" i="200"/>
  <c r="V55" i="200"/>
  <c r="V76" i="200"/>
  <c r="V60" i="200"/>
  <c r="V81" i="200"/>
  <c r="V53" i="200"/>
  <c r="V95" i="200"/>
  <c r="V87" i="200"/>
  <c r="V74" i="200"/>
  <c r="V58" i="200"/>
  <c r="V79" i="200"/>
  <c r="V85" i="200"/>
  <c r="V72" i="200"/>
  <c r="V56" i="200"/>
  <c r="V77" i="200"/>
  <c r="V61" i="200"/>
  <c r="V83" i="200"/>
  <c r="V54" i="200"/>
  <c r="V107" i="200"/>
  <c r="V75" i="200"/>
  <c r="V49" i="200"/>
  <c r="V37" i="200"/>
  <c r="V34" i="200"/>
  <c r="V42" i="200"/>
  <c r="V10" i="200"/>
  <c r="V47" i="200"/>
  <c r="V35" i="200"/>
  <c r="V5" i="200"/>
  <c r="V52" i="200"/>
  <c r="V40" i="200"/>
  <c r="V31" i="200"/>
  <c r="V45" i="200"/>
  <c r="V7" i="200"/>
  <c r="V59" i="200"/>
  <c r="V50" i="200"/>
  <c r="V38" i="200"/>
  <c r="V33" i="200"/>
  <c r="V43" i="200"/>
  <c r="V9" i="200"/>
  <c r="V48" i="200"/>
  <c r="V36" i="200"/>
  <c r="V4" i="200"/>
  <c r="V41" i="200"/>
  <c r="V11" i="200"/>
  <c r="V46" i="200"/>
  <c r="V6" i="200"/>
  <c r="V51" i="200"/>
  <c r="V39" i="200"/>
  <c r="V32" i="200"/>
  <c r="V44" i="200"/>
  <c r="V18" i="200"/>
  <c r="V30" i="200"/>
  <c r="V25" i="200"/>
  <c r="V20" i="200"/>
  <c r="V15" i="200"/>
  <c r="V27" i="200"/>
  <c r="V12" i="200"/>
  <c r="V22" i="200"/>
  <c r="V17" i="200"/>
  <c r="V29" i="200"/>
  <c r="V13" i="200"/>
  <c r="V24" i="200"/>
  <c r="V3" i="200"/>
  <c r="V19" i="200"/>
  <c r="V28" i="200"/>
  <c r="V26" i="200"/>
  <c r="V21" i="200"/>
  <c r="V14" i="200"/>
  <c r="V16" i="200"/>
  <c r="V8" i="200"/>
  <c r="V23" i="200"/>
  <c r="W1" i="200"/>
  <c r="H172" i="197"/>
  <c r="H174" i="197"/>
  <c r="H173" i="197"/>
  <c r="H59" i="197"/>
  <c r="H65" i="197"/>
  <c r="H62" i="197"/>
  <c r="H54" i="197"/>
  <c r="H66" i="197"/>
  <c r="H60" i="197"/>
  <c r="H55" i="197"/>
  <c r="H61" i="197"/>
  <c r="H56" i="197"/>
  <c r="H63" i="197"/>
  <c r="H58" i="197"/>
  <c r="H53" i="197"/>
  <c r="H64" i="197"/>
  <c r="H57" i="197"/>
  <c r="H52" i="197"/>
  <c r="H5" i="197"/>
  <c r="H9" i="197"/>
  <c r="H13" i="197"/>
  <c r="H4" i="197"/>
  <c r="H10" i="197"/>
  <c r="H16" i="197"/>
  <c r="H20" i="197"/>
  <c r="H24" i="197"/>
  <c r="H28" i="197"/>
  <c r="H7" i="197"/>
  <c r="H12" i="197"/>
  <c r="H17" i="197"/>
  <c r="H22" i="197"/>
  <c r="H15" i="197"/>
  <c r="H21" i="197"/>
  <c r="H11" i="197"/>
  <c r="H26" i="197"/>
  <c r="H6" i="197"/>
  <c r="H25" i="197"/>
  <c r="H29" i="197"/>
  <c r="H30" i="197"/>
  <c r="H23" i="197"/>
  <c r="H8" i="197"/>
  <c r="H14" i="197"/>
  <c r="H33" i="197"/>
  <c r="H37" i="197"/>
  <c r="H41" i="197"/>
  <c r="H45" i="197"/>
  <c r="H38" i="197"/>
  <c r="H43" i="197"/>
  <c r="H48" i="197"/>
  <c r="H49" i="197"/>
  <c r="H27" i="197"/>
  <c r="H36" i="197"/>
  <c r="H44" i="197"/>
  <c r="H47" i="197"/>
  <c r="H18" i="197"/>
  <c r="H39" i="197"/>
  <c r="H42" i="197"/>
  <c r="H34" i="197"/>
  <c r="H40" i="197"/>
  <c r="H51" i="197"/>
  <c r="H19" i="197"/>
  <c r="H31" i="197"/>
  <c r="H32" i="197"/>
  <c r="H35" i="197"/>
  <c r="H46" i="197"/>
  <c r="H50" i="197"/>
  <c r="H68" i="197"/>
  <c r="H72" i="197"/>
  <c r="H76" i="197"/>
  <c r="H80" i="197"/>
  <c r="H84" i="197"/>
  <c r="H88" i="197"/>
  <c r="H67" i="197"/>
  <c r="H71" i="197"/>
  <c r="H75" i="197"/>
  <c r="H79" i="197"/>
  <c r="H83" i="197"/>
  <c r="H87" i="197"/>
  <c r="H91" i="197"/>
  <c r="H95" i="197"/>
  <c r="H99" i="197"/>
  <c r="H103" i="197"/>
  <c r="H70" i="197"/>
  <c r="H74" i="197"/>
  <c r="H78" i="197"/>
  <c r="H82" i="197"/>
  <c r="H86" i="197"/>
  <c r="H90" i="197"/>
  <c r="H69" i="197"/>
  <c r="H73" i="197"/>
  <c r="H77" i="197"/>
  <c r="H85" i="197"/>
  <c r="H94" i="197"/>
  <c r="H100" i="197"/>
  <c r="H107" i="197"/>
  <c r="H111" i="197"/>
  <c r="H81" i="197"/>
  <c r="H89" i="197"/>
  <c r="H93" i="197"/>
  <c r="H98" i="197"/>
  <c r="H92" i="197"/>
  <c r="H97" i="197"/>
  <c r="H102" i="197"/>
  <c r="H96" i="197"/>
  <c r="H101" i="197"/>
  <c r="H104" i="197"/>
  <c r="H108" i="197"/>
  <c r="H112" i="197"/>
  <c r="H116" i="197"/>
  <c r="H120" i="197"/>
  <c r="H124" i="197"/>
  <c r="H128" i="197"/>
  <c r="H132" i="197"/>
  <c r="H110" i="197"/>
  <c r="H113" i="197"/>
  <c r="H118" i="197"/>
  <c r="H123" i="197"/>
  <c r="H129" i="197"/>
  <c r="H134" i="197"/>
  <c r="H135" i="197"/>
  <c r="H139" i="197"/>
  <c r="H143" i="197"/>
  <c r="H147" i="197"/>
  <c r="H151" i="197"/>
  <c r="H155" i="197"/>
  <c r="H109" i="197"/>
  <c r="H117" i="197"/>
  <c r="H122" i="197"/>
  <c r="H127" i="197"/>
  <c r="H133" i="197"/>
  <c r="H138" i="197"/>
  <c r="H142" i="197"/>
  <c r="H146" i="197"/>
  <c r="H106" i="197"/>
  <c r="H115" i="197"/>
  <c r="H121" i="197"/>
  <c r="H126" i="197"/>
  <c r="H131" i="197"/>
  <c r="H137" i="197"/>
  <c r="H141" i="197"/>
  <c r="H145" i="197"/>
  <c r="H105" i="197"/>
  <c r="H114" i="197"/>
  <c r="H119" i="197"/>
  <c r="H125" i="197"/>
  <c r="H130" i="197"/>
  <c r="H136" i="197"/>
  <c r="H140" i="197"/>
  <c r="H144" i="197"/>
  <c r="H148" i="197"/>
  <c r="H152" i="197"/>
  <c r="H156" i="197"/>
  <c r="H160" i="197"/>
  <c r="H164" i="197"/>
  <c r="H168" i="197"/>
  <c r="H153" i="197"/>
  <c r="H159" i="197"/>
  <c r="H3" i="197"/>
  <c r="H150" i="197"/>
  <c r="H158" i="197"/>
  <c r="H163" i="197"/>
  <c r="H149" i="197"/>
  <c r="H157" i="197"/>
  <c r="H162" i="197"/>
  <c r="H167" i="197"/>
  <c r="H154" i="197"/>
  <c r="H161" i="197"/>
  <c r="H166" i="197"/>
  <c r="H171" i="197"/>
  <c r="H165" i="197"/>
  <c r="H170" i="197"/>
  <c r="H169" i="197"/>
  <c r="H176" i="197"/>
  <c r="H175" i="197"/>
  <c r="H177" i="197"/>
  <c r="I1" i="197"/>
  <c r="W82" i="200" l="1"/>
  <c r="W69" i="200"/>
  <c r="W66" i="200"/>
  <c r="W64" i="200"/>
  <c r="W68" i="200"/>
  <c r="W63" i="200"/>
  <c r="W70" i="200"/>
  <c r="W65" i="200"/>
  <c r="W67" i="200"/>
  <c r="W175" i="200"/>
  <c r="W163" i="200"/>
  <c r="W151" i="200"/>
  <c r="W180" i="200"/>
  <c r="W168" i="200"/>
  <c r="W156" i="200"/>
  <c r="W173" i="200"/>
  <c r="W161" i="200"/>
  <c r="W178" i="200"/>
  <c r="W166" i="200"/>
  <c r="W154" i="200"/>
  <c r="W171" i="200"/>
  <c r="W159" i="200"/>
  <c r="W176" i="200"/>
  <c r="W164" i="200"/>
  <c r="W152" i="200"/>
  <c r="W181" i="200"/>
  <c r="W169" i="200"/>
  <c r="W174" i="200"/>
  <c r="W162" i="200"/>
  <c r="W150" i="200"/>
  <c r="W179" i="200"/>
  <c r="W167" i="200"/>
  <c r="W155" i="200"/>
  <c r="W172" i="200"/>
  <c r="W160" i="200"/>
  <c r="W177" i="200"/>
  <c r="W165" i="200"/>
  <c r="W153" i="200"/>
  <c r="W182" i="200"/>
  <c r="W170" i="200"/>
  <c r="W158" i="200"/>
  <c r="W146" i="200"/>
  <c r="W134" i="200"/>
  <c r="W122" i="200"/>
  <c r="W139" i="200"/>
  <c r="W127" i="200"/>
  <c r="W144" i="200"/>
  <c r="W132" i="200"/>
  <c r="W120" i="200"/>
  <c r="W149" i="200"/>
  <c r="W137" i="200"/>
  <c r="W125" i="200"/>
  <c r="W142" i="200"/>
  <c r="W130" i="200"/>
  <c r="W118" i="200"/>
  <c r="W147" i="200"/>
  <c r="W135" i="200"/>
  <c r="W123" i="200"/>
  <c r="W140" i="200"/>
  <c r="W128" i="200"/>
  <c r="W145" i="200"/>
  <c r="W133" i="200"/>
  <c r="W121" i="200"/>
  <c r="W138" i="200"/>
  <c r="W126" i="200"/>
  <c r="W143" i="200"/>
  <c r="W131" i="200"/>
  <c r="W119" i="200"/>
  <c r="W148" i="200"/>
  <c r="W136" i="200"/>
  <c r="W124" i="200"/>
  <c r="W157" i="200"/>
  <c r="W141" i="200"/>
  <c r="W117" i="200"/>
  <c r="W105" i="200"/>
  <c r="W93" i="200"/>
  <c r="W110" i="200"/>
  <c r="W98" i="200"/>
  <c r="W115" i="200"/>
  <c r="W103" i="200"/>
  <c r="W91" i="200"/>
  <c r="W108" i="200"/>
  <c r="W96" i="200"/>
  <c r="W113" i="200"/>
  <c r="W101" i="200"/>
  <c r="W89" i="200"/>
  <c r="W106" i="200"/>
  <c r="W94" i="200"/>
  <c r="W111" i="200"/>
  <c r="W99" i="200"/>
  <c r="W129" i="200"/>
  <c r="W116" i="200"/>
  <c r="W104" i="200"/>
  <c r="W92" i="200"/>
  <c r="W109" i="200"/>
  <c r="W97" i="200"/>
  <c r="W114" i="200"/>
  <c r="W102" i="200"/>
  <c r="W90" i="200"/>
  <c r="W107" i="200"/>
  <c r="W95" i="200"/>
  <c r="W88" i="200"/>
  <c r="W86" i="200"/>
  <c r="W73" i="200"/>
  <c r="W57" i="200"/>
  <c r="W78" i="200"/>
  <c r="W62" i="200"/>
  <c r="W84" i="200"/>
  <c r="W71" i="200"/>
  <c r="W55" i="200"/>
  <c r="W76" i="200"/>
  <c r="W60" i="200"/>
  <c r="W81" i="200"/>
  <c r="W100" i="200"/>
  <c r="W87" i="200"/>
  <c r="W74" i="200"/>
  <c r="W58" i="200"/>
  <c r="W79" i="200"/>
  <c r="W85" i="200"/>
  <c r="W72" i="200"/>
  <c r="W56" i="200"/>
  <c r="W77" i="200"/>
  <c r="W61" i="200"/>
  <c r="W83" i="200"/>
  <c r="W54" i="200"/>
  <c r="W112" i="200"/>
  <c r="W75" i="200"/>
  <c r="W59" i="200"/>
  <c r="W80" i="200"/>
  <c r="W42" i="200"/>
  <c r="W8" i="200"/>
  <c r="W47" i="200"/>
  <c r="W35" i="200"/>
  <c r="W34" i="200"/>
  <c r="W52" i="200"/>
  <c r="W40" i="200"/>
  <c r="W10" i="200"/>
  <c r="W45" i="200"/>
  <c r="W5" i="200"/>
  <c r="W50" i="200"/>
  <c r="W38" i="200"/>
  <c r="W31" i="200"/>
  <c r="W43" i="200"/>
  <c r="W7" i="200"/>
  <c r="W48" i="200"/>
  <c r="W36" i="200"/>
  <c r="W33" i="200"/>
  <c r="W41" i="200"/>
  <c r="W9" i="200"/>
  <c r="W46" i="200"/>
  <c r="W4" i="200"/>
  <c r="W53" i="200"/>
  <c r="W51" i="200"/>
  <c r="W39" i="200"/>
  <c r="W11" i="200"/>
  <c r="W44" i="200"/>
  <c r="W6" i="200"/>
  <c r="W23" i="200"/>
  <c r="W18" i="200"/>
  <c r="W30" i="200"/>
  <c r="W25" i="200"/>
  <c r="W20" i="200"/>
  <c r="W15" i="200"/>
  <c r="W27" i="200"/>
  <c r="W32" i="200"/>
  <c r="W12" i="200"/>
  <c r="W22" i="200"/>
  <c r="W37" i="200"/>
  <c r="W17" i="200"/>
  <c r="W29" i="200"/>
  <c r="W13" i="200"/>
  <c r="W24" i="200"/>
  <c r="W3" i="200"/>
  <c r="W19" i="200"/>
  <c r="W26" i="200"/>
  <c r="W21" i="200"/>
  <c r="W49" i="200"/>
  <c r="W14" i="200"/>
  <c r="W16" i="200"/>
  <c r="W28" i="200"/>
  <c r="X1" i="200"/>
  <c r="I173" i="197"/>
  <c r="I172" i="197"/>
  <c r="I174" i="197"/>
  <c r="I52" i="197"/>
  <c r="I64" i="197"/>
  <c r="I63" i="197"/>
  <c r="I59" i="197"/>
  <c r="I54" i="197"/>
  <c r="I66" i="197"/>
  <c r="I53" i="197"/>
  <c r="I61" i="197"/>
  <c r="I58" i="197"/>
  <c r="I56" i="197"/>
  <c r="I65" i="197"/>
  <c r="I60" i="197"/>
  <c r="I55" i="197"/>
  <c r="I57" i="197"/>
  <c r="I62" i="197"/>
  <c r="I6" i="197"/>
  <c r="I10" i="197"/>
  <c r="I14" i="197"/>
  <c r="I4" i="197"/>
  <c r="I5" i="197"/>
  <c r="I11" i="197"/>
  <c r="I17" i="197"/>
  <c r="I21" i="197"/>
  <c r="I25" i="197"/>
  <c r="I9" i="197"/>
  <c r="I18" i="197"/>
  <c r="I12" i="197"/>
  <c r="I16" i="197"/>
  <c r="I7" i="197"/>
  <c r="I22" i="197"/>
  <c r="I27" i="197"/>
  <c r="I19" i="197"/>
  <c r="I20" i="197"/>
  <c r="I31" i="197"/>
  <c r="I15" i="197"/>
  <c r="I28" i="197"/>
  <c r="I29" i="197"/>
  <c r="I30" i="197"/>
  <c r="I8" i="197"/>
  <c r="I23" i="197"/>
  <c r="I34" i="197"/>
  <c r="I38" i="197"/>
  <c r="I42" i="197"/>
  <c r="I46" i="197"/>
  <c r="I13" i="197"/>
  <c r="I33" i="197"/>
  <c r="I39" i="197"/>
  <c r="I44" i="197"/>
  <c r="I50" i="197"/>
  <c r="I32" i="197"/>
  <c r="I35" i="197"/>
  <c r="I41" i="197"/>
  <c r="I49" i="197"/>
  <c r="I24" i="197"/>
  <c r="I36" i="197"/>
  <c r="I47" i="197"/>
  <c r="I37" i="197"/>
  <c r="I45" i="197"/>
  <c r="I48" i="197"/>
  <c r="I26" i="197"/>
  <c r="I40" i="197"/>
  <c r="I43" i="197"/>
  <c r="I69" i="197"/>
  <c r="I73" i="197"/>
  <c r="I77" i="197"/>
  <c r="I81" i="197"/>
  <c r="I85" i="197"/>
  <c r="I51" i="197"/>
  <c r="I68" i="197"/>
  <c r="I72" i="197"/>
  <c r="I76" i="197"/>
  <c r="I80" i="197"/>
  <c r="I84" i="197"/>
  <c r="I88" i="197"/>
  <c r="I92" i="197"/>
  <c r="I96" i="197"/>
  <c r="I100" i="197"/>
  <c r="I67" i="197"/>
  <c r="I71" i="197"/>
  <c r="I75" i="197"/>
  <c r="I79" i="197"/>
  <c r="I83" i="197"/>
  <c r="I87" i="197"/>
  <c r="I91" i="197"/>
  <c r="I70" i="197"/>
  <c r="I74" i="197"/>
  <c r="I78" i="197"/>
  <c r="I86" i="197"/>
  <c r="I95" i="197"/>
  <c r="I101" i="197"/>
  <c r="I104" i="197"/>
  <c r="I108" i="197"/>
  <c r="I82" i="197"/>
  <c r="I90" i="197"/>
  <c r="I94" i="197"/>
  <c r="I99" i="197"/>
  <c r="I89" i="197"/>
  <c r="I93" i="197"/>
  <c r="I98" i="197"/>
  <c r="I103" i="197"/>
  <c r="I97" i="197"/>
  <c r="I102" i="197"/>
  <c r="I105" i="197"/>
  <c r="I109" i="197"/>
  <c r="I113" i="197"/>
  <c r="I117" i="197"/>
  <c r="I121" i="197"/>
  <c r="I125" i="197"/>
  <c r="I129" i="197"/>
  <c r="I133" i="197"/>
  <c r="I111" i="197"/>
  <c r="I114" i="197"/>
  <c r="I119" i="197"/>
  <c r="I124" i="197"/>
  <c r="I130" i="197"/>
  <c r="I136" i="197"/>
  <c r="I140" i="197"/>
  <c r="I144" i="197"/>
  <c r="I148" i="197"/>
  <c r="I152" i="197"/>
  <c r="I156" i="197"/>
  <c r="I110" i="197"/>
  <c r="I112" i="197"/>
  <c r="I118" i="197"/>
  <c r="I123" i="197"/>
  <c r="I128" i="197"/>
  <c r="I134" i="197"/>
  <c r="I135" i="197"/>
  <c r="I139" i="197"/>
  <c r="I143" i="197"/>
  <c r="I147" i="197"/>
  <c r="I107" i="197"/>
  <c r="I116" i="197"/>
  <c r="I122" i="197"/>
  <c r="I127" i="197"/>
  <c r="I132" i="197"/>
  <c r="I138" i="197"/>
  <c r="I142" i="197"/>
  <c r="I146" i="197"/>
  <c r="I106" i="197"/>
  <c r="I115" i="197"/>
  <c r="I120" i="197"/>
  <c r="I126" i="197"/>
  <c r="I131" i="197"/>
  <c r="I137" i="197"/>
  <c r="I141" i="197"/>
  <c r="I145" i="197"/>
  <c r="I149" i="197"/>
  <c r="I153" i="197"/>
  <c r="I157" i="197"/>
  <c r="I161" i="197"/>
  <c r="I165" i="197"/>
  <c r="I169" i="197"/>
  <c r="I154" i="197"/>
  <c r="I160" i="197"/>
  <c r="I170" i="197"/>
  <c r="I151" i="197"/>
  <c r="I159" i="197"/>
  <c r="I164" i="197"/>
  <c r="I150" i="197"/>
  <c r="I158" i="197"/>
  <c r="I163" i="197"/>
  <c r="I168" i="197"/>
  <c r="I3" i="197"/>
  <c r="I155" i="197"/>
  <c r="I162" i="197"/>
  <c r="I167" i="197"/>
  <c r="I166" i="197"/>
  <c r="I171" i="197"/>
  <c r="I177" i="197"/>
  <c r="I175" i="197"/>
  <c r="I176" i="197"/>
  <c r="J1" i="197"/>
  <c r="X82" i="200" l="1"/>
  <c r="X67" i="200"/>
  <c r="X64" i="200"/>
  <c r="X66" i="200"/>
  <c r="X68" i="200"/>
  <c r="X63" i="200"/>
  <c r="X70" i="200"/>
  <c r="X65" i="200"/>
  <c r="X69" i="200"/>
  <c r="X180" i="200"/>
  <c r="X168" i="200"/>
  <c r="X156" i="200"/>
  <c r="X173" i="200"/>
  <c r="X161" i="200"/>
  <c r="X178" i="200"/>
  <c r="X166" i="200"/>
  <c r="X154" i="200"/>
  <c r="X171" i="200"/>
  <c r="X159" i="200"/>
  <c r="X176" i="200"/>
  <c r="X164" i="200"/>
  <c r="X152" i="200"/>
  <c r="X181" i="200"/>
  <c r="X169" i="200"/>
  <c r="X157" i="200"/>
  <c r="X174" i="200"/>
  <c r="X162" i="200"/>
  <c r="X179" i="200"/>
  <c r="X167" i="200"/>
  <c r="X155" i="200"/>
  <c r="X172" i="200"/>
  <c r="X160" i="200"/>
  <c r="X177" i="200"/>
  <c r="X165" i="200"/>
  <c r="X153" i="200"/>
  <c r="X182" i="200"/>
  <c r="X170" i="200"/>
  <c r="X158" i="200"/>
  <c r="X175" i="200"/>
  <c r="X163" i="200"/>
  <c r="X151" i="200"/>
  <c r="X139" i="200"/>
  <c r="X127" i="200"/>
  <c r="X144" i="200"/>
  <c r="X132" i="200"/>
  <c r="X120" i="200"/>
  <c r="X149" i="200"/>
  <c r="X137" i="200"/>
  <c r="X125" i="200"/>
  <c r="X142" i="200"/>
  <c r="X130" i="200"/>
  <c r="X118" i="200"/>
  <c r="X147" i="200"/>
  <c r="X135" i="200"/>
  <c r="X123" i="200"/>
  <c r="X150" i="200"/>
  <c r="X140" i="200"/>
  <c r="X128" i="200"/>
  <c r="X145" i="200"/>
  <c r="X133" i="200"/>
  <c r="X121" i="200"/>
  <c r="X138" i="200"/>
  <c r="X126" i="200"/>
  <c r="X143" i="200"/>
  <c r="X131" i="200"/>
  <c r="X119" i="200"/>
  <c r="X148" i="200"/>
  <c r="X136" i="200"/>
  <c r="X124" i="200"/>
  <c r="X141" i="200"/>
  <c r="X129" i="200"/>
  <c r="X110" i="200"/>
  <c r="X98" i="200"/>
  <c r="X122" i="200"/>
  <c r="X115" i="200"/>
  <c r="X103" i="200"/>
  <c r="X91" i="200"/>
  <c r="X108" i="200"/>
  <c r="X96" i="200"/>
  <c r="X113" i="200"/>
  <c r="X101" i="200"/>
  <c r="X89" i="200"/>
  <c r="X106" i="200"/>
  <c r="X94" i="200"/>
  <c r="X111" i="200"/>
  <c r="X99" i="200"/>
  <c r="X134" i="200"/>
  <c r="X116" i="200"/>
  <c r="X104" i="200"/>
  <c r="X92" i="200"/>
  <c r="X109" i="200"/>
  <c r="X97" i="200"/>
  <c r="X114" i="200"/>
  <c r="X102" i="200"/>
  <c r="X90" i="200"/>
  <c r="X107" i="200"/>
  <c r="X95" i="200"/>
  <c r="X112" i="200"/>
  <c r="X100" i="200"/>
  <c r="X88" i="200"/>
  <c r="X146" i="200"/>
  <c r="X78" i="200"/>
  <c r="X62" i="200"/>
  <c r="X84" i="200"/>
  <c r="X71" i="200"/>
  <c r="X55" i="200"/>
  <c r="X76" i="200"/>
  <c r="X60" i="200"/>
  <c r="X81" i="200"/>
  <c r="X53" i="200"/>
  <c r="X105" i="200"/>
  <c r="X87" i="200"/>
  <c r="X74" i="200"/>
  <c r="X58" i="200"/>
  <c r="X79" i="200"/>
  <c r="X85" i="200"/>
  <c r="X72" i="200"/>
  <c r="X56" i="200"/>
  <c r="X77" i="200"/>
  <c r="X61" i="200"/>
  <c r="X83" i="200"/>
  <c r="X54" i="200"/>
  <c r="X117" i="200"/>
  <c r="X75" i="200"/>
  <c r="X59" i="200"/>
  <c r="X80" i="200"/>
  <c r="X93" i="200"/>
  <c r="X86" i="200"/>
  <c r="X73" i="200"/>
  <c r="X47" i="200"/>
  <c r="X35" i="200"/>
  <c r="X32" i="200"/>
  <c r="X13" i="200"/>
  <c r="X52" i="200"/>
  <c r="X40" i="200"/>
  <c r="X8" i="200"/>
  <c r="X45" i="200"/>
  <c r="X34" i="200"/>
  <c r="X50" i="200"/>
  <c r="X38" i="200"/>
  <c r="X10" i="200"/>
  <c r="X43" i="200"/>
  <c r="X5" i="200"/>
  <c r="X48" i="200"/>
  <c r="X36" i="200"/>
  <c r="X31" i="200"/>
  <c r="X41" i="200"/>
  <c r="X7" i="200"/>
  <c r="X46" i="200"/>
  <c r="X33" i="200"/>
  <c r="X51" i="200"/>
  <c r="X39" i="200"/>
  <c r="X9" i="200"/>
  <c r="X44" i="200"/>
  <c r="X4" i="200"/>
  <c r="X57" i="200"/>
  <c r="X49" i="200"/>
  <c r="X37" i="200"/>
  <c r="X11" i="200"/>
  <c r="X14" i="200"/>
  <c r="X16" i="200"/>
  <c r="X28" i="200"/>
  <c r="X23" i="200"/>
  <c r="X18" i="200"/>
  <c r="X30" i="200"/>
  <c r="X25" i="200"/>
  <c r="X20" i="200"/>
  <c r="X42" i="200"/>
  <c r="X15" i="200"/>
  <c r="X27" i="200"/>
  <c r="X6" i="200"/>
  <c r="X12" i="200"/>
  <c r="X22" i="200"/>
  <c r="X17" i="200"/>
  <c r="X29" i="200"/>
  <c r="X24" i="200"/>
  <c r="X3" i="200"/>
  <c r="X19" i="200"/>
  <c r="X26" i="200"/>
  <c r="X21" i="200"/>
  <c r="Y1" i="200"/>
  <c r="J173" i="197"/>
  <c r="J172" i="197"/>
  <c r="J174" i="197"/>
  <c r="J57" i="197"/>
  <c r="J63" i="197"/>
  <c r="J58" i="197"/>
  <c r="J52" i="197"/>
  <c r="J64" i="197"/>
  <c r="J56" i="197"/>
  <c r="J59" i="197"/>
  <c r="J60" i="197"/>
  <c r="J54" i="197"/>
  <c r="J66" i="197"/>
  <c r="J61" i="197"/>
  <c r="J53" i="197"/>
  <c r="J65" i="197"/>
  <c r="J62" i="197"/>
  <c r="J55" i="197"/>
  <c r="J7" i="197"/>
  <c r="J11" i="197"/>
  <c r="J5" i="197"/>
  <c r="J6" i="197"/>
  <c r="J12" i="197"/>
  <c r="J18" i="197"/>
  <c r="J22" i="197"/>
  <c r="J26" i="197"/>
  <c r="J4" i="197"/>
  <c r="J8" i="197"/>
  <c r="J14" i="197"/>
  <c r="J19" i="197"/>
  <c r="J9" i="197"/>
  <c r="J17" i="197"/>
  <c r="J15" i="197"/>
  <c r="J23" i="197"/>
  <c r="J28" i="197"/>
  <c r="J10" i="197"/>
  <c r="J13" i="197"/>
  <c r="J24" i="197"/>
  <c r="J27" i="197"/>
  <c r="J32" i="197"/>
  <c r="J20" i="197"/>
  <c r="J21" i="197"/>
  <c r="J25" i="197"/>
  <c r="J31" i="197"/>
  <c r="J16" i="197"/>
  <c r="J30" i="197"/>
  <c r="J35" i="197"/>
  <c r="J39" i="197"/>
  <c r="J43" i="197"/>
  <c r="J47" i="197"/>
  <c r="J29" i="197"/>
  <c r="J34" i="197"/>
  <c r="J40" i="197"/>
  <c r="J45" i="197"/>
  <c r="J51" i="197"/>
  <c r="J38" i="197"/>
  <c r="J46" i="197"/>
  <c r="J50" i="197"/>
  <c r="J33" i="197"/>
  <c r="J41" i="197"/>
  <c r="J44" i="197"/>
  <c r="J49" i="197"/>
  <c r="J36" i="197"/>
  <c r="J42" i="197"/>
  <c r="J37" i="197"/>
  <c r="J48" i="197"/>
  <c r="J70" i="197"/>
  <c r="J74" i="197"/>
  <c r="J78" i="197"/>
  <c r="J82" i="197"/>
  <c r="J86" i="197"/>
  <c r="J69" i="197"/>
  <c r="J73" i="197"/>
  <c r="J77" i="197"/>
  <c r="J81" i="197"/>
  <c r="J85" i="197"/>
  <c r="J89" i="197"/>
  <c r="J93" i="197"/>
  <c r="J97" i="197"/>
  <c r="J101" i="197"/>
  <c r="J68" i="197"/>
  <c r="J72" i="197"/>
  <c r="J76" i="197"/>
  <c r="J80" i="197"/>
  <c r="J84" i="197"/>
  <c r="J88" i="197"/>
  <c r="J67" i="197"/>
  <c r="J71" i="197"/>
  <c r="J75" i="197"/>
  <c r="J79" i="197"/>
  <c r="J87" i="197"/>
  <c r="J96" i="197"/>
  <c r="J102" i="197"/>
  <c r="J105" i="197"/>
  <c r="J109" i="197"/>
  <c r="J83" i="197"/>
  <c r="J91" i="197"/>
  <c r="J95" i="197"/>
  <c r="J100" i="197"/>
  <c r="J90" i="197"/>
  <c r="J94" i="197"/>
  <c r="J99" i="197"/>
  <c r="J92" i="197"/>
  <c r="J98" i="197"/>
  <c r="J103" i="197"/>
  <c r="J106" i="197"/>
  <c r="J110" i="197"/>
  <c r="J114" i="197"/>
  <c r="J118" i="197"/>
  <c r="J122" i="197"/>
  <c r="J126" i="197"/>
  <c r="J130" i="197"/>
  <c r="J134" i="197"/>
  <c r="J115" i="197"/>
  <c r="J120" i="197"/>
  <c r="J125" i="197"/>
  <c r="J131" i="197"/>
  <c r="J137" i="197"/>
  <c r="J141" i="197"/>
  <c r="J145" i="197"/>
  <c r="J149" i="197"/>
  <c r="J153" i="197"/>
  <c r="J157" i="197"/>
  <c r="J104" i="197"/>
  <c r="J111" i="197"/>
  <c r="J113" i="197"/>
  <c r="J119" i="197"/>
  <c r="J124" i="197"/>
  <c r="J129" i="197"/>
  <c r="J136" i="197"/>
  <c r="J140" i="197"/>
  <c r="J144" i="197"/>
  <c r="J108" i="197"/>
  <c r="J112" i="197"/>
  <c r="J117" i="197"/>
  <c r="J123" i="197"/>
  <c r="J128" i="197"/>
  <c r="J133" i="197"/>
  <c r="J135" i="197"/>
  <c r="J139" i="197"/>
  <c r="J143" i="197"/>
  <c r="J147" i="197"/>
  <c r="J107" i="197"/>
  <c r="J116" i="197"/>
  <c r="J121" i="197"/>
  <c r="J127" i="197"/>
  <c r="J132" i="197"/>
  <c r="J138" i="197"/>
  <c r="J142" i="197"/>
  <c r="J146" i="197"/>
  <c r="J150" i="197"/>
  <c r="J154" i="197"/>
  <c r="J158" i="197"/>
  <c r="J162" i="197"/>
  <c r="J166" i="197"/>
  <c r="J170" i="197"/>
  <c r="J161" i="197"/>
  <c r="J165" i="197"/>
  <c r="J171" i="197"/>
  <c r="J148" i="197"/>
  <c r="J152" i="197"/>
  <c r="J160" i="197"/>
  <c r="J151" i="197"/>
  <c r="J159" i="197"/>
  <c r="J164" i="197"/>
  <c r="J169" i="197"/>
  <c r="J3" i="197"/>
  <c r="J156" i="197"/>
  <c r="J163" i="197"/>
  <c r="J168" i="197"/>
  <c r="J155" i="197"/>
  <c r="J167" i="197"/>
  <c r="J176" i="197"/>
  <c r="J175" i="197"/>
  <c r="J177" i="197"/>
  <c r="K1" i="197"/>
  <c r="Y82" i="200" l="1"/>
  <c r="Y69" i="200"/>
  <c r="Y64" i="200"/>
  <c r="Y66" i="200"/>
  <c r="Y65" i="200"/>
  <c r="Y67" i="200"/>
  <c r="Y68" i="200"/>
  <c r="Y70" i="200"/>
  <c r="Y63" i="200"/>
  <c r="Y173" i="200"/>
  <c r="Y161" i="200"/>
  <c r="Y178" i="200"/>
  <c r="Y166" i="200"/>
  <c r="Y154" i="200"/>
  <c r="Y171" i="200"/>
  <c r="Y159" i="200"/>
  <c r="Y176" i="200"/>
  <c r="Y164" i="200"/>
  <c r="Y152" i="200"/>
  <c r="Y181" i="200"/>
  <c r="Y169" i="200"/>
  <c r="Y157" i="200"/>
  <c r="Y174" i="200"/>
  <c r="Y162" i="200"/>
  <c r="Y150" i="200"/>
  <c r="Y179" i="200"/>
  <c r="Y167" i="200"/>
  <c r="Y172" i="200"/>
  <c r="Y160" i="200"/>
  <c r="Y177" i="200"/>
  <c r="Y165" i="200"/>
  <c r="Y153" i="200"/>
  <c r="Y182" i="200"/>
  <c r="Y170" i="200"/>
  <c r="Y158" i="200"/>
  <c r="Y175" i="200"/>
  <c r="Y163" i="200"/>
  <c r="Y151" i="200"/>
  <c r="Y180" i="200"/>
  <c r="Y168" i="200"/>
  <c r="Y156" i="200"/>
  <c r="Y144" i="200"/>
  <c r="Y132" i="200"/>
  <c r="Y120" i="200"/>
  <c r="Y149" i="200"/>
  <c r="Y137" i="200"/>
  <c r="Y125" i="200"/>
  <c r="Y142" i="200"/>
  <c r="Y130" i="200"/>
  <c r="Y118" i="200"/>
  <c r="Y147" i="200"/>
  <c r="Y135" i="200"/>
  <c r="Y123" i="200"/>
  <c r="Y155" i="200"/>
  <c r="Y140" i="200"/>
  <c r="Y128" i="200"/>
  <c r="Y145" i="200"/>
  <c r="Y133" i="200"/>
  <c r="Y121" i="200"/>
  <c r="Y138" i="200"/>
  <c r="Y126" i="200"/>
  <c r="Y143" i="200"/>
  <c r="Y131" i="200"/>
  <c r="Y119" i="200"/>
  <c r="Y148" i="200"/>
  <c r="Y136" i="200"/>
  <c r="Y124" i="200"/>
  <c r="Y141" i="200"/>
  <c r="Y129" i="200"/>
  <c r="Y146" i="200"/>
  <c r="Y134" i="200"/>
  <c r="Y122" i="200"/>
  <c r="Y127" i="200"/>
  <c r="Y115" i="200"/>
  <c r="Y103" i="200"/>
  <c r="Y91" i="200"/>
  <c r="Y108" i="200"/>
  <c r="Y96" i="200"/>
  <c r="Y113" i="200"/>
  <c r="Y101" i="200"/>
  <c r="Y89" i="200"/>
  <c r="Y106" i="200"/>
  <c r="Y94" i="200"/>
  <c r="Y111" i="200"/>
  <c r="Y99" i="200"/>
  <c r="Y139" i="200"/>
  <c r="Y116" i="200"/>
  <c r="Y104" i="200"/>
  <c r="Y92" i="200"/>
  <c r="Y109" i="200"/>
  <c r="Y97" i="200"/>
  <c r="Y114" i="200"/>
  <c r="Y102" i="200"/>
  <c r="Y90" i="200"/>
  <c r="Y107" i="200"/>
  <c r="Y95" i="200"/>
  <c r="Y112" i="200"/>
  <c r="Y100" i="200"/>
  <c r="Y88" i="200"/>
  <c r="Y117" i="200"/>
  <c r="Y105" i="200"/>
  <c r="Y93" i="200"/>
  <c r="Y84" i="200"/>
  <c r="Y71" i="200"/>
  <c r="Y55" i="200"/>
  <c r="Y76" i="200"/>
  <c r="Y60" i="200"/>
  <c r="Y81" i="200"/>
  <c r="Y53" i="200"/>
  <c r="Y110" i="200"/>
  <c r="Y87" i="200"/>
  <c r="Y74" i="200"/>
  <c r="Y58" i="200"/>
  <c r="Y79" i="200"/>
  <c r="Y85" i="200"/>
  <c r="Y72" i="200"/>
  <c r="Y56" i="200"/>
  <c r="Y77" i="200"/>
  <c r="Y61" i="200"/>
  <c r="Y83" i="200"/>
  <c r="Y54" i="200"/>
  <c r="Y75" i="200"/>
  <c r="Y59" i="200"/>
  <c r="Y80" i="200"/>
  <c r="Y98" i="200"/>
  <c r="Y86" i="200"/>
  <c r="Y73" i="200"/>
  <c r="Y57" i="200"/>
  <c r="Y78" i="200"/>
  <c r="Y62" i="200"/>
  <c r="Y52" i="200"/>
  <c r="Y40" i="200"/>
  <c r="Y6" i="200"/>
  <c r="Y45" i="200"/>
  <c r="Y32" i="200"/>
  <c r="Y50" i="200"/>
  <c r="Y38" i="200"/>
  <c r="Y8" i="200"/>
  <c r="Y43" i="200"/>
  <c r="Y34" i="200"/>
  <c r="Y48" i="200"/>
  <c r="Y36" i="200"/>
  <c r="Y10" i="200"/>
  <c r="Y41" i="200"/>
  <c r="Y5" i="200"/>
  <c r="Y46" i="200"/>
  <c r="Y31" i="200"/>
  <c r="Y51" i="200"/>
  <c r="Y39" i="200"/>
  <c r="Y7" i="200"/>
  <c r="Y44" i="200"/>
  <c r="Y33" i="200"/>
  <c r="Y49" i="200"/>
  <c r="Y37" i="200"/>
  <c r="Y9" i="200"/>
  <c r="Y42" i="200"/>
  <c r="Y4" i="200"/>
  <c r="Y21" i="200"/>
  <c r="Y14" i="200"/>
  <c r="Y16" i="200"/>
  <c r="Y28" i="200"/>
  <c r="Y23" i="200"/>
  <c r="Y18" i="200"/>
  <c r="Y30" i="200"/>
  <c r="Y47" i="200"/>
  <c r="Y25" i="200"/>
  <c r="Y20" i="200"/>
  <c r="Y15" i="200"/>
  <c r="Y27" i="200"/>
  <c r="Y11" i="200"/>
  <c r="Y12" i="200"/>
  <c r="Y22" i="200"/>
  <c r="Y13" i="200"/>
  <c r="Y17" i="200"/>
  <c r="Y29" i="200"/>
  <c r="Y24" i="200"/>
  <c r="Y3" i="200"/>
  <c r="Y19" i="200"/>
  <c r="Y35" i="200"/>
  <c r="Y26" i="200"/>
  <c r="Z1" i="200"/>
  <c r="K173" i="197"/>
  <c r="K172" i="197"/>
  <c r="K174" i="197"/>
  <c r="K62" i="197"/>
  <c r="K61" i="197"/>
  <c r="K65" i="197"/>
  <c r="K57" i="197"/>
  <c r="K52" i="197"/>
  <c r="K64" i="197"/>
  <c r="K63" i="197"/>
  <c r="K53" i="197"/>
  <c r="K59" i="197"/>
  <c r="K56" i="197"/>
  <c r="K58" i="197"/>
  <c r="K54" i="197"/>
  <c r="K66" i="197"/>
  <c r="K55" i="197"/>
  <c r="K60" i="197"/>
  <c r="K4" i="197"/>
  <c r="K8" i="197"/>
  <c r="K12" i="197"/>
  <c r="K6" i="197"/>
  <c r="K7" i="197"/>
  <c r="K13" i="197"/>
  <c r="K15" i="197"/>
  <c r="K19" i="197"/>
  <c r="K23" i="197"/>
  <c r="K27" i="197"/>
  <c r="K5" i="197"/>
  <c r="K11" i="197"/>
  <c r="K20" i="197"/>
  <c r="K14" i="197"/>
  <c r="K18" i="197"/>
  <c r="K10" i="197"/>
  <c r="K16" i="197"/>
  <c r="K24" i="197"/>
  <c r="K29" i="197"/>
  <c r="K22" i="197"/>
  <c r="K9" i="197"/>
  <c r="K28" i="197"/>
  <c r="K31" i="197"/>
  <c r="K32" i="197"/>
  <c r="K36" i="197"/>
  <c r="K40" i="197"/>
  <c r="K44" i="197"/>
  <c r="K48" i="197"/>
  <c r="K17" i="197"/>
  <c r="K26" i="197"/>
  <c r="K35" i="197"/>
  <c r="K41" i="197"/>
  <c r="K46" i="197"/>
  <c r="K21" i="197"/>
  <c r="K37" i="197"/>
  <c r="K43" i="197"/>
  <c r="K51" i="197"/>
  <c r="K38" i="197"/>
  <c r="K50" i="197"/>
  <c r="K25" i="197"/>
  <c r="K33" i="197"/>
  <c r="K39" i="197"/>
  <c r="K47" i="197"/>
  <c r="K49" i="197"/>
  <c r="K30" i="197"/>
  <c r="K34" i="197"/>
  <c r="K42" i="197"/>
  <c r="K45" i="197"/>
  <c r="K67" i="197"/>
  <c r="K71" i="197"/>
  <c r="K75" i="197"/>
  <c r="K79" i="197"/>
  <c r="K83" i="197"/>
  <c r="K87" i="197"/>
  <c r="K70" i="197"/>
  <c r="K74" i="197"/>
  <c r="K78" i="197"/>
  <c r="K82" i="197"/>
  <c r="K86" i="197"/>
  <c r="K90" i="197"/>
  <c r="K94" i="197"/>
  <c r="K98" i="197"/>
  <c r="K102" i="197"/>
  <c r="K69" i="197"/>
  <c r="K73" i="197"/>
  <c r="K77" i="197"/>
  <c r="K81" i="197"/>
  <c r="K85" i="197"/>
  <c r="K89" i="197"/>
  <c r="K68" i="197"/>
  <c r="K72" i="197"/>
  <c r="K76" i="197"/>
  <c r="K80" i="197"/>
  <c r="K88" i="197"/>
  <c r="K92" i="197"/>
  <c r="K97" i="197"/>
  <c r="K103" i="197"/>
  <c r="K106" i="197"/>
  <c r="K110" i="197"/>
  <c r="K84" i="197"/>
  <c r="K96" i="197"/>
  <c r="K101" i="197"/>
  <c r="K91" i="197"/>
  <c r="K95" i="197"/>
  <c r="K100" i="197"/>
  <c r="K104" i="197"/>
  <c r="K93" i="197"/>
  <c r="K99" i="197"/>
  <c r="K107" i="197"/>
  <c r="K111" i="197"/>
  <c r="K115" i="197"/>
  <c r="K119" i="197"/>
  <c r="K123" i="197"/>
  <c r="K127" i="197"/>
  <c r="K131" i="197"/>
  <c r="K105" i="197"/>
  <c r="K116" i="197"/>
  <c r="K121" i="197"/>
  <c r="K126" i="197"/>
  <c r="K132" i="197"/>
  <c r="K138" i="197"/>
  <c r="K142" i="197"/>
  <c r="K146" i="197"/>
  <c r="K150" i="197"/>
  <c r="K154" i="197"/>
  <c r="K114" i="197"/>
  <c r="K120" i="197"/>
  <c r="K125" i="197"/>
  <c r="K130" i="197"/>
  <c r="K137" i="197"/>
  <c r="K141" i="197"/>
  <c r="K145" i="197"/>
  <c r="K109" i="197"/>
  <c r="K113" i="197"/>
  <c r="K118" i="197"/>
  <c r="K124" i="197"/>
  <c r="K129" i="197"/>
  <c r="K134" i="197"/>
  <c r="K136" i="197"/>
  <c r="K140" i="197"/>
  <c r="K144" i="197"/>
  <c r="K148" i="197"/>
  <c r="K108" i="197"/>
  <c r="K112" i="197"/>
  <c r="K117" i="197"/>
  <c r="K122" i="197"/>
  <c r="K128" i="197"/>
  <c r="K133" i="197"/>
  <c r="K135" i="197"/>
  <c r="K139" i="197"/>
  <c r="K143" i="197"/>
  <c r="K147" i="197"/>
  <c r="K151" i="197"/>
  <c r="K155" i="197"/>
  <c r="K159" i="197"/>
  <c r="K163" i="197"/>
  <c r="K167" i="197"/>
  <c r="K171" i="197"/>
  <c r="K3" i="197"/>
  <c r="K168" i="197"/>
  <c r="K153" i="197"/>
  <c r="K161" i="197"/>
  <c r="K152" i="197"/>
  <c r="K160" i="197"/>
  <c r="K165" i="197"/>
  <c r="K170" i="197"/>
  <c r="K149" i="197"/>
  <c r="K157" i="197"/>
  <c r="K158" i="197"/>
  <c r="K164" i="197"/>
  <c r="K169" i="197"/>
  <c r="K156" i="197"/>
  <c r="K162" i="197"/>
  <c r="K166" i="197"/>
  <c r="K175" i="197"/>
  <c r="K177" i="197"/>
  <c r="K176" i="197"/>
  <c r="L1" i="197"/>
  <c r="Z82" i="200" l="1"/>
  <c r="Z65" i="200"/>
  <c r="Z69" i="200"/>
  <c r="Z64" i="200"/>
  <c r="Z70" i="200"/>
  <c r="Z66" i="200"/>
  <c r="Z68" i="200"/>
  <c r="Z63" i="200"/>
  <c r="Z67" i="200"/>
  <c r="Z178" i="200"/>
  <c r="Z166" i="200"/>
  <c r="Z154" i="200"/>
  <c r="Z171" i="200"/>
  <c r="Z159" i="200"/>
  <c r="Z176" i="200"/>
  <c r="Z164" i="200"/>
  <c r="Z152" i="200"/>
  <c r="Z181" i="200"/>
  <c r="Z169" i="200"/>
  <c r="Z157" i="200"/>
  <c r="Z174" i="200"/>
  <c r="Z162" i="200"/>
  <c r="Z150" i="200"/>
  <c r="Z179" i="200"/>
  <c r="Z167" i="200"/>
  <c r="Z155" i="200"/>
  <c r="Z172" i="200"/>
  <c r="Z177" i="200"/>
  <c r="Z165" i="200"/>
  <c r="Z153" i="200"/>
  <c r="Z182" i="200"/>
  <c r="Z170" i="200"/>
  <c r="Z158" i="200"/>
  <c r="Z175" i="200"/>
  <c r="Z163" i="200"/>
  <c r="Z151" i="200"/>
  <c r="Z180" i="200"/>
  <c r="Z168" i="200"/>
  <c r="Z156" i="200"/>
  <c r="Z173" i="200"/>
  <c r="Z161" i="200"/>
  <c r="Z149" i="200"/>
  <c r="Z137" i="200"/>
  <c r="Z125" i="200"/>
  <c r="Z142" i="200"/>
  <c r="Z130" i="200"/>
  <c r="Z118" i="200"/>
  <c r="Z147" i="200"/>
  <c r="Z135" i="200"/>
  <c r="Z123" i="200"/>
  <c r="Z160" i="200"/>
  <c r="Z140" i="200"/>
  <c r="Z128" i="200"/>
  <c r="Z145" i="200"/>
  <c r="Z133" i="200"/>
  <c r="Z121" i="200"/>
  <c r="Z138" i="200"/>
  <c r="Z126" i="200"/>
  <c r="Z143" i="200"/>
  <c r="Z131" i="200"/>
  <c r="Z119" i="200"/>
  <c r="Z148" i="200"/>
  <c r="Z136" i="200"/>
  <c r="Z124" i="200"/>
  <c r="Z141" i="200"/>
  <c r="Z129" i="200"/>
  <c r="Z146" i="200"/>
  <c r="Z134" i="200"/>
  <c r="Z122" i="200"/>
  <c r="Z139" i="200"/>
  <c r="Z127" i="200"/>
  <c r="Z108" i="200"/>
  <c r="Z96" i="200"/>
  <c r="Z113" i="200"/>
  <c r="Z101" i="200"/>
  <c r="Z89" i="200"/>
  <c r="Z106" i="200"/>
  <c r="Z94" i="200"/>
  <c r="Z111" i="200"/>
  <c r="Z99" i="200"/>
  <c r="Z144" i="200"/>
  <c r="Z116" i="200"/>
  <c r="Z104" i="200"/>
  <c r="Z92" i="200"/>
  <c r="Z109" i="200"/>
  <c r="Z97" i="200"/>
  <c r="Z114" i="200"/>
  <c r="Z102" i="200"/>
  <c r="Z90" i="200"/>
  <c r="Z107" i="200"/>
  <c r="Z95" i="200"/>
  <c r="Z112" i="200"/>
  <c r="Z100" i="200"/>
  <c r="Z88" i="200"/>
  <c r="Z117" i="200"/>
  <c r="Z105" i="200"/>
  <c r="Z93" i="200"/>
  <c r="Z110" i="200"/>
  <c r="Z98" i="200"/>
  <c r="Z76" i="200"/>
  <c r="Z60" i="200"/>
  <c r="Z81" i="200"/>
  <c r="Z53" i="200"/>
  <c r="Z115" i="200"/>
  <c r="Z87" i="200"/>
  <c r="Z74" i="200"/>
  <c r="Z58" i="200"/>
  <c r="Z132" i="200"/>
  <c r="Z79" i="200"/>
  <c r="Z91" i="200"/>
  <c r="Z85" i="200"/>
  <c r="Z72" i="200"/>
  <c r="Z56" i="200"/>
  <c r="Z77" i="200"/>
  <c r="Z61" i="200"/>
  <c r="Z120" i="200"/>
  <c r="Z83" i="200"/>
  <c r="Z54" i="200"/>
  <c r="Z75" i="200"/>
  <c r="Z59" i="200"/>
  <c r="Z80" i="200"/>
  <c r="Z103" i="200"/>
  <c r="Z86" i="200"/>
  <c r="Z73" i="200"/>
  <c r="Z57" i="200"/>
  <c r="Z78" i="200"/>
  <c r="Z62" i="200"/>
  <c r="Z84" i="200"/>
  <c r="Z71" i="200"/>
  <c r="Z45" i="200"/>
  <c r="Z11" i="200"/>
  <c r="Z50" i="200"/>
  <c r="Z38" i="200"/>
  <c r="Z6" i="200"/>
  <c r="Z43" i="200"/>
  <c r="Z32" i="200"/>
  <c r="Z55" i="200"/>
  <c r="Z48" i="200"/>
  <c r="Z36" i="200"/>
  <c r="Z8" i="200"/>
  <c r="Z41" i="200"/>
  <c r="Z34" i="200"/>
  <c r="Z46" i="200"/>
  <c r="Z10" i="200"/>
  <c r="Z51" i="200"/>
  <c r="Z39" i="200"/>
  <c r="Z5" i="200"/>
  <c r="Z44" i="200"/>
  <c r="Z31" i="200"/>
  <c r="Z12" i="200"/>
  <c r="Z49" i="200"/>
  <c r="Z37" i="200"/>
  <c r="Z7" i="200"/>
  <c r="Z42" i="200"/>
  <c r="Z33" i="200"/>
  <c r="Z47" i="200"/>
  <c r="Z35" i="200"/>
  <c r="Z9" i="200"/>
  <c r="Z26" i="200"/>
  <c r="Z3" i="200"/>
  <c r="Z4" i="200"/>
  <c r="Z21" i="200"/>
  <c r="Z14" i="200"/>
  <c r="Z16" i="200"/>
  <c r="Z28" i="200"/>
  <c r="Z52" i="200"/>
  <c r="Z23" i="200"/>
  <c r="Z18" i="200"/>
  <c r="Z30" i="200"/>
  <c r="Z25" i="200"/>
  <c r="Z20" i="200"/>
  <c r="Z15" i="200"/>
  <c r="Z27" i="200"/>
  <c r="Z22" i="200"/>
  <c r="Z13" i="200"/>
  <c r="Z17" i="200"/>
  <c r="Z29" i="200"/>
  <c r="Z40" i="200"/>
  <c r="Z24" i="200"/>
  <c r="Z19" i="200"/>
  <c r="AA1" i="200"/>
  <c r="L174" i="197"/>
  <c r="L173" i="197"/>
  <c r="L172" i="197"/>
  <c r="L55" i="197"/>
  <c r="L56" i="197"/>
  <c r="L63" i="197"/>
  <c r="L58" i="197"/>
  <c r="L62" i="197"/>
  <c r="L61" i="197"/>
  <c r="L57" i="197"/>
  <c r="L54" i="197"/>
  <c r="L52" i="197"/>
  <c r="L64" i="197"/>
  <c r="L59" i="197"/>
  <c r="L66" i="197"/>
  <c r="L60" i="197"/>
  <c r="L65" i="197"/>
  <c r="L53" i="197"/>
  <c r="L5" i="197"/>
  <c r="L9" i="197"/>
  <c r="L13" i="197"/>
  <c r="L7" i="197"/>
  <c r="L8" i="197"/>
  <c r="L14" i="197"/>
  <c r="L16" i="197"/>
  <c r="L20" i="197"/>
  <c r="L24" i="197"/>
  <c r="L28" i="197"/>
  <c r="L6" i="197"/>
  <c r="L10" i="197"/>
  <c r="L15" i="197"/>
  <c r="L21" i="197"/>
  <c r="L4" i="197"/>
  <c r="L11" i="197"/>
  <c r="L19" i="197"/>
  <c r="L17" i="197"/>
  <c r="L25" i="197"/>
  <c r="L18" i="197"/>
  <c r="L26" i="197"/>
  <c r="L30" i="197"/>
  <c r="L12" i="197"/>
  <c r="L27" i="197"/>
  <c r="L22" i="197"/>
  <c r="L33" i="197"/>
  <c r="L37" i="197"/>
  <c r="L41" i="197"/>
  <c r="L45" i="197"/>
  <c r="L23" i="197"/>
  <c r="L36" i="197"/>
  <c r="L42" i="197"/>
  <c r="L47" i="197"/>
  <c r="L49" i="197"/>
  <c r="L31" i="197"/>
  <c r="L34" i="197"/>
  <c r="L40" i="197"/>
  <c r="L48" i="197"/>
  <c r="L32" i="197"/>
  <c r="L35" i="197"/>
  <c r="L43" i="197"/>
  <c r="L46" i="197"/>
  <c r="L51" i="197"/>
  <c r="L38" i="197"/>
  <c r="L44" i="197"/>
  <c r="L50" i="197"/>
  <c r="L29" i="197"/>
  <c r="L39" i="197"/>
  <c r="L68" i="197"/>
  <c r="L72" i="197"/>
  <c r="L76" i="197"/>
  <c r="L80" i="197"/>
  <c r="L84" i="197"/>
  <c r="L88" i="197"/>
  <c r="L67" i="197"/>
  <c r="L71" i="197"/>
  <c r="L75" i="197"/>
  <c r="L79" i="197"/>
  <c r="L83" i="197"/>
  <c r="L87" i="197"/>
  <c r="L91" i="197"/>
  <c r="L95" i="197"/>
  <c r="L99" i="197"/>
  <c r="L103" i="197"/>
  <c r="L70" i="197"/>
  <c r="L74" i="197"/>
  <c r="L78" i="197"/>
  <c r="L82" i="197"/>
  <c r="L86" i="197"/>
  <c r="L90" i="197"/>
  <c r="L69" i="197"/>
  <c r="L73" i="197"/>
  <c r="L77" i="197"/>
  <c r="L93" i="197"/>
  <c r="L98" i="197"/>
  <c r="L107" i="197"/>
  <c r="L111" i="197"/>
  <c r="L85" i="197"/>
  <c r="L92" i="197"/>
  <c r="L97" i="197"/>
  <c r="L102" i="197"/>
  <c r="L81" i="197"/>
  <c r="L96" i="197"/>
  <c r="L101" i="197"/>
  <c r="L89" i="197"/>
  <c r="L94" i="197"/>
  <c r="L100" i="197"/>
  <c r="L104" i="197"/>
  <c r="L108" i="197"/>
  <c r="L112" i="197"/>
  <c r="L116" i="197"/>
  <c r="L120" i="197"/>
  <c r="L124" i="197"/>
  <c r="L128" i="197"/>
  <c r="L132" i="197"/>
  <c r="L106" i="197"/>
  <c r="L117" i="197"/>
  <c r="L122" i="197"/>
  <c r="L127" i="197"/>
  <c r="L133" i="197"/>
  <c r="L135" i="197"/>
  <c r="L139" i="197"/>
  <c r="L143" i="197"/>
  <c r="L147" i="197"/>
  <c r="L151" i="197"/>
  <c r="L155" i="197"/>
  <c r="L105" i="197"/>
  <c r="L115" i="197"/>
  <c r="L121" i="197"/>
  <c r="L126" i="197"/>
  <c r="L131" i="197"/>
  <c r="L138" i="197"/>
  <c r="L142" i="197"/>
  <c r="L146" i="197"/>
  <c r="L110" i="197"/>
  <c r="L114" i="197"/>
  <c r="L119" i="197"/>
  <c r="L125" i="197"/>
  <c r="L130" i="197"/>
  <c r="L137" i="197"/>
  <c r="L141" i="197"/>
  <c r="L145" i="197"/>
  <c r="L109" i="197"/>
  <c r="L113" i="197"/>
  <c r="L118" i="197"/>
  <c r="L123" i="197"/>
  <c r="L129" i="197"/>
  <c r="L134" i="197"/>
  <c r="L136" i="197"/>
  <c r="L140" i="197"/>
  <c r="L144" i="197"/>
  <c r="L148" i="197"/>
  <c r="L152" i="197"/>
  <c r="L156" i="197"/>
  <c r="L160" i="197"/>
  <c r="L164" i="197"/>
  <c r="L168" i="197"/>
  <c r="L154" i="197"/>
  <c r="L162" i="197"/>
  <c r="L153" i="197"/>
  <c r="L161" i="197"/>
  <c r="L166" i="197"/>
  <c r="L171" i="197"/>
  <c r="L150" i="197"/>
  <c r="L159" i="197"/>
  <c r="L165" i="197"/>
  <c r="L170" i="197"/>
  <c r="L3" i="197"/>
  <c r="L149" i="197"/>
  <c r="L157" i="197"/>
  <c r="L158" i="197"/>
  <c r="L163" i="197"/>
  <c r="L169" i="197"/>
  <c r="L167" i="197"/>
  <c r="L176" i="197"/>
  <c r="L177" i="197"/>
  <c r="L175" i="197"/>
  <c r="M1" i="197"/>
  <c r="AA82" i="200" l="1"/>
  <c r="AA65" i="200"/>
  <c r="AA67" i="200"/>
  <c r="AA69" i="200"/>
  <c r="AA64" i="200"/>
  <c r="AA66" i="200"/>
  <c r="AA70" i="200"/>
  <c r="AA68" i="200"/>
  <c r="AA63" i="200"/>
  <c r="AA171" i="200"/>
  <c r="AA159" i="200"/>
  <c r="AA176" i="200"/>
  <c r="AA164" i="200"/>
  <c r="AA152" i="200"/>
  <c r="AA181" i="200"/>
  <c r="AA169" i="200"/>
  <c r="AA157" i="200"/>
  <c r="AA174" i="200"/>
  <c r="AA162" i="200"/>
  <c r="AA150" i="200"/>
  <c r="AA179" i="200"/>
  <c r="AA167" i="200"/>
  <c r="AA155" i="200"/>
  <c r="AA172" i="200"/>
  <c r="AA160" i="200"/>
  <c r="AA177" i="200"/>
  <c r="AA165" i="200"/>
  <c r="AA182" i="200"/>
  <c r="AA170" i="200"/>
  <c r="AA158" i="200"/>
  <c r="AA175" i="200"/>
  <c r="AA163" i="200"/>
  <c r="AA151" i="200"/>
  <c r="AA180" i="200"/>
  <c r="AA168" i="200"/>
  <c r="AA156" i="200"/>
  <c r="AA173" i="200"/>
  <c r="AA161" i="200"/>
  <c r="AA178" i="200"/>
  <c r="AA166" i="200"/>
  <c r="AA154" i="200"/>
  <c r="AA142" i="200"/>
  <c r="AA130" i="200"/>
  <c r="AA118" i="200"/>
  <c r="AA147" i="200"/>
  <c r="AA135" i="200"/>
  <c r="AA123" i="200"/>
  <c r="AA140" i="200"/>
  <c r="AA128" i="200"/>
  <c r="AA145" i="200"/>
  <c r="AA133" i="200"/>
  <c r="AA121" i="200"/>
  <c r="AA138" i="200"/>
  <c r="AA126" i="200"/>
  <c r="AA143" i="200"/>
  <c r="AA131" i="200"/>
  <c r="AA119" i="200"/>
  <c r="AA148" i="200"/>
  <c r="AA136" i="200"/>
  <c r="AA124" i="200"/>
  <c r="AA141" i="200"/>
  <c r="AA129" i="200"/>
  <c r="AA146" i="200"/>
  <c r="AA134" i="200"/>
  <c r="AA122" i="200"/>
  <c r="AA153" i="200"/>
  <c r="AA139" i="200"/>
  <c r="AA127" i="200"/>
  <c r="AA144" i="200"/>
  <c r="AA132" i="200"/>
  <c r="AA113" i="200"/>
  <c r="AA101" i="200"/>
  <c r="AA89" i="200"/>
  <c r="AA106" i="200"/>
  <c r="AA94" i="200"/>
  <c r="AA111" i="200"/>
  <c r="AA99" i="200"/>
  <c r="AA149" i="200"/>
  <c r="AA116" i="200"/>
  <c r="AA104" i="200"/>
  <c r="AA92" i="200"/>
  <c r="AA109" i="200"/>
  <c r="AA97" i="200"/>
  <c r="AA125" i="200"/>
  <c r="AA114" i="200"/>
  <c r="AA102" i="200"/>
  <c r="AA90" i="200"/>
  <c r="AA107" i="200"/>
  <c r="AA95" i="200"/>
  <c r="AA112" i="200"/>
  <c r="AA100" i="200"/>
  <c r="AA88" i="200"/>
  <c r="AA117" i="200"/>
  <c r="AA105" i="200"/>
  <c r="AA93" i="200"/>
  <c r="AA110" i="200"/>
  <c r="AA98" i="200"/>
  <c r="AA137" i="200"/>
  <c r="AA120" i="200"/>
  <c r="AA115" i="200"/>
  <c r="AA103" i="200"/>
  <c r="AA91" i="200"/>
  <c r="AA81" i="200"/>
  <c r="AA53" i="200"/>
  <c r="AA87" i="200"/>
  <c r="AA74" i="200"/>
  <c r="AA58" i="200"/>
  <c r="AA79" i="200"/>
  <c r="AA96" i="200"/>
  <c r="AA85" i="200"/>
  <c r="AA72" i="200"/>
  <c r="AA56" i="200"/>
  <c r="AA77" i="200"/>
  <c r="AA61" i="200"/>
  <c r="AA83" i="200"/>
  <c r="AA54" i="200"/>
  <c r="AA75" i="200"/>
  <c r="AA59" i="200"/>
  <c r="AA80" i="200"/>
  <c r="AA108" i="200"/>
  <c r="AA86" i="200"/>
  <c r="AA73" i="200"/>
  <c r="AA57" i="200"/>
  <c r="AA78" i="200"/>
  <c r="AA62" i="200"/>
  <c r="AA84" i="200"/>
  <c r="AA71" i="200"/>
  <c r="AA55" i="200"/>
  <c r="AA76" i="200"/>
  <c r="AA50" i="200"/>
  <c r="AA38" i="200"/>
  <c r="AA4" i="200"/>
  <c r="AA43" i="200"/>
  <c r="AA11" i="200"/>
  <c r="AA60" i="200"/>
  <c r="AA48" i="200"/>
  <c r="AA36" i="200"/>
  <c r="AA6" i="200"/>
  <c r="AA41" i="200"/>
  <c r="AA32" i="200"/>
  <c r="AA46" i="200"/>
  <c r="AA8" i="200"/>
  <c r="AA51" i="200"/>
  <c r="AA39" i="200"/>
  <c r="AA34" i="200"/>
  <c r="AA44" i="200"/>
  <c r="AA10" i="200"/>
  <c r="AA49" i="200"/>
  <c r="AA37" i="200"/>
  <c r="AA5" i="200"/>
  <c r="AA42" i="200"/>
  <c r="AA31" i="200"/>
  <c r="AA47" i="200"/>
  <c r="AA35" i="200"/>
  <c r="AA7" i="200"/>
  <c r="AA52" i="200"/>
  <c r="AA40" i="200"/>
  <c r="AA33" i="200"/>
  <c r="AA19" i="200"/>
  <c r="AA26" i="200"/>
  <c r="AA9" i="200"/>
  <c r="AA21" i="200"/>
  <c r="AA14" i="200"/>
  <c r="AA16" i="200"/>
  <c r="AA28" i="200"/>
  <c r="AA23" i="200"/>
  <c r="AA18" i="200"/>
  <c r="AA30" i="200"/>
  <c r="AA25" i="200"/>
  <c r="AA20" i="200"/>
  <c r="AA12" i="200"/>
  <c r="AA15" i="200"/>
  <c r="AA27" i="200"/>
  <c r="AA45" i="200"/>
  <c r="AA22" i="200"/>
  <c r="AA13" i="200"/>
  <c r="AA17" i="200"/>
  <c r="AA29" i="200"/>
  <c r="AA3" i="200"/>
  <c r="AA24" i="200"/>
  <c r="AB1" i="200"/>
  <c r="M173" i="197"/>
  <c r="M174" i="197"/>
  <c r="M172" i="197"/>
  <c r="M60" i="197"/>
  <c r="M55" i="197"/>
  <c r="M63" i="197"/>
  <c r="M62" i="197"/>
  <c r="M54" i="197"/>
  <c r="M66" i="197"/>
  <c r="M56" i="197"/>
  <c r="M57" i="197"/>
  <c r="M59" i="197"/>
  <c r="M52" i="197"/>
  <c r="M64" i="197"/>
  <c r="M61" i="197"/>
  <c r="M65" i="197"/>
  <c r="M53" i="197"/>
  <c r="M58" i="197"/>
  <c r="M6" i="197"/>
  <c r="M10" i="197"/>
  <c r="M14" i="197"/>
  <c r="M4" i="197"/>
  <c r="M9" i="197"/>
  <c r="M17" i="197"/>
  <c r="M21" i="197"/>
  <c r="M25" i="197"/>
  <c r="M7" i="197"/>
  <c r="M13" i="197"/>
  <c r="M16" i="197"/>
  <c r="M5" i="197"/>
  <c r="M8" i="197"/>
  <c r="M15" i="197"/>
  <c r="M20" i="197"/>
  <c r="M18" i="197"/>
  <c r="M26" i="197"/>
  <c r="M23" i="197"/>
  <c r="M29" i="197"/>
  <c r="M31" i="197"/>
  <c r="M19" i="197"/>
  <c r="M24" i="197"/>
  <c r="M30" i="197"/>
  <c r="M12" i="197"/>
  <c r="M27" i="197"/>
  <c r="M34" i="197"/>
  <c r="M38" i="197"/>
  <c r="M42" i="197"/>
  <c r="M46" i="197"/>
  <c r="M32" i="197"/>
  <c r="M37" i="197"/>
  <c r="M43" i="197"/>
  <c r="M48" i="197"/>
  <c r="M50" i="197"/>
  <c r="M22" i="197"/>
  <c r="M39" i="197"/>
  <c r="M45" i="197"/>
  <c r="M28" i="197"/>
  <c r="M40" i="197"/>
  <c r="M35" i="197"/>
  <c r="M41" i="197"/>
  <c r="M51" i="197"/>
  <c r="M11" i="197"/>
  <c r="M33" i="197"/>
  <c r="M36" i="197"/>
  <c r="M44" i="197"/>
  <c r="M47" i="197"/>
  <c r="M49" i="197"/>
  <c r="M69" i="197"/>
  <c r="M73" i="197"/>
  <c r="M77" i="197"/>
  <c r="M81" i="197"/>
  <c r="M85" i="197"/>
  <c r="M68" i="197"/>
  <c r="M72" i="197"/>
  <c r="M76" i="197"/>
  <c r="M80" i="197"/>
  <c r="M84" i="197"/>
  <c r="M88" i="197"/>
  <c r="M92" i="197"/>
  <c r="M96" i="197"/>
  <c r="M100" i="197"/>
  <c r="M67" i="197"/>
  <c r="M71" i="197"/>
  <c r="M75" i="197"/>
  <c r="M79" i="197"/>
  <c r="M83" i="197"/>
  <c r="M87" i="197"/>
  <c r="M91" i="197"/>
  <c r="M70" i="197"/>
  <c r="M74" i="197"/>
  <c r="M78" i="197"/>
  <c r="M89" i="197"/>
  <c r="M94" i="197"/>
  <c r="M99" i="197"/>
  <c r="M104" i="197"/>
  <c r="M108" i="197"/>
  <c r="M86" i="197"/>
  <c r="M93" i="197"/>
  <c r="M98" i="197"/>
  <c r="M103" i="197"/>
  <c r="M82" i="197"/>
  <c r="M97" i="197"/>
  <c r="M102" i="197"/>
  <c r="M90" i="197"/>
  <c r="M95" i="197"/>
  <c r="M101" i="197"/>
  <c r="M105" i="197"/>
  <c r="M109" i="197"/>
  <c r="M113" i="197"/>
  <c r="M117" i="197"/>
  <c r="M121" i="197"/>
  <c r="M125" i="197"/>
  <c r="M129" i="197"/>
  <c r="M133" i="197"/>
  <c r="M107" i="197"/>
  <c r="M112" i="197"/>
  <c r="M118" i="197"/>
  <c r="M123" i="197"/>
  <c r="M128" i="197"/>
  <c r="M134" i="197"/>
  <c r="M136" i="197"/>
  <c r="M140" i="197"/>
  <c r="M144" i="197"/>
  <c r="M148" i="197"/>
  <c r="M152" i="197"/>
  <c r="M156" i="197"/>
  <c r="M106" i="197"/>
  <c r="M116" i="197"/>
  <c r="M122" i="197"/>
  <c r="M127" i="197"/>
  <c r="M132" i="197"/>
  <c r="M135" i="197"/>
  <c r="M139" i="197"/>
  <c r="M143" i="197"/>
  <c r="M147" i="197"/>
  <c r="M111" i="197"/>
  <c r="M115" i="197"/>
  <c r="M120" i="197"/>
  <c r="M126" i="197"/>
  <c r="M131" i="197"/>
  <c r="M138" i="197"/>
  <c r="M142" i="197"/>
  <c r="M146" i="197"/>
  <c r="M110" i="197"/>
  <c r="M114" i="197"/>
  <c r="M119" i="197"/>
  <c r="M124" i="197"/>
  <c r="M130" i="197"/>
  <c r="M137" i="197"/>
  <c r="M141" i="197"/>
  <c r="M145" i="197"/>
  <c r="M149" i="197"/>
  <c r="M153" i="197"/>
  <c r="M157" i="197"/>
  <c r="M161" i="197"/>
  <c r="M165" i="197"/>
  <c r="M169" i="197"/>
  <c r="M164" i="197"/>
  <c r="M170" i="197"/>
  <c r="M155" i="197"/>
  <c r="M158" i="197"/>
  <c r="M163" i="197"/>
  <c r="M154" i="197"/>
  <c r="M162" i="197"/>
  <c r="M167" i="197"/>
  <c r="M151" i="197"/>
  <c r="M160" i="197"/>
  <c r="M166" i="197"/>
  <c r="M171" i="197"/>
  <c r="M150" i="197"/>
  <c r="M159" i="197"/>
  <c r="M3" i="197"/>
  <c r="M168" i="197"/>
  <c r="M177" i="197"/>
  <c r="M175" i="197"/>
  <c r="M176" i="197"/>
  <c r="N1" i="197"/>
  <c r="AB82" i="200" l="1"/>
  <c r="AB63" i="200"/>
  <c r="AB67" i="200"/>
  <c r="AB69" i="200"/>
  <c r="AB68" i="200"/>
  <c r="AB65" i="200"/>
  <c r="AB64" i="200"/>
  <c r="AB70" i="200"/>
  <c r="AB66" i="200"/>
  <c r="AB176" i="200"/>
  <c r="AB164" i="200"/>
  <c r="AB152" i="200"/>
  <c r="AB181" i="200"/>
  <c r="AB169" i="200"/>
  <c r="AB157" i="200"/>
  <c r="AB174" i="200"/>
  <c r="AB162" i="200"/>
  <c r="AB150" i="200"/>
  <c r="AB179" i="200"/>
  <c r="AB167" i="200"/>
  <c r="AB155" i="200"/>
  <c r="AB172" i="200"/>
  <c r="AB160" i="200"/>
  <c r="AB177" i="200"/>
  <c r="AB165" i="200"/>
  <c r="AB153" i="200"/>
  <c r="AB182" i="200"/>
  <c r="AB170" i="200"/>
  <c r="AB175" i="200"/>
  <c r="AB163" i="200"/>
  <c r="AB151" i="200"/>
  <c r="AB180" i="200"/>
  <c r="AB168" i="200"/>
  <c r="AB156" i="200"/>
  <c r="AB173" i="200"/>
  <c r="AB161" i="200"/>
  <c r="AB178" i="200"/>
  <c r="AB166" i="200"/>
  <c r="AB154" i="200"/>
  <c r="AB171" i="200"/>
  <c r="AB159" i="200"/>
  <c r="AB147" i="200"/>
  <c r="AB135" i="200"/>
  <c r="AB123" i="200"/>
  <c r="AB140" i="200"/>
  <c r="AB128" i="200"/>
  <c r="AB145" i="200"/>
  <c r="AB133" i="200"/>
  <c r="AB121" i="200"/>
  <c r="AB138" i="200"/>
  <c r="AB126" i="200"/>
  <c r="AB143" i="200"/>
  <c r="AB131" i="200"/>
  <c r="AB119" i="200"/>
  <c r="AB148" i="200"/>
  <c r="AB136" i="200"/>
  <c r="AB124" i="200"/>
  <c r="AB141" i="200"/>
  <c r="AB129" i="200"/>
  <c r="AB146" i="200"/>
  <c r="AB134" i="200"/>
  <c r="AB122" i="200"/>
  <c r="AB158" i="200"/>
  <c r="AB139" i="200"/>
  <c r="AB127" i="200"/>
  <c r="AB144" i="200"/>
  <c r="AB132" i="200"/>
  <c r="AB120" i="200"/>
  <c r="AB149" i="200"/>
  <c r="AB137" i="200"/>
  <c r="AB125" i="200"/>
  <c r="AB106" i="200"/>
  <c r="AB94" i="200"/>
  <c r="AB111" i="200"/>
  <c r="AB99" i="200"/>
  <c r="AB116" i="200"/>
  <c r="AB104" i="200"/>
  <c r="AB92" i="200"/>
  <c r="AB109" i="200"/>
  <c r="AB97" i="200"/>
  <c r="AB130" i="200"/>
  <c r="AB114" i="200"/>
  <c r="AB102" i="200"/>
  <c r="AB90" i="200"/>
  <c r="AB107" i="200"/>
  <c r="AB95" i="200"/>
  <c r="AB112" i="200"/>
  <c r="AB100" i="200"/>
  <c r="AB88" i="200"/>
  <c r="AB117" i="200"/>
  <c r="AB105" i="200"/>
  <c r="AB93" i="200"/>
  <c r="AB110" i="200"/>
  <c r="AB98" i="200"/>
  <c r="AB142" i="200"/>
  <c r="AB118" i="200"/>
  <c r="AB115" i="200"/>
  <c r="AB103" i="200"/>
  <c r="AB91" i="200"/>
  <c r="AB108" i="200"/>
  <c r="AB96" i="200"/>
  <c r="AB87" i="200"/>
  <c r="AB74" i="200"/>
  <c r="AB58" i="200"/>
  <c r="AB79" i="200"/>
  <c r="AB101" i="200"/>
  <c r="AB85" i="200"/>
  <c r="AB72" i="200"/>
  <c r="AB56" i="200"/>
  <c r="AB77" i="200"/>
  <c r="AB61" i="200"/>
  <c r="AB83" i="200"/>
  <c r="AB54" i="200"/>
  <c r="AB75" i="200"/>
  <c r="AB59" i="200"/>
  <c r="AB80" i="200"/>
  <c r="AB113" i="200"/>
  <c r="AB86" i="200"/>
  <c r="AB73" i="200"/>
  <c r="AB57" i="200"/>
  <c r="AB78" i="200"/>
  <c r="AB62" i="200"/>
  <c r="AB89" i="200"/>
  <c r="AB84" i="200"/>
  <c r="AB71" i="200"/>
  <c r="AB55" i="200"/>
  <c r="AB76" i="200"/>
  <c r="AB60" i="200"/>
  <c r="AB81" i="200"/>
  <c r="AB43" i="200"/>
  <c r="AB9" i="200"/>
  <c r="AB48" i="200"/>
  <c r="AB36" i="200"/>
  <c r="AB4" i="200"/>
  <c r="AB41" i="200"/>
  <c r="AB11" i="200"/>
  <c r="AB46" i="200"/>
  <c r="AB6" i="200"/>
  <c r="AB51" i="200"/>
  <c r="AB39" i="200"/>
  <c r="AB32" i="200"/>
  <c r="AB44" i="200"/>
  <c r="AB8" i="200"/>
  <c r="AB49" i="200"/>
  <c r="AB37" i="200"/>
  <c r="AB34" i="200"/>
  <c r="AB42" i="200"/>
  <c r="AB10" i="200"/>
  <c r="AB53" i="200"/>
  <c r="AB47" i="200"/>
  <c r="AB35" i="200"/>
  <c r="AB5" i="200"/>
  <c r="AB52" i="200"/>
  <c r="AB40" i="200"/>
  <c r="AB31" i="200"/>
  <c r="AB45" i="200"/>
  <c r="AB7" i="200"/>
  <c r="AB24" i="200"/>
  <c r="AB3" i="200"/>
  <c r="AB19" i="200"/>
  <c r="AB26" i="200"/>
  <c r="AB38" i="200"/>
  <c r="AB21" i="200"/>
  <c r="AB14" i="200"/>
  <c r="AB16" i="200"/>
  <c r="AB28" i="200"/>
  <c r="AB23" i="200"/>
  <c r="AB18" i="200"/>
  <c r="AB30" i="200"/>
  <c r="AB29" i="200"/>
  <c r="AB25" i="200"/>
  <c r="AB50" i="200"/>
  <c r="AB33" i="200"/>
  <c r="AB20" i="200"/>
  <c r="AB12" i="200"/>
  <c r="AB15" i="200"/>
  <c r="AB27" i="200"/>
  <c r="AB22" i="200"/>
  <c r="AB13" i="200"/>
  <c r="AB17" i="200"/>
  <c r="AC1" i="200"/>
  <c r="N174" i="197"/>
  <c r="N172" i="197"/>
  <c r="N173" i="197"/>
  <c r="N53" i="197"/>
  <c r="N65" i="197"/>
  <c r="N52" i="197"/>
  <c r="N60" i="197"/>
  <c r="N55" i="197"/>
  <c r="N61" i="197"/>
  <c r="N56" i="197"/>
  <c r="N62" i="197"/>
  <c r="N54" i="197"/>
  <c r="N66" i="197"/>
  <c r="N57" i="197"/>
  <c r="N64" i="197"/>
  <c r="N59" i="197"/>
  <c r="N63" i="197"/>
  <c r="N58" i="197"/>
  <c r="N7" i="197"/>
  <c r="N11" i="197"/>
  <c r="N4" i="197"/>
  <c r="N5" i="197"/>
  <c r="N10" i="197"/>
  <c r="N18" i="197"/>
  <c r="N22" i="197"/>
  <c r="N26" i="197"/>
  <c r="N12" i="197"/>
  <c r="N17" i="197"/>
  <c r="N6" i="197"/>
  <c r="N13" i="197"/>
  <c r="N16" i="197"/>
  <c r="N21" i="197"/>
  <c r="N9" i="197"/>
  <c r="N19" i="197"/>
  <c r="N27" i="197"/>
  <c r="N8" i="197"/>
  <c r="N28" i="197"/>
  <c r="N23" i="197"/>
  <c r="N29" i="197"/>
  <c r="N31" i="197"/>
  <c r="N15" i="197"/>
  <c r="N35" i="197"/>
  <c r="N39" i="197"/>
  <c r="N43" i="197"/>
  <c r="N47" i="197"/>
  <c r="N30" i="197"/>
  <c r="N33" i="197"/>
  <c r="N38" i="197"/>
  <c r="N44" i="197"/>
  <c r="N51" i="197"/>
  <c r="N14" i="197"/>
  <c r="N36" i="197"/>
  <c r="N42" i="197"/>
  <c r="N49" i="197"/>
  <c r="N34" i="197"/>
  <c r="N37" i="197"/>
  <c r="N45" i="197"/>
  <c r="N48" i="197"/>
  <c r="N20" i="197"/>
  <c r="N24" i="197"/>
  <c r="N32" i="197"/>
  <c r="N40" i="197"/>
  <c r="N46" i="197"/>
  <c r="N25" i="197"/>
  <c r="N41" i="197"/>
  <c r="N50" i="197"/>
  <c r="N70" i="197"/>
  <c r="N74" i="197"/>
  <c r="N78" i="197"/>
  <c r="N82" i="197"/>
  <c r="N86" i="197"/>
  <c r="N69" i="197"/>
  <c r="N73" i="197"/>
  <c r="N77" i="197"/>
  <c r="N81" i="197"/>
  <c r="N85" i="197"/>
  <c r="N89" i="197"/>
  <c r="N93" i="197"/>
  <c r="N97" i="197"/>
  <c r="N101" i="197"/>
  <c r="N68" i="197"/>
  <c r="N72" i="197"/>
  <c r="N76" i="197"/>
  <c r="N80" i="197"/>
  <c r="N84" i="197"/>
  <c r="N88" i="197"/>
  <c r="N67" i="197"/>
  <c r="N71" i="197"/>
  <c r="N75" i="197"/>
  <c r="N79" i="197"/>
  <c r="N90" i="197"/>
  <c r="N95" i="197"/>
  <c r="N100" i="197"/>
  <c r="N105" i="197"/>
  <c r="N109" i="197"/>
  <c r="N87" i="197"/>
  <c r="N94" i="197"/>
  <c r="N99" i="197"/>
  <c r="N83" i="197"/>
  <c r="N92" i="197"/>
  <c r="N98" i="197"/>
  <c r="N103" i="197"/>
  <c r="N91" i="197"/>
  <c r="N96" i="197"/>
  <c r="N102" i="197"/>
  <c r="N106" i="197"/>
  <c r="N110" i="197"/>
  <c r="N114" i="197"/>
  <c r="N118" i="197"/>
  <c r="N122" i="197"/>
  <c r="N126" i="197"/>
  <c r="N130" i="197"/>
  <c r="N134" i="197"/>
  <c r="N108" i="197"/>
  <c r="N113" i="197"/>
  <c r="N119" i="197"/>
  <c r="N124" i="197"/>
  <c r="N129" i="197"/>
  <c r="N137" i="197"/>
  <c r="N141" i="197"/>
  <c r="N145" i="197"/>
  <c r="N149" i="197"/>
  <c r="N153" i="197"/>
  <c r="N157" i="197"/>
  <c r="N107" i="197"/>
  <c r="N112" i="197"/>
  <c r="N117" i="197"/>
  <c r="N123" i="197"/>
  <c r="N128" i="197"/>
  <c r="N133" i="197"/>
  <c r="N136" i="197"/>
  <c r="N140" i="197"/>
  <c r="N144" i="197"/>
  <c r="N104" i="197"/>
  <c r="N116" i="197"/>
  <c r="N121" i="197"/>
  <c r="N127" i="197"/>
  <c r="N132" i="197"/>
  <c r="N135" i="197"/>
  <c r="N139" i="197"/>
  <c r="N143" i="197"/>
  <c r="N147" i="197"/>
  <c r="N111" i="197"/>
  <c r="N115" i="197"/>
  <c r="N120" i="197"/>
  <c r="N125" i="197"/>
  <c r="N131" i="197"/>
  <c r="N138" i="197"/>
  <c r="N142" i="197"/>
  <c r="N146" i="197"/>
  <c r="N150" i="197"/>
  <c r="N154" i="197"/>
  <c r="N158" i="197"/>
  <c r="N162" i="197"/>
  <c r="N166" i="197"/>
  <c r="N170" i="197"/>
  <c r="N151" i="197"/>
  <c r="N160" i="197"/>
  <c r="N165" i="197"/>
  <c r="N171" i="197"/>
  <c r="N169" i="197"/>
  <c r="N3" i="197"/>
  <c r="N156" i="197"/>
  <c r="N159" i="197"/>
  <c r="N164" i="197"/>
  <c r="N148" i="197"/>
  <c r="N155" i="197"/>
  <c r="N163" i="197"/>
  <c r="N168" i="197"/>
  <c r="N152" i="197"/>
  <c r="N161" i="197"/>
  <c r="N167" i="197"/>
  <c r="N176" i="197"/>
  <c r="N177" i="197"/>
  <c r="N175" i="197"/>
  <c r="O1" i="197"/>
  <c r="AC82" i="200" l="1"/>
  <c r="AC63" i="200"/>
  <c r="AC65" i="200"/>
  <c r="AC70" i="200"/>
  <c r="AC67" i="200"/>
  <c r="AC64" i="200"/>
  <c r="AC69" i="200"/>
  <c r="AC68" i="200"/>
  <c r="AC66" i="200"/>
  <c r="AC181" i="200"/>
  <c r="AC169" i="200"/>
  <c r="AC157" i="200"/>
  <c r="AC174" i="200"/>
  <c r="AC162" i="200"/>
  <c r="AC150" i="200"/>
  <c r="AC179" i="200"/>
  <c r="AC167" i="200"/>
  <c r="AC155" i="200"/>
  <c r="AC172" i="200"/>
  <c r="AC160" i="200"/>
  <c r="AC177" i="200"/>
  <c r="AC165" i="200"/>
  <c r="AC153" i="200"/>
  <c r="AC182" i="200"/>
  <c r="AC170" i="200"/>
  <c r="AC158" i="200"/>
  <c r="AC175" i="200"/>
  <c r="AC163" i="200"/>
  <c r="AC180" i="200"/>
  <c r="AC168" i="200"/>
  <c r="AC156" i="200"/>
  <c r="AC173" i="200"/>
  <c r="AC161" i="200"/>
  <c r="AC178" i="200"/>
  <c r="AC166" i="200"/>
  <c r="AC154" i="200"/>
  <c r="AC171" i="200"/>
  <c r="AC159" i="200"/>
  <c r="AC176" i="200"/>
  <c r="AC164" i="200"/>
  <c r="AC152" i="200"/>
  <c r="AC140" i="200"/>
  <c r="AC128" i="200"/>
  <c r="AC145" i="200"/>
  <c r="AC133" i="200"/>
  <c r="AC121" i="200"/>
  <c r="AC151" i="200"/>
  <c r="AC138" i="200"/>
  <c r="AC126" i="200"/>
  <c r="AC143" i="200"/>
  <c r="AC131" i="200"/>
  <c r="AC119" i="200"/>
  <c r="AC148" i="200"/>
  <c r="AC136" i="200"/>
  <c r="AC124" i="200"/>
  <c r="AC141" i="200"/>
  <c r="AC129" i="200"/>
  <c r="AC146" i="200"/>
  <c r="AC134" i="200"/>
  <c r="AC122" i="200"/>
  <c r="AC139" i="200"/>
  <c r="AC127" i="200"/>
  <c r="AC144" i="200"/>
  <c r="AC132" i="200"/>
  <c r="AC120" i="200"/>
  <c r="AC149" i="200"/>
  <c r="AC137" i="200"/>
  <c r="AC125" i="200"/>
  <c r="AC142" i="200"/>
  <c r="AC130" i="200"/>
  <c r="AC111" i="200"/>
  <c r="AC99" i="200"/>
  <c r="AC116" i="200"/>
  <c r="AC104" i="200"/>
  <c r="AC92" i="200"/>
  <c r="AC109" i="200"/>
  <c r="AC97" i="200"/>
  <c r="AC135" i="200"/>
  <c r="AC114" i="200"/>
  <c r="AC102" i="200"/>
  <c r="AC90" i="200"/>
  <c r="AC107" i="200"/>
  <c r="AC95" i="200"/>
  <c r="AC112" i="200"/>
  <c r="AC100" i="200"/>
  <c r="AC88" i="200"/>
  <c r="AC117" i="200"/>
  <c r="AC105" i="200"/>
  <c r="AC93" i="200"/>
  <c r="AC110" i="200"/>
  <c r="AC98" i="200"/>
  <c r="AC147" i="200"/>
  <c r="AC118" i="200"/>
  <c r="AC115" i="200"/>
  <c r="AC103" i="200"/>
  <c r="AC91" i="200"/>
  <c r="AC108" i="200"/>
  <c r="AC96" i="200"/>
  <c r="AC123" i="200"/>
  <c r="AC113" i="200"/>
  <c r="AC101" i="200"/>
  <c r="AC89" i="200"/>
  <c r="AC79" i="200"/>
  <c r="AC106" i="200"/>
  <c r="AC85" i="200"/>
  <c r="AC72" i="200"/>
  <c r="AC56" i="200"/>
  <c r="AC77" i="200"/>
  <c r="AC61" i="200"/>
  <c r="AC83" i="200"/>
  <c r="AC54" i="200"/>
  <c r="AC75" i="200"/>
  <c r="AC59" i="200"/>
  <c r="AC80" i="200"/>
  <c r="AC86" i="200"/>
  <c r="AC73" i="200"/>
  <c r="AC57" i="200"/>
  <c r="AC78" i="200"/>
  <c r="AC62" i="200"/>
  <c r="AC94" i="200"/>
  <c r="AC84" i="200"/>
  <c r="AC71" i="200"/>
  <c r="AC55" i="200"/>
  <c r="AC76" i="200"/>
  <c r="AC60" i="200"/>
  <c r="AC81" i="200"/>
  <c r="AC53" i="200"/>
  <c r="AC87" i="200"/>
  <c r="AC74" i="200"/>
  <c r="AC48" i="200"/>
  <c r="AC36" i="200"/>
  <c r="AC33" i="200"/>
  <c r="AC14" i="200"/>
  <c r="AC41" i="200"/>
  <c r="AC9" i="200"/>
  <c r="AC46" i="200"/>
  <c r="AC4" i="200"/>
  <c r="AC51" i="200"/>
  <c r="AC39" i="200"/>
  <c r="AC11" i="200"/>
  <c r="AC44" i="200"/>
  <c r="AC6" i="200"/>
  <c r="AC49" i="200"/>
  <c r="AC37" i="200"/>
  <c r="AC32" i="200"/>
  <c r="AC42" i="200"/>
  <c r="AC8" i="200"/>
  <c r="AC58" i="200"/>
  <c r="AC47" i="200"/>
  <c r="AC35" i="200"/>
  <c r="AC34" i="200"/>
  <c r="AC52" i="200"/>
  <c r="AC40" i="200"/>
  <c r="AC10" i="200"/>
  <c r="AC45" i="200"/>
  <c r="AC5" i="200"/>
  <c r="AC50" i="200"/>
  <c r="AC38" i="200"/>
  <c r="AC31" i="200"/>
  <c r="AC13" i="200"/>
  <c r="AC17" i="200"/>
  <c r="AC29" i="200"/>
  <c r="AC24" i="200"/>
  <c r="AC3" i="200"/>
  <c r="AC43" i="200"/>
  <c r="AC19" i="200"/>
  <c r="AC26" i="200"/>
  <c r="AC21" i="200"/>
  <c r="AC16" i="200"/>
  <c r="AC28" i="200"/>
  <c r="AC23" i="200"/>
  <c r="AC18" i="200"/>
  <c r="AC30" i="200"/>
  <c r="AC25" i="200"/>
  <c r="AC7" i="200"/>
  <c r="AC20" i="200"/>
  <c r="AC27" i="200"/>
  <c r="AC12" i="200"/>
  <c r="AC15" i="200"/>
  <c r="AC22" i="200"/>
  <c r="AD1" i="200"/>
  <c r="O174" i="197"/>
  <c r="O173" i="197"/>
  <c r="O172" i="197"/>
  <c r="O58" i="197"/>
  <c r="O52" i="197"/>
  <c r="O54" i="197"/>
  <c r="O53" i="197"/>
  <c r="O65" i="197"/>
  <c r="O60" i="197"/>
  <c r="O57" i="197"/>
  <c r="O64" i="197"/>
  <c r="O66" i="197"/>
  <c r="O55" i="197"/>
  <c r="O61" i="197"/>
  <c r="O62" i="197"/>
  <c r="O59" i="197"/>
  <c r="O56" i="197"/>
  <c r="O63" i="197"/>
  <c r="O4" i="197"/>
  <c r="O8" i="197"/>
  <c r="O12" i="197"/>
  <c r="O5" i="197"/>
  <c r="O6" i="197"/>
  <c r="O11" i="197"/>
  <c r="O15" i="197"/>
  <c r="O19" i="197"/>
  <c r="O23" i="197"/>
  <c r="O27" i="197"/>
  <c r="O9" i="197"/>
  <c r="O18" i="197"/>
  <c r="O7" i="197"/>
  <c r="O10" i="197"/>
  <c r="O17" i="197"/>
  <c r="O14" i="197"/>
  <c r="O20" i="197"/>
  <c r="O22" i="197"/>
  <c r="O28" i="197"/>
  <c r="O29" i="197"/>
  <c r="O25" i="197"/>
  <c r="O13" i="197"/>
  <c r="O26" i="197"/>
  <c r="O32" i="197"/>
  <c r="O36" i="197"/>
  <c r="O40" i="197"/>
  <c r="O44" i="197"/>
  <c r="O48" i="197"/>
  <c r="O24" i="197"/>
  <c r="O31" i="197"/>
  <c r="O34" i="197"/>
  <c r="O39" i="197"/>
  <c r="O45" i="197"/>
  <c r="O16" i="197"/>
  <c r="O30" i="197"/>
  <c r="O33" i="197"/>
  <c r="O41" i="197"/>
  <c r="O47" i="197"/>
  <c r="O50" i="197"/>
  <c r="O21" i="197"/>
  <c r="O42" i="197"/>
  <c r="O49" i="197"/>
  <c r="O37" i="197"/>
  <c r="O43" i="197"/>
  <c r="O35" i="197"/>
  <c r="O38" i="197"/>
  <c r="O46" i="197"/>
  <c r="O67" i="197"/>
  <c r="O71" i="197"/>
  <c r="O75" i="197"/>
  <c r="O79" i="197"/>
  <c r="O83" i="197"/>
  <c r="O87" i="197"/>
  <c r="O70" i="197"/>
  <c r="O74" i="197"/>
  <c r="O78" i="197"/>
  <c r="O82" i="197"/>
  <c r="O86" i="197"/>
  <c r="O90" i="197"/>
  <c r="O94" i="197"/>
  <c r="O98" i="197"/>
  <c r="O102" i="197"/>
  <c r="O51" i="197"/>
  <c r="O69" i="197"/>
  <c r="O73" i="197"/>
  <c r="O77" i="197"/>
  <c r="O81" i="197"/>
  <c r="O85" i="197"/>
  <c r="O89" i="197"/>
  <c r="O68" i="197"/>
  <c r="O72" i="197"/>
  <c r="O76" i="197"/>
  <c r="O80" i="197"/>
  <c r="O91" i="197"/>
  <c r="O96" i="197"/>
  <c r="O101" i="197"/>
  <c r="O106" i="197"/>
  <c r="O110" i="197"/>
  <c r="O88" i="197"/>
  <c r="O95" i="197"/>
  <c r="O100" i="197"/>
  <c r="O84" i="197"/>
  <c r="O93" i="197"/>
  <c r="O99" i="197"/>
  <c r="O92" i="197"/>
  <c r="O97" i="197"/>
  <c r="O103" i="197"/>
  <c r="O107" i="197"/>
  <c r="O111" i="197"/>
  <c r="O115" i="197"/>
  <c r="O119" i="197"/>
  <c r="O123" i="197"/>
  <c r="O127" i="197"/>
  <c r="O131" i="197"/>
  <c r="O109" i="197"/>
  <c r="O114" i="197"/>
  <c r="O120" i="197"/>
  <c r="O125" i="197"/>
  <c r="O130" i="197"/>
  <c r="O138" i="197"/>
  <c r="O142" i="197"/>
  <c r="O146" i="197"/>
  <c r="O150" i="197"/>
  <c r="O154" i="197"/>
  <c r="O108" i="197"/>
  <c r="O113" i="197"/>
  <c r="O118" i="197"/>
  <c r="O124" i="197"/>
  <c r="O129" i="197"/>
  <c r="O134" i="197"/>
  <c r="O137" i="197"/>
  <c r="O141" i="197"/>
  <c r="O145" i="197"/>
  <c r="O105" i="197"/>
  <c r="O112" i="197"/>
  <c r="O117" i="197"/>
  <c r="O122" i="197"/>
  <c r="O128" i="197"/>
  <c r="O133" i="197"/>
  <c r="O136" i="197"/>
  <c r="O140" i="197"/>
  <c r="O144" i="197"/>
  <c r="O148" i="197"/>
  <c r="O104" i="197"/>
  <c r="O116" i="197"/>
  <c r="O121" i="197"/>
  <c r="O126" i="197"/>
  <c r="O132" i="197"/>
  <c r="O135" i="197"/>
  <c r="O139" i="197"/>
  <c r="O143" i="197"/>
  <c r="O147" i="197"/>
  <c r="O151" i="197"/>
  <c r="O155" i="197"/>
  <c r="O159" i="197"/>
  <c r="O163" i="197"/>
  <c r="O167" i="197"/>
  <c r="O171" i="197"/>
  <c r="O3" i="197"/>
  <c r="O152" i="197"/>
  <c r="O166" i="197"/>
  <c r="O149" i="197"/>
  <c r="O157" i="197"/>
  <c r="O160" i="197"/>
  <c r="O165" i="197"/>
  <c r="O170" i="197"/>
  <c r="O156" i="197"/>
  <c r="O158" i="197"/>
  <c r="O164" i="197"/>
  <c r="O169" i="197"/>
  <c r="O153" i="197"/>
  <c r="O162" i="197"/>
  <c r="O168" i="197"/>
  <c r="O161" i="197"/>
  <c r="O175" i="197"/>
  <c r="O177" i="197"/>
  <c r="O176" i="197"/>
  <c r="P1" i="197"/>
  <c r="AD82" i="200" l="1"/>
  <c r="AD68" i="200"/>
  <c r="AD70" i="200"/>
  <c r="AD65" i="200"/>
  <c r="AD67" i="200"/>
  <c r="AD69" i="200"/>
  <c r="AD63" i="200"/>
  <c r="AD64" i="200"/>
  <c r="AD66" i="200"/>
  <c r="AD174" i="200"/>
  <c r="AD162" i="200"/>
  <c r="AD150" i="200"/>
  <c r="AD179" i="200"/>
  <c r="AD167" i="200"/>
  <c r="AD155" i="200"/>
  <c r="AD172" i="200"/>
  <c r="AD160" i="200"/>
  <c r="AD177" i="200"/>
  <c r="AD165" i="200"/>
  <c r="AD153" i="200"/>
  <c r="AD182" i="200"/>
  <c r="AD170" i="200"/>
  <c r="AD158" i="200"/>
  <c r="AD175" i="200"/>
  <c r="AD163" i="200"/>
  <c r="AD151" i="200"/>
  <c r="AD180" i="200"/>
  <c r="AD168" i="200"/>
  <c r="AD173" i="200"/>
  <c r="AD161" i="200"/>
  <c r="AD178" i="200"/>
  <c r="AD166" i="200"/>
  <c r="AD154" i="200"/>
  <c r="AD171" i="200"/>
  <c r="AD159" i="200"/>
  <c r="AD176" i="200"/>
  <c r="AD164" i="200"/>
  <c r="AD152" i="200"/>
  <c r="AD181" i="200"/>
  <c r="AD169" i="200"/>
  <c r="AD157" i="200"/>
  <c r="AD145" i="200"/>
  <c r="AD133" i="200"/>
  <c r="AD121" i="200"/>
  <c r="AD156" i="200"/>
  <c r="AD138" i="200"/>
  <c r="AD126" i="200"/>
  <c r="AD143" i="200"/>
  <c r="AD131" i="200"/>
  <c r="AD119" i="200"/>
  <c r="AD148" i="200"/>
  <c r="AD136" i="200"/>
  <c r="AD124" i="200"/>
  <c r="AD141" i="200"/>
  <c r="AD129" i="200"/>
  <c r="AD146" i="200"/>
  <c r="AD134" i="200"/>
  <c r="AD122" i="200"/>
  <c r="AD139" i="200"/>
  <c r="AD127" i="200"/>
  <c r="AD144" i="200"/>
  <c r="AD132" i="200"/>
  <c r="AD120" i="200"/>
  <c r="AD149" i="200"/>
  <c r="AD137" i="200"/>
  <c r="AD125" i="200"/>
  <c r="AD142" i="200"/>
  <c r="AD130" i="200"/>
  <c r="AD118" i="200"/>
  <c r="AD147" i="200"/>
  <c r="AD135" i="200"/>
  <c r="AD123" i="200"/>
  <c r="AD116" i="200"/>
  <c r="AD104" i="200"/>
  <c r="AD92" i="200"/>
  <c r="AD109" i="200"/>
  <c r="AD97" i="200"/>
  <c r="AD140" i="200"/>
  <c r="AD114" i="200"/>
  <c r="AD102" i="200"/>
  <c r="AD90" i="200"/>
  <c r="AD107" i="200"/>
  <c r="AD95" i="200"/>
  <c r="AD112" i="200"/>
  <c r="AD100" i="200"/>
  <c r="AD88" i="200"/>
  <c r="AD117" i="200"/>
  <c r="AD105" i="200"/>
  <c r="AD93" i="200"/>
  <c r="AD110" i="200"/>
  <c r="AD98" i="200"/>
  <c r="AD115" i="200"/>
  <c r="AD103" i="200"/>
  <c r="AD91" i="200"/>
  <c r="AD108" i="200"/>
  <c r="AD96" i="200"/>
  <c r="AD128" i="200"/>
  <c r="AD113" i="200"/>
  <c r="AD101" i="200"/>
  <c r="AD89" i="200"/>
  <c r="AD106" i="200"/>
  <c r="AD94" i="200"/>
  <c r="AD111" i="200"/>
  <c r="AD85" i="200"/>
  <c r="AD72" i="200"/>
  <c r="AD56" i="200"/>
  <c r="AD77" i="200"/>
  <c r="AD61" i="200"/>
  <c r="AD83" i="200"/>
  <c r="AD54" i="200"/>
  <c r="AD75" i="200"/>
  <c r="AD59" i="200"/>
  <c r="AD80" i="200"/>
  <c r="AD86" i="200"/>
  <c r="AD73" i="200"/>
  <c r="AD57" i="200"/>
  <c r="AD78" i="200"/>
  <c r="AD62" i="200"/>
  <c r="AD99" i="200"/>
  <c r="AD84" i="200"/>
  <c r="AD71" i="200"/>
  <c r="AD55" i="200"/>
  <c r="AD76" i="200"/>
  <c r="AD60" i="200"/>
  <c r="AD81" i="200"/>
  <c r="AD53" i="200"/>
  <c r="AD87" i="200"/>
  <c r="AD74" i="200"/>
  <c r="AD58" i="200"/>
  <c r="AD79" i="200"/>
  <c r="AD41" i="200"/>
  <c r="AD7" i="200"/>
  <c r="AD46" i="200"/>
  <c r="AD33" i="200"/>
  <c r="AD51" i="200"/>
  <c r="AD39" i="200"/>
  <c r="AD9" i="200"/>
  <c r="AD44" i="200"/>
  <c r="AD4" i="200"/>
  <c r="AD49" i="200"/>
  <c r="AD37" i="200"/>
  <c r="AD11" i="200"/>
  <c r="AD42" i="200"/>
  <c r="AD6" i="200"/>
  <c r="AD47" i="200"/>
  <c r="AD35" i="200"/>
  <c r="AD32" i="200"/>
  <c r="AD52" i="200"/>
  <c r="AD40" i="200"/>
  <c r="AD8" i="200"/>
  <c r="AD45" i="200"/>
  <c r="AD34" i="200"/>
  <c r="AD50" i="200"/>
  <c r="AD38" i="200"/>
  <c r="AD10" i="200"/>
  <c r="AD43" i="200"/>
  <c r="AD5" i="200"/>
  <c r="AD22" i="200"/>
  <c r="AD3" i="200"/>
  <c r="AD48" i="200"/>
  <c r="AD13" i="200"/>
  <c r="AD17" i="200"/>
  <c r="AD29" i="200"/>
  <c r="AD24" i="200"/>
  <c r="AD31" i="200"/>
  <c r="AD19" i="200"/>
  <c r="AD26" i="200"/>
  <c r="AD14" i="200"/>
  <c r="AD21" i="200"/>
  <c r="AD16" i="200"/>
  <c r="AD28" i="200"/>
  <c r="AD23" i="200"/>
  <c r="AD36" i="200"/>
  <c r="AD18" i="200"/>
  <c r="AD30" i="200"/>
  <c r="AD25" i="200"/>
  <c r="AD20" i="200"/>
  <c r="AD12" i="200"/>
  <c r="AD15" i="200"/>
  <c r="AD27" i="200"/>
  <c r="AE1" i="200"/>
  <c r="P172" i="197"/>
  <c r="P174" i="197"/>
  <c r="P173" i="197"/>
  <c r="P63" i="197"/>
  <c r="P52" i="197"/>
  <c r="P54" i="197"/>
  <c r="P58" i="197"/>
  <c r="P53" i="197"/>
  <c r="P65" i="197"/>
  <c r="P62" i="197"/>
  <c r="P59" i="197"/>
  <c r="P60" i="197"/>
  <c r="P64" i="197"/>
  <c r="P55" i="197"/>
  <c r="P57" i="197"/>
  <c r="P66" i="197"/>
  <c r="P61" i="197"/>
  <c r="P56" i="197"/>
  <c r="P5" i="197"/>
  <c r="P9" i="197"/>
  <c r="P13" i="197"/>
  <c r="P6" i="197"/>
  <c r="P7" i="197"/>
  <c r="P12" i="197"/>
  <c r="P16" i="197"/>
  <c r="P20" i="197"/>
  <c r="P24" i="197"/>
  <c r="P28" i="197"/>
  <c r="P4" i="197"/>
  <c r="P14" i="197"/>
  <c r="P19" i="197"/>
  <c r="P18" i="197"/>
  <c r="P8" i="197"/>
  <c r="P21" i="197"/>
  <c r="P23" i="197"/>
  <c r="P11" i="197"/>
  <c r="P17" i="197"/>
  <c r="P22" i="197"/>
  <c r="P30" i="197"/>
  <c r="P10" i="197"/>
  <c r="P25" i="197"/>
  <c r="P26" i="197"/>
  <c r="P29" i="197"/>
  <c r="P33" i="197"/>
  <c r="P37" i="197"/>
  <c r="P41" i="197"/>
  <c r="P45" i="197"/>
  <c r="P35" i="197"/>
  <c r="P40" i="197"/>
  <c r="P46" i="197"/>
  <c r="P49" i="197"/>
  <c r="P38" i="197"/>
  <c r="P44" i="197"/>
  <c r="P51" i="197"/>
  <c r="P27" i="197"/>
  <c r="P31" i="197"/>
  <c r="P36" i="197"/>
  <c r="P39" i="197"/>
  <c r="P47" i="197"/>
  <c r="P50" i="197"/>
  <c r="P15" i="197"/>
  <c r="P34" i="197"/>
  <c r="P42" i="197"/>
  <c r="P48" i="197"/>
  <c r="P32" i="197"/>
  <c r="P43" i="197"/>
  <c r="P68" i="197"/>
  <c r="P72" i="197"/>
  <c r="P76" i="197"/>
  <c r="P80" i="197"/>
  <c r="P84" i="197"/>
  <c r="P67" i="197"/>
  <c r="P71" i="197"/>
  <c r="P75" i="197"/>
  <c r="P79" i="197"/>
  <c r="P83" i="197"/>
  <c r="P87" i="197"/>
  <c r="P91" i="197"/>
  <c r="P95" i="197"/>
  <c r="P99" i="197"/>
  <c r="P70" i="197"/>
  <c r="P74" i="197"/>
  <c r="P78" i="197"/>
  <c r="P82" i="197"/>
  <c r="P86" i="197"/>
  <c r="P90" i="197"/>
  <c r="P69" i="197"/>
  <c r="P73" i="197"/>
  <c r="P77" i="197"/>
  <c r="P92" i="197"/>
  <c r="P97" i="197"/>
  <c r="P102" i="197"/>
  <c r="P103" i="197"/>
  <c r="P107" i="197"/>
  <c r="P111" i="197"/>
  <c r="P89" i="197"/>
  <c r="P96" i="197"/>
  <c r="P101" i="197"/>
  <c r="P85" i="197"/>
  <c r="P88" i="197"/>
  <c r="P94" i="197"/>
  <c r="P100" i="197"/>
  <c r="P81" i="197"/>
  <c r="P93" i="197"/>
  <c r="P98" i="197"/>
  <c r="P104" i="197"/>
  <c r="P108" i="197"/>
  <c r="P112" i="197"/>
  <c r="P116" i="197"/>
  <c r="P120" i="197"/>
  <c r="P124" i="197"/>
  <c r="P128" i="197"/>
  <c r="P132" i="197"/>
  <c r="P110" i="197"/>
  <c r="P115" i="197"/>
  <c r="P121" i="197"/>
  <c r="P126" i="197"/>
  <c r="P131" i="197"/>
  <c r="P135" i="197"/>
  <c r="P139" i="197"/>
  <c r="P143" i="197"/>
  <c r="P147" i="197"/>
  <c r="P151" i="197"/>
  <c r="P155" i="197"/>
  <c r="P109" i="197"/>
  <c r="P114" i="197"/>
  <c r="P119" i="197"/>
  <c r="P125" i="197"/>
  <c r="P130" i="197"/>
  <c r="P138" i="197"/>
  <c r="P142" i="197"/>
  <c r="P146" i="197"/>
  <c r="P106" i="197"/>
  <c r="P113" i="197"/>
  <c r="P118" i="197"/>
  <c r="P123" i="197"/>
  <c r="P129" i="197"/>
  <c r="P134" i="197"/>
  <c r="P137" i="197"/>
  <c r="P141" i="197"/>
  <c r="P145" i="197"/>
  <c r="P105" i="197"/>
  <c r="P117" i="197"/>
  <c r="P122" i="197"/>
  <c r="P127" i="197"/>
  <c r="P133" i="197"/>
  <c r="P136" i="197"/>
  <c r="P140" i="197"/>
  <c r="P144" i="197"/>
  <c r="P148" i="197"/>
  <c r="P152" i="197"/>
  <c r="P156" i="197"/>
  <c r="P160" i="197"/>
  <c r="P164" i="197"/>
  <c r="P168" i="197"/>
  <c r="P162" i="197"/>
  <c r="P166" i="197"/>
  <c r="P150" i="197"/>
  <c r="P161" i="197"/>
  <c r="P149" i="197"/>
  <c r="P157" i="197"/>
  <c r="P159" i="197"/>
  <c r="P165" i="197"/>
  <c r="P170" i="197"/>
  <c r="P3" i="197"/>
  <c r="P171" i="197"/>
  <c r="P154" i="197"/>
  <c r="P158" i="197"/>
  <c r="P163" i="197"/>
  <c r="P169" i="197"/>
  <c r="P153" i="197"/>
  <c r="P167" i="197"/>
  <c r="P176" i="197"/>
  <c r="P175" i="197"/>
  <c r="P177" i="197"/>
  <c r="Q1" i="197"/>
  <c r="AE82" i="200" l="1"/>
  <c r="AE66" i="200"/>
  <c r="AE63" i="200"/>
  <c r="AE70" i="200"/>
  <c r="AE65" i="200"/>
  <c r="AE68" i="200"/>
  <c r="AE67" i="200"/>
  <c r="AE69" i="200"/>
  <c r="AE64" i="200"/>
  <c r="AE179" i="200"/>
  <c r="AE167" i="200"/>
  <c r="AE155" i="200"/>
  <c r="AE172" i="200"/>
  <c r="AE160" i="200"/>
  <c r="AE177" i="200"/>
  <c r="AE165" i="200"/>
  <c r="AE153" i="200"/>
  <c r="AE182" i="200"/>
  <c r="AE170" i="200"/>
  <c r="AE158" i="200"/>
  <c r="AE175" i="200"/>
  <c r="AE163" i="200"/>
  <c r="AE151" i="200"/>
  <c r="AE180" i="200"/>
  <c r="AE168" i="200"/>
  <c r="AE156" i="200"/>
  <c r="AE173" i="200"/>
  <c r="AE178" i="200"/>
  <c r="AE166" i="200"/>
  <c r="AE154" i="200"/>
  <c r="AE171" i="200"/>
  <c r="AE159" i="200"/>
  <c r="AE176" i="200"/>
  <c r="AE164" i="200"/>
  <c r="AE152" i="200"/>
  <c r="AE181" i="200"/>
  <c r="AE169" i="200"/>
  <c r="AE157" i="200"/>
  <c r="AE174" i="200"/>
  <c r="AE162" i="200"/>
  <c r="AE150" i="200"/>
  <c r="AE161" i="200"/>
  <c r="AE138" i="200"/>
  <c r="AE126" i="200"/>
  <c r="AE143" i="200"/>
  <c r="AE131" i="200"/>
  <c r="AE119" i="200"/>
  <c r="AE148" i="200"/>
  <c r="AE136" i="200"/>
  <c r="AE124" i="200"/>
  <c r="AE141" i="200"/>
  <c r="AE129" i="200"/>
  <c r="AE146" i="200"/>
  <c r="AE134" i="200"/>
  <c r="AE122" i="200"/>
  <c r="AE139" i="200"/>
  <c r="AE127" i="200"/>
  <c r="AE144" i="200"/>
  <c r="AE132" i="200"/>
  <c r="AE120" i="200"/>
  <c r="AE149" i="200"/>
  <c r="AE137" i="200"/>
  <c r="AE125" i="200"/>
  <c r="AE142" i="200"/>
  <c r="AE130" i="200"/>
  <c r="AE118" i="200"/>
  <c r="AE147" i="200"/>
  <c r="AE135" i="200"/>
  <c r="AE123" i="200"/>
  <c r="AE140" i="200"/>
  <c r="AE128" i="200"/>
  <c r="AE109" i="200"/>
  <c r="AE97" i="200"/>
  <c r="AE145" i="200"/>
  <c r="AE114" i="200"/>
  <c r="AE102" i="200"/>
  <c r="AE90" i="200"/>
  <c r="AE107" i="200"/>
  <c r="AE95" i="200"/>
  <c r="AE112" i="200"/>
  <c r="AE100" i="200"/>
  <c r="AE88" i="200"/>
  <c r="AE117" i="200"/>
  <c r="AE105" i="200"/>
  <c r="AE93" i="200"/>
  <c r="AE121" i="200"/>
  <c r="AE110" i="200"/>
  <c r="AE98" i="200"/>
  <c r="AE115" i="200"/>
  <c r="AE103" i="200"/>
  <c r="AE91" i="200"/>
  <c r="AE108" i="200"/>
  <c r="AE96" i="200"/>
  <c r="AE133" i="200"/>
  <c r="AE113" i="200"/>
  <c r="AE101" i="200"/>
  <c r="AE89" i="200"/>
  <c r="AE106" i="200"/>
  <c r="AE94" i="200"/>
  <c r="AE111" i="200"/>
  <c r="AE99" i="200"/>
  <c r="AE77" i="200"/>
  <c r="AE61" i="200"/>
  <c r="AE92" i="200"/>
  <c r="AE83" i="200"/>
  <c r="AE54" i="200"/>
  <c r="AE75" i="200"/>
  <c r="AE59" i="200"/>
  <c r="AE80" i="200"/>
  <c r="AE86" i="200"/>
  <c r="AE73" i="200"/>
  <c r="AE57" i="200"/>
  <c r="AE78" i="200"/>
  <c r="AE62" i="200"/>
  <c r="AE104" i="200"/>
  <c r="AE84" i="200"/>
  <c r="AE71" i="200"/>
  <c r="AE55" i="200"/>
  <c r="AE76" i="200"/>
  <c r="AE60" i="200"/>
  <c r="AE81" i="200"/>
  <c r="AE53" i="200"/>
  <c r="AE87" i="200"/>
  <c r="AE74" i="200"/>
  <c r="AE58" i="200"/>
  <c r="AE79" i="200"/>
  <c r="AE116" i="200"/>
  <c r="AE85" i="200"/>
  <c r="AE72" i="200"/>
  <c r="AE56" i="200"/>
  <c r="AE46" i="200"/>
  <c r="AE31" i="200"/>
  <c r="AE12" i="200"/>
  <c r="AE51" i="200"/>
  <c r="AE39" i="200"/>
  <c r="AE7" i="200"/>
  <c r="AE44" i="200"/>
  <c r="AE33" i="200"/>
  <c r="AE49" i="200"/>
  <c r="AE37" i="200"/>
  <c r="AE9" i="200"/>
  <c r="AE42" i="200"/>
  <c r="AE4" i="200"/>
  <c r="AE47" i="200"/>
  <c r="AE35" i="200"/>
  <c r="AE11" i="200"/>
  <c r="AE52" i="200"/>
  <c r="AE40" i="200"/>
  <c r="AE6" i="200"/>
  <c r="AE45" i="200"/>
  <c r="AE32" i="200"/>
  <c r="AE50" i="200"/>
  <c r="AE38" i="200"/>
  <c r="AE8" i="200"/>
  <c r="AE43" i="200"/>
  <c r="AE34" i="200"/>
  <c r="AE48" i="200"/>
  <c r="AE36" i="200"/>
  <c r="AE10" i="200"/>
  <c r="AE15" i="200"/>
  <c r="AE27" i="200"/>
  <c r="AE22" i="200"/>
  <c r="AE13" i="200"/>
  <c r="AE17" i="200"/>
  <c r="AE29" i="200"/>
  <c r="AE24" i="200"/>
  <c r="AE3" i="200"/>
  <c r="AE5" i="200"/>
  <c r="AE19" i="200"/>
  <c r="AE26" i="200"/>
  <c r="AE14" i="200"/>
  <c r="AE21" i="200"/>
  <c r="AE41" i="200"/>
  <c r="AE16" i="200"/>
  <c r="AE28" i="200"/>
  <c r="AE23" i="200"/>
  <c r="AE18" i="200"/>
  <c r="AE30" i="200"/>
  <c r="AE25" i="200"/>
  <c r="AE20" i="200"/>
  <c r="AF1" i="200"/>
  <c r="Q172" i="197"/>
  <c r="Q174" i="197"/>
  <c r="Q173" i="197"/>
  <c r="Q56" i="197"/>
  <c r="Q63" i="197"/>
  <c r="Q64" i="197"/>
  <c r="Q58" i="197"/>
  <c r="Q62" i="197"/>
  <c r="Q53" i="197"/>
  <c r="Q65" i="197"/>
  <c r="Q52" i="197"/>
  <c r="Q59" i="197"/>
  <c r="Q60" i="197"/>
  <c r="Q55" i="197"/>
  <c r="Q57" i="197"/>
  <c r="Q54" i="197"/>
  <c r="Q66" i="197"/>
  <c r="Q61" i="197"/>
  <c r="Q6" i="197"/>
  <c r="Q10" i="197"/>
  <c r="Q14" i="197"/>
  <c r="Q8" i="197"/>
  <c r="Q13" i="197"/>
  <c r="Q17" i="197"/>
  <c r="Q21" i="197"/>
  <c r="Q25" i="197"/>
  <c r="Q5" i="197"/>
  <c r="Q7" i="197"/>
  <c r="Q11" i="197"/>
  <c r="Q15" i="197"/>
  <c r="Q20" i="197"/>
  <c r="Q9" i="197"/>
  <c r="Q12" i="197"/>
  <c r="Q19" i="197"/>
  <c r="Q4" i="197"/>
  <c r="Q24" i="197"/>
  <c r="Q16" i="197"/>
  <c r="Q27" i="197"/>
  <c r="Q31" i="197"/>
  <c r="Q18" i="197"/>
  <c r="Q22" i="197"/>
  <c r="Q28" i="197"/>
  <c r="Q30" i="197"/>
  <c r="Q34" i="197"/>
  <c r="Q38" i="197"/>
  <c r="Q42" i="197"/>
  <c r="Q46" i="197"/>
  <c r="Q36" i="197"/>
  <c r="Q41" i="197"/>
  <c r="Q47" i="197"/>
  <c r="Q50" i="197"/>
  <c r="Q26" i="197"/>
  <c r="Q29" i="197"/>
  <c r="Q32" i="197"/>
  <c r="Q35" i="197"/>
  <c r="Q43" i="197"/>
  <c r="Q23" i="197"/>
  <c r="Q33" i="197"/>
  <c r="Q44" i="197"/>
  <c r="Q51" i="197"/>
  <c r="Q39" i="197"/>
  <c r="Q45" i="197"/>
  <c r="Q49" i="197"/>
  <c r="Q37" i="197"/>
  <c r="Q40" i="197"/>
  <c r="Q48" i="197"/>
  <c r="Q69" i="197"/>
  <c r="Q73" i="197"/>
  <c r="Q77" i="197"/>
  <c r="Q81" i="197"/>
  <c r="Q85" i="197"/>
  <c r="Q68" i="197"/>
  <c r="Q72" i="197"/>
  <c r="Q76" i="197"/>
  <c r="Q80" i="197"/>
  <c r="Q84" i="197"/>
  <c r="Q88" i="197"/>
  <c r="Q92" i="197"/>
  <c r="Q96" i="197"/>
  <c r="Q100" i="197"/>
  <c r="Q67" i="197"/>
  <c r="Q71" i="197"/>
  <c r="Q75" i="197"/>
  <c r="Q79" i="197"/>
  <c r="Q83" i="197"/>
  <c r="Q87" i="197"/>
  <c r="Q70" i="197"/>
  <c r="Q74" i="197"/>
  <c r="Q78" i="197"/>
  <c r="Q93" i="197"/>
  <c r="Q98" i="197"/>
  <c r="Q104" i="197"/>
  <c r="Q108" i="197"/>
  <c r="Q90" i="197"/>
  <c r="Q91" i="197"/>
  <c r="Q97" i="197"/>
  <c r="Q102" i="197"/>
  <c r="Q103" i="197"/>
  <c r="Q86" i="197"/>
  <c r="Q89" i="197"/>
  <c r="Q95" i="197"/>
  <c r="Q101" i="197"/>
  <c r="Q82" i="197"/>
  <c r="Q94" i="197"/>
  <c r="Q99" i="197"/>
  <c r="Q105" i="197"/>
  <c r="Q109" i="197"/>
  <c r="Q113" i="197"/>
  <c r="Q117" i="197"/>
  <c r="Q121" i="197"/>
  <c r="Q125" i="197"/>
  <c r="Q129" i="197"/>
  <c r="Q133" i="197"/>
  <c r="Q111" i="197"/>
  <c r="Q116" i="197"/>
  <c r="Q122" i="197"/>
  <c r="Q127" i="197"/>
  <c r="Q132" i="197"/>
  <c r="Q136" i="197"/>
  <c r="Q140" i="197"/>
  <c r="Q144" i="197"/>
  <c r="Q148" i="197"/>
  <c r="Q152" i="197"/>
  <c r="Q156" i="197"/>
  <c r="Q110" i="197"/>
  <c r="Q115" i="197"/>
  <c r="Q120" i="197"/>
  <c r="Q126" i="197"/>
  <c r="Q131" i="197"/>
  <c r="Q135" i="197"/>
  <c r="Q139" i="197"/>
  <c r="Q143" i="197"/>
  <c r="Q147" i="197"/>
  <c r="Q107" i="197"/>
  <c r="Q114" i="197"/>
  <c r="Q119" i="197"/>
  <c r="Q124" i="197"/>
  <c r="Q130" i="197"/>
  <c r="Q138" i="197"/>
  <c r="Q142" i="197"/>
  <c r="Q146" i="197"/>
  <c r="Q106" i="197"/>
  <c r="Q112" i="197"/>
  <c r="Q118" i="197"/>
  <c r="Q123" i="197"/>
  <c r="Q128" i="197"/>
  <c r="Q134" i="197"/>
  <c r="Q137" i="197"/>
  <c r="Q141" i="197"/>
  <c r="Q145" i="197"/>
  <c r="Q149" i="197"/>
  <c r="Q153" i="197"/>
  <c r="Q157" i="197"/>
  <c r="Q161" i="197"/>
  <c r="Q165" i="197"/>
  <c r="Q169" i="197"/>
  <c r="Q158" i="197"/>
  <c r="Q163" i="197"/>
  <c r="Q167" i="197"/>
  <c r="Q151" i="197"/>
  <c r="Q162" i="197"/>
  <c r="Q150" i="197"/>
  <c r="Q160" i="197"/>
  <c r="Q166" i="197"/>
  <c r="Q171" i="197"/>
  <c r="Q155" i="197"/>
  <c r="Q159" i="197"/>
  <c r="Q164" i="197"/>
  <c r="Q170" i="197"/>
  <c r="Q3" i="197"/>
  <c r="Q154" i="197"/>
  <c r="Q168" i="197"/>
  <c r="Q177" i="197"/>
  <c r="Q175" i="197"/>
  <c r="Q176" i="197"/>
  <c r="R1" i="197"/>
  <c r="AF82" i="200" l="1"/>
  <c r="AF66" i="200"/>
  <c r="AF68" i="200"/>
  <c r="AF63" i="200"/>
  <c r="AF70" i="200"/>
  <c r="AF65" i="200"/>
  <c r="AF67" i="200"/>
  <c r="AF69" i="200"/>
  <c r="AF64" i="200"/>
  <c r="AF172" i="200"/>
  <c r="AF160" i="200"/>
  <c r="AF177" i="200"/>
  <c r="AF165" i="200"/>
  <c r="AF153" i="200"/>
  <c r="AF182" i="200"/>
  <c r="AF170" i="200"/>
  <c r="AF158" i="200"/>
  <c r="AF175" i="200"/>
  <c r="AF163" i="200"/>
  <c r="AF151" i="200"/>
  <c r="AF180" i="200"/>
  <c r="AF168" i="200"/>
  <c r="AF156" i="200"/>
  <c r="AF173" i="200"/>
  <c r="AF161" i="200"/>
  <c r="AF178" i="200"/>
  <c r="AF166" i="200"/>
  <c r="AF171" i="200"/>
  <c r="AF159" i="200"/>
  <c r="AF176" i="200"/>
  <c r="AF164" i="200"/>
  <c r="AF152" i="200"/>
  <c r="AF181" i="200"/>
  <c r="AF169" i="200"/>
  <c r="AF157" i="200"/>
  <c r="AF174" i="200"/>
  <c r="AF162" i="200"/>
  <c r="AF150" i="200"/>
  <c r="AF179" i="200"/>
  <c r="AF167" i="200"/>
  <c r="AF155" i="200"/>
  <c r="AF143" i="200"/>
  <c r="AF131" i="200"/>
  <c r="AF119" i="200"/>
  <c r="AF148" i="200"/>
  <c r="AF136" i="200"/>
  <c r="AF124" i="200"/>
  <c r="AF141" i="200"/>
  <c r="AF129" i="200"/>
  <c r="AF146" i="200"/>
  <c r="AF134" i="200"/>
  <c r="AF122" i="200"/>
  <c r="AF139" i="200"/>
  <c r="AF127" i="200"/>
  <c r="AF144" i="200"/>
  <c r="AF132" i="200"/>
  <c r="AF120" i="200"/>
  <c r="AF154" i="200"/>
  <c r="AF149" i="200"/>
  <c r="AF137" i="200"/>
  <c r="AF125" i="200"/>
  <c r="AF142" i="200"/>
  <c r="AF130" i="200"/>
  <c r="AF118" i="200"/>
  <c r="AF147" i="200"/>
  <c r="AF135" i="200"/>
  <c r="AF123" i="200"/>
  <c r="AF140" i="200"/>
  <c r="AF128" i="200"/>
  <c r="AF145" i="200"/>
  <c r="AF133" i="200"/>
  <c r="AF114" i="200"/>
  <c r="AF102" i="200"/>
  <c r="AF90" i="200"/>
  <c r="AF107" i="200"/>
  <c r="AF95" i="200"/>
  <c r="AF126" i="200"/>
  <c r="AF112" i="200"/>
  <c r="AF100" i="200"/>
  <c r="AF88" i="200"/>
  <c r="AF117" i="200"/>
  <c r="AF105" i="200"/>
  <c r="AF93" i="200"/>
  <c r="AF121" i="200"/>
  <c r="AF110" i="200"/>
  <c r="AF98" i="200"/>
  <c r="AF115" i="200"/>
  <c r="AF103" i="200"/>
  <c r="AF91" i="200"/>
  <c r="AF108" i="200"/>
  <c r="AF96" i="200"/>
  <c r="AF138" i="200"/>
  <c r="AF113" i="200"/>
  <c r="AF101" i="200"/>
  <c r="AF89" i="200"/>
  <c r="AF106" i="200"/>
  <c r="AF94" i="200"/>
  <c r="AF111" i="200"/>
  <c r="AF99" i="200"/>
  <c r="AF116" i="200"/>
  <c r="AF104" i="200"/>
  <c r="AF92" i="200"/>
  <c r="AF97" i="200"/>
  <c r="AF83" i="200"/>
  <c r="AF54" i="200"/>
  <c r="AF75" i="200"/>
  <c r="AF59" i="200"/>
  <c r="AF80" i="200"/>
  <c r="AF86" i="200"/>
  <c r="AF73" i="200"/>
  <c r="AF57" i="200"/>
  <c r="AF78" i="200"/>
  <c r="AF62" i="200"/>
  <c r="AF109" i="200"/>
  <c r="AF84" i="200"/>
  <c r="AF71" i="200"/>
  <c r="AF55" i="200"/>
  <c r="AF76" i="200"/>
  <c r="AF60" i="200"/>
  <c r="AF81" i="200"/>
  <c r="AF53" i="200"/>
  <c r="AF87" i="200"/>
  <c r="AF74" i="200"/>
  <c r="AF58" i="200"/>
  <c r="AF79" i="200"/>
  <c r="AF85" i="200"/>
  <c r="AF72" i="200"/>
  <c r="AF56" i="200"/>
  <c r="AF77" i="200"/>
  <c r="AF61" i="200"/>
  <c r="AF51" i="200"/>
  <c r="AF39" i="200"/>
  <c r="AF5" i="200"/>
  <c r="AF44" i="200"/>
  <c r="AF31" i="200"/>
  <c r="AF49" i="200"/>
  <c r="AF37" i="200"/>
  <c r="AF7" i="200"/>
  <c r="AF42" i="200"/>
  <c r="AF33" i="200"/>
  <c r="AF47" i="200"/>
  <c r="AF35" i="200"/>
  <c r="AF9" i="200"/>
  <c r="AF52" i="200"/>
  <c r="AF40" i="200"/>
  <c r="AF4" i="200"/>
  <c r="AF45" i="200"/>
  <c r="AF11" i="200"/>
  <c r="AF50" i="200"/>
  <c r="AF38" i="200"/>
  <c r="AF6" i="200"/>
  <c r="AF43" i="200"/>
  <c r="AF32" i="200"/>
  <c r="AF48" i="200"/>
  <c r="AF36" i="200"/>
  <c r="AF8" i="200"/>
  <c r="AF41" i="200"/>
  <c r="AF34" i="200"/>
  <c r="AF12" i="200"/>
  <c r="AF20" i="200"/>
  <c r="AF15" i="200"/>
  <c r="AF27" i="200"/>
  <c r="AF22" i="200"/>
  <c r="AF30" i="200"/>
  <c r="AF13" i="200"/>
  <c r="AF17" i="200"/>
  <c r="AF29" i="200"/>
  <c r="AF24" i="200"/>
  <c r="AF3" i="200"/>
  <c r="AF10" i="200"/>
  <c r="AF19" i="200"/>
  <c r="AF46" i="200"/>
  <c r="AF26" i="200"/>
  <c r="AF14" i="200"/>
  <c r="AF21" i="200"/>
  <c r="AF16" i="200"/>
  <c r="AF28" i="200"/>
  <c r="AF23" i="200"/>
  <c r="AF18" i="200"/>
  <c r="AF25" i="200"/>
  <c r="AG1" i="200"/>
  <c r="R172" i="197"/>
  <c r="R174" i="197"/>
  <c r="R173" i="197"/>
  <c r="R61" i="197"/>
  <c r="R55" i="197"/>
  <c r="R62" i="197"/>
  <c r="R57" i="197"/>
  <c r="R64" i="197"/>
  <c r="R56" i="197"/>
  <c r="R63" i="197"/>
  <c r="R60" i="197"/>
  <c r="R58" i="197"/>
  <c r="R53" i="197"/>
  <c r="R65" i="197"/>
  <c r="R52" i="197"/>
  <c r="R54" i="197"/>
  <c r="R66" i="197"/>
  <c r="R59" i="197"/>
  <c r="R7" i="197"/>
  <c r="R11" i="197"/>
  <c r="R4" i="197"/>
  <c r="R9" i="197"/>
  <c r="R14" i="197"/>
  <c r="R18" i="197"/>
  <c r="R22" i="197"/>
  <c r="R26" i="197"/>
  <c r="R6" i="197"/>
  <c r="R8" i="197"/>
  <c r="R16" i="197"/>
  <c r="R21" i="197"/>
  <c r="R15" i="197"/>
  <c r="R20" i="197"/>
  <c r="R13" i="197"/>
  <c r="R25" i="197"/>
  <c r="R24" i="197"/>
  <c r="R29" i="197"/>
  <c r="R17" i="197"/>
  <c r="R27" i="197"/>
  <c r="R31" i="197"/>
  <c r="R10" i="197"/>
  <c r="R30" i="197"/>
  <c r="R35" i="197"/>
  <c r="R39" i="197"/>
  <c r="R43" i="197"/>
  <c r="R47" i="197"/>
  <c r="R5" i="197"/>
  <c r="R32" i="197"/>
  <c r="R37" i="197"/>
  <c r="R42" i="197"/>
  <c r="R48" i="197"/>
  <c r="R51" i="197"/>
  <c r="R19" i="197"/>
  <c r="R40" i="197"/>
  <c r="R46" i="197"/>
  <c r="R12" i="197"/>
  <c r="R38" i="197"/>
  <c r="R41" i="197"/>
  <c r="R23" i="197"/>
  <c r="R28" i="197"/>
  <c r="R33" i="197"/>
  <c r="R36" i="197"/>
  <c r="R44" i="197"/>
  <c r="R50" i="197"/>
  <c r="R34" i="197"/>
  <c r="R45" i="197"/>
  <c r="R49" i="197"/>
  <c r="R70" i="197"/>
  <c r="R74" i="197"/>
  <c r="R78" i="197"/>
  <c r="R82" i="197"/>
  <c r="R86" i="197"/>
  <c r="R69" i="197"/>
  <c r="R73" i="197"/>
  <c r="R77" i="197"/>
  <c r="R81" i="197"/>
  <c r="R85" i="197"/>
  <c r="R89" i="197"/>
  <c r="R93" i="197"/>
  <c r="R97" i="197"/>
  <c r="R101" i="197"/>
  <c r="R68" i="197"/>
  <c r="R72" i="197"/>
  <c r="R76" i="197"/>
  <c r="R80" i="197"/>
  <c r="R84" i="197"/>
  <c r="R88" i="197"/>
  <c r="R67" i="197"/>
  <c r="R71" i="197"/>
  <c r="R75" i="197"/>
  <c r="R79" i="197"/>
  <c r="R94" i="197"/>
  <c r="R99" i="197"/>
  <c r="R105" i="197"/>
  <c r="R109" i="197"/>
  <c r="R92" i="197"/>
  <c r="R98" i="197"/>
  <c r="R87" i="197"/>
  <c r="R90" i="197"/>
  <c r="R91" i="197"/>
  <c r="R96" i="197"/>
  <c r="R102" i="197"/>
  <c r="R103" i="197"/>
  <c r="R83" i="197"/>
  <c r="R95" i="197"/>
  <c r="R100" i="197"/>
  <c r="R106" i="197"/>
  <c r="R110" i="197"/>
  <c r="R114" i="197"/>
  <c r="R118" i="197"/>
  <c r="R122" i="197"/>
  <c r="R126" i="197"/>
  <c r="R130" i="197"/>
  <c r="R134" i="197"/>
  <c r="R104" i="197"/>
  <c r="R112" i="197"/>
  <c r="R117" i="197"/>
  <c r="R123" i="197"/>
  <c r="R128" i="197"/>
  <c r="R133" i="197"/>
  <c r="R137" i="197"/>
  <c r="R141" i="197"/>
  <c r="R145" i="197"/>
  <c r="R149" i="197"/>
  <c r="R153" i="197"/>
  <c r="R157" i="197"/>
  <c r="R111" i="197"/>
  <c r="R116" i="197"/>
  <c r="R121" i="197"/>
  <c r="R127" i="197"/>
  <c r="R132" i="197"/>
  <c r="R136" i="197"/>
  <c r="R140" i="197"/>
  <c r="R144" i="197"/>
  <c r="R108" i="197"/>
  <c r="R115" i="197"/>
  <c r="R120" i="197"/>
  <c r="R125" i="197"/>
  <c r="R131" i="197"/>
  <c r="R135" i="197"/>
  <c r="R139" i="197"/>
  <c r="R143" i="197"/>
  <c r="R147" i="197"/>
  <c r="R107" i="197"/>
  <c r="R113" i="197"/>
  <c r="R119" i="197"/>
  <c r="R124" i="197"/>
  <c r="R129" i="197"/>
  <c r="R138" i="197"/>
  <c r="R142" i="197"/>
  <c r="R146" i="197"/>
  <c r="R150" i="197"/>
  <c r="R154" i="197"/>
  <c r="R158" i="197"/>
  <c r="R162" i="197"/>
  <c r="R166" i="197"/>
  <c r="R170" i="197"/>
  <c r="R155" i="197"/>
  <c r="R159" i="197"/>
  <c r="R169" i="197"/>
  <c r="R3" i="197"/>
  <c r="R152" i="197"/>
  <c r="R163" i="197"/>
  <c r="R168" i="197"/>
  <c r="R151" i="197"/>
  <c r="R161" i="197"/>
  <c r="R167" i="197"/>
  <c r="R148" i="197"/>
  <c r="R156" i="197"/>
  <c r="R160" i="197"/>
  <c r="R165" i="197"/>
  <c r="R171" i="197"/>
  <c r="R164" i="197"/>
  <c r="R176" i="197"/>
  <c r="R175" i="197"/>
  <c r="R177" i="197"/>
  <c r="S1" i="197"/>
  <c r="AG82" i="200" l="1"/>
  <c r="AG64" i="200"/>
  <c r="AG66" i="200"/>
  <c r="AG68" i="200"/>
  <c r="AG63" i="200"/>
  <c r="AG70" i="200"/>
  <c r="AG65" i="200"/>
  <c r="AG67" i="200"/>
  <c r="AG69" i="200"/>
  <c r="AG177" i="200"/>
  <c r="AG165" i="200"/>
  <c r="AG153" i="200"/>
  <c r="AG182" i="200"/>
  <c r="AG170" i="200"/>
  <c r="AG158" i="200"/>
  <c r="AG175" i="200"/>
  <c r="AG163" i="200"/>
  <c r="AG151" i="200"/>
  <c r="AG180" i="200"/>
  <c r="AG168" i="200"/>
  <c r="AG156" i="200"/>
  <c r="AG173" i="200"/>
  <c r="AG161" i="200"/>
  <c r="AG178" i="200"/>
  <c r="AG166" i="200"/>
  <c r="AG154" i="200"/>
  <c r="AG171" i="200"/>
  <c r="AG176" i="200"/>
  <c r="AG164" i="200"/>
  <c r="AG152" i="200"/>
  <c r="AG181" i="200"/>
  <c r="AG169" i="200"/>
  <c r="AG157" i="200"/>
  <c r="AG174" i="200"/>
  <c r="AG162" i="200"/>
  <c r="AG150" i="200"/>
  <c r="AG179" i="200"/>
  <c r="AG167" i="200"/>
  <c r="AG155" i="200"/>
  <c r="AG172" i="200"/>
  <c r="AG160" i="200"/>
  <c r="AG148" i="200"/>
  <c r="AG136" i="200"/>
  <c r="AG124" i="200"/>
  <c r="AG141" i="200"/>
  <c r="AG129" i="200"/>
  <c r="AG146" i="200"/>
  <c r="AG134" i="200"/>
  <c r="AG122" i="200"/>
  <c r="AG139" i="200"/>
  <c r="AG127" i="200"/>
  <c r="AG144" i="200"/>
  <c r="AG132" i="200"/>
  <c r="AG120" i="200"/>
  <c r="AG159" i="200"/>
  <c r="AG149" i="200"/>
  <c r="AG137" i="200"/>
  <c r="AG125" i="200"/>
  <c r="AG142" i="200"/>
  <c r="AG130" i="200"/>
  <c r="AG118" i="200"/>
  <c r="AG147" i="200"/>
  <c r="AG135" i="200"/>
  <c r="AG123" i="200"/>
  <c r="AG140" i="200"/>
  <c r="AG128" i="200"/>
  <c r="AG145" i="200"/>
  <c r="AG133" i="200"/>
  <c r="AG121" i="200"/>
  <c r="AG138" i="200"/>
  <c r="AG126" i="200"/>
  <c r="AG107" i="200"/>
  <c r="AG95" i="200"/>
  <c r="AG131" i="200"/>
  <c r="AG112" i="200"/>
  <c r="AG100" i="200"/>
  <c r="AG88" i="200"/>
  <c r="AG117" i="200"/>
  <c r="AG105" i="200"/>
  <c r="AG93" i="200"/>
  <c r="AG119" i="200"/>
  <c r="AG110" i="200"/>
  <c r="AG98" i="200"/>
  <c r="AG115" i="200"/>
  <c r="AG103" i="200"/>
  <c r="AG91" i="200"/>
  <c r="AG108" i="200"/>
  <c r="AG96" i="200"/>
  <c r="AG143" i="200"/>
  <c r="AG113" i="200"/>
  <c r="AG101" i="200"/>
  <c r="AG89" i="200"/>
  <c r="AG106" i="200"/>
  <c r="AG94" i="200"/>
  <c r="AG111" i="200"/>
  <c r="AG99" i="200"/>
  <c r="AG116" i="200"/>
  <c r="AG104" i="200"/>
  <c r="AG92" i="200"/>
  <c r="AG109" i="200"/>
  <c r="AG97" i="200"/>
  <c r="AG75" i="200"/>
  <c r="AG59" i="200"/>
  <c r="AG80" i="200"/>
  <c r="AG86" i="200"/>
  <c r="AG73" i="200"/>
  <c r="AG57" i="200"/>
  <c r="AG78" i="200"/>
  <c r="AG62" i="200"/>
  <c r="AG114" i="200"/>
  <c r="AG84" i="200"/>
  <c r="AG71" i="200"/>
  <c r="AG55" i="200"/>
  <c r="AG76" i="200"/>
  <c r="AG60" i="200"/>
  <c r="AG90" i="200"/>
  <c r="AG81" i="200"/>
  <c r="AG53" i="200"/>
  <c r="AG87" i="200"/>
  <c r="AG74" i="200"/>
  <c r="AG58" i="200"/>
  <c r="AG79" i="200"/>
  <c r="AG85" i="200"/>
  <c r="AG72" i="200"/>
  <c r="AG56" i="200"/>
  <c r="AG77" i="200"/>
  <c r="AG61" i="200"/>
  <c r="AG102" i="200"/>
  <c r="AG83" i="200"/>
  <c r="AG44" i="200"/>
  <c r="AG10" i="200"/>
  <c r="AG49" i="200"/>
  <c r="AG37" i="200"/>
  <c r="AG5" i="200"/>
  <c r="AG42" i="200"/>
  <c r="AG31" i="200"/>
  <c r="AG47" i="200"/>
  <c r="AG35" i="200"/>
  <c r="AG7" i="200"/>
  <c r="AG52" i="200"/>
  <c r="AG40" i="200"/>
  <c r="AG33" i="200"/>
  <c r="AG54" i="200"/>
  <c r="AG45" i="200"/>
  <c r="AG9" i="200"/>
  <c r="AG50" i="200"/>
  <c r="AG38" i="200"/>
  <c r="AG4" i="200"/>
  <c r="AG43" i="200"/>
  <c r="AG11" i="200"/>
  <c r="AG48" i="200"/>
  <c r="AG36" i="200"/>
  <c r="AG6" i="200"/>
  <c r="AG41" i="200"/>
  <c r="AG32" i="200"/>
  <c r="AG46" i="200"/>
  <c r="AG8" i="200"/>
  <c r="AG39" i="200"/>
  <c r="AG25" i="200"/>
  <c r="AG12" i="200"/>
  <c r="AG20" i="200"/>
  <c r="AG15" i="200"/>
  <c r="AG27" i="200"/>
  <c r="AG22" i="200"/>
  <c r="AG13" i="200"/>
  <c r="AG17" i="200"/>
  <c r="AG29" i="200"/>
  <c r="AG51" i="200"/>
  <c r="AG24" i="200"/>
  <c r="AG3" i="200"/>
  <c r="AG19" i="200"/>
  <c r="AG26" i="200"/>
  <c r="AG30" i="200"/>
  <c r="AG14" i="200"/>
  <c r="AG21" i="200"/>
  <c r="AG16" i="200"/>
  <c r="AG28" i="200"/>
  <c r="AG23" i="200"/>
  <c r="AG34" i="200"/>
  <c r="AG18" i="200"/>
  <c r="AH1" i="200"/>
  <c r="S172" i="197"/>
  <c r="S173" i="197"/>
  <c r="S174" i="197"/>
  <c r="S54" i="197"/>
  <c r="S66" i="197"/>
  <c r="S61" i="197"/>
  <c r="S65" i="197"/>
  <c r="S56" i="197"/>
  <c r="S60" i="197"/>
  <c r="S63" i="197"/>
  <c r="S53" i="197"/>
  <c r="S58" i="197"/>
  <c r="S55" i="197"/>
  <c r="S62" i="197"/>
  <c r="S57" i="197"/>
  <c r="S64" i="197"/>
  <c r="S59" i="197"/>
  <c r="S52" i="197"/>
  <c r="S4" i="197"/>
  <c r="S8" i="197"/>
  <c r="S12" i="197"/>
  <c r="S5" i="197"/>
  <c r="S10" i="197"/>
  <c r="S15" i="197"/>
  <c r="S19" i="197"/>
  <c r="S23" i="197"/>
  <c r="S27" i="197"/>
  <c r="S13" i="197"/>
  <c r="S17" i="197"/>
  <c r="S11" i="197"/>
  <c r="S14" i="197"/>
  <c r="S16" i="197"/>
  <c r="S21" i="197"/>
  <c r="S26" i="197"/>
  <c r="S29" i="197"/>
  <c r="S6" i="197"/>
  <c r="S24" i="197"/>
  <c r="S25" i="197"/>
  <c r="S31" i="197"/>
  <c r="S32" i="197"/>
  <c r="S36" i="197"/>
  <c r="S40" i="197"/>
  <c r="S44" i="197"/>
  <c r="S48" i="197"/>
  <c r="S18" i="197"/>
  <c r="S33" i="197"/>
  <c r="S38" i="197"/>
  <c r="S43" i="197"/>
  <c r="S7" i="197"/>
  <c r="S34" i="197"/>
  <c r="S37" i="197"/>
  <c r="S45" i="197"/>
  <c r="S49" i="197"/>
  <c r="S22" i="197"/>
  <c r="S30" i="197"/>
  <c r="S35" i="197"/>
  <c r="S46" i="197"/>
  <c r="S9" i="197"/>
  <c r="S41" i="197"/>
  <c r="S47" i="197"/>
  <c r="S51" i="197"/>
  <c r="S20" i="197"/>
  <c r="S28" i="197"/>
  <c r="S39" i="197"/>
  <c r="S42" i="197"/>
  <c r="S67" i="197"/>
  <c r="S71" i="197"/>
  <c r="S75" i="197"/>
  <c r="S79" i="197"/>
  <c r="S83" i="197"/>
  <c r="S87" i="197"/>
  <c r="S50" i="197"/>
  <c r="S70" i="197"/>
  <c r="S74" i="197"/>
  <c r="S78" i="197"/>
  <c r="S82" i="197"/>
  <c r="S86" i="197"/>
  <c r="S90" i="197"/>
  <c r="S94" i="197"/>
  <c r="S98" i="197"/>
  <c r="S102" i="197"/>
  <c r="S69" i="197"/>
  <c r="S73" i="197"/>
  <c r="S77" i="197"/>
  <c r="S81" i="197"/>
  <c r="S85" i="197"/>
  <c r="S89" i="197"/>
  <c r="S68" i="197"/>
  <c r="S72" i="197"/>
  <c r="S76" i="197"/>
  <c r="S80" i="197"/>
  <c r="S95" i="197"/>
  <c r="S100" i="197"/>
  <c r="S106" i="197"/>
  <c r="S110" i="197"/>
  <c r="S93" i="197"/>
  <c r="S99" i="197"/>
  <c r="S92" i="197"/>
  <c r="S97" i="197"/>
  <c r="S84" i="197"/>
  <c r="S88" i="197"/>
  <c r="S91" i="197"/>
  <c r="S96" i="197"/>
  <c r="S101" i="197"/>
  <c r="S103" i="197"/>
  <c r="S107" i="197"/>
  <c r="S111" i="197"/>
  <c r="S115" i="197"/>
  <c r="S119" i="197"/>
  <c r="S123" i="197"/>
  <c r="S127" i="197"/>
  <c r="S131" i="197"/>
  <c r="S105" i="197"/>
  <c r="S113" i="197"/>
  <c r="S118" i="197"/>
  <c r="S124" i="197"/>
  <c r="S129" i="197"/>
  <c r="S134" i="197"/>
  <c r="S138" i="197"/>
  <c r="S142" i="197"/>
  <c r="S146" i="197"/>
  <c r="S150" i="197"/>
  <c r="S154" i="197"/>
  <c r="S104" i="197"/>
  <c r="S112" i="197"/>
  <c r="S117" i="197"/>
  <c r="S122" i="197"/>
  <c r="S128" i="197"/>
  <c r="S133" i="197"/>
  <c r="S137" i="197"/>
  <c r="S141" i="197"/>
  <c r="S145" i="197"/>
  <c r="S109" i="197"/>
  <c r="S116" i="197"/>
  <c r="S121" i="197"/>
  <c r="S126" i="197"/>
  <c r="S132" i="197"/>
  <c r="S136" i="197"/>
  <c r="S140" i="197"/>
  <c r="S144" i="197"/>
  <c r="S148" i="197"/>
  <c r="S108" i="197"/>
  <c r="S114" i="197"/>
  <c r="S120" i="197"/>
  <c r="S125" i="197"/>
  <c r="S130" i="197"/>
  <c r="S135" i="197"/>
  <c r="S139" i="197"/>
  <c r="S143" i="197"/>
  <c r="S147" i="197"/>
  <c r="S151" i="197"/>
  <c r="S155" i="197"/>
  <c r="S159" i="197"/>
  <c r="S163" i="197"/>
  <c r="S167" i="197"/>
  <c r="S171" i="197"/>
  <c r="S3" i="197"/>
  <c r="S156" i="197"/>
  <c r="S153" i="197"/>
  <c r="S158" i="197"/>
  <c r="S164" i="197"/>
  <c r="S169" i="197"/>
  <c r="S152" i="197"/>
  <c r="S162" i="197"/>
  <c r="S168" i="197"/>
  <c r="S149" i="197"/>
  <c r="S157" i="197"/>
  <c r="S161" i="197"/>
  <c r="S166" i="197"/>
  <c r="S160" i="197"/>
  <c r="S165" i="197"/>
  <c r="S170" i="197"/>
  <c r="S175" i="197"/>
  <c r="S177" i="197"/>
  <c r="S176" i="197"/>
  <c r="T1" i="197"/>
  <c r="AH82" i="200" l="1"/>
  <c r="AI82" i="200" s="1"/>
  <c r="AH64" i="200"/>
  <c r="AI64" i="200" s="1"/>
  <c r="AH66" i="200"/>
  <c r="AI66" i="200" s="1"/>
  <c r="AH68" i="200"/>
  <c r="AI68" i="200" s="1"/>
  <c r="AH63" i="200"/>
  <c r="AI63" i="200" s="1"/>
  <c r="AH70" i="200"/>
  <c r="AI70" i="200" s="1"/>
  <c r="AH65" i="200"/>
  <c r="AI65" i="200" s="1"/>
  <c r="AH69" i="200"/>
  <c r="AI69" i="200" s="1"/>
  <c r="AH67" i="200"/>
  <c r="AI67" i="200" s="1"/>
  <c r="AH182" i="200"/>
  <c r="AH170" i="200"/>
  <c r="AI170" i="200" s="1"/>
  <c r="AH158" i="200"/>
  <c r="AI158" i="200" s="1"/>
  <c r="AH175" i="200"/>
  <c r="AI175" i="200" s="1"/>
  <c r="AH163" i="200"/>
  <c r="AH151" i="200"/>
  <c r="AI151" i="200" s="1"/>
  <c r="AH180" i="200"/>
  <c r="AH168" i="200"/>
  <c r="AI168" i="200" s="1"/>
  <c r="AH156" i="200"/>
  <c r="AH173" i="200"/>
  <c r="AI173" i="200" s="1"/>
  <c r="AH161" i="200"/>
  <c r="AI161" i="200" s="1"/>
  <c r="AH178" i="200"/>
  <c r="AI178" i="200" s="1"/>
  <c r="AH166" i="200"/>
  <c r="AI166" i="200" s="1"/>
  <c r="AH154" i="200"/>
  <c r="AI154" i="200" s="1"/>
  <c r="AH171" i="200"/>
  <c r="AI171" i="200" s="1"/>
  <c r="AH159" i="200"/>
  <c r="AI159" i="200" s="1"/>
  <c r="AH176" i="200"/>
  <c r="AH164" i="200"/>
  <c r="AI164" i="200" s="1"/>
  <c r="AH181" i="200"/>
  <c r="AH169" i="200"/>
  <c r="AI169" i="200" s="1"/>
  <c r="AH157" i="200"/>
  <c r="AH174" i="200"/>
  <c r="AI174" i="200" s="1"/>
  <c r="AH162" i="200"/>
  <c r="AI162" i="200" s="1"/>
  <c r="AH150" i="200"/>
  <c r="AI150" i="200" s="1"/>
  <c r="AH179" i="200"/>
  <c r="AI179" i="200" s="1"/>
  <c r="AH167" i="200"/>
  <c r="AI167" i="200" s="1"/>
  <c r="AH155" i="200"/>
  <c r="AI155" i="200" s="1"/>
  <c r="AH172" i="200"/>
  <c r="AI172" i="200" s="1"/>
  <c r="AH160" i="200"/>
  <c r="AH177" i="200"/>
  <c r="AI177" i="200" s="1"/>
  <c r="AH165" i="200"/>
  <c r="AI165" i="200" s="1"/>
  <c r="AH153" i="200"/>
  <c r="AI153" i="200" s="1"/>
  <c r="AH141" i="200"/>
  <c r="AH129" i="200"/>
  <c r="AI129" i="200" s="1"/>
  <c r="AH146" i="200"/>
  <c r="AI146" i="200" s="1"/>
  <c r="AH134" i="200"/>
  <c r="AI134" i="200" s="1"/>
  <c r="AH122" i="200"/>
  <c r="AI122" i="200" s="1"/>
  <c r="AH139" i="200"/>
  <c r="AI139" i="200" s="1"/>
  <c r="AH127" i="200"/>
  <c r="AI127" i="200" s="1"/>
  <c r="AH144" i="200"/>
  <c r="AI144" i="200" s="1"/>
  <c r="AH132" i="200"/>
  <c r="AH120" i="200"/>
  <c r="AI120" i="200" s="1"/>
  <c r="AH149" i="200"/>
  <c r="AI149" i="200" s="1"/>
  <c r="AH137" i="200"/>
  <c r="AI137" i="200" s="1"/>
  <c r="AH125" i="200"/>
  <c r="AH142" i="200"/>
  <c r="AI142" i="200" s="1"/>
  <c r="AH130" i="200"/>
  <c r="AI130" i="200" s="1"/>
  <c r="AH118" i="200"/>
  <c r="AI118" i="200" s="1"/>
  <c r="AH147" i="200"/>
  <c r="AI147" i="200" s="1"/>
  <c r="AH135" i="200"/>
  <c r="AI135" i="200" s="1"/>
  <c r="AH123" i="200"/>
  <c r="AI123" i="200" s="1"/>
  <c r="AH140" i="200"/>
  <c r="AI140" i="200" s="1"/>
  <c r="AH128" i="200"/>
  <c r="AH145" i="200"/>
  <c r="AI145" i="200" s="1"/>
  <c r="AH133" i="200"/>
  <c r="AI133" i="200" s="1"/>
  <c r="AH121" i="200"/>
  <c r="AI121" i="200" s="1"/>
  <c r="AH138" i="200"/>
  <c r="AI138" i="200" s="1"/>
  <c r="AH126" i="200"/>
  <c r="AI126" i="200" s="1"/>
  <c r="AH143" i="200"/>
  <c r="AH131" i="200"/>
  <c r="AI131" i="200" s="1"/>
  <c r="AH136" i="200"/>
  <c r="AI136" i="200" s="1"/>
  <c r="AH112" i="200"/>
  <c r="AI112" i="200" s="1"/>
  <c r="AH100" i="200"/>
  <c r="AI100" i="200" s="1"/>
  <c r="AH88" i="200"/>
  <c r="AI88" i="200" s="1"/>
  <c r="AH152" i="200"/>
  <c r="AH117" i="200"/>
  <c r="AI117" i="200" s="1"/>
  <c r="AH105" i="200"/>
  <c r="AI105" i="200" s="1"/>
  <c r="AH93" i="200"/>
  <c r="AI93" i="200" s="1"/>
  <c r="AH119" i="200"/>
  <c r="AI119" i="200" s="1"/>
  <c r="AH110" i="200"/>
  <c r="AI110" i="200" s="1"/>
  <c r="AH98" i="200"/>
  <c r="AI98" i="200" s="1"/>
  <c r="AH115" i="200"/>
  <c r="AI115" i="200" s="1"/>
  <c r="AH103" i="200"/>
  <c r="AI103" i="200" s="1"/>
  <c r="AH91" i="200"/>
  <c r="AH108" i="200"/>
  <c r="AI108" i="200" s="1"/>
  <c r="AH96" i="200"/>
  <c r="AI96" i="200" s="1"/>
  <c r="AH148" i="200"/>
  <c r="AH113" i="200"/>
  <c r="AI113" i="200" s="1"/>
  <c r="AH101" i="200"/>
  <c r="AI101" i="200" s="1"/>
  <c r="AH89" i="200"/>
  <c r="AI89" i="200" s="1"/>
  <c r="AH106" i="200"/>
  <c r="AI106" i="200" s="1"/>
  <c r="AH94" i="200"/>
  <c r="AI94" i="200" s="1"/>
  <c r="AH124" i="200"/>
  <c r="AI124" i="200" s="1"/>
  <c r="AH111" i="200"/>
  <c r="AI111" i="200" s="1"/>
  <c r="AH99" i="200"/>
  <c r="AI99" i="200" s="1"/>
  <c r="AH116" i="200"/>
  <c r="AI116" i="200" s="1"/>
  <c r="AH104" i="200"/>
  <c r="AI104" i="200" s="1"/>
  <c r="AH92" i="200"/>
  <c r="AI92" i="200" s="1"/>
  <c r="AH109" i="200"/>
  <c r="AH97" i="200"/>
  <c r="AI97" i="200" s="1"/>
  <c r="AH114" i="200"/>
  <c r="AI114" i="200" s="1"/>
  <c r="AH102" i="200"/>
  <c r="AI102" i="200" s="1"/>
  <c r="AH90" i="200"/>
  <c r="AI90" i="200" s="1"/>
  <c r="AH80" i="200"/>
  <c r="AI80" i="200" s="1"/>
  <c r="AH86" i="200"/>
  <c r="AI86" i="200" s="1"/>
  <c r="AH73" i="200"/>
  <c r="AI73" i="200" s="1"/>
  <c r="AH57" i="200"/>
  <c r="AI57" i="200" s="1"/>
  <c r="AH78" i="200"/>
  <c r="AI78" i="200" s="1"/>
  <c r="AH62" i="200"/>
  <c r="AI62" i="200" s="1"/>
  <c r="AH84" i="200"/>
  <c r="AH71" i="200"/>
  <c r="AI71" i="200" s="1"/>
  <c r="AH55" i="200"/>
  <c r="AI55" i="200" s="1"/>
  <c r="AH76" i="200"/>
  <c r="AI76" i="200" s="1"/>
  <c r="AH60" i="200"/>
  <c r="AI60" i="200" s="1"/>
  <c r="AH95" i="200"/>
  <c r="AI95" i="200" s="1"/>
  <c r="AH81" i="200"/>
  <c r="AI81" i="200" s="1"/>
  <c r="AH53" i="200"/>
  <c r="AI53" i="200" s="1"/>
  <c r="AH87" i="200"/>
  <c r="AI87" i="200" s="1"/>
  <c r="AH74" i="200"/>
  <c r="AI74" i="200" s="1"/>
  <c r="AH58" i="200"/>
  <c r="AI58" i="200" s="1"/>
  <c r="AH79" i="200"/>
  <c r="AI79" i="200" s="1"/>
  <c r="AH85" i="200"/>
  <c r="AI85" i="200" s="1"/>
  <c r="AH72" i="200"/>
  <c r="AI72" i="200" s="1"/>
  <c r="AH56" i="200"/>
  <c r="AI56" i="200" s="1"/>
  <c r="AH77" i="200"/>
  <c r="AI77" i="200" s="1"/>
  <c r="AH61" i="200"/>
  <c r="AI61" i="200" s="1"/>
  <c r="AH107" i="200"/>
  <c r="AI107" i="200" s="1"/>
  <c r="AH83" i="200"/>
  <c r="AI83" i="200" s="1"/>
  <c r="AH54" i="200"/>
  <c r="AI54" i="200" s="1"/>
  <c r="AH75" i="200"/>
  <c r="AI75" i="200" s="1"/>
  <c r="AH49" i="200"/>
  <c r="AI49" i="200" s="1"/>
  <c r="AH37" i="200"/>
  <c r="AI37" i="200" s="1"/>
  <c r="AH34" i="200"/>
  <c r="AI34" i="200" s="1"/>
  <c r="AH42" i="200"/>
  <c r="AI42" i="200" s="1"/>
  <c r="AH10" i="200"/>
  <c r="AI10" i="200" s="1"/>
  <c r="AH47" i="200"/>
  <c r="AI47" i="200" s="1"/>
  <c r="AH35" i="200"/>
  <c r="AI35" i="200" s="1"/>
  <c r="AH5" i="200"/>
  <c r="AI5" i="200" s="1"/>
  <c r="AH52" i="200"/>
  <c r="AH40" i="200"/>
  <c r="AI40" i="200" s="1"/>
  <c r="AH31" i="200"/>
  <c r="AI31" i="200" s="1"/>
  <c r="AH59" i="200"/>
  <c r="AI59" i="200" s="1"/>
  <c r="AH45" i="200"/>
  <c r="AI45" i="200" s="1"/>
  <c r="AH7" i="200"/>
  <c r="AI7" i="200" s="1"/>
  <c r="AH50" i="200"/>
  <c r="AI50" i="200" s="1"/>
  <c r="AH38" i="200"/>
  <c r="AI38" i="200" s="1"/>
  <c r="AH33" i="200"/>
  <c r="AI33" i="200" s="1"/>
  <c r="AH43" i="200"/>
  <c r="AI43" i="200" s="1"/>
  <c r="AH9" i="200"/>
  <c r="AI9" i="200" s="1"/>
  <c r="AH48" i="200"/>
  <c r="AI48" i="200" s="1"/>
  <c r="AH36" i="200"/>
  <c r="AI36" i="200" s="1"/>
  <c r="AH4" i="200"/>
  <c r="AI4" i="200" s="1"/>
  <c r="AH41" i="200"/>
  <c r="AI41" i="200" s="1"/>
  <c r="AH11" i="200"/>
  <c r="AI11" i="200" s="1"/>
  <c r="AH46" i="200"/>
  <c r="AI46" i="200" s="1"/>
  <c r="AH6" i="200"/>
  <c r="AI6" i="200" s="1"/>
  <c r="AH51" i="200"/>
  <c r="AI51" i="200" s="1"/>
  <c r="AH39" i="200"/>
  <c r="AI39" i="200" s="1"/>
  <c r="AH32" i="200"/>
  <c r="AI32" i="200" s="1"/>
  <c r="AH8" i="200"/>
  <c r="AI8" i="200" s="1"/>
  <c r="AH18" i="200"/>
  <c r="AI18" i="200" s="1"/>
  <c r="AH30" i="200"/>
  <c r="AI30" i="200" s="1"/>
  <c r="AH25" i="200"/>
  <c r="AI25" i="200" s="1"/>
  <c r="AH12" i="200"/>
  <c r="AI12" i="200" s="1"/>
  <c r="AH20" i="200"/>
  <c r="AI20" i="200" s="1"/>
  <c r="AH15" i="200"/>
  <c r="AI15" i="200" s="1"/>
  <c r="AH27" i="200"/>
  <c r="AI27" i="200" s="1"/>
  <c r="AH22" i="200"/>
  <c r="AI22" i="200" s="1"/>
  <c r="AH13" i="200"/>
  <c r="AI13" i="200" s="1"/>
  <c r="AH17" i="200"/>
  <c r="AI17" i="200" s="1"/>
  <c r="AH29" i="200"/>
  <c r="AI29" i="200" s="1"/>
  <c r="AH24" i="200"/>
  <c r="AI24" i="200" s="1"/>
  <c r="AH3" i="200"/>
  <c r="AI3" i="200" s="1"/>
  <c r="AH28" i="200"/>
  <c r="AI28" i="200" s="1"/>
  <c r="AH19" i="200"/>
  <c r="AI19" i="200" s="1"/>
  <c r="AH26" i="200"/>
  <c r="AI26" i="200" s="1"/>
  <c r="AH14" i="200"/>
  <c r="AI14" i="200" s="1"/>
  <c r="AH21" i="200"/>
  <c r="AI21" i="200" s="1"/>
  <c r="AH16" i="200"/>
  <c r="AI16" i="200" s="1"/>
  <c r="AH44" i="200"/>
  <c r="AI44" i="200" s="1"/>
  <c r="AH23" i="200"/>
  <c r="AI23" i="200" s="1"/>
  <c r="AI163" i="200"/>
  <c r="AI160" i="200"/>
  <c r="AI157" i="200"/>
  <c r="AI176" i="200"/>
  <c r="AI148" i="200"/>
  <c r="AI132" i="200"/>
  <c r="AI156" i="200"/>
  <c r="AI152" i="200"/>
  <c r="AI84" i="200"/>
  <c r="AI141" i="200"/>
  <c r="AI109" i="200"/>
  <c r="AI128" i="200"/>
  <c r="AI125" i="200"/>
  <c r="T174" i="197"/>
  <c r="T173" i="197"/>
  <c r="T172" i="197"/>
  <c r="T59" i="197"/>
  <c r="T60" i="197"/>
  <c r="T54" i="197"/>
  <c r="T66" i="197"/>
  <c r="T53" i="197"/>
  <c r="T65" i="197"/>
  <c r="T61" i="197"/>
  <c r="T58" i="197"/>
  <c r="T56" i="197"/>
  <c r="T55" i="197"/>
  <c r="T63" i="197"/>
  <c r="T62" i="197"/>
  <c r="T64" i="197"/>
  <c r="T57" i="197"/>
  <c r="T52" i="197"/>
  <c r="T5" i="197"/>
  <c r="T9" i="197"/>
  <c r="T13" i="197"/>
  <c r="T4" i="197"/>
  <c r="T6" i="197"/>
  <c r="T11" i="197"/>
  <c r="T16" i="197"/>
  <c r="T20" i="197"/>
  <c r="T24" i="197"/>
  <c r="T28" i="197"/>
  <c r="T7" i="197"/>
  <c r="T10" i="197"/>
  <c r="T18" i="197"/>
  <c r="T8" i="197"/>
  <c r="T17" i="197"/>
  <c r="T12" i="197"/>
  <c r="T22" i="197"/>
  <c r="T27" i="197"/>
  <c r="T14" i="197"/>
  <c r="T15" i="197"/>
  <c r="T21" i="197"/>
  <c r="T23" i="197"/>
  <c r="T26" i="197"/>
  <c r="T30" i="197"/>
  <c r="T29" i="197"/>
  <c r="T33" i="197"/>
  <c r="T37" i="197"/>
  <c r="T41" i="197"/>
  <c r="T45" i="197"/>
  <c r="T19" i="197"/>
  <c r="T34" i="197"/>
  <c r="T39" i="197"/>
  <c r="T44" i="197"/>
  <c r="T49" i="197"/>
  <c r="T25" i="197"/>
  <c r="T42" i="197"/>
  <c r="T48" i="197"/>
  <c r="T50" i="197"/>
  <c r="T32" i="197"/>
  <c r="T40" i="197"/>
  <c r="T43" i="197"/>
  <c r="T31" i="197"/>
  <c r="T35" i="197"/>
  <c r="T38" i="197"/>
  <c r="T46" i="197"/>
  <c r="T36" i="197"/>
  <c r="T47" i="197"/>
  <c r="T68" i="197"/>
  <c r="T72" i="197"/>
  <c r="T76" i="197"/>
  <c r="T80" i="197"/>
  <c r="T84" i="197"/>
  <c r="T67" i="197"/>
  <c r="T71" i="197"/>
  <c r="T75" i="197"/>
  <c r="T79" i="197"/>
  <c r="T83" i="197"/>
  <c r="T87" i="197"/>
  <c r="T91" i="197"/>
  <c r="T95" i="197"/>
  <c r="T99" i="197"/>
  <c r="T70" i="197"/>
  <c r="T74" i="197"/>
  <c r="T78" i="197"/>
  <c r="T82" i="197"/>
  <c r="T86" i="197"/>
  <c r="T90" i="197"/>
  <c r="T51" i="197"/>
  <c r="T69" i="197"/>
  <c r="T73" i="197"/>
  <c r="T77" i="197"/>
  <c r="T81" i="197"/>
  <c r="T88" i="197"/>
  <c r="T96" i="197"/>
  <c r="T101" i="197"/>
  <c r="T103" i="197"/>
  <c r="T107" i="197"/>
  <c r="T94" i="197"/>
  <c r="T100" i="197"/>
  <c r="T93" i="197"/>
  <c r="T98" i="197"/>
  <c r="T85" i="197"/>
  <c r="T89" i="197"/>
  <c r="T92" i="197"/>
  <c r="T97" i="197"/>
  <c r="T102" i="197"/>
  <c r="T104" i="197"/>
  <c r="T108" i="197"/>
  <c r="T112" i="197"/>
  <c r="T116" i="197"/>
  <c r="T120" i="197"/>
  <c r="T124" i="197"/>
  <c r="T128" i="197"/>
  <c r="T132" i="197"/>
  <c r="T106" i="197"/>
  <c r="T114" i="197"/>
  <c r="T119" i="197"/>
  <c r="T125" i="197"/>
  <c r="T130" i="197"/>
  <c r="T135" i="197"/>
  <c r="T139" i="197"/>
  <c r="T143" i="197"/>
  <c r="T147" i="197"/>
  <c r="T151" i="197"/>
  <c r="T155" i="197"/>
  <c r="T105" i="197"/>
  <c r="T113" i="197"/>
  <c r="T118" i="197"/>
  <c r="T123" i="197"/>
  <c r="T129" i="197"/>
  <c r="T134" i="197"/>
  <c r="T138" i="197"/>
  <c r="T142" i="197"/>
  <c r="T146" i="197"/>
  <c r="T110" i="197"/>
  <c r="T111" i="197"/>
  <c r="T117" i="197"/>
  <c r="T122" i="197"/>
  <c r="T127" i="197"/>
  <c r="T133" i="197"/>
  <c r="T137" i="197"/>
  <c r="T141" i="197"/>
  <c r="T145" i="197"/>
  <c r="T109" i="197"/>
  <c r="T115" i="197"/>
  <c r="T121" i="197"/>
  <c r="T126" i="197"/>
  <c r="T131" i="197"/>
  <c r="T136" i="197"/>
  <c r="T140" i="197"/>
  <c r="T144" i="197"/>
  <c r="T148" i="197"/>
  <c r="T152" i="197"/>
  <c r="T156" i="197"/>
  <c r="T160" i="197"/>
  <c r="T164" i="197"/>
  <c r="T168" i="197"/>
  <c r="T157" i="197"/>
  <c r="T161" i="197"/>
  <c r="T154" i="197"/>
  <c r="T159" i="197"/>
  <c r="T165" i="197"/>
  <c r="T3" i="197"/>
  <c r="T153" i="197"/>
  <c r="T158" i="197"/>
  <c r="T163" i="197"/>
  <c r="T169" i="197"/>
  <c r="T170" i="197"/>
  <c r="T150" i="197"/>
  <c r="T162" i="197"/>
  <c r="T167" i="197"/>
  <c r="T149" i="197"/>
  <c r="T166" i="197"/>
  <c r="T171" i="197"/>
  <c r="T176" i="197"/>
  <c r="T177" i="197"/>
  <c r="T175" i="197"/>
  <c r="U1" i="197"/>
  <c r="U173" i="197" l="1"/>
  <c r="U174" i="197"/>
  <c r="U172" i="197"/>
  <c r="U52" i="197"/>
  <c r="U64" i="197"/>
  <c r="U59" i="197"/>
  <c r="U63" i="197"/>
  <c r="U58" i="197"/>
  <c r="U53" i="197"/>
  <c r="U60" i="197"/>
  <c r="U55" i="197"/>
  <c r="U54" i="197"/>
  <c r="U66" i="197"/>
  <c r="U65" i="197"/>
  <c r="U61" i="197"/>
  <c r="U56" i="197"/>
  <c r="U62" i="197"/>
  <c r="U57" i="197"/>
  <c r="U6" i="197"/>
  <c r="U10" i="197"/>
  <c r="U14" i="197"/>
  <c r="U5" i="197"/>
  <c r="U7" i="197"/>
  <c r="U12" i="197"/>
  <c r="U17" i="197"/>
  <c r="U21" i="197"/>
  <c r="U25" i="197"/>
  <c r="U4" i="197"/>
  <c r="U19" i="197"/>
  <c r="U13" i="197"/>
  <c r="U18" i="197"/>
  <c r="U15" i="197"/>
  <c r="U23" i="197"/>
  <c r="U28" i="197"/>
  <c r="U9" i="197"/>
  <c r="U20" i="197"/>
  <c r="U31" i="197"/>
  <c r="U8" i="197"/>
  <c r="U11" i="197"/>
  <c r="U16" i="197"/>
  <c r="U26" i="197"/>
  <c r="U30" i="197"/>
  <c r="U24" i="197"/>
  <c r="U34" i="197"/>
  <c r="U38" i="197"/>
  <c r="U42" i="197"/>
  <c r="U46" i="197"/>
  <c r="U22" i="197"/>
  <c r="U27" i="197"/>
  <c r="U35" i="197"/>
  <c r="U40" i="197"/>
  <c r="U45" i="197"/>
  <c r="U50" i="197"/>
  <c r="U36" i="197"/>
  <c r="U39" i="197"/>
  <c r="U47" i="197"/>
  <c r="U51" i="197"/>
  <c r="U29" i="197"/>
  <c r="U37" i="197"/>
  <c r="U48" i="197"/>
  <c r="U49" i="197"/>
  <c r="U32" i="197"/>
  <c r="U43" i="197"/>
  <c r="U33" i="197"/>
  <c r="U41" i="197"/>
  <c r="U44" i="197"/>
  <c r="U69" i="197"/>
  <c r="U73" i="197"/>
  <c r="U77" i="197"/>
  <c r="U81" i="197"/>
  <c r="U85" i="197"/>
  <c r="U68" i="197"/>
  <c r="U72" i="197"/>
  <c r="U76" i="197"/>
  <c r="U80" i="197"/>
  <c r="U84" i="197"/>
  <c r="U88" i="197"/>
  <c r="U92" i="197"/>
  <c r="U96" i="197"/>
  <c r="U100" i="197"/>
  <c r="U67" i="197"/>
  <c r="U71" i="197"/>
  <c r="U75" i="197"/>
  <c r="U79" i="197"/>
  <c r="U83" i="197"/>
  <c r="U87" i="197"/>
  <c r="U70" i="197"/>
  <c r="U74" i="197"/>
  <c r="U78" i="197"/>
  <c r="U82" i="197"/>
  <c r="U89" i="197"/>
  <c r="U91" i="197"/>
  <c r="U97" i="197"/>
  <c r="U102" i="197"/>
  <c r="U104" i="197"/>
  <c r="U108" i="197"/>
  <c r="U95" i="197"/>
  <c r="U101" i="197"/>
  <c r="U103" i="197"/>
  <c r="U94" i="197"/>
  <c r="U99" i="197"/>
  <c r="U86" i="197"/>
  <c r="U90" i="197"/>
  <c r="U93" i="197"/>
  <c r="U98" i="197"/>
  <c r="U105" i="197"/>
  <c r="U109" i="197"/>
  <c r="U113" i="197"/>
  <c r="U117" i="197"/>
  <c r="U121" i="197"/>
  <c r="U125" i="197"/>
  <c r="U129" i="197"/>
  <c r="U133" i="197"/>
  <c r="U107" i="197"/>
  <c r="U115" i="197"/>
  <c r="U120" i="197"/>
  <c r="U126" i="197"/>
  <c r="U131" i="197"/>
  <c r="U136" i="197"/>
  <c r="U140" i="197"/>
  <c r="U144" i="197"/>
  <c r="U148" i="197"/>
  <c r="U152" i="197"/>
  <c r="U156" i="197"/>
  <c r="U106" i="197"/>
  <c r="U114" i="197"/>
  <c r="U119" i="197"/>
  <c r="U124" i="197"/>
  <c r="U130" i="197"/>
  <c r="U135" i="197"/>
  <c r="U139" i="197"/>
  <c r="U143" i="197"/>
  <c r="U112" i="197"/>
  <c r="U118" i="197"/>
  <c r="U123" i="197"/>
  <c r="U128" i="197"/>
  <c r="U134" i="197"/>
  <c r="U138" i="197"/>
  <c r="U142" i="197"/>
  <c r="U146" i="197"/>
  <c r="U110" i="197"/>
  <c r="U111" i="197"/>
  <c r="U116" i="197"/>
  <c r="U122" i="197"/>
  <c r="U127" i="197"/>
  <c r="U132" i="197"/>
  <c r="U137" i="197"/>
  <c r="U141" i="197"/>
  <c r="U145" i="197"/>
  <c r="U149" i="197"/>
  <c r="U153" i="197"/>
  <c r="U157" i="197"/>
  <c r="U161" i="197"/>
  <c r="U165" i="197"/>
  <c r="U169" i="197"/>
  <c r="U167" i="197"/>
  <c r="U155" i="197"/>
  <c r="U160" i="197"/>
  <c r="U166" i="197"/>
  <c r="U171" i="197"/>
  <c r="U154" i="197"/>
  <c r="U159" i="197"/>
  <c r="U164" i="197"/>
  <c r="U170" i="197"/>
  <c r="U3" i="197"/>
  <c r="U151" i="197"/>
  <c r="U158" i="197"/>
  <c r="U163" i="197"/>
  <c r="U168" i="197"/>
  <c r="U147" i="197"/>
  <c r="U150" i="197"/>
  <c r="U162" i="197"/>
  <c r="U177" i="197"/>
  <c r="U175" i="197"/>
  <c r="U176" i="197"/>
  <c r="V1" i="197"/>
  <c r="V173" i="197" l="1"/>
  <c r="V172" i="197"/>
  <c r="V174" i="197"/>
  <c r="V57" i="197"/>
  <c r="V60" i="197"/>
  <c r="V52" i="197"/>
  <c r="V64" i="197"/>
  <c r="V63" i="197"/>
  <c r="V58" i="197"/>
  <c r="V65" i="197"/>
  <c r="V59" i="197"/>
  <c r="V54" i="197"/>
  <c r="V66" i="197"/>
  <c r="V56" i="197"/>
  <c r="V61" i="197"/>
  <c r="V53" i="197"/>
  <c r="V55" i="197"/>
  <c r="V62" i="197"/>
  <c r="V7" i="197"/>
  <c r="V11" i="197"/>
  <c r="V6" i="197"/>
  <c r="V8" i="197"/>
  <c r="V13" i="197"/>
  <c r="V18" i="197"/>
  <c r="V22" i="197"/>
  <c r="V26" i="197"/>
  <c r="V5" i="197"/>
  <c r="V9" i="197"/>
  <c r="V12" i="197"/>
  <c r="V15" i="197"/>
  <c r="V20" i="197"/>
  <c r="V4" i="197"/>
  <c r="V10" i="197"/>
  <c r="V19" i="197"/>
  <c r="V16" i="197"/>
  <c r="V24" i="197"/>
  <c r="V25" i="197"/>
  <c r="V28" i="197"/>
  <c r="V14" i="197"/>
  <c r="V21" i="197"/>
  <c r="V23" i="197"/>
  <c r="V31" i="197"/>
  <c r="V35" i="197"/>
  <c r="V39" i="197"/>
  <c r="V43" i="197"/>
  <c r="V47" i="197"/>
  <c r="V29" i="197"/>
  <c r="V36" i="197"/>
  <c r="V41" i="197"/>
  <c r="V46" i="197"/>
  <c r="V51" i="197"/>
  <c r="V33" i="197"/>
  <c r="V44" i="197"/>
  <c r="V34" i="197"/>
  <c r="V42" i="197"/>
  <c r="V45" i="197"/>
  <c r="V50" i="197"/>
  <c r="V27" i="197"/>
  <c r="V30" i="197"/>
  <c r="V37" i="197"/>
  <c r="V40" i="197"/>
  <c r="V48" i="197"/>
  <c r="V49" i="197"/>
  <c r="V17" i="197"/>
  <c r="V32" i="197"/>
  <c r="V38" i="197"/>
  <c r="V70" i="197"/>
  <c r="V74" i="197"/>
  <c r="V78" i="197"/>
  <c r="V82" i="197"/>
  <c r="V86" i="197"/>
  <c r="V69" i="197"/>
  <c r="V73" i="197"/>
  <c r="V77" i="197"/>
  <c r="V81" i="197"/>
  <c r="V85" i="197"/>
  <c r="V89" i="197"/>
  <c r="V93" i="197"/>
  <c r="V97" i="197"/>
  <c r="V101" i="197"/>
  <c r="V68" i="197"/>
  <c r="V72" i="197"/>
  <c r="V76" i="197"/>
  <c r="V80" i="197"/>
  <c r="V84" i="197"/>
  <c r="V88" i="197"/>
  <c r="V67" i="197"/>
  <c r="V71" i="197"/>
  <c r="V75" i="197"/>
  <c r="V79" i="197"/>
  <c r="V83" i="197"/>
  <c r="V90" i="197"/>
  <c r="V92" i="197"/>
  <c r="V98" i="197"/>
  <c r="V105" i="197"/>
  <c r="V109" i="197"/>
  <c r="V91" i="197"/>
  <c r="V96" i="197"/>
  <c r="V102" i="197"/>
  <c r="V95" i="197"/>
  <c r="V100" i="197"/>
  <c r="V103" i="197"/>
  <c r="V87" i="197"/>
  <c r="V94" i="197"/>
  <c r="V99" i="197"/>
  <c r="V106" i="197"/>
  <c r="V110" i="197"/>
  <c r="V114" i="197"/>
  <c r="V118" i="197"/>
  <c r="V122" i="197"/>
  <c r="V126" i="197"/>
  <c r="V130" i="197"/>
  <c r="V134" i="197"/>
  <c r="V108" i="197"/>
  <c r="V111" i="197"/>
  <c r="V116" i="197"/>
  <c r="V121" i="197"/>
  <c r="V127" i="197"/>
  <c r="V132" i="197"/>
  <c r="V137" i="197"/>
  <c r="V141" i="197"/>
  <c r="V145" i="197"/>
  <c r="V149" i="197"/>
  <c r="V153" i="197"/>
  <c r="V157" i="197"/>
  <c r="V107" i="197"/>
  <c r="V115" i="197"/>
  <c r="V120" i="197"/>
  <c r="V125" i="197"/>
  <c r="V131" i="197"/>
  <c r="V136" i="197"/>
  <c r="V140" i="197"/>
  <c r="V144" i="197"/>
  <c r="V104" i="197"/>
  <c r="V113" i="197"/>
  <c r="V119" i="197"/>
  <c r="V124" i="197"/>
  <c r="V129" i="197"/>
  <c r="V135" i="197"/>
  <c r="V139" i="197"/>
  <c r="V143" i="197"/>
  <c r="V147" i="197"/>
  <c r="V112" i="197"/>
  <c r="V117" i="197"/>
  <c r="V123" i="197"/>
  <c r="V128" i="197"/>
  <c r="V133" i="197"/>
  <c r="V138" i="197"/>
  <c r="V142" i="197"/>
  <c r="V146" i="197"/>
  <c r="V150" i="197"/>
  <c r="V154" i="197"/>
  <c r="V158" i="197"/>
  <c r="V162" i="197"/>
  <c r="V166" i="197"/>
  <c r="V170" i="197"/>
  <c r="V168" i="197"/>
  <c r="V156" i="197"/>
  <c r="V161" i="197"/>
  <c r="V167" i="197"/>
  <c r="V155" i="197"/>
  <c r="V160" i="197"/>
  <c r="V165" i="197"/>
  <c r="V171" i="197"/>
  <c r="V152" i="197"/>
  <c r="V159" i="197"/>
  <c r="V164" i="197"/>
  <c r="V169" i="197"/>
  <c r="V3" i="197"/>
  <c r="V148" i="197"/>
  <c r="V151" i="197"/>
  <c r="V163" i="197"/>
  <c r="V176" i="197"/>
  <c r="V175" i="197"/>
  <c r="V177" i="197"/>
  <c r="W1" i="197"/>
  <c r="W174" i="197" l="1"/>
  <c r="W173" i="197"/>
  <c r="W172" i="197"/>
  <c r="W62" i="197"/>
  <c r="W57" i="197"/>
  <c r="W61" i="197"/>
  <c r="W65" i="197"/>
  <c r="W52" i="197"/>
  <c r="W64" i="197"/>
  <c r="W56" i="197"/>
  <c r="W58" i="197"/>
  <c r="W59" i="197"/>
  <c r="W54" i="197"/>
  <c r="W66" i="197"/>
  <c r="W63" i="197"/>
  <c r="W53" i="197"/>
  <c r="W60" i="197"/>
  <c r="W55" i="197"/>
  <c r="W4" i="197"/>
  <c r="W8" i="197"/>
  <c r="W12" i="197"/>
  <c r="W9" i="197"/>
  <c r="W14" i="197"/>
  <c r="W15" i="197"/>
  <c r="W19" i="197"/>
  <c r="W23" i="197"/>
  <c r="W27" i="197"/>
  <c r="W6" i="197"/>
  <c r="W16" i="197"/>
  <c r="W21" i="197"/>
  <c r="W5" i="197"/>
  <c r="W7" i="197"/>
  <c r="W20" i="197"/>
  <c r="W11" i="197"/>
  <c r="W17" i="197"/>
  <c r="W25" i="197"/>
  <c r="W22" i="197"/>
  <c r="W29" i="197"/>
  <c r="W28" i="197"/>
  <c r="W10" i="197"/>
  <c r="W32" i="197"/>
  <c r="W36" i="197"/>
  <c r="W40" i="197"/>
  <c r="W44" i="197"/>
  <c r="W48" i="197"/>
  <c r="W30" i="197"/>
  <c r="W37" i="197"/>
  <c r="W42" i="197"/>
  <c r="W47" i="197"/>
  <c r="W38" i="197"/>
  <c r="W41" i="197"/>
  <c r="W26" i="197"/>
  <c r="W33" i="197"/>
  <c r="W39" i="197"/>
  <c r="W51" i="197"/>
  <c r="W13" i="197"/>
  <c r="W18" i="197"/>
  <c r="W34" i="197"/>
  <c r="W45" i="197"/>
  <c r="W50" i="197"/>
  <c r="W24" i="197"/>
  <c r="W31" i="197"/>
  <c r="W35" i="197"/>
  <c r="W43" i="197"/>
  <c r="W46" i="197"/>
  <c r="W49" i="197"/>
  <c r="W67" i="197"/>
  <c r="W71" i="197"/>
  <c r="W75" i="197"/>
  <c r="W79" i="197"/>
  <c r="W83" i="197"/>
  <c r="W87" i="197"/>
  <c r="W70" i="197"/>
  <c r="W74" i="197"/>
  <c r="W78" i="197"/>
  <c r="W82" i="197"/>
  <c r="W86" i="197"/>
  <c r="W90" i="197"/>
  <c r="W94" i="197"/>
  <c r="W98" i="197"/>
  <c r="W102" i="197"/>
  <c r="W69" i="197"/>
  <c r="W73" i="197"/>
  <c r="W77" i="197"/>
  <c r="W81" i="197"/>
  <c r="W85" i="197"/>
  <c r="W89" i="197"/>
  <c r="W68" i="197"/>
  <c r="W72" i="197"/>
  <c r="W76" i="197"/>
  <c r="W80" i="197"/>
  <c r="W84" i="197"/>
  <c r="W93" i="197"/>
  <c r="W99" i="197"/>
  <c r="W106" i="197"/>
  <c r="W110" i="197"/>
  <c r="W88" i="197"/>
  <c r="W92" i="197"/>
  <c r="W97" i="197"/>
  <c r="W91" i="197"/>
  <c r="W96" i="197"/>
  <c r="W101" i="197"/>
  <c r="W95" i="197"/>
  <c r="W100" i="197"/>
  <c r="W103" i="197"/>
  <c r="W107" i="197"/>
  <c r="W111" i="197"/>
  <c r="W115" i="197"/>
  <c r="W119" i="197"/>
  <c r="W123" i="197"/>
  <c r="W127" i="197"/>
  <c r="W131" i="197"/>
  <c r="W109" i="197"/>
  <c r="W112" i="197"/>
  <c r="W117" i="197"/>
  <c r="W122" i="197"/>
  <c r="W128" i="197"/>
  <c r="W133" i="197"/>
  <c r="W138" i="197"/>
  <c r="W142" i="197"/>
  <c r="W146" i="197"/>
  <c r="W150" i="197"/>
  <c r="W154" i="197"/>
  <c r="W108" i="197"/>
  <c r="W116" i="197"/>
  <c r="W121" i="197"/>
  <c r="W126" i="197"/>
  <c r="W132" i="197"/>
  <c r="W137" i="197"/>
  <c r="W141" i="197"/>
  <c r="W145" i="197"/>
  <c r="W105" i="197"/>
  <c r="W114" i="197"/>
  <c r="W120" i="197"/>
  <c r="W125" i="197"/>
  <c r="W130" i="197"/>
  <c r="W136" i="197"/>
  <c r="W140" i="197"/>
  <c r="W144" i="197"/>
  <c r="W148" i="197"/>
  <c r="W104" i="197"/>
  <c r="W113" i="197"/>
  <c r="W118" i="197"/>
  <c r="W124" i="197"/>
  <c r="W129" i="197"/>
  <c r="W134" i="197"/>
  <c r="W135" i="197"/>
  <c r="W139" i="197"/>
  <c r="W143" i="197"/>
  <c r="W147" i="197"/>
  <c r="W151" i="197"/>
  <c r="W155" i="197"/>
  <c r="W159" i="197"/>
  <c r="W163" i="197"/>
  <c r="W167" i="197"/>
  <c r="W171" i="197"/>
  <c r="W3" i="197"/>
  <c r="W164" i="197"/>
  <c r="W168" i="197"/>
  <c r="W149" i="197"/>
  <c r="W157" i="197"/>
  <c r="W162" i="197"/>
  <c r="W156" i="197"/>
  <c r="W161" i="197"/>
  <c r="W166" i="197"/>
  <c r="W153" i="197"/>
  <c r="W160" i="197"/>
  <c r="W165" i="197"/>
  <c r="W170" i="197"/>
  <c r="W152" i="197"/>
  <c r="W158" i="197"/>
  <c r="W169" i="197"/>
  <c r="W175" i="197"/>
  <c r="W177" i="197"/>
  <c r="W176" i="197"/>
  <c r="X1" i="197"/>
  <c r="X174" i="197" l="1"/>
  <c r="X173" i="197"/>
  <c r="X172" i="197"/>
  <c r="X55" i="197"/>
  <c r="X54" i="197"/>
  <c r="X61" i="197"/>
  <c r="X62" i="197"/>
  <c r="X56" i="197"/>
  <c r="X58" i="197"/>
  <c r="X57" i="197"/>
  <c r="X66" i="197"/>
  <c r="X52" i="197"/>
  <c r="X64" i="197"/>
  <c r="X63" i="197"/>
  <c r="X59" i="197"/>
  <c r="X53" i="197"/>
  <c r="X65" i="197"/>
  <c r="X60" i="197"/>
  <c r="X5" i="197"/>
  <c r="X9" i="197"/>
  <c r="X13" i="197"/>
  <c r="X4" i="197"/>
  <c r="X10" i="197"/>
  <c r="X16" i="197"/>
  <c r="X20" i="197"/>
  <c r="X24" i="197"/>
  <c r="X28" i="197"/>
  <c r="X7" i="197"/>
  <c r="X11" i="197"/>
  <c r="X14" i="197"/>
  <c r="X17" i="197"/>
  <c r="X6" i="197"/>
  <c r="X12" i="197"/>
  <c r="X15" i="197"/>
  <c r="X18" i="197"/>
  <c r="X26" i="197"/>
  <c r="X19" i="197"/>
  <c r="X27" i="197"/>
  <c r="X30" i="197"/>
  <c r="X22" i="197"/>
  <c r="X25" i="197"/>
  <c r="X29" i="197"/>
  <c r="X8" i="197"/>
  <c r="X21" i="197"/>
  <c r="X23" i="197"/>
  <c r="X33" i="197"/>
  <c r="X37" i="197"/>
  <c r="X41" i="197"/>
  <c r="X45" i="197"/>
  <c r="X31" i="197"/>
  <c r="X32" i="197"/>
  <c r="X38" i="197"/>
  <c r="X43" i="197"/>
  <c r="X48" i="197"/>
  <c r="X49" i="197"/>
  <c r="X35" i="197"/>
  <c r="X46" i="197"/>
  <c r="X36" i="197"/>
  <c r="X44" i="197"/>
  <c r="X47" i="197"/>
  <c r="X39" i="197"/>
  <c r="X42" i="197"/>
  <c r="X51" i="197"/>
  <c r="X34" i="197"/>
  <c r="X40" i="197"/>
  <c r="X68" i="197"/>
  <c r="X72" i="197"/>
  <c r="X76" i="197"/>
  <c r="X80" i="197"/>
  <c r="X84" i="197"/>
  <c r="X67" i="197"/>
  <c r="X71" i="197"/>
  <c r="X75" i="197"/>
  <c r="X79" i="197"/>
  <c r="X83" i="197"/>
  <c r="X87" i="197"/>
  <c r="X91" i="197"/>
  <c r="X95" i="197"/>
  <c r="X99" i="197"/>
  <c r="X50" i="197"/>
  <c r="X70" i="197"/>
  <c r="X74" i="197"/>
  <c r="X78" i="197"/>
  <c r="X82" i="197"/>
  <c r="X86" i="197"/>
  <c r="X90" i="197"/>
  <c r="X69" i="197"/>
  <c r="X73" i="197"/>
  <c r="X77" i="197"/>
  <c r="X85" i="197"/>
  <c r="X94" i="197"/>
  <c r="X100" i="197"/>
  <c r="X103" i="197"/>
  <c r="X107" i="197"/>
  <c r="X81" i="197"/>
  <c r="X89" i="197"/>
  <c r="X93" i="197"/>
  <c r="X98" i="197"/>
  <c r="X88" i="197"/>
  <c r="X92" i="197"/>
  <c r="X97" i="197"/>
  <c r="X102" i="197"/>
  <c r="X96" i="197"/>
  <c r="X101" i="197"/>
  <c r="X104" i="197"/>
  <c r="X108" i="197"/>
  <c r="X112" i="197"/>
  <c r="X116" i="197"/>
  <c r="X120" i="197"/>
  <c r="X124" i="197"/>
  <c r="X128" i="197"/>
  <c r="X132" i="197"/>
  <c r="X110" i="197"/>
  <c r="X113" i="197"/>
  <c r="X118" i="197"/>
  <c r="X123" i="197"/>
  <c r="X129" i="197"/>
  <c r="X134" i="197"/>
  <c r="X135" i="197"/>
  <c r="X139" i="197"/>
  <c r="X143" i="197"/>
  <c r="X147" i="197"/>
  <c r="X151" i="197"/>
  <c r="X155" i="197"/>
  <c r="X109" i="197"/>
  <c r="X111" i="197"/>
  <c r="X117" i="197"/>
  <c r="X122" i="197"/>
  <c r="X127" i="197"/>
  <c r="X133" i="197"/>
  <c r="X138" i="197"/>
  <c r="X142" i="197"/>
  <c r="X146" i="197"/>
  <c r="X106" i="197"/>
  <c r="X115" i="197"/>
  <c r="X121" i="197"/>
  <c r="X126" i="197"/>
  <c r="X131" i="197"/>
  <c r="X137" i="197"/>
  <c r="X141" i="197"/>
  <c r="X145" i="197"/>
  <c r="X105" i="197"/>
  <c r="X114" i="197"/>
  <c r="X119" i="197"/>
  <c r="X125" i="197"/>
  <c r="X130" i="197"/>
  <c r="X136" i="197"/>
  <c r="X140" i="197"/>
  <c r="X144" i="197"/>
  <c r="X148" i="197"/>
  <c r="X152" i="197"/>
  <c r="X156" i="197"/>
  <c r="X160" i="197"/>
  <c r="X164" i="197"/>
  <c r="X168" i="197"/>
  <c r="X153" i="197"/>
  <c r="X165" i="197"/>
  <c r="X170" i="197"/>
  <c r="X150" i="197"/>
  <c r="X158" i="197"/>
  <c r="X163" i="197"/>
  <c r="X149" i="197"/>
  <c r="X157" i="197"/>
  <c r="X162" i="197"/>
  <c r="X167" i="197"/>
  <c r="X154" i="197"/>
  <c r="X161" i="197"/>
  <c r="X166" i="197"/>
  <c r="X171" i="197"/>
  <c r="X159" i="197"/>
  <c r="X3" i="197"/>
  <c r="X169" i="197"/>
  <c r="X176" i="197"/>
  <c r="X177" i="197"/>
  <c r="X175" i="197"/>
  <c r="Y1" i="197"/>
  <c r="Y174" i="197" l="1"/>
  <c r="Y173" i="197"/>
  <c r="Y172" i="197"/>
  <c r="Y60" i="197"/>
  <c r="Y66" i="197"/>
  <c r="Y55" i="197"/>
  <c r="Y59" i="197"/>
  <c r="Y61" i="197"/>
  <c r="Y62" i="197"/>
  <c r="Y57" i="197"/>
  <c r="Y54" i="197"/>
  <c r="Y63" i="197"/>
  <c r="Y52" i="197"/>
  <c r="Y64" i="197"/>
  <c r="Y56" i="197"/>
  <c r="Y65" i="197"/>
  <c r="Y58" i="197"/>
  <c r="Y53" i="197"/>
  <c r="Y6" i="197"/>
  <c r="Y10" i="197"/>
  <c r="Y14" i="197"/>
  <c r="Y4" i="197"/>
  <c r="Y5" i="197"/>
  <c r="Y11" i="197"/>
  <c r="Y17" i="197"/>
  <c r="Y21" i="197"/>
  <c r="Y25" i="197"/>
  <c r="Y8" i="197"/>
  <c r="Y18" i="197"/>
  <c r="Y9" i="197"/>
  <c r="Y16" i="197"/>
  <c r="Y19" i="197"/>
  <c r="Y22" i="197"/>
  <c r="Y27" i="197"/>
  <c r="Y7" i="197"/>
  <c r="Y12" i="197"/>
  <c r="Y24" i="197"/>
  <c r="Y31" i="197"/>
  <c r="Y15" i="197"/>
  <c r="Y20" i="197"/>
  <c r="Y30" i="197"/>
  <c r="Y28" i="197"/>
  <c r="Y29" i="197"/>
  <c r="Y34" i="197"/>
  <c r="Y38" i="197"/>
  <c r="Y42" i="197"/>
  <c r="Y46" i="197"/>
  <c r="Y33" i="197"/>
  <c r="Y39" i="197"/>
  <c r="Y44" i="197"/>
  <c r="Y50" i="197"/>
  <c r="Y32" i="197"/>
  <c r="Y40" i="197"/>
  <c r="Y43" i="197"/>
  <c r="Y49" i="197"/>
  <c r="Y35" i="197"/>
  <c r="Y41" i="197"/>
  <c r="Y26" i="197"/>
  <c r="Y36" i="197"/>
  <c r="Y47" i="197"/>
  <c r="Y13" i="197"/>
  <c r="Y23" i="197"/>
  <c r="Y37" i="197"/>
  <c r="Y45" i="197"/>
  <c r="Y48" i="197"/>
  <c r="Y51" i="197"/>
  <c r="Y69" i="197"/>
  <c r="Y73" i="197"/>
  <c r="Y77" i="197"/>
  <c r="Y81" i="197"/>
  <c r="Y85" i="197"/>
  <c r="Y68" i="197"/>
  <c r="Y72" i="197"/>
  <c r="Y76" i="197"/>
  <c r="Y80" i="197"/>
  <c r="Y84" i="197"/>
  <c r="Y88" i="197"/>
  <c r="Y92" i="197"/>
  <c r="Y96" i="197"/>
  <c r="Y100" i="197"/>
  <c r="Y67" i="197"/>
  <c r="Y71" i="197"/>
  <c r="Y75" i="197"/>
  <c r="Y79" i="197"/>
  <c r="Y83" i="197"/>
  <c r="Y87" i="197"/>
  <c r="Y70" i="197"/>
  <c r="Y74" i="197"/>
  <c r="Y78" i="197"/>
  <c r="Y86" i="197"/>
  <c r="Y95" i="197"/>
  <c r="Y101" i="197"/>
  <c r="Y104" i="197"/>
  <c r="Y108" i="197"/>
  <c r="Y82" i="197"/>
  <c r="Y90" i="197"/>
  <c r="Y94" i="197"/>
  <c r="Y99" i="197"/>
  <c r="Y103" i="197"/>
  <c r="Y89" i="197"/>
  <c r="Y93" i="197"/>
  <c r="Y98" i="197"/>
  <c r="Y91" i="197"/>
  <c r="Y97" i="197"/>
  <c r="Y102" i="197"/>
  <c r="Y105" i="197"/>
  <c r="Y109" i="197"/>
  <c r="Y113" i="197"/>
  <c r="Y117" i="197"/>
  <c r="Y121" i="197"/>
  <c r="Y125" i="197"/>
  <c r="Y129" i="197"/>
  <c r="Y133" i="197"/>
  <c r="Y114" i="197"/>
  <c r="Y119" i="197"/>
  <c r="Y124" i="197"/>
  <c r="Y130" i="197"/>
  <c r="Y136" i="197"/>
  <c r="Y140" i="197"/>
  <c r="Y144" i="197"/>
  <c r="Y148" i="197"/>
  <c r="Y152" i="197"/>
  <c r="Y156" i="197"/>
  <c r="Y110" i="197"/>
  <c r="Y112" i="197"/>
  <c r="Y118" i="197"/>
  <c r="Y123" i="197"/>
  <c r="Y128" i="197"/>
  <c r="Y134" i="197"/>
  <c r="Y135" i="197"/>
  <c r="Y139" i="197"/>
  <c r="Y143" i="197"/>
  <c r="Y107" i="197"/>
  <c r="Y111" i="197"/>
  <c r="Y116" i="197"/>
  <c r="Y122" i="197"/>
  <c r="Y127" i="197"/>
  <c r="Y132" i="197"/>
  <c r="Y138" i="197"/>
  <c r="Y142" i="197"/>
  <c r="Y146" i="197"/>
  <c r="Y106" i="197"/>
  <c r="Y115" i="197"/>
  <c r="Y120" i="197"/>
  <c r="Y126" i="197"/>
  <c r="Y131" i="197"/>
  <c r="Y137" i="197"/>
  <c r="Y141" i="197"/>
  <c r="Y145" i="197"/>
  <c r="Y149" i="197"/>
  <c r="Y153" i="197"/>
  <c r="Y157" i="197"/>
  <c r="Y161" i="197"/>
  <c r="Y165" i="197"/>
  <c r="Y169" i="197"/>
  <c r="Y154" i="197"/>
  <c r="Y166" i="197"/>
  <c r="Y171" i="197"/>
  <c r="Y170" i="197"/>
  <c r="Y147" i="197"/>
  <c r="Y151" i="197"/>
  <c r="Y159" i="197"/>
  <c r="Y164" i="197"/>
  <c r="Y150" i="197"/>
  <c r="Y158" i="197"/>
  <c r="Y163" i="197"/>
  <c r="Y168" i="197"/>
  <c r="Y3" i="197"/>
  <c r="Y155" i="197"/>
  <c r="Y162" i="197"/>
  <c r="Y167" i="197"/>
  <c r="Y160" i="197"/>
  <c r="Y177" i="197"/>
  <c r="Y175" i="197"/>
  <c r="Y176" i="197"/>
  <c r="Z1" i="197"/>
  <c r="Z174" i="197" l="1"/>
  <c r="Z172" i="197"/>
  <c r="Z173" i="197"/>
  <c r="Z53" i="197"/>
  <c r="Z65" i="197"/>
  <c r="Z59" i="197"/>
  <c r="Z54" i="197"/>
  <c r="Z56" i="197"/>
  <c r="Z60" i="197"/>
  <c r="Z55" i="197"/>
  <c r="Z52" i="197"/>
  <c r="Z64" i="197"/>
  <c r="Z62" i="197"/>
  <c r="Z61" i="197"/>
  <c r="Z57" i="197"/>
  <c r="Z66" i="197"/>
  <c r="Z63" i="197"/>
  <c r="Z58" i="197"/>
  <c r="Z7" i="197"/>
  <c r="Z11" i="197"/>
  <c r="Z5" i="197"/>
  <c r="Z6" i="197"/>
  <c r="Z12" i="197"/>
  <c r="Z18" i="197"/>
  <c r="Z22" i="197"/>
  <c r="Z26" i="197"/>
  <c r="Z4" i="197"/>
  <c r="Z13" i="197"/>
  <c r="Z19" i="197"/>
  <c r="Z8" i="197"/>
  <c r="Z14" i="197"/>
  <c r="Z17" i="197"/>
  <c r="Z10" i="197"/>
  <c r="Z20" i="197"/>
  <c r="Z21" i="197"/>
  <c r="Z23" i="197"/>
  <c r="Z28" i="197"/>
  <c r="Z9" i="197"/>
  <c r="Z24" i="197"/>
  <c r="Z27" i="197"/>
  <c r="Z31" i="197"/>
  <c r="Z30" i="197"/>
  <c r="Z35" i="197"/>
  <c r="Z39" i="197"/>
  <c r="Z43" i="197"/>
  <c r="Z47" i="197"/>
  <c r="Z25" i="197"/>
  <c r="Z34" i="197"/>
  <c r="Z40" i="197"/>
  <c r="Z45" i="197"/>
  <c r="Z51" i="197"/>
  <c r="Z37" i="197"/>
  <c r="Z48" i="197"/>
  <c r="Z50" i="197"/>
  <c r="Z16" i="197"/>
  <c r="Z32" i="197"/>
  <c r="Z38" i="197"/>
  <c r="Z46" i="197"/>
  <c r="Z49" i="197"/>
  <c r="Z29" i="197"/>
  <c r="Z33" i="197"/>
  <c r="Z41" i="197"/>
  <c r="Z44" i="197"/>
  <c r="Z15" i="197"/>
  <c r="Z36" i="197"/>
  <c r="Z42" i="197"/>
  <c r="Z70" i="197"/>
  <c r="Z74" i="197"/>
  <c r="Z78" i="197"/>
  <c r="Z82" i="197"/>
  <c r="Z86" i="197"/>
  <c r="Z69" i="197"/>
  <c r="Z73" i="197"/>
  <c r="Z77" i="197"/>
  <c r="Z81" i="197"/>
  <c r="Z85" i="197"/>
  <c r="Z89" i="197"/>
  <c r="Z93" i="197"/>
  <c r="Z97" i="197"/>
  <c r="Z101" i="197"/>
  <c r="Z68" i="197"/>
  <c r="Z72" i="197"/>
  <c r="Z76" i="197"/>
  <c r="Z80" i="197"/>
  <c r="Z84" i="197"/>
  <c r="Z88" i="197"/>
  <c r="Z67" i="197"/>
  <c r="Z71" i="197"/>
  <c r="Z75" i="197"/>
  <c r="Z79" i="197"/>
  <c r="Z87" i="197"/>
  <c r="Z91" i="197"/>
  <c r="Z96" i="197"/>
  <c r="Z102" i="197"/>
  <c r="Z105" i="197"/>
  <c r="Z109" i="197"/>
  <c r="Z83" i="197"/>
  <c r="Z95" i="197"/>
  <c r="Z100" i="197"/>
  <c r="Z90" i="197"/>
  <c r="Z94" i="197"/>
  <c r="Z99" i="197"/>
  <c r="Z103" i="197"/>
  <c r="Z92" i="197"/>
  <c r="Z98" i="197"/>
  <c r="Z106" i="197"/>
  <c r="Z110" i="197"/>
  <c r="Z114" i="197"/>
  <c r="Z118" i="197"/>
  <c r="Z122" i="197"/>
  <c r="Z126" i="197"/>
  <c r="Z130" i="197"/>
  <c r="Z134" i="197"/>
  <c r="Z104" i="197"/>
  <c r="Z115" i="197"/>
  <c r="Z120" i="197"/>
  <c r="Z125" i="197"/>
  <c r="Z131" i="197"/>
  <c r="Z137" i="197"/>
  <c r="Z141" i="197"/>
  <c r="Z145" i="197"/>
  <c r="Z149" i="197"/>
  <c r="Z153" i="197"/>
  <c r="Z113" i="197"/>
  <c r="Z119" i="197"/>
  <c r="Z124" i="197"/>
  <c r="Z129" i="197"/>
  <c r="Z136" i="197"/>
  <c r="Z140" i="197"/>
  <c r="Z144" i="197"/>
  <c r="Z108" i="197"/>
  <c r="Z112" i="197"/>
  <c r="Z117" i="197"/>
  <c r="Z123" i="197"/>
  <c r="Z128" i="197"/>
  <c r="Z133" i="197"/>
  <c r="Z135" i="197"/>
  <c r="Z139" i="197"/>
  <c r="Z143" i="197"/>
  <c r="Z147" i="197"/>
  <c r="Z107" i="197"/>
  <c r="Z111" i="197"/>
  <c r="Z116" i="197"/>
  <c r="Z121" i="197"/>
  <c r="Z127" i="197"/>
  <c r="Z132" i="197"/>
  <c r="Z138" i="197"/>
  <c r="Z142" i="197"/>
  <c r="Z146" i="197"/>
  <c r="Z150" i="197"/>
  <c r="Z154" i="197"/>
  <c r="Z158" i="197"/>
  <c r="Z162" i="197"/>
  <c r="Z166" i="197"/>
  <c r="Z170" i="197"/>
  <c r="Z148" i="197"/>
  <c r="Z152" i="197"/>
  <c r="Z160" i="197"/>
  <c r="Z151" i="197"/>
  <c r="Z159" i="197"/>
  <c r="Z164" i="197"/>
  <c r="Z169" i="197"/>
  <c r="Z3" i="197"/>
  <c r="Z171" i="197"/>
  <c r="Z156" i="197"/>
  <c r="Z157" i="197"/>
  <c r="Z163" i="197"/>
  <c r="Z168" i="197"/>
  <c r="Z155" i="197"/>
  <c r="Z161" i="197"/>
  <c r="Z167" i="197"/>
  <c r="Z165" i="197"/>
  <c r="Z176" i="197"/>
  <c r="Z175" i="197"/>
  <c r="Z177" i="197"/>
  <c r="AA1" i="197"/>
  <c r="AA174" i="197" l="1"/>
  <c r="AA173" i="197"/>
  <c r="AA172" i="197"/>
  <c r="AA58" i="197"/>
  <c r="AA53" i="197"/>
  <c r="AA65" i="197"/>
  <c r="AA60" i="197"/>
  <c r="AA52" i="197"/>
  <c r="AA54" i="197"/>
  <c r="AA55" i="197"/>
  <c r="AA57" i="197"/>
  <c r="AA59" i="197"/>
  <c r="AA66" i="197"/>
  <c r="AA62" i="197"/>
  <c r="AA64" i="197"/>
  <c r="AA61" i="197"/>
  <c r="AA56" i="197"/>
  <c r="AA63" i="197"/>
  <c r="AA4" i="197"/>
  <c r="AA8" i="197"/>
  <c r="AA12" i="197"/>
  <c r="AA6" i="197"/>
  <c r="AA7" i="197"/>
  <c r="AA13" i="197"/>
  <c r="AA15" i="197"/>
  <c r="AA19" i="197"/>
  <c r="AA23" i="197"/>
  <c r="AA27" i="197"/>
  <c r="AA5" i="197"/>
  <c r="AA10" i="197"/>
  <c r="AA20" i="197"/>
  <c r="AA11" i="197"/>
  <c r="AA18" i="197"/>
  <c r="AA9" i="197"/>
  <c r="AA24" i="197"/>
  <c r="AA26" i="197"/>
  <c r="AA29" i="197"/>
  <c r="AA22" i="197"/>
  <c r="AA31" i="197"/>
  <c r="AA32" i="197"/>
  <c r="AA36" i="197"/>
  <c r="AA40" i="197"/>
  <c r="AA44" i="197"/>
  <c r="AA48" i="197"/>
  <c r="AA14" i="197"/>
  <c r="AA28" i="197"/>
  <c r="AA35" i="197"/>
  <c r="AA41" i="197"/>
  <c r="AA46" i="197"/>
  <c r="AA17" i="197"/>
  <c r="AA34" i="197"/>
  <c r="AA42" i="197"/>
  <c r="AA45" i="197"/>
  <c r="AA51" i="197"/>
  <c r="AA25" i="197"/>
  <c r="AA37" i="197"/>
  <c r="AA43" i="197"/>
  <c r="AA50" i="197"/>
  <c r="AA16" i="197"/>
  <c r="AA21" i="197"/>
  <c r="AA38" i="197"/>
  <c r="AA49" i="197"/>
  <c r="AA30" i="197"/>
  <c r="AA33" i="197"/>
  <c r="AA39" i="197"/>
  <c r="AA47" i="197"/>
  <c r="AA67" i="197"/>
  <c r="AA71" i="197"/>
  <c r="AA75" i="197"/>
  <c r="AA79" i="197"/>
  <c r="AA83" i="197"/>
  <c r="AA87" i="197"/>
  <c r="AA70" i="197"/>
  <c r="AA74" i="197"/>
  <c r="AA78" i="197"/>
  <c r="AA82" i="197"/>
  <c r="AA86" i="197"/>
  <c r="AA90" i="197"/>
  <c r="AA94" i="197"/>
  <c r="AA98" i="197"/>
  <c r="AA102" i="197"/>
  <c r="AA69" i="197"/>
  <c r="AA73" i="197"/>
  <c r="AA77" i="197"/>
  <c r="AA81" i="197"/>
  <c r="AA85" i="197"/>
  <c r="AA89" i="197"/>
  <c r="AA68" i="197"/>
  <c r="AA72" i="197"/>
  <c r="AA76" i="197"/>
  <c r="AA80" i="197"/>
  <c r="AA92" i="197"/>
  <c r="AA97" i="197"/>
  <c r="AA106" i="197"/>
  <c r="AA110" i="197"/>
  <c r="AA84" i="197"/>
  <c r="AA91" i="197"/>
  <c r="AA96" i="197"/>
  <c r="AA101" i="197"/>
  <c r="AA95" i="197"/>
  <c r="AA100" i="197"/>
  <c r="AA88" i="197"/>
  <c r="AA93" i="197"/>
  <c r="AA99" i="197"/>
  <c r="AA103" i="197"/>
  <c r="AA107" i="197"/>
  <c r="AA111" i="197"/>
  <c r="AA115" i="197"/>
  <c r="AA119" i="197"/>
  <c r="AA123" i="197"/>
  <c r="AA127" i="197"/>
  <c r="AA131" i="197"/>
  <c r="AA105" i="197"/>
  <c r="AA116" i="197"/>
  <c r="AA121" i="197"/>
  <c r="AA126" i="197"/>
  <c r="AA132" i="197"/>
  <c r="AA138" i="197"/>
  <c r="AA142" i="197"/>
  <c r="AA146" i="197"/>
  <c r="AA150" i="197"/>
  <c r="AA154" i="197"/>
  <c r="AA104" i="197"/>
  <c r="AA114" i="197"/>
  <c r="AA120" i="197"/>
  <c r="AA125" i="197"/>
  <c r="AA130" i="197"/>
  <c r="AA137" i="197"/>
  <c r="AA141" i="197"/>
  <c r="AA145" i="197"/>
  <c r="AA109" i="197"/>
  <c r="AA113" i="197"/>
  <c r="AA118" i="197"/>
  <c r="AA124" i="197"/>
  <c r="AA129" i="197"/>
  <c r="AA134" i="197"/>
  <c r="AA136" i="197"/>
  <c r="AA140" i="197"/>
  <c r="AA144" i="197"/>
  <c r="AA148" i="197"/>
  <c r="AA108" i="197"/>
  <c r="AA112" i="197"/>
  <c r="AA117" i="197"/>
  <c r="AA122" i="197"/>
  <c r="AA128" i="197"/>
  <c r="AA133" i="197"/>
  <c r="AA135" i="197"/>
  <c r="AA139" i="197"/>
  <c r="AA143" i="197"/>
  <c r="AA147" i="197"/>
  <c r="AA151" i="197"/>
  <c r="AA155" i="197"/>
  <c r="AA159" i="197"/>
  <c r="AA163" i="197"/>
  <c r="AA167" i="197"/>
  <c r="AA171" i="197"/>
  <c r="AA3" i="197"/>
  <c r="AA156" i="197"/>
  <c r="AA162" i="197"/>
  <c r="AA153" i="197"/>
  <c r="AA161" i="197"/>
  <c r="AA152" i="197"/>
  <c r="AA160" i="197"/>
  <c r="AA165" i="197"/>
  <c r="AA170" i="197"/>
  <c r="AA149" i="197"/>
  <c r="AA158" i="197"/>
  <c r="AA164" i="197"/>
  <c r="AA169" i="197"/>
  <c r="AA157" i="197"/>
  <c r="AA168" i="197"/>
  <c r="AA166" i="197"/>
  <c r="AA175" i="197"/>
  <c r="AA177" i="197"/>
  <c r="AA176" i="197"/>
  <c r="AB1" i="197"/>
  <c r="AB172" i="197" l="1"/>
  <c r="AB173" i="197"/>
  <c r="AB174" i="197"/>
  <c r="AB63" i="197"/>
  <c r="AB57" i="197"/>
  <c r="AB64" i="197"/>
  <c r="AB58" i="197"/>
  <c r="AB53" i="197"/>
  <c r="AB65" i="197"/>
  <c r="AB54" i="197"/>
  <c r="AB60" i="197"/>
  <c r="AB62" i="197"/>
  <c r="AB52" i="197"/>
  <c r="AB59" i="197"/>
  <c r="AB66" i="197"/>
  <c r="AB55" i="197"/>
  <c r="AB56" i="197"/>
  <c r="AB61" i="197"/>
  <c r="AB5" i="197"/>
  <c r="AB9" i="197"/>
  <c r="AB13" i="197"/>
  <c r="AB8" i="197"/>
  <c r="AB14" i="197"/>
  <c r="AB16" i="197"/>
  <c r="AB20" i="197"/>
  <c r="AB24" i="197"/>
  <c r="AB6" i="197"/>
  <c r="AB7" i="197"/>
  <c r="AB15" i="197"/>
  <c r="AB21" i="197"/>
  <c r="AB10" i="197"/>
  <c r="AB19" i="197"/>
  <c r="AB25" i="197"/>
  <c r="AB17" i="197"/>
  <c r="AB18" i="197"/>
  <c r="AB23" i="197"/>
  <c r="AB28" i="197"/>
  <c r="AB30" i="197"/>
  <c r="AB4" i="197"/>
  <c r="AB12" i="197"/>
  <c r="AB26" i="197"/>
  <c r="AB29" i="197"/>
  <c r="AB11" i="197"/>
  <c r="AB27" i="197"/>
  <c r="AB33" i="197"/>
  <c r="AB37" i="197"/>
  <c r="AB41" i="197"/>
  <c r="AB45" i="197"/>
  <c r="AB36" i="197"/>
  <c r="AB42" i="197"/>
  <c r="AB47" i="197"/>
  <c r="AB49" i="197"/>
  <c r="AB31" i="197"/>
  <c r="AB39" i="197"/>
  <c r="AB34" i="197"/>
  <c r="AB40" i="197"/>
  <c r="AB48" i="197"/>
  <c r="AB51" i="197"/>
  <c r="AB22" i="197"/>
  <c r="AB32" i="197"/>
  <c r="AB35" i="197"/>
  <c r="AB43" i="197"/>
  <c r="AB46" i="197"/>
  <c r="AB50" i="197"/>
  <c r="AB38" i="197"/>
  <c r="AB44" i="197"/>
  <c r="AB68" i="197"/>
  <c r="AB72" i="197"/>
  <c r="AB76" i="197"/>
  <c r="AB80" i="197"/>
  <c r="AB84" i="197"/>
  <c r="AB67" i="197"/>
  <c r="AB71" i="197"/>
  <c r="AB75" i="197"/>
  <c r="AB79" i="197"/>
  <c r="AB83" i="197"/>
  <c r="AB87" i="197"/>
  <c r="AB91" i="197"/>
  <c r="AB95" i="197"/>
  <c r="AB99" i="197"/>
  <c r="AB70" i="197"/>
  <c r="AB74" i="197"/>
  <c r="AB78" i="197"/>
  <c r="AB82" i="197"/>
  <c r="AB86" i="197"/>
  <c r="AB90" i="197"/>
  <c r="AB69" i="197"/>
  <c r="AB73" i="197"/>
  <c r="AB77" i="197"/>
  <c r="AB88" i="197"/>
  <c r="AB93" i="197"/>
  <c r="AB98" i="197"/>
  <c r="AB103" i="197"/>
  <c r="AB107" i="197"/>
  <c r="AB85" i="197"/>
  <c r="AB92" i="197"/>
  <c r="AB97" i="197"/>
  <c r="AB102" i="197"/>
  <c r="AB81" i="197"/>
  <c r="AB96" i="197"/>
  <c r="AB101" i="197"/>
  <c r="AB89" i="197"/>
  <c r="AB94" i="197"/>
  <c r="AB100" i="197"/>
  <c r="AB104" i="197"/>
  <c r="AB108" i="197"/>
  <c r="AB112" i="197"/>
  <c r="AB116" i="197"/>
  <c r="AB120" i="197"/>
  <c r="AB124" i="197"/>
  <c r="AB128" i="197"/>
  <c r="AB132" i="197"/>
  <c r="AB106" i="197"/>
  <c r="AB111" i="197"/>
  <c r="AB117" i="197"/>
  <c r="AB122" i="197"/>
  <c r="AB127" i="197"/>
  <c r="AB133" i="197"/>
  <c r="AB135" i="197"/>
  <c r="AB139" i="197"/>
  <c r="AB143" i="197"/>
  <c r="AB147" i="197"/>
  <c r="AB151" i="197"/>
  <c r="AB155" i="197"/>
  <c r="AB105" i="197"/>
  <c r="AB115" i="197"/>
  <c r="AB121" i="197"/>
  <c r="AB126" i="197"/>
  <c r="AB131" i="197"/>
  <c r="AB138" i="197"/>
  <c r="AB142" i="197"/>
  <c r="AB146" i="197"/>
  <c r="AB110" i="197"/>
  <c r="AB114" i="197"/>
  <c r="AB119" i="197"/>
  <c r="AB125" i="197"/>
  <c r="AB130" i="197"/>
  <c r="AB137" i="197"/>
  <c r="AB141" i="197"/>
  <c r="AB145" i="197"/>
  <c r="AB109" i="197"/>
  <c r="AB113" i="197"/>
  <c r="AB118" i="197"/>
  <c r="AB123" i="197"/>
  <c r="AB129" i="197"/>
  <c r="AB134" i="197"/>
  <c r="AB136" i="197"/>
  <c r="AB140" i="197"/>
  <c r="AB144" i="197"/>
  <c r="AB148" i="197"/>
  <c r="AB152" i="197"/>
  <c r="AB156" i="197"/>
  <c r="AB160" i="197"/>
  <c r="AB164" i="197"/>
  <c r="AB168" i="197"/>
  <c r="AB149" i="197"/>
  <c r="AB158" i="197"/>
  <c r="AB154" i="197"/>
  <c r="AB157" i="197"/>
  <c r="AB162" i="197"/>
  <c r="AB153" i="197"/>
  <c r="AB161" i="197"/>
  <c r="AB166" i="197"/>
  <c r="AB171" i="197"/>
  <c r="AB150" i="197"/>
  <c r="AB159" i="197"/>
  <c r="AB165" i="197"/>
  <c r="AB170" i="197"/>
  <c r="AB3" i="197"/>
  <c r="AB163" i="197"/>
  <c r="AB169" i="197"/>
  <c r="AB167" i="197"/>
  <c r="AB176" i="197"/>
  <c r="AB177" i="197"/>
  <c r="AB175" i="197"/>
  <c r="AC1" i="197"/>
  <c r="AC172" i="197" l="1"/>
  <c r="AC174" i="197"/>
  <c r="AC173" i="197"/>
  <c r="AC56" i="197"/>
  <c r="AC63" i="197"/>
  <c r="AC52" i="197"/>
  <c r="AC58" i="197"/>
  <c r="AC55" i="197"/>
  <c r="AC53" i="197"/>
  <c r="AC65" i="197"/>
  <c r="AC57" i="197"/>
  <c r="AC64" i="197"/>
  <c r="AC60" i="197"/>
  <c r="AC62" i="197"/>
  <c r="AC59" i="197"/>
  <c r="AC66" i="197"/>
  <c r="AC54" i="197"/>
  <c r="AC61" i="197"/>
  <c r="AC6" i="197"/>
  <c r="AC10" i="197"/>
  <c r="AC14" i="197"/>
  <c r="AC4" i="197"/>
  <c r="AC9" i="197"/>
  <c r="AC17" i="197"/>
  <c r="AC21" i="197"/>
  <c r="AC25" i="197"/>
  <c r="AC12" i="197"/>
  <c r="AC16" i="197"/>
  <c r="AC7" i="197"/>
  <c r="AC13" i="197"/>
  <c r="AC15" i="197"/>
  <c r="AC20" i="197"/>
  <c r="AC5" i="197"/>
  <c r="AC26" i="197"/>
  <c r="AC22" i="197"/>
  <c r="AC31" i="197"/>
  <c r="AC18" i="197"/>
  <c r="AC19" i="197"/>
  <c r="AC23" i="197"/>
  <c r="AC28" i="197"/>
  <c r="AC30" i="197"/>
  <c r="AC34" i="197"/>
  <c r="AC38" i="197"/>
  <c r="AC42" i="197"/>
  <c r="AC46" i="197"/>
  <c r="AC32" i="197"/>
  <c r="AC37" i="197"/>
  <c r="AC43" i="197"/>
  <c r="AC48" i="197"/>
  <c r="AC50" i="197"/>
  <c r="AC11" i="197"/>
  <c r="AC24" i="197"/>
  <c r="AC33" i="197"/>
  <c r="AC36" i="197"/>
  <c r="AC44" i="197"/>
  <c r="AC47" i="197"/>
  <c r="AC8" i="197"/>
  <c r="AC39" i="197"/>
  <c r="AC45" i="197"/>
  <c r="AC40" i="197"/>
  <c r="AC51" i="197"/>
  <c r="AC27" i="197"/>
  <c r="AC29" i="197"/>
  <c r="AC35" i="197"/>
  <c r="AC41" i="197"/>
  <c r="AC49" i="197"/>
  <c r="AC69" i="197"/>
  <c r="AC73" i="197"/>
  <c r="AC77" i="197"/>
  <c r="AC81" i="197"/>
  <c r="AC85" i="197"/>
  <c r="AC68" i="197"/>
  <c r="AC72" i="197"/>
  <c r="AC76" i="197"/>
  <c r="AC80" i="197"/>
  <c r="AC84" i="197"/>
  <c r="AC88" i="197"/>
  <c r="AC92" i="197"/>
  <c r="AC96" i="197"/>
  <c r="AC100" i="197"/>
  <c r="AC67" i="197"/>
  <c r="AC71" i="197"/>
  <c r="AC75" i="197"/>
  <c r="AC79" i="197"/>
  <c r="AC83" i="197"/>
  <c r="AC87" i="197"/>
  <c r="AC70" i="197"/>
  <c r="AC74" i="197"/>
  <c r="AC78" i="197"/>
  <c r="AC89" i="197"/>
  <c r="AC94" i="197"/>
  <c r="AC99" i="197"/>
  <c r="AC104" i="197"/>
  <c r="AC108" i="197"/>
  <c r="AC86" i="197"/>
  <c r="AC93" i="197"/>
  <c r="AC98" i="197"/>
  <c r="AC103" i="197"/>
  <c r="AC82" i="197"/>
  <c r="AC91" i="197"/>
  <c r="AC97" i="197"/>
  <c r="AC102" i="197"/>
  <c r="AC90" i="197"/>
  <c r="AC95" i="197"/>
  <c r="AC101" i="197"/>
  <c r="AC105" i="197"/>
  <c r="AC109" i="197"/>
  <c r="AC113" i="197"/>
  <c r="AC117" i="197"/>
  <c r="AC121" i="197"/>
  <c r="AC125" i="197"/>
  <c r="AC129" i="197"/>
  <c r="AC133" i="197"/>
  <c r="AC107" i="197"/>
  <c r="AC112" i="197"/>
  <c r="AC118" i="197"/>
  <c r="AC123" i="197"/>
  <c r="AC128" i="197"/>
  <c r="AC134" i="197"/>
  <c r="AC136" i="197"/>
  <c r="AC140" i="197"/>
  <c r="AC144" i="197"/>
  <c r="AC148" i="197"/>
  <c r="AC152" i="197"/>
  <c r="AC156" i="197"/>
  <c r="AC106" i="197"/>
  <c r="AC111" i="197"/>
  <c r="AC116" i="197"/>
  <c r="AC122" i="197"/>
  <c r="AC127" i="197"/>
  <c r="AC132" i="197"/>
  <c r="AC135" i="197"/>
  <c r="AC139" i="197"/>
  <c r="AC143" i="197"/>
  <c r="AC115" i="197"/>
  <c r="AC120" i="197"/>
  <c r="AC126" i="197"/>
  <c r="AC131" i="197"/>
  <c r="AC138" i="197"/>
  <c r="AC142" i="197"/>
  <c r="AC146" i="197"/>
  <c r="AC110" i="197"/>
  <c r="AC114" i="197"/>
  <c r="AC119" i="197"/>
  <c r="AC124" i="197"/>
  <c r="AC130" i="197"/>
  <c r="AC137" i="197"/>
  <c r="AC141" i="197"/>
  <c r="AC145" i="197"/>
  <c r="AC149" i="197"/>
  <c r="AC153" i="197"/>
  <c r="AC157" i="197"/>
  <c r="AC161" i="197"/>
  <c r="AC165" i="197"/>
  <c r="AC169" i="197"/>
  <c r="AC159" i="197"/>
  <c r="AC3" i="197"/>
  <c r="AC155" i="197"/>
  <c r="AC158" i="197"/>
  <c r="AC163" i="197"/>
  <c r="AC147" i="197"/>
  <c r="AC154" i="197"/>
  <c r="AC162" i="197"/>
  <c r="AC167" i="197"/>
  <c r="AC151" i="197"/>
  <c r="AC160" i="197"/>
  <c r="AC166" i="197"/>
  <c r="AC171" i="197"/>
  <c r="AC150" i="197"/>
  <c r="AC164" i="197"/>
  <c r="AC170" i="197"/>
  <c r="AC168" i="197"/>
  <c r="AC177" i="197"/>
  <c r="AC175" i="197"/>
  <c r="AC176" i="197"/>
  <c r="AD1" i="197"/>
  <c r="AD173" i="197" l="1"/>
  <c r="AD172" i="197"/>
  <c r="AD174" i="197"/>
  <c r="AD61" i="197"/>
  <c r="AD56" i="197"/>
  <c r="AD62" i="197"/>
  <c r="AD57" i="197"/>
  <c r="AD63" i="197"/>
  <c r="AD64" i="197"/>
  <c r="AD58" i="197"/>
  <c r="AD60" i="197"/>
  <c r="AD52" i="197"/>
  <c r="AD53" i="197"/>
  <c r="AD65" i="197"/>
  <c r="AD55" i="197"/>
  <c r="AD66" i="197"/>
  <c r="AD54" i="197"/>
  <c r="AD59" i="197"/>
  <c r="AD7" i="197"/>
  <c r="AD11" i="197"/>
  <c r="AD4" i="197"/>
  <c r="AD5" i="197"/>
  <c r="AD10" i="197"/>
  <c r="AD18" i="197"/>
  <c r="AD22" i="197"/>
  <c r="AD26" i="197"/>
  <c r="AD9" i="197"/>
  <c r="AD17" i="197"/>
  <c r="AD12" i="197"/>
  <c r="AD16" i="197"/>
  <c r="AD8" i="197"/>
  <c r="AD14" i="197"/>
  <c r="AD27" i="197"/>
  <c r="AD28" i="197"/>
  <c r="AD13" i="197"/>
  <c r="AD21" i="197"/>
  <c r="AD25" i="197"/>
  <c r="AD31" i="197"/>
  <c r="AD6" i="197"/>
  <c r="AD19" i="197"/>
  <c r="AD20" i="197"/>
  <c r="AD35" i="197"/>
  <c r="AD39" i="197"/>
  <c r="AD43" i="197"/>
  <c r="AD47" i="197"/>
  <c r="AD15" i="197"/>
  <c r="AD23" i="197"/>
  <c r="AD33" i="197"/>
  <c r="AD38" i="197"/>
  <c r="AD44" i="197"/>
  <c r="AD51" i="197"/>
  <c r="AD29" i="197"/>
  <c r="AD30" i="197"/>
  <c r="AD41" i="197"/>
  <c r="AD49" i="197"/>
  <c r="AD24" i="197"/>
  <c r="AD36" i="197"/>
  <c r="AD42" i="197"/>
  <c r="AD34" i="197"/>
  <c r="AD37" i="197"/>
  <c r="AD45" i="197"/>
  <c r="AD48" i="197"/>
  <c r="AD32" i="197"/>
  <c r="AD40" i="197"/>
  <c r="AD46" i="197"/>
  <c r="AD70" i="197"/>
  <c r="AD74" i="197"/>
  <c r="AD78" i="197"/>
  <c r="AD82" i="197"/>
  <c r="AD86" i="197"/>
  <c r="AD69" i="197"/>
  <c r="AD73" i="197"/>
  <c r="AD77" i="197"/>
  <c r="AD81" i="197"/>
  <c r="AD85" i="197"/>
  <c r="AD89" i="197"/>
  <c r="AD93" i="197"/>
  <c r="AD97" i="197"/>
  <c r="AD101" i="197"/>
  <c r="AD68" i="197"/>
  <c r="AD72" i="197"/>
  <c r="AD76" i="197"/>
  <c r="AD80" i="197"/>
  <c r="AD84" i="197"/>
  <c r="AD88" i="197"/>
  <c r="AD50" i="197"/>
  <c r="AD67" i="197"/>
  <c r="AD71" i="197"/>
  <c r="AD75" i="197"/>
  <c r="AD79" i="197"/>
  <c r="AD90" i="197"/>
  <c r="AD95" i="197"/>
  <c r="AD100" i="197"/>
  <c r="AD105" i="197"/>
  <c r="AD109" i="197"/>
  <c r="AD87" i="197"/>
  <c r="AD94" i="197"/>
  <c r="AD99" i="197"/>
  <c r="AD83" i="197"/>
  <c r="AD92" i="197"/>
  <c r="AD98" i="197"/>
  <c r="AD103" i="197"/>
  <c r="AD91" i="197"/>
  <c r="AD96" i="197"/>
  <c r="AD102" i="197"/>
  <c r="AD106" i="197"/>
  <c r="AD110" i="197"/>
  <c r="AD114" i="197"/>
  <c r="AD118" i="197"/>
  <c r="AD122" i="197"/>
  <c r="AD126" i="197"/>
  <c r="AD130" i="197"/>
  <c r="AD134" i="197"/>
  <c r="AD108" i="197"/>
  <c r="AD113" i="197"/>
  <c r="AD119" i="197"/>
  <c r="AD124" i="197"/>
  <c r="AD129" i="197"/>
  <c r="AD137" i="197"/>
  <c r="AD141" i="197"/>
  <c r="AD145" i="197"/>
  <c r="AD149" i="197"/>
  <c r="AD153" i="197"/>
  <c r="AD107" i="197"/>
  <c r="AD112" i="197"/>
  <c r="AD117" i="197"/>
  <c r="AD123" i="197"/>
  <c r="AD128" i="197"/>
  <c r="AD133" i="197"/>
  <c r="AD136" i="197"/>
  <c r="AD140" i="197"/>
  <c r="AD144" i="197"/>
  <c r="AD104" i="197"/>
  <c r="AD111" i="197"/>
  <c r="AD116" i="197"/>
  <c r="AD121" i="197"/>
  <c r="AD127" i="197"/>
  <c r="AD132" i="197"/>
  <c r="AD135" i="197"/>
  <c r="AD139" i="197"/>
  <c r="AD143" i="197"/>
  <c r="AD147" i="197"/>
  <c r="AD115" i="197"/>
  <c r="AD120" i="197"/>
  <c r="AD125" i="197"/>
  <c r="AD131" i="197"/>
  <c r="AD138" i="197"/>
  <c r="AD142" i="197"/>
  <c r="AD146" i="197"/>
  <c r="AD150" i="197"/>
  <c r="AD154" i="197"/>
  <c r="AD158" i="197"/>
  <c r="AD162" i="197"/>
  <c r="AD166" i="197"/>
  <c r="AD170" i="197"/>
  <c r="AD151" i="197"/>
  <c r="AD160" i="197"/>
  <c r="AD156" i="197"/>
  <c r="AD159" i="197"/>
  <c r="AD148" i="197"/>
  <c r="AD155" i="197"/>
  <c r="AD157" i="197"/>
  <c r="AD163" i="197"/>
  <c r="AD168" i="197"/>
  <c r="AD169" i="197"/>
  <c r="AD3" i="197"/>
  <c r="AD152" i="197"/>
  <c r="AD161" i="197"/>
  <c r="AD167" i="197"/>
  <c r="AD165" i="197"/>
  <c r="AD171" i="197"/>
  <c r="AD164" i="197"/>
  <c r="AD176" i="197"/>
  <c r="AD175" i="197"/>
  <c r="AD177" i="197"/>
  <c r="AE1" i="197"/>
  <c r="AE172" i="197" l="1"/>
  <c r="AE174" i="197"/>
  <c r="AE173" i="197"/>
  <c r="AE54" i="197"/>
  <c r="AE66" i="197"/>
  <c r="AE61" i="197"/>
  <c r="AE53" i="197"/>
  <c r="AE52" i="197"/>
  <c r="AE56" i="197"/>
  <c r="AE57" i="197"/>
  <c r="AE63" i="197"/>
  <c r="AE65" i="197"/>
  <c r="AE55" i="197"/>
  <c r="AE58" i="197"/>
  <c r="AE60" i="197"/>
  <c r="AE62" i="197"/>
  <c r="AE64" i="197"/>
  <c r="AE59" i="197"/>
  <c r="AE4" i="197"/>
  <c r="AE8" i="197"/>
  <c r="AE12" i="197"/>
  <c r="AE5" i="197"/>
  <c r="AE6" i="197"/>
  <c r="AE11" i="197"/>
  <c r="AE15" i="197"/>
  <c r="AE19" i="197"/>
  <c r="AE23" i="197"/>
  <c r="AE27" i="197"/>
  <c r="AE14" i="197"/>
  <c r="AE18" i="197"/>
  <c r="AE9" i="197"/>
  <c r="AE17" i="197"/>
  <c r="AE13" i="197"/>
  <c r="AE22" i="197"/>
  <c r="AE10" i="197"/>
  <c r="AE16" i="197"/>
  <c r="AE24" i="197"/>
  <c r="AE29" i="197"/>
  <c r="AE7" i="197"/>
  <c r="AE21" i="197"/>
  <c r="AE25" i="197"/>
  <c r="AE26" i="197"/>
  <c r="AE32" i="197"/>
  <c r="AE36" i="197"/>
  <c r="AE40" i="197"/>
  <c r="AE44" i="197"/>
  <c r="AE48" i="197"/>
  <c r="AE20" i="197"/>
  <c r="AE34" i="197"/>
  <c r="AE39" i="197"/>
  <c r="AE45" i="197"/>
  <c r="AE28" i="197"/>
  <c r="AE35" i="197"/>
  <c r="AE38" i="197"/>
  <c r="AE46" i="197"/>
  <c r="AE50" i="197"/>
  <c r="AE30" i="197"/>
  <c r="AE31" i="197"/>
  <c r="AE33" i="197"/>
  <c r="AE41" i="197"/>
  <c r="AE47" i="197"/>
  <c r="AE49" i="197"/>
  <c r="AE42" i="197"/>
  <c r="AE37" i="197"/>
  <c r="AE43" i="197"/>
  <c r="AE67" i="197"/>
  <c r="AE71" i="197"/>
  <c r="AE75" i="197"/>
  <c r="AE79" i="197"/>
  <c r="AE83" i="197"/>
  <c r="AE87" i="197"/>
  <c r="AE51" i="197"/>
  <c r="AE70" i="197"/>
  <c r="AE74" i="197"/>
  <c r="AE78" i="197"/>
  <c r="AE82" i="197"/>
  <c r="AE86" i="197"/>
  <c r="AE90" i="197"/>
  <c r="AE94" i="197"/>
  <c r="AE98" i="197"/>
  <c r="AE102" i="197"/>
  <c r="AE69" i="197"/>
  <c r="AE73" i="197"/>
  <c r="AE77" i="197"/>
  <c r="AE81" i="197"/>
  <c r="AE85" i="197"/>
  <c r="AE89" i="197"/>
  <c r="AE68" i="197"/>
  <c r="AE72" i="197"/>
  <c r="AE76" i="197"/>
  <c r="AE80" i="197"/>
  <c r="AE91" i="197"/>
  <c r="AE96" i="197"/>
  <c r="AE101" i="197"/>
  <c r="AE106" i="197"/>
  <c r="AE110" i="197"/>
  <c r="AE88" i="197"/>
  <c r="AE95" i="197"/>
  <c r="AE100" i="197"/>
  <c r="AE84" i="197"/>
  <c r="AE93" i="197"/>
  <c r="AE99" i="197"/>
  <c r="AE92" i="197"/>
  <c r="AE97" i="197"/>
  <c r="AE103" i="197"/>
  <c r="AE107" i="197"/>
  <c r="AE111" i="197"/>
  <c r="AE115" i="197"/>
  <c r="AE119" i="197"/>
  <c r="AE123" i="197"/>
  <c r="AE127" i="197"/>
  <c r="AE131" i="197"/>
  <c r="AE109" i="197"/>
  <c r="AE114" i="197"/>
  <c r="AE120" i="197"/>
  <c r="AE125" i="197"/>
  <c r="AE130" i="197"/>
  <c r="AE138" i="197"/>
  <c r="AE142" i="197"/>
  <c r="AE146" i="197"/>
  <c r="AE150" i="197"/>
  <c r="AE154" i="197"/>
  <c r="AE108" i="197"/>
  <c r="AE113" i="197"/>
  <c r="AE118" i="197"/>
  <c r="AE124" i="197"/>
  <c r="AE129" i="197"/>
  <c r="AE134" i="197"/>
  <c r="AE137" i="197"/>
  <c r="AE141" i="197"/>
  <c r="AE145" i="197"/>
  <c r="AE105" i="197"/>
  <c r="AE112" i="197"/>
  <c r="AE117" i="197"/>
  <c r="AE122" i="197"/>
  <c r="AE128" i="197"/>
  <c r="AE133" i="197"/>
  <c r="AE136" i="197"/>
  <c r="AE140" i="197"/>
  <c r="AE144" i="197"/>
  <c r="AE148" i="197"/>
  <c r="AE104" i="197"/>
  <c r="AE116" i="197"/>
  <c r="AE121" i="197"/>
  <c r="AE126" i="197"/>
  <c r="AE132" i="197"/>
  <c r="AE135" i="197"/>
  <c r="AE139" i="197"/>
  <c r="AE143" i="197"/>
  <c r="AE147" i="197"/>
  <c r="AE151" i="197"/>
  <c r="AE155" i="197"/>
  <c r="AE159" i="197"/>
  <c r="AE163" i="197"/>
  <c r="AE167" i="197"/>
  <c r="AE171" i="197"/>
  <c r="AE3" i="197"/>
  <c r="AE161" i="197"/>
  <c r="AE165" i="197"/>
  <c r="AE149" i="197"/>
  <c r="AE160" i="197"/>
  <c r="AE170" i="197"/>
  <c r="AE156" i="197"/>
  <c r="AE158" i="197"/>
  <c r="AE164" i="197"/>
  <c r="AE169" i="197"/>
  <c r="AE153" i="197"/>
  <c r="AE157" i="197"/>
  <c r="AE162" i="197"/>
  <c r="AE168" i="197"/>
  <c r="AE152" i="197"/>
  <c r="AE166" i="197"/>
  <c r="AE175" i="197"/>
  <c r="AE177" i="197"/>
  <c r="AE176" i="197"/>
  <c r="AF1" i="197"/>
  <c r="AF173" i="197" l="1"/>
  <c r="AF174" i="197"/>
  <c r="AF172" i="197"/>
  <c r="AF59" i="197"/>
  <c r="AF58" i="197"/>
  <c r="AF55" i="197"/>
  <c r="AF54" i="197"/>
  <c r="AF66" i="197"/>
  <c r="AF61" i="197"/>
  <c r="AF60" i="197"/>
  <c r="AF62" i="197"/>
  <c r="AF56" i="197"/>
  <c r="AF53" i="197"/>
  <c r="AF65" i="197"/>
  <c r="AF63" i="197"/>
  <c r="AF57" i="197"/>
  <c r="AF64" i="197"/>
  <c r="AF52" i="197"/>
  <c r="AF5" i="197"/>
  <c r="AF9" i="197"/>
  <c r="AF13" i="197"/>
  <c r="AF6" i="197"/>
  <c r="AF7" i="197"/>
  <c r="AF12" i="197"/>
  <c r="AF16" i="197"/>
  <c r="AF20" i="197"/>
  <c r="AF24" i="197"/>
  <c r="AF4" i="197"/>
  <c r="AF8" i="197"/>
  <c r="AF11" i="197"/>
  <c r="AF19" i="197"/>
  <c r="AF14" i="197"/>
  <c r="AF18" i="197"/>
  <c r="AF15" i="197"/>
  <c r="AF21" i="197"/>
  <c r="AF23" i="197"/>
  <c r="AF27" i="197"/>
  <c r="AF30" i="197"/>
  <c r="AF10" i="197"/>
  <c r="AF17" i="197"/>
  <c r="AF22" i="197"/>
  <c r="AF29" i="197"/>
  <c r="AF25" i="197"/>
  <c r="AF33" i="197"/>
  <c r="AF37" i="197"/>
  <c r="AF41" i="197"/>
  <c r="AF45" i="197"/>
  <c r="AF26" i="197"/>
  <c r="AF35" i="197"/>
  <c r="AF40" i="197"/>
  <c r="AF46" i="197"/>
  <c r="AF49" i="197"/>
  <c r="AF32" i="197"/>
  <c r="AF43" i="197"/>
  <c r="AF51" i="197"/>
  <c r="AF28" i="197"/>
  <c r="AF38" i="197"/>
  <c r="AF44" i="197"/>
  <c r="AF50" i="197"/>
  <c r="AF31" i="197"/>
  <c r="AF36" i="197"/>
  <c r="AF39" i="197"/>
  <c r="AF47" i="197"/>
  <c r="AF34" i="197"/>
  <c r="AF42" i="197"/>
  <c r="AF48" i="197"/>
  <c r="AF68" i="197"/>
  <c r="AF72" i="197"/>
  <c r="AF76" i="197"/>
  <c r="AF80" i="197"/>
  <c r="AF84" i="197"/>
  <c r="AF67" i="197"/>
  <c r="AF71" i="197"/>
  <c r="AF75" i="197"/>
  <c r="AF79" i="197"/>
  <c r="AF83" i="197"/>
  <c r="AF87" i="197"/>
  <c r="AF91" i="197"/>
  <c r="AF95" i="197"/>
  <c r="AF99" i="197"/>
  <c r="AF70" i="197"/>
  <c r="AF74" i="197"/>
  <c r="AF78" i="197"/>
  <c r="AF82" i="197"/>
  <c r="AF86" i="197"/>
  <c r="AF90" i="197"/>
  <c r="AF69" i="197"/>
  <c r="AF73" i="197"/>
  <c r="AF77" i="197"/>
  <c r="AF92" i="197"/>
  <c r="AF97" i="197"/>
  <c r="AF102" i="197"/>
  <c r="AF103" i="197"/>
  <c r="AF107" i="197"/>
  <c r="AF89" i="197"/>
  <c r="AF96" i="197"/>
  <c r="AF101" i="197"/>
  <c r="AF85" i="197"/>
  <c r="AF88" i="197"/>
  <c r="AF94" i="197"/>
  <c r="AF100" i="197"/>
  <c r="AF81" i="197"/>
  <c r="AF93" i="197"/>
  <c r="AF98" i="197"/>
  <c r="AF104" i="197"/>
  <c r="AF108" i="197"/>
  <c r="AF112" i="197"/>
  <c r="AF116" i="197"/>
  <c r="AF120" i="197"/>
  <c r="AF124" i="197"/>
  <c r="AF128" i="197"/>
  <c r="AF132" i="197"/>
  <c r="AF110" i="197"/>
  <c r="AF115" i="197"/>
  <c r="AF121" i="197"/>
  <c r="AF126" i="197"/>
  <c r="AF131" i="197"/>
  <c r="AF135" i="197"/>
  <c r="AF139" i="197"/>
  <c r="AF143" i="197"/>
  <c r="AF147" i="197"/>
  <c r="AF151" i="197"/>
  <c r="AF155" i="197"/>
  <c r="AF109" i="197"/>
  <c r="AF114" i="197"/>
  <c r="AF119" i="197"/>
  <c r="AF125" i="197"/>
  <c r="AF130" i="197"/>
  <c r="AF138" i="197"/>
  <c r="AF142" i="197"/>
  <c r="AF146" i="197"/>
  <c r="AF106" i="197"/>
  <c r="AF113" i="197"/>
  <c r="AF118" i="197"/>
  <c r="AF123" i="197"/>
  <c r="AF129" i="197"/>
  <c r="AF134" i="197"/>
  <c r="AF137" i="197"/>
  <c r="AF141" i="197"/>
  <c r="AF145" i="197"/>
  <c r="AF105" i="197"/>
  <c r="AF111" i="197"/>
  <c r="AF117" i="197"/>
  <c r="AF122" i="197"/>
  <c r="AF127" i="197"/>
  <c r="AF133" i="197"/>
  <c r="AF136" i="197"/>
  <c r="AF140" i="197"/>
  <c r="AF144" i="197"/>
  <c r="AF148" i="197"/>
  <c r="AF152" i="197"/>
  <c r="AF156" i="197"/>
  <c r="AF160" i="197"/>
  <c r="AF164" i="197"/>
  <c r="AF168" i="197"/>
  <c r="AF157" i="197"/>
  <c r="AF167" i="197"/>
  <c r="AF166" i="197"/>
  <c r="AF171" i="197"/>
  <c r="AF150" i="197"/>
  <c r="AF161" i="197"/>
  <c r="AF149" i="197"/>
  <c r="AF159" i="197"/>
  <c r="AF165" i="197"/>
  <c r="AF170" i="197"/>
  <c r="AF3" i="197"/>
  <c r="AF154" i="197"/>
  <c r="AF158" i="197"/>
  <c r="AF163" i="197"/>
  <c r="AF169" i="197"/>
  <c r="AF153" i="197"/>
  <c r="AF162" i="197"/>
  <c r="AF176" i="197"/>
  <c r="AF175" i="197"/>
  <c r="AF177" i="197"/>
  <c r="AG1" i="197"/>
  <c r="AG173" i="197" l="1"/>
  <c r="AG172" i="197"/>
  <c r="AG174" i="197"/>
  <c r="AG52" i="197"/>
  <c r="AG64" i="197"/>
  <c r="AG60" i="197"/>
  <c r="AG59" i="197"/>
  <c r="AG53" i="197"/>
  <c r="AG65" i="197"/>
  <c r="AG54" i="197"/>
  <c r="AG66" i="197"/>
  <c r="AG58" i="197"/>
  <c r="AG61" i="197"/>
  <c r="AG63" i="197"/>
  <c r="AG55" i="197"/>
  <c r="AG56" i="197"/>
  <c r="AG57" i="197"/>
  <c r="AG62" i="197"/>
  <c r="AG6" i="197"/>
  <c r="AG10" i="197"/>
  <c r="AG14" i="197"/>
  <c r="AG8" i="197"/>
  <c r="AG13" i="197"/>
  <c r="AG17" i="197"/>
  <c r="AG21" i="197"/>
  <c r="AG25" i="197"/>
  <c r="AG5" i="197"/>
  <c r="AG15" i="197"/>
  <c r="AG20" i="197"/>
  <c r="AG4" i="197"/>
  <c r="AG11" i="197"/>
  <c r="AG19" i="197"/>
  <c r="AG7" i="197"/>
  <c r="AG16" i="197"/>
  <c r="AG24" i="197"/>
  <c r="AG26" i="197"/>
  <c r="AG28" i="197"/>
  <c r="AG31" i="197"/>
  <c r="AG27" i="197"/>
  <c r="AG30" i="197"/>
  <c r="AG9" i="197"/>
  <c r="AG12" i="197"/>
  <c r="AG18" i="197"/>
  <c r="AG29" i="197"/>
  <c r="AG34" i="197"/>
  <c r="AG38" i="197"/>
  <c r="AG42" i="197"/>
  <c r="AG46" i="197"/>
  <c r="AG36" i="197"/>
  <c r="AG41" i="197"/>
  <c r="AG47" i="197"/>
  <c r="AG50" i="197"/>
  <c r="AG23" i="197"/>
  <c r="AG37" i="197"/>
  <c r="AG40" i="197"/>
  <c r="AG48" i="197"/>
  <c r="AG32" i="197"/>
  <c r="AG35" i="197"/>
  <c r="AG43" i="197"/>
  <c r="AG51" i="197"/>
  <c r="AG33" i="197"/>
  <c r="AG44" i="197"/>
  <c r="AG49" i="197"/>
  <c r="AG22" i="197"/>
  <c r="AG39" i="197"/>
  <c r="AG45" i="197"/>
  <c r="AG69" i="197"/>
  <c r="AG73" i="197"/>
  <c r="AG77" i="197"/>
  <c r="AG81" i="197"/>
  <c r="AG85" i="197"/>
  <c r="AG68" i="197"/>
  <c r="AG72" i="197"/>
  <c r="AG76" i="197"/>
  <c r="AG80" i="197"/>
  <c r="AG84" i="197"/>
  <c r="AG88" i="197"/>
  <c r="AG92" i="197"/>
  <c r="AG96" i="197"/>
  <c r="AG100" i="197"/>
  <c r="AG67" i="197"/>
  <c r="AG71" i="197"/>
  <c r="AG75" i="197"/>
  <c r="AG79" i="197"/>
  <c r="AG83" i="197"/>
  <c r="AG87" i="197"/>
  <c r="AG70" i="197"/>
  <c r="AG74" i="197"/>
  <c r="AG78" i="197"/>
  <c r="AG93" i="197"/>
  <c r="AG98" i="197"/>
  <c r="AG104" i="197"/>
  <c r="AG108" i="197"/>
  <c r="AG90" i="197"/>
  <c r="AG91" i="197"/>
  <c r="AG97" i="197"/>
  <c r="AG102" i="197"/>
  <c r="AG103" i="197"/>
  <c r="AG86" i="197"/>
  <c r="AG89" i="197"/>
  <c r="AG95" i="197"/>
  <c r="AG101" i="197"/>
  <c r="AG82" i="197"/>
  <c r="AG94" i="197"/>
  <c r="AG99" i="197"/>
  <c r="AG105" i="197"/>
  <c r="AG109" i="197"/>
  <c r="AG113" i="197"/>
  <c r="AG117" i="197"/>
  <c r="AG121" i="197"/>
  <c r="AG125" i="197"/>
  <c r="AG129" i="197"/>
  <c r="AG133" i="197"/>
  <c r="AG111" i="197"/>
  <c r="AG116" i="197"/>
  <c r="AG122" i="197"/>
  <c r="AG127" i="197"/>
  <c r="AG132" i="197"/>
  <c r="AG136" i="197"/>
  <c r="AG140" i="197"/>
  <c r="AG144" i="197"/>
  <c r="AG148" i="197"/>
  <c r="AG152" i="197"/>
  <c r="AG156" i="197"/>
  <c r="AG110" i="197"/>
  <c r="AG115" i="197"/>
  <c r="AG120" i="197"/>
  <c r="AG126" i="197"/>
  <c r="AG131" i="197"/>
  <c r="AG135" i="197"/>
  <c r="AG139" i="197"/>
  <c r="AG143" i="197"/>
  <c r="AG107" i="197"/>
  <c r="AG114" i="197"/>
  <c r="AG119" i="197"/>
  <c r="AG124" i="197"/>
  <c r="AG130" i="197"/>
  <c r="AG138" i="197"/>
  <c r="AG142" i="197"/>
  <c r="AG146" i="197"/>
  <c r="AG106" i="197"/>
  <c r="AG112" i="197"/>
  <c r="AG118" i="197"/>
  <c r="AG123" i="197"/>
  <c r="AG128" i="197"/>
  <c r="AG134" i="197"/>
  <c r="AG137" i="197"/>
  <c r="AG141" i="197"/>
  <c r="AG145" i="197"/>
  <c r="AG149" i="197"/>
  <c r="AG153" i="197"/>
  <c r="AG157" i="197"/>
  <c r="AG161" i="197"/>
  <c r="AG165" i="197"/>
  <c r="AG169" i="197"/>
  <c r="AG163" i="197"/>
  <c r="AG168" i="197"/>
  <c r="AG167" i="197"/>
  <c r="AG151" i="197"/>
  <c r="AG162" i="197"/>
  <c r="AG150" i="197"/>
  <c r="AG160" i="197"/>
  <c r="AG166" i="197"/>
  <c r="AG171" i="197"/>
  <c r="AG147" i="197"/>
  <c r="AG155" i="197"/>
  <c r="AG159" i="197"/>
  <c r="AG164" i="197"/>
  <c r="AG170" i="197"/>
  <c r="AG3" i="197"/>
  <c r="AG154" i="197"/>
  <c r="AG158" i="197"/>
  <c r="AG177" i="197"/>
  <c r="AG175" i="197"/>
  <c r="AG176" i="197"/>
  <c r="AH1" i="197"/>
  <c r="AH172" i="197" l="1"/>
  <c r="AI172" i="197" s="1"/>
  <c r="AH173" i="197"/>
  <c r="AI173" i="197" s="1"/>
  <c r="AH174" i="197"/>
  <c r="AI174" i="197" s="1"/>
  <c r="AH57" i="197"/>
  <c r="AI57" i="197" s="1"/>
  <c r="AH56" i="197"/>
  <c r="AI56" i="197" s="1"/>
  <c r="AH65" i="197"/>
  <c r="AI65" i="197" s="1"/>
  <c r="AH52" i="197"/>
  <c r="AH64" i="197"/>
  <c r="AH60" i="197"/>
  <c r="AI60" i="197" s="1"/>
  <c r="AH59" i="197"/>
  <c r="AI59" i="197" s="1"/>
  <c r="AH58" i="197"/>
  <c r="AI58" i="197" s="1"/>
  <c r="AH53" i="197"/>
  <c r="AI53" i="197" s="1"/>
  <c r="AH54" i="197"/>
  <c r="AI54" i="197" s="1"/>
  <c r="AH66" i="197"/>
  <c r="AI66" i="197" s="1"/>
  <c r="AH63" i="197"/>
  <c r="AI63" i="197" s="1"/>
  <c r="AH61" i="197"/>
  <c r="AI61" i="197" s="1"/>
  <c r="AH62" i="197"/>
  <c r="AI62" i="197" s="1"/>
  <c r="AH55" i="197"/>
  <c r="AI55" i="197" s="1"/>
  <c r="AH7" i="197"/>
  <c r="AI7" i="197" s="1"/>
  <c r="AH11" i="197"/>
  <c r="AI11" i="197" s="1"/>
  <c r="AH4" i="197"/>
  <c r="AI4" i="197" s="1"/>
  <c r="AH9" i="197"/>
  <c r="AI9" i="197" s="1"/>
  <c r="AH14" i="197"/>
  <c r="AI14" i="197" s="1"/>
  <c r="AH18" i="197"/>
  <c r="AI18" i="197" s="1"/>
  <c r="AH22" i="197"/>
  <c r="AI22" i="197" s="1"/>
  <c r="AH26" i="197"/>
  <c r="AI26" i="197" s="1"/>
  <c r="AH6" i="197"/>
  <c r="AI6" i="197" s="1"/>
  <c r="AH10" i="197"/>
  <c r="AI10" i="197" s="1"/>
  <c r="AH13" i="197"/>
  <c r="AI13" i="197" s="1"/>
  <c r="AH16" i="197"/>
  <c r="AI16" i="197" s="1"/>
  <c r="AH21" i="197"/>
  <c r="AI21" i="197" s="1"/>
  <c r="AH5" i="197"/>
  <c r="AI5" i="197" s="1"/>
  <c r="AH8" i="197"/>
  <c r="AI8" i="197" s="1"/>
  <c r="AH15" i="197"/>
  <c r="AI15" i="197" s="1"/>
  <c r="AH20" i="197"/>
  <c r="AI20" i="197" s="1"/>
  <c r="AH12" i="197"/>
  <c r="AI12" i="197" s="1"/>
  <c r="AH17" i="197"/>
  <c r="AI17" i="197" s="1"/>
  <c r="AH25" i="197"/>
  <c r="AI25" i="197" s="1"/>
  <c r="AH28" i="197"/>
  <c r="AI28" i="197" s="1"/>
  <c r="AH23" i="197"/>
  <c r="AI23" i="197" s="1"/>
  <c r="AH24" i="197"/>
  <c r="AI24" i="197" s="1"/>
  <c r="AH31" i="197"/>
  <c r="AI31" i="197" s="1"/>
  <c r="AH30" i="197"/>
  <c r="AI30" i="197" s="1"/>
  <c r="AH35" i="197"/>
  <c r="AI35" i="197" s="1"/>
  <c r="AH39" i="197"/>
  <c r="AI39" i="197" s="1"/>
  <c r="AH43" i="197"/>
  <c r="AI43" i="197" s="1"/>
  <c r="AH47" i="197"/>
  <c r="AI47" i="197" s="1"/>
  <c r="AH29" i="197"/>
  <c r="AI29" i="197" s="1"/>
  <c r="AH32" i="197"/>
  <c r="AI32" i="197" s="1"/>
  <c r="AH37" i="197"/>
  <c r="AI37" i="197" s="1"/>
  <c r="AH42" i="197"/>
  <c r="AI42" i="197" s="1"/>
  <c r="AH48" i="197"/>
  <c r="AI48" i="197" s="1"/>
  <c r="AH51" i="197"/>
  <c r="AI51" i="197" s="1"/>
  <c r="AH27" i="197"/>
  <c r="AI27" i="197" s="1"/>
  <c r="AH34" i="197"/>
  <c r="AI34" i="197" s="1"/>
  <c r="AH45" i="197"/>
  <c r="AI45" i="197" s="1"/>
  <c r="AH19" i="197"/>
  <c r="AI19" i="197" s="1"/>
  <c r="AH40" i="197"/>
  <c r="AI40" i="197" s="1"/>
  <c r="AH46" i="197"/>
  <c r="AI46" i="197" s="1"/>
  <c r="AH38" i="197"/>
  <c r="AI38" i="197" s="1"/>
  <c r="AH41" i="197"/>
  <c r="AI41" i="197" s="1"/>
  <c r="AH50" i="197"/>
  <c r="AI50" i="197" s="1"/>
  <c r="AH33" i="197"/>
  <c r="AI33" i="197" s="1"/>
  <c r="AH36" i="197"/>
  <c r="AI36" i="197" s="1"/>
  <c r="AH44" i="197"/>
  <c r="AI44" i="197" s="1"/>
  <c r="AH49" i="197"/>
  <c r="AI49" i="197" s="1"/>
  <c r="AH70" i="197"/>
  <c r="AI70" i="197" s="1"/>
  <c r="AH74" i="197"/>
  <c r="AI74" i="197" s="1"/>
  <c r="AH78" i="197"/>
  <c r="AI78" i="197" s="1"/>
  <c r="AH82" i="197"/>
  <c r="AI82" i="197" s="1"/>
  <c r="AH86" i="197"/>
  <c r="AH69" i="197"/>
  <c r="AI69" i="197" s="1"/>
  <c r="AH73" i="197"/>
  <c r="AI73" i="197" s="1"/>
  <c r="AH77" i="197"/>
  <c r="AI77" i="197" s="1"/>
  <c r="AH81" i="197"/>
  <c r="AI81" i="197" s="1"/>
  <c r="AH85" i="197"/>
  <c r="AI85" i="197" s="1"/>
  <c r="AH89" i="197"/>
  <c r="AI89" i="197" s="1"/>
  <c r="AH93" i="197"/>
  <c r="AI93" i="197" s="1"/>
  <c r="AH97" i="197"/>
  <c r="AI97" i="197" s="1"/>
  <c r="AH101" i="197"/>
  <c r="AI101" i="197" s="1"/>
  <c r="AH68" i="197"/>
  <c r="AI68" i="197" s="1"/>
  <c r="AH72" i="197"/>
  <c r="AI72" i="197" s="1"/>
  <c r="AH76" i="197"/>
  <c r="AI76" i="197" s="1"/>
  <c r="AH80" i="197"/>
  <c r="AI80" i="197" s="1"/>
  <c r="AH84" i="197"/>
  <c r="AI84" i="197" s="1"/>
  <c r="AH88" i="197"/>
  <c r="AI88" i="197" s="1"/>
  <c r="AH67" i="197"/>
  <c r="AI67" i="197" s="1"/>
  <c r="AH71" i="197"/>
  <c r="AI71" i="197" s="1"/>
  <c r="AH75" i="197"/>
  <c r="AI75" i="197" s="1"/>
  <c r="AH79" i="197"/>
  <c r="AI79" i="197" s="1"/>
  <c r="AH94" i="197"/>
  <c r="AI94" i="197" s="1"/>
  <c r="AH99" i="197"/>
  <c r="AI99" i="197" s="1"/>
  <c r="AH105" i="197"/>
  <c r="AI105" i="197" s="1"/>
  <c r="AH109" i="197"/>
  <c r="AI109" i="197" s="1"/>
  <c r="AH92" i="197"/>
  <c r="AI92" i="197" s="1"/>
  <c r="AH98" i="197"/>
  <c r="AI98" i="197" s="1"/>
  <c r="AH87" i="197"/>
  <c r="AI87" i="197" s="1"/>
  <c r="AH90" i="197"/>
  <c r="AI90" i="197" s="1"/>
  <c r="AH91" i="197"/>
  <c r="AI91" i="197" s="1"/>
  <c r="AH96" i="197"/>
  <c r="AI96" i="197" s="1"/>
  <c r="AH102" i="197"/>
  <c r="AI102" i="197" s="1"/>
  <c r="AH103" i="197"/>
  <c r="AI103" i="197" s="1"/>
  <c r="AH83" i="197"/>
  <c r="AI83" i="197" s="1"/>
  <c r="AH95" i="197"/>
  <c r="AI95" i="197" s="1"/>
  <c r="AH100" i="197"/>
  <c r="AI100" i="197" s="1"/>
  <c r="AH106" i="197"/>
  <c r="AI106" i="197" s="1"/>
  <c r="AH110" i="197"/>
  <c r="AI110" i="197" s="1"/>
  <c r="AH114" i="197"/>
  <c r="AI114" i="197" s="1"/>
  <c r="AH118" i="197"/>
  <c r="AI118" i="197" s="1"/>
  <c r="AH122" i="197"/>
  <c r="AI122" i="197" s="1"/>
  <c r="AH126" i="197"/>
  <c r="AI126" i="197" s="1"/>
  <c r="AH130" i="197"/>
  <c r="AI130" i="197" s="1"/>
  <c r="AH134" i="197"/>
  <c r="AI134" i="197" s="1"/>
  <c r="AH104" i="197"/>
  <c r="AI104" i="197" s="1"/>
  <c r="AH112" i="197"/>
  <c r="AI112" i="197" s="1"/>
  <c r="AH117" i="197"/>
  <c r="AI117" i="197" s="1"/>
  <c r="AH123" i="197"/>
  <c r="AI123" i="197" s="1"/>
  <c r="AH128" i="197"/>
  <c r="AI128" i="197" s="1"/>
  <c r="AH133" i="197"/>
  <c r="AI133" i="197" s="1"/>
  <c r="AH137" i="197"/>
  <c r="AI137" i="197" s="1"/>
  <c r="AH141" i="197"/>
  <c r="AI141" i="197" s="1"/>
  <c r="AH145" i="197"/>
  <c r="AI145" i="197" s="1"/>
  <c r="AH149" i="197"/>
  <c r="AI149" i="197" s="1"/>
  <c r="AH153" i="197"/>
  <c r="AI153" i="197" s="1"/>
  <c r="AH111" i="197"/>
  <c r="AI111" i="197" s="1"/>
  <c r="AH116" i="197"/>
  <c r="AI116" i="197" s="1"/>
  <c r="AH121" i="197"/>
  <c r="AI121" i="197" s="1"/>
  <c r="AH127" i="197"/>
  <c r="AI127" i="197" s="1"/>
  <c r="AH132" i="197"/>
  <c r="AI132" i="197" s="1"/>
  <c r="AH136" i="197"/>
  <c r="AI136" i="197" s="1"/>
  <c r="AH140" i="197"/>
  <c r="AI140" i="197" s="1"/>
  <c r="AH144" i="197"/>
  <c r="AI144" i="197" s="1"/>
  <c r="AH108" i="197"/>
  <c r="AI108" i="197" s="1"/>
  <c r="AH115" i="197"/>
  <c r="AI115" i="197" s="1"/>
  <c r="AH120" i="197"/>
  <c r="AI120" i="197" s="1"/>
  <c r="AH125" i="197"/>
  <c r="AI125" i="197" s="1"/>
  <c r="AH131" i="197"/>
  <c r="AI131" i="197" s="1"/>
  <c r="AH135" i="197"/>
  <c r="AI135" i="197" s="1"/>
  <c r="AH139" i="197"/>
  <c r="AI139" i="197" s="1"/>
  <c r="AH143" i="197"/>
  <c r="AI143" i="197" s="1"/>
  <c r="AH147" i="197"/>
  <c r="AI147" i="197" s="1"/>
  <c r="AH107" i="197"/>
  <c r="AI107" i="197" s="1"/>
  <c r="AH113" i="197"/>
  <c r="AI113" i="197" s="1"/>
  <c r="AH119" i="197"/>
  <c r="AI119" i="197" s="1"/>
  <c r="AH124" i="197"/>
  <c r="AI124" i="197" s="1"/>
  <c r="AH129" i="197"/>
  <c r="AI129" i="197" s="1"/>
  <c r="AH138" i="197"/>
  <c r="AH142" i="197"/>
  <c r="AI142" i="197" s="1"/>
  <c r="AH146" i="197"/>
  <c r="AI146" i="197" s="1"/>
  <c r="AH150" i="197"/>
  <c r="AI150" i="197" s="1"/>
  <c r="AH154" i="197"/>
  <c r="AI154" i="197" s="1"/>
  <c r="AH158" i="197"/>
  <c r="AI158" i="197" s="1"/>
  <c r="AH162" i="197"/>
  <c r="AI162" i="197" s="1"/>
  <c r="AH166" i="197"/>
  <c r="AI166" i="197" s="1"/>
  <c r="AH170" i="197"/>
  <c r="AI170" i="197" s="1"/>
  <c r="AH155" i="197"/>
  <c r="AI155" i="197" s="1"/>
  <c r="AH164" i="197"/>
  <c r="AI164" i="197" s="1"/>
  <c r="AH169" i="197"/>
  <c r="AI169" i="197" s="1"/>
  <c r="AH152" i="197"/>
  <c r="AI152" i="197" s="1"/>
  <c r="AH157" i="197"/>
  <c r="AI157" i="197" s="1"/>
  <c r="AH163" i="197"/>
  <c r="AI163" i="197" s="1"/>
  <c r="AH168" i="197"/>
  <c r="AI168" i="197" s="1"/>
  <c r="AH151" i="197"/>
  <c r="AI151" i="197" s="1"/>
  <c r="AH161" i="197"/>
  <c r="AI161" i="197" s="1"/>
  <c r="AH167" i="197"/>
  <c r="AI167" i="197" s="1"/>
  <c r="AH148" i="197"/>
  <c r="AI148" i="197" s="1"/>
  <c r="AH156" i="197"/>
  <c r="AI156" i="197" s="1"/>
  <c r="AH160" i="197"/>
  <c r="AI160" i="197" s="1"/>
  <c r="AH165" i="197"/>
  <c r="AI165" i="197" s="1"/>
  <c r="AH171" i="197"/>
  <c r="AI171" i="197" s="1"/>
  <c r="AH159" i="197"/>
  <c r="AI159" i="197" s="1"/>
  <c r="AH3" i="197"/>
  <c r="AI3" i="197" s="1"/>
  <c r="AH176" i="197"/>
  <c r="AH175" i="197"/>
  <c r="AH177" i="197"/>
  <c r="AI64" i="197"/>
  <c r="AH26" i="36" l="1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AI25" i="36" l="1"/>
  <c r="AI4" i="36"/>
  <c r="AI8" i="36"/>
  <c r="AI13" i="36"/>
  <c r="AI21" i="36"/>
  <c r="AI17" i="36"/>
  <c r="AI3" i="36"/>
  <c r="AI6" i="36"/>
  <c r="AI10" i="36"/>
  <c r="AI15" i="36"/>
  <c r="AI19" i="36"/>
  <c r="AI23" i="36"/>
  <c r="AI5" i="36"/>
  <c r="AI9" i="36"/>
  <c r="AI14" i="36"/>
  <c r="AI18" i="36"/>
  <c r="AI22" i="36"/>
  <c r="AI26" i="36"/>
  <c r="AI7" i="36"/>
  <c r="AI12" i="36"/>
  <c r="AI16" i="36"/>
  <c r="AI20" i="36"/>
  <c r="AI24" i="36"/>
  <c r="D14" i="34" l="1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D3" i="34" l="1"/>
  <c r="D4" i="34"/>
  <c r="D5" i="34"/>
  <c r="D6" i="34"/>
  <c r="D7" i="34"/>
  <c r="D8" i="34"/>
  <c r="D9" i="34"/>
  <c r="D10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AH6" i="34"/>
  <c r="AG6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AH4" i="34"/>
  <c r="AG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I12" i="34" l="1"/>
  <c r="AI13" i="34"/>
  <c r="AI6" i="34"/>
  <c r="AI10" i="34"/>
  <c r="AI7" i="34"/>
  <c r="AI5" i="34"/>
  <c r="AI9" i="34"/>
  <c r="AI3" i="34"/>
  <c r="AI4" i="34"/>
  <c r="AI8" i="34"/>
</calcChain>
</file>

<file path=xl/sharedStrings.xml><?xml version="1.0" encoding="utf-8"?>
<sst xmlns="http://schemas.openxmlformats.org/spreadsheetml/2006/main" count="3279" uniqueCount="826">
  <si>
    <t>КОЛИЧЕСТВО</t>
  </si>
  <si>
    <t>КГ</t>
  </si>
  <si>
    <t>ПУНКТ НАЗНАЧЕНИЯ</t>
  </si>
  <si>
    <t>СТАТУС</t>
  </si>
  <si>
    <t>ПРОДУКТ</t>
  </si>
  <si>
    <t>ПАРТИЯ</t>
  </si>
  <si>
    <t>ДАТА ОТГРУЗКИ</t>
  </si>
  <si>
    <t>АВТОДОСТАВКА</t>
  </si>
  <si>
    <t>№ АВТО</t>
  </si>
  <si>
    <t>ЖД ДОСТАВКА</t>
  </si>
  <si>
    <t>ВОДИТЕЛЬ</t>
  </si>
  <si>
    <t>ИТОГО ОТГРУЖЕНО</t>
  </si>
  <si>
    <t>ЧП</t>
  </si>
  <si>
    <t>т</t>
  </si>
  <si>
    <t>Итого заказов на:</t>
  </si>
  <si>
    <t>Итого отгружено:</t>
  </si>
  <si>
    <t>из них ЧП:</t>
  </si>
  <si>
    <t>НОМЕР ЗАКАЗА</t>
  </si>
  <si>
    <t>Реасолт</t>
  </si>
  <si>
    <t>Осталось отгрузить</t>
  </si>
  <si>
    <t>ТЕЛ. ВОДИТЕЛЯ</t>
  </si>
  <si>
    <t>R2D2</t>
  </si>
  <si>
    <t>Жидкий</t>
  </si>
  <si>
    <t>из них на жидкий:</t>
  </si>
  <si>
    <t>В837УУ159</t>
  </si>
  <si>
    <t xml:space="preserve">Бобыкин </t>
  </si>
  <si>
    <t>КЛСП</t>
  </si>
  <si>
    <t>М774НА159</t>
  </si>
  <si>
    <t>Костицын</t>
  </si>
  <si>
    <t>Реутов</t>
  </si>
  <si>
    <t>Рубцов</t>
  </si>
  <si>
    <t>Степанов</t>
  </si>
  <si>
    <t>К108ОО159</t>
  </si>
  <si>
    <t>Прудников</t>
  </si>
  <si>
    <t>Мясников</t>
  </si>
  <si>
    <t>Х851МО96</t>
  </si>
  <si>
    <t>Воронин </t>
  </si>
  <si>
    <t>Мезин</t>
  </si>
  <si>
    <t>Нуртдинов </t>
  </si>
  <si>
    <t>Болотов</t>
  </si>
  <si>
    <t xml:space="preserve">Пантелеев  </t>
  </si>
  <si>
    <t>Бачинин</t>
  </si>
  <si>
    <t>Корнильев</t>
  </si>
  <si>
    <t>Асташов С</t>
  </si>
  <si>
    <t>Баранов В</t>
  </si>
  <si>
    <t>Бедарев</t>
  </si>
  <si>
    <t>Иванов В</t>
  </si>
  <si>
    <t>Чайка А</t>
  </si>
  <si>
    <t>Гришкин</t>
  </si>
  <si>
    <t>Маркеев</t>
  </si>
  <si>
    <t>Рахматуллин </t>
  </si>
  <si>
    <t>Верещагин</t>
  </si>
  <si>
    <t>Бабкин</t>
  </si>
  <si>
    <t>Иванов</t>
  </si>
  <si>
    <t>Т975УК96</t>
  </si>
  <si>
    <t>Полосин</t>
  </si>
  <si>
    <t>Петров</t>
  </si>
  <si>
    <t> 89600381060</t>
  </si>
  <si>
    <t xml:space="preserve">Бахтияров Фарит </t>
  </si>
  <si>
    <t>Унукович Михаил</t>
  </si>
  <si>
    <t>Смердов</t>
  </si>
  <si>
    <t>Гришкин </t>
  </si>
  <si>
    <t>М883ТС96</t>
  </si>
  <si>
    <t>Русинов</t>
  </si>
  <si>
    <t>Буртовой</t>
  </si>
  <si>
    <t>Е885УР196</t>
  </si>
  <si>
    <t>Лашутин</t>
  </si>
  <si>
    <t>Напалков</t>
  </si>
  <si>
    <t>Е833УС 35</t>
  </si>
  <si>
    <t>Бусыгин</t>
  </si>
  <si>
    <t>Кравцов</t>
  </si>
  <si>
    <t>М773ОВ</t>
  </si>
  <si>
    <t>Маркин</t>
  </si>
  <si>
    <t xml:space="preserve">Айдаркин </t>
  </si>
  <si>
    <t>Марусов</t>
  </si>
  <si>
    <t>Суслов</t>
  </si>
  <si>
    <t>Бушмелев </t>
  </si>
  <si>
    <t>Тройников</t>
  </si>
  <si>
    <t>Крюков</t>
  </si>
  <si>
    <t>Номер авто</t>
  </si>
  <si>
    <t>ФИО водителя</t>
  </si>
  <si>
    <t>Телефон</t>
  </si>
  <si>
    <t>Р442РЕ43 </t>
  </si>
  <si>
    <t>В919МР67</t>
  </si>
  <si>
    <t>Х833ЕС116</t>
  </si>
  <si>
    <t>А404УХ716</t>
  </si>
  <si>
    <t>К458МК777</t>
  </si>
  <si>
    <t>К227АУ136</t>
  </si>
  <si>
    <t>Х644ЕС116RUS </t>
  </si>
  <si>
    <t>3844 НР/HD120</t>
  </si>
  <si>
    <t> 89061161335</t>
  </si>
  <si>
    <t>М232ЕВ159</t>
  </si>
  <si>
    <t>С738ХВ96</t>
  </si>
  <si>
    <t>Т298ХН96</t>
  </si>
  <si>
    <t>Р863А076</t>
  </si>
  <si>
    <t>К300КХ67 </t>
  </si>
  <si>
    <t>А698ТЕ37</t>
  </si>
  <si>
    <t>Е135ТО35</t>
  </si>
  <si>
    <t>С458НМ116</t>
  </si>
  <si>
    <t>Бабушкин</t>
  </si>
  <si>
    <t>Е868ХК73</t>
  </si>
  <si>
    <t>А212МА37</t>
  </si>
  <si>
    <t> Р419МЕ152</t>
  </si>
  <si>
    <t>A448ET716</t>
  </si>
  <si>
    <t>О282КА45</t>
  </si>
  <si>
    <t> Р774ТС96</t>
  </si>
  <si>
    <t>  К800ЕК67    </t>
  </si>
  <si>
    <t> В252РР73</t>
  </si>
  <si>
    <t>АН486473</t>
  </si>
  <si>
    <t> В192МЕ196</t>
  </si>
  <si>
    <t>У745РВ43</t>
  </si>
  <si>
    <t>О518УА43</t>
  </si>
  <si>
    <t>Р900НО18</t>
  </si>
  <si>
    <t>Х064ЕС116  </t>
  </si>
  <si>
    <t>Х293ЕС116   </t>
  </si>
  <si>
    <t>Савганов</t>
  </si>
  <si>
    <t> 89122514901</t>
  </si>
  <si>
    <t>89107115070 </t>
  </si>
  <si>
    <t>89502092020  </t>
  </si>
  <si>
    <t>89965296119 </t>
  </si>
  <si>
    <t>М960ВА159</t>
  </si>
  <si>
    <t>О262ЕМ73</t>
  </si>
  <si>
    <t>Н555КМ67</t>
  </si>
  <si>
    <t>Н252ТУ31</t>
  </si>
  <si>
    <t> Р768ТР18</t>
  </si>
  <si>
    <t>АВ1548/67   </t>
  </si>
  <si>
    <t>Успехов Вячеслав  </t>
  </si>
  <si>
    <t xml:space="preserve"> Е836ХХ73</t>
  </si>
  <si>
    <t>Семенов</t>
  </si>
  <si>
    <t>BaraFLC</t>
  </si>
  <si>
    <t>Стабилайт II п/проп 25 кг</t>
  </si>
  <si>
    <t>Стабилайт II марк 25 кг</t>
  </si>
  <si>
    <t>Стабилайт II п/проп 22,7 кг</t>
  </si>
  <si>
    <t>Стабилайт II  марк 22,7 кг</t>
  </si>
  <si>
    <t>UNITROL</t>
  </si>
  <si>
    <t>MEX-ASR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</si>
  <si>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</si>
  <si>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</si>
  <si>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</si>
  <si>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</si>
  <si>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</si>
  <si>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</si>
  <si>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</si>
  <si>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</si>
  <si>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</si>
  <si>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</si>
  <si>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</si>
  <si>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ЛИКВИТРОЛ</t>
  </si>
  <si>
    <t>КЛСП без КМЦ на переработку</t>
  </si>
  <si>
    <t>31.06.2019</t>
  </si>
  <si>
    <t>АКТЫ</t>
  </si>
  <si>
    <t>ОТГРУЗКИ ПРОДУКЦИИ</t>
  </si>
  <si>
    <t>из них ИНАЯ:</t>
  </si>
  <si>
    <t>ИНАЯ</t>
  </si>
  <si>
    <t>мешков/бочек</t>
  </si>
  <si>
    <t>КЛИЕНТ</t>
  </si>
  <si>
    <t>Оптитрол Ж - 200 кг п/эт</t>
  </si>
  <si>
    <t>Оптитрол Ж - 200 кг мет</t>
  </si>
  <si>
    <t>заметки</t>
  </si>
  <si>
    <t>ТЕРРАПАН ж - 200 кг мет</t>
  </si>
  <si>
    <t>Цена со склада за 1 тонну</t>
  </si>
  <si>
    <t>Итого</t>
  </si>
  <si>
    <t>ВЕЛЛТРИТ - 950 кг еврокуб</t>
  </si>
  <si>
    <t>БурСервис</t>
  </si>
  <si>
    <t>Пыть-Ях</t>
  </si>
  <si>
    <t>BLACKTROL ж - 200 кг мет</t>
  </si>
  <si>
    <t>BLACKTROL ж - 200 кг п/эт</t>
  </si>
  <si>
    <t>MEX GL-LUBE (СС Голд) - 180 кг мет</t>
  </si>
  <si>
    <t>MEX GL-LUBE (СС Голд) - 200 кг п/эт</t>
  </si>
  <si>
    <t>ВЕЛЛТРИТ - 200 кг мет</t>
  </si>
  <si>
    <t>ВЕЛЛТРИТ - 200 кг п/эт</t>
  </si>
  <si>
    <t>EWO MUL (Экстрамул-2000) - 190 кг п/эт</t>
  </si>
  <si>
    <t>EWO WET (Веллтрит) - 200 кг п/эт</t>
  </si>
  <si>
    <t>ADAPTA II (Ликвитрол) - 25 кг канистра</t>
  </si>
  <si>
    <t>ADAPTA LE (Адванта ж) - 25 кг канистра</t>
  </si>
  <si>
    <t>CLAY GRABBER - 25 кг канистра</t>
  </si>
  <si>
    <t>BLACKTROL ж - 50 кг п/эт</t>
  </si>
  <si>
    <t>Оптитрол Ж - 50 кг п/эт</t>
  </si>
  <si>
    <t>СУПЕРСЛАЙДЕР СИЛЬВЕР - 200 кг п/эт</t>
  </si>
  <si>
    <t>BUR-RMOD L (Реомод ж) - 190 кг п/эт</t>
  </si>
  <si>
    <t>THINNER (Экстрамул-2000) - 180 кг мет</t>
  </si>
  <si>
    <t>ВЕЛЛТРИТ - 180 кг мет</t>
  </si>
  <si>
    <t>WET AGENT (Веллтрит) - 180 кг мет</t>
  </si>
  <si>
    <t>СБМЛУБ ПЛЮС (СС Платинум) - 180 кг мет</t>
  </si>
  <si>
    <t>EZ MUL NTR (Экстрамул-2000) - 190 кг мет</t>
  </si>
  <si>
    <t>ЛИКВИТРОЛ - 200 кг п/эт</t>
  </si>
  <si>
    <t>ЛИКВИТРОЛ - 200 кг мет</t>
  </si>
  <si>
    <t>ЭКСТРАМУЛ-2000 - 180 кг мет</t>
  </si>
  <si>
    <t>ЭКСТРАМУЛ-2000 - 190 кг п/эт</t>
  </si>
  <si>
    <t>ЭКСТРАМУЛ-2000 - 190 кг мет</t>
  </si>
  <si>
    <t>ЭКСТРАМУЛ-2000 - 900 кг еврокуб</t>
  </si>
  <si>
    <t>СУПЕРСЛАЙДЕР ГОЛД - 180 кг мет</t>
  </si>
  <si>
    <t>СУПЕРСЛАЙДЕР ГОЛД - 200 кг п/эт</t>
  </si>
  <si>
    <t>TORQ TRIM II PLUS (СС Голд) - 185 кг п/эт</t>
  </si>
  <si>
    <t>TORQ TRIM II PLUS (СС Голд) - 185 кг мет</t>
  </si>
  <si>
    <t>СБМОЙЛРЕО В (Реомод ж) - 180 кг мет</t>
  </si>
  <si>
    <t>Реагент В - 200 кг п/эт</t>
  </si>
  <si>
    <t>EWO MUL2 - 200 кг п/эт</t>
  </si>
  <si>
    <t>ШЕЙЛ-ИКС ж - 200 кг п/эт</t>
  </si>
  <si>
    <t>АДВАНТА ж - 25 кг канистра</t>
  </si>
  <si>
    <t>ВЕЛЛБОНД - 200 кг п/эт</t>
  </si>
  <si>
    <t>СБМЛУБ ПЛЮС (СС Платинум) - 185 кг п/эт</t>
  </si>
  <si>
    <t>ПОЛИТРОЛ - 200 кг мет</t>
  </si>
  <si>
    <t>EZ MUL NTR (Экстрамул-2000) - 190 кг п/эт</t>
  </si>
  <si>
    <t>BLACKTROL ж - 25 кг канистра</t>
  </si>
  <si>
    <t>Оптитрол Ж - 25 кг канистра</t>
  </si>
  <si>
    <t>СУПЕРСЛАЙДЕР ПЛАТИНУМ - 25 кг канистра</t>
  </si>
  <si>
    <t xml:space="preserve">Продукция </t>
  </si>
  <si>
    <t>Стабилайт II - бум 25,0 кг</t>
  </si>
  <si>
    <t>КЛОТОНЕКС - бум 25,0 кг</t>
  </si>
  <si>
    <t>Стабилайт II - п/проп обезл 25,0 кг</t>
  </si>
  <si>
    <t>DURATONE - бум 25,0 кг</t>
  </si>
  <si>
    <t>Стабилайт II - п/проп марк 25,0 кг</t>
  </si>
  <si>
    <t>СТАБИЛАЙТ РУО - бум 25,0 кг</t>
  </si>
  <si>
    <t>Стабилайт II - п/проп обезл 22,7 кг</t>
  </si>
  <si>
    <t>СБМОЙЛБЛОК (Ст РУО) - бум 25,0 кг</t>
  </si>
  <si>
    <t>Стабилайт II - п/проп марк 22,7 кг</t>
  </si>
  <si>
    <t>VERSATROL M (Ст РУО) - бум 22,68 кг</t>
  </si>
  <si>
    <t>Сульф асф - п/проп обезл 25,0 кг</t>
  </si>
  <si>
    <t>ТЕРРАПАН - бум 25,0 кг</t>
  </si>
  <si>
    <t>Сульф асф - п/проп марк 25,0 кг</t>
  </si>
  <si>
    <t>ТЕРРАПАН - п/проп 25,0 кг</t>
  </si>
  <si>
    <t>Сульф асф - бум 25,0 кг</t>
  </si>
  <si>
    <t>POLYAC PLUS R - бум 22,68 кг</t>
  </si>
  <si>
    <t>BaraFLC - бум 22,68 кг</t>
  </si>
  <si>
    <t>Petro STAB - бум 25,0 кг</t>
  </si>
  <si>
    <t>ПОЛИКАП - бум 25,0 кг</t>
  </si>
  <si>
    <t>Reasolt - п/проп 22,7 кг</t>
  </si>
  <si>
    <t>EZ-MUD DP (Поликап) - бум 25,0 кг</t>
  </si>
  <si>
    <t>Reasolt - бум 22,7 кг</t>
  </si>
  <si>
    <t>РЕОМОД п - бум 18,0 кг</t>
  </si>
  <si>
    <t>СУЛЬФОБИТ - бум 22,7 кг</t>
  </si>
  <si>
    <t>ТЕРМАВИС РУО - бум 20,0 кг</t>
  </si>
  <si>
    <t>СУЛЬФОБИТ - бум 25,0 кг</t>
  </si>
  <si>
    <t>EWO GEL (Термавис РУО) - бум 20,0 кг</t>
  </si>
  <si>
    <t>LG-DRILL - бум 25,0 кг</t>
  </si>
  <si>
    <t>ТАНАТИН - бум 20,0 кг</t>
  </si>
  <si>
    <t>LG-DRILL - п/проп 25,0 кг</t>
  </si>
  <si>
    <t>СБМТАН (Танатин) - бум 20,0 кг</t>
  </si>
  <si>
    <t>СБМСУЛЬФ - бум 25,0 кг</t>
  </si>
  <si>
    <t>АДВАНТА п - бум 14,0 кг</t>
  </si>
  <si>
    <t>АСФАСОЛ - бум 25,0 кг</t>
  </si>
  <si>
    <t>ШЕЙЛ-ИКС п - бум 25,0 кг</t>
  </si>
  <si>
    <t>Асфальтен SAS Bur - бум 25,0 кг</t>
  </si>
  <si>
    <t>Petro ASF - бум 25,0 кг</t>
  </si>
  <si>
    <t>Atren SL - бум 25,0 кг</t>
  </si>
  <si>
    <t>UNITROL - п/проп 25,0 кг</t>
  </si>
  <si>
    <t>MEX-ASR - п/проп 25,0 кг</t>
  </si>
  <si>
    <t>КЛСП - бум 20,0 кг</t>
  </si>
  <si>
    <t>R2D2 - бум 20,0 кг</t>
  </si>
  <si>
    <t>КЛСП РУО - бум 20,0 кг</t>
  </si>
  <si>
    <t>Оптитрол п - бум 20,0 кг</t>
  </si>
  <si>
    <t>СБМОЙЛФИЛЬТР (Ликвитрол) - 190 п/эт</t>
  </si>
  <si>
    <t>ЭКСТРАМУЛ-2000 - 190 кг (переработка)</t>
  </si>
  <si>
    <t>ЭКСТРАМУЛ ДИРЕКТ - 180 кг мет</t>
  </si>
  <si>
    <t>ЭКСТРАМУЛ ДИРЕКТ - 180 кг п/эт</t>
  </si>
  <si>
    <t>СБМЛУБ (СС Голд) - 180 кг мет</t>
  </si>
  <si>
    <t>СУПЕРСЛАЙДЕР СИЛЬВЕР - 200 кг мет</t>
  </si>
  <si>
    <t>СУПЕРСЛАЙДЕР ПЛАТИНУМ - 200 кг мет</t>
  </si>
  <si>
    <t>СУПЕРСЛАЙДЕР ПЛАТИНУМ - 200 кг п/эт</t>
  </si>
  <si>
    <t>СУПЕРСЛАЙДЕР ПЛАТИНУМ - 50 кг п/эт</t>
  </si>
  <si>
    <t>СУПЕРСЛАЙДЕР РУО - 180 п/эт</t>
  </si>
  <si>
    <t>Drilling Lube (СС РУО) - 180 кг мет</t>
  </si>
  <si>
    <t>Drilling Lube (СС РУО) - 200 кг п/эт</t>
  </si>
  <si>
    <t>РЕОМОД ж - 180 кг п/эт</t>
  </si>
  <si>
    <t>РЕОМОД ж - 200 кг п/эт</t>
  </si>
  <si>
    <t>UNIMOD (Реомод ж) - 190 кг мет</t>
  </si>
  <si>
    <t>ДЖИ-ДРИЛЛ - 200 кг мет</t>
  </si>
  <si>
    <t>КЛА-ФРИ - 200 кг мет</t>
  </si>
  <si>
    <t>МАКС-ФЛЕКС - 200 кг п/эт</t>
  </si>
  <si>
    <t>МАКС-ФЛЕКС - 200 кг мет</t>
  </si>
  <si>
    <t>ДРИЛАМИН - 200 кг мет</t>
  </si>
  <si>
    <t>ДЖИ-ДРИЛЛ - 200 кг п/эт</t>
  </si>
  <si>
    <t>КЛА-ФРИ - 200 кг п/эт</t>
  </si>
  <si>
    <t>РЕОМОД ж - 180 кг мет</t>
  </si>
  <si>
    <t>РЕОМОД ж - 200 кг мет</t>
  </si>
  <si>
    <t>TORQ TRIM 22 (СС РУО) - 185 кг мет</t>
  </si>
  <si>
    <t>ЭКСТРАМУЛ ДИРЕКТ - 190 кг п/эт</t>
  </si>
  <si>
    <t>TORQ TRIM 22 (СС РУО) - 185 кг п/эт</t>
  </si>
  <si>
    <t>ПОЛИКАП - п/проп 25,0 кг</t>
  </si>
  <si>
    <t>СУПЕРСЛАЙДЕР ГОЛД - 20 кг канистра</t>
  </si>
  <si>
    <t>ПОЛИТРОЛ - 200 кг п/эт</t>
  </si>
  <si>
    <t>КССБ-2М - п/проп 25,0 кг</t>
  </si>
  <si>
    <t>Сульфит натрия - п/проп 25,0 кг</t>
  </si>
  <si>
    <t>СБМОЙЛРЕО В (Реомод ж) - 180 кг п/эт</t>
  </si>
  <si>
    <t>РЕОМОД ж - 190 кг п/эт</t>
  </si>
  <si>
    <t>ЭКСТРАМУЛ СУПРИМ - 190 кг мет</t>
  </si>
  <si>
    <t>OPTIBUR (Оптитрол ж) - 200 п/эт</t>
  </si>
  <si>
    <t>АДВАНТА ж - 200 кг п/эт</t>
  </si>
  <si>
    <t>NOVATEC F (АДВАНТА ж) - 200 кг п/эт</t>
  </si>
  <si>
    <t>BaraFLC - бум 25,0 кг</t>
  </si>
  <si>
    <t>DRIL-N-SLIDE (СС Платинум) - 175 кг п/эт</t>
  </si>
  <si>
    <t>ВЕЛЛТРИТ - 180 кг п/эт</t>
  </si>
  <si>
    <t>BURFLC - бум 25,0 кг</t>
  </si>
  <si>
    <t>RADIAGREEN RA - 175 кг мет</t>
  </si>
  <si>
    <t>Реагент В - 55 кг п/эт</t>
  </si>
  <si>
    <t>ЭКСТРАМУЛ-2000 - 200 кг п/эт</t>
  </si>
  <si>
    <t>СУПЕРСЛАЙДЕР СОЛТ - 200 кг п/эт</t>
  </si>
  <si>
    <t>ЭКСТРАМУЛ СУПРИМ - 190 кг п/эт</t>
  </si>
  <si>
    <t>МАКС-ФЛЕКС - 1000 кг еврокуб</t>
  </si>
  <si>
    <t>ВАЛЬКИРИЯ (BLACKTROL ж) - 200 кг п/эт</t>
  </si>
  <si>
    <t>СУПЕРСЛАЙДЕР ГОЛД - 25 кг канистра</t>
  </si>
  <si>
    <t>отправил ПК</t>
  </si>
  <si>
    <t>завел в отчет по отгрузкам</t>
  </si>
  <si>
    <t>образцы заказаны</t>
  </si>
  <si>
    <t>ЭКСТРА-ДЕФ - 200 кг п/эт</t>
  </si>
  <si>
    <t>RADIAGREEN RA - 950 кг еврокуб</t>
  </si>
  <si>
    <t xml:space="preserve">Надо заполнить </t>
  </si>
  <si>
    <t>СУПЕРСЛАЙДЕР РУО - 200 кг п/эт</t>
  </si>
  <si>
    <t>BaraFLC(0) - бум 22,7 кг</t>
  </si>
  <si>
    <t>Сода кальцинированная</t>
  </si>
  <si>
    <t>BLACKTROL ж - 210 кг п/эт</t>
  </si>
  <si>
    <t>ASPHO-SLIDE - бум 25,0 кг</t>
  </si>
  <si>
    <t>BURTONE R - бум 25,0 кг</t>
  </si>
  <si>
    <t>СУПЕРСЛАЙДЕР ГОЛД - 28 кг канистра</t>
  </si>
  <si>
    <t>Нижневартовск</t>
  </si>
  <si>
    <t>МАДСЕРВИС</t>
  </si>
  <si>
    <t>Буринтех</t>
  </si>
  <si>
    <t>Инко-Сервис</t>
  </si>
  <si>
    <t>Волгоград</t>
  </si>
  <si>
    <t>КАРБО-БЛОК Medium - бум 25,0 кг</t>
  </si>
  <si>
    <t>КАРБО-БЛОК Coarse - бум 25,0 кг</t>
  </si>
  <si>
    <t>КАРБО-БЛОК Fine - бум 25,0 кг</t>
  </si>
  <si>
    <t>КазПетроДриллинг</t>
  </si>
  <si>
    <t>Жанаозен</t>
  </si>
  <si>
    <t>авто(Ванюхин)</t>
  </si>
  <si>
    <t>КАТФЛО, бочка п/э 200 кг</t>
  </si>
  <si>
    <t>BUR TRIM II PLUS (СС Голд) - 185 кг п/эт</t>
  </si>
  <si>
    <t>ГОТОВ</t>
  </si>
  <si>
    <t>ВЕЛЛБОНД - 190 кг п/эт</t>
  </si>
  <si>
    <t>АПП-490, бочка п/э 200кг</t>
  </si>
  <si>
    <t>ТЕРРАПАН - бум 20,0 кг</t>
  </si>
  <si>
    <t>авто()</t>
  </si>
  <si>
    <t>№ КОНТЕЙНЕРА/ВАГОНА</t>
  </si>
  <si>
    <t>03/2025</t>
  </si>
  <si>
    <t>IN-MOD (РЕОМОД) - бум 18,0 кг</t>
  </si>
  <si>
    <t>КЛСП - п/проп 20,0 кг</t>
  </si>
  <si>
    <t xml:space="preserve">BLACKTROL ж - 1000 кг еврокуб </t>
  </si>
  <si>
    <t>MEX-RBD (СС Солт) - бочка п/э 200 кг</t>
  </si>
  <si>
    <t>Жидкая обсадная колонна ULTRAFINE (100 мкм) - бум 10,0 кг</t>
  </si>
  <si>
    <t>Жидкая обсадная колонна FINE (270 мкм) - бум 10,0 кг</t>
  </si>
  <si>
    <t>Жидкая обсадная колонна MEDIUM (500 мкм) - бум 10,0 кг</t>
  </si>
  <si>
    <t>Жидкая обсадная колонна COARSE (1100 мкм) - бум 10,0 кг</t>
  </si>
  <si>
    <t>Не выполнено</t>
  </si>
  <si>
    <t>ЭКСТРАМУЛ-2000 - 180 кг п/эт</t>
  </si>
  <si>
    <t>ЭКСТРАМУЛ СУПРИМ - 200 кг п/эт</t>
  </si>
  <si>
    <t>BLACKTROL ж - 215,5 кг п/эт</t>
  </si>
  <si>
    <t>BURF MUL NTR (ЭКСТРАМУЛ СУПРИМ), бочка п/э 190 кг</t>
  </si>
  <si>
    <t>20250627</t>
  </si>
  <si>
    <t>Стабилайт II - бум марк 25,0 кг</t>
  </si>
  <si>
    <t>BaraFLC(0) - бум 25,0 кг</t>
  </si>
  <si>
    <t>кнт(Самовывоз)</t>
  </si>
  <si>
    <t>ОМАС</t>
  </si>
  <si>
    <t>171025/1</t>
  </si>
  <si>
    <t>171025/2</t>
  </si>
  <si>
    <t>171025/3</t>
  </si>
  <si>
    <t>171025/4</t>
  </si>
  <si>
    <t>221025</t>
  </si>
  <si>
    <t>281025/1</t>
  </si>
  <si>
    <t>281025/2</t>
  </si>
  <si>
    <t>281025/3</t>
  </si>
  <si>
    <t>281025/4</t>
  </si>
  <si>
    <t>ТАНАТИН ж - 30 кг канистра</t>
  </si>
  <si>
    <t>261025</t>
  </si>
  <si>
    <t>НА СКЛАДЕ</t>
  </si>
  <si>
    <t>Спец№24 (5-6)</t>
  </si>
  <si>
    <t>Спец№24 (6-6)</t>
  </si>
  <si>
    <t>Спец№35</t>
  </si>
  <si>
    <t>ф</t>
  </si>
  <si>
    <t>ТЕРМАВИС РУО - бум 22,7 кг</t>
  </si>
  <si>
    <t>041225</t>
  </si>
  <si>
    <t>091225</t>
  </si>
  <si>
    <t>EZ BUR DP (Поликап) - бум 25,0 кг</t>
  </si>
  <si>
    <t>Спец№98К(3-4)</t>
  </si>
  <si>
    <t>Спец№98К(4-4)</t>
  </si>
  <si>
    <t>Спец№99К</t>
  </si>
  <si>
    <t>ПОЛИКАП ж - 30 кг канистра</t>
  </si>
  <si>
    <t>211225</t>
  </si>
  <si>
    <t>221225</t>
  </si>
  <si>
    <t>231225</t>
  </si>
  <si>
    <t>241225</t>
  </si>
  <si>
    <t>Спец№51(1-2)</t>
  </si>
  <si>
    <t>261225</t>
  </si>
  <si>
    <t>271225</t>
  </si>
  <si>
    <t>281225</t>
  </si>
  <si>
    <t>Спец№54</t>
  </si>
  <si>
    <t>20240819</t>
  </si>
  <si>
    <t>авто(Гандвик)</t>
  </si>
  <si>
    <t>В РАБОТЕ</t>
  </si>
  <si>
    <t>DAF 0898AO29</t>
  </si>
  <si>
    <t>DAF M910РУ29</t>
  </si>
  <si>
    <t xml:space="preserve">Парфенов Роман </t>
  </si>
  <si>
    <t>Вишняков Денис</t>
  </si>
  <si>
    <t>DAF 0922KM29</t>
  </si>
  <si>
    <t xml:space="preserve">Тимохин Виталий </t>
  </si>
  <si>
    <t>251225</t>
  </si>
  <si>
    <t>Гужихин Сергей</t>
  </si>
  <si>
    <t>VOLVO О917МХ29</t>
  </si>
  <si>
    <t>ССК</t>
  </si>
  <si>
    <t>Нягань</t>
  </si>
  <si>
    <t>150126</t>
  </si>
  <si>
    <t>160126</t>
  </si>
  <si>
    <t>Спец№101К (1-2)</t>
  </si>
  <si>
    <t>Спец№101К (2-2)</t>
  </si>
  <si>
    <t>10/2025</t>
  </si>
  <si>
    <t>Сургутнефтегаз</t>
  </si>
  <si>
    <t>Сургут. Белый Яр</t>
  </si>
  <si>
    <t>01/50/14/09/10 (1-10)</t>
  </si>
  <si>
    <t>01/50/14/09/10 (2-10)</t>
  </si>
  <si>
    <t>01/50/14/09/10 (3-10)</t>
  </si>
  <si>
    <t>01/50/14/09/10 (4-10)</t>
  </si>
  <si>
    <t>01/50/14/09/10 (5-10)</t>
  </si>
  <si>
    <t>01/50/14/09/10 (6-10)</t>
  </si>
  <si>
    <t>01/50/14/09/10 (7-10)</t>
  </si>
  <si>
    <t>01/50/14/09/10 (8-10)</t>
  </si>
  <si>
    <t>01/50/14/09/10 (9-10)</t>
  </si>
  <si>
    <t>01/50/14/09/10 (10-10)</t>
  </si>
  <si>
    <t>Котов Денис</t>
  </si>
  <si>
    <t>Меrсеdеs Р039ВВ250</t>
  </si>
  <si>
    <t>Поpтнов Дмитрий</t>
  </si>
  <si>
    <t>DAF У690РК790</t>
  </si>
  <si>
    <t>89273817812/87773777323</t>
  </si>
  <si>
    <t>+</t>
  </si>
  <si>
    <t>Спец№2-СТ (1-14)</t>
  </si>
  <si>
    <t>Спец№2-СТ (2-14)</t>
  </si>
  <si>
    <t>отгружен</t>
  </si>
  <si>
    <t>авто(Бакин)</t>
  </si>
  <si>
    <t>Попов Александр</t>
  </si>
  <si>
    <t>Вольво О618СМ29</t>
  </si>
  <si>
    <t>авто(Ариал)</t>
  </si>
  <si>
    <t>Солянников Дмитрий</t>
  </si>
  <si>
    <t>Даф Х901КС72</t>
  </si>
  <si>
    <t>170126</t>
  </si>
  <si>
    <t>170126/1</t>
  </si>
  <si>
    <t>180126</t>
  </si>
  <si>
    <t>180126/1</t>
  </si>
  <si>
    <t>190126</t>
  </si>
  <si>
    <t>Самовывоз</t>
  </si>
  <si>
    <t>Спец№36</t>
  </si>
  <si>
    <t>Энергоресурс</t>
  </si>
  <si>
    <t>230525</t>
  </si>
  <si>
    <t>230126</t>
  </si>
  <si>
    <t>181225</t>
  </si>
  <si>
    <t>Спец№40</t>
  </si>
  <si>
    <t>Бузулук</t>
  </si>
  <si>
    <t>051225</t>
  </si>
  <si>
    <t>020725</t>
  </si>
  <si>
    <t>050424</t>
  </si>
  <si>
    <t>Спец№41</t>
  </si>
  <si>
    <t>301025</t>
  </si>
  <si>
    <t>311025</t>
  </si>
  <si>
    <t>281025</t>
  </si>
  <si>
    <t>291025</t>
  </si>
  <si>
    <t>190126/1</t>
  </si>
  <si>
    <t>200126</t>
  </si>
  <si>
    <t>210126</t>
  </si>
  <si>
    <t>авто(Легион)</t>
  </si>
  <si>
    <t>Ракшин Андрей</t>
  </si>
  <si>
    <t>Скания М503СМ159</t>
  </si>
  <si>
    <t xml:space="preserve">Самовыовз </t>
  </si>
  <si>
    <t>220126</t>
  </si>
  <si>
    <t>авто(Агро)</t>
  </si>
  <si>
    <t>Белоцерковский Алексей</t>
  </si>
  <si>
    <t>DAF К008МА29</t>
  </si>
  <si>
    <t>Спец№43</t>
  </si>
  <si>
    <t>090425</t>
  </si>
  <si>
    <t>040625</t>
  </si>
  <si>
    <t>Самара</t>
  </si>
  <si>
    <t>Осадчий Александр</t>
  </si>
  <si>
    <t>Камаз Р904НС142</t>
  </si>
  <si>
    <t>авто(Инкам)</t>
  </si>
  <si>
    <t>авто(Рич Трак)</t>
  </si>
  <si>
    <t>Забелин Степан</t>
  </si>
  <si>
    <t>авто(авто 45)</t>
  </si>
  <si>
    <t>SHACMAN М137ВА702</t>
  </si>
  <si>
    <t xml:space="preserve">Осипов Дмитрий </t>
  </si>
  <si>
    <t>КАМАЗ О773НМ45</t>
  </si>
  <si>
    <t>Соколов Виктор</t>
  </si>
  <si>
    <t>ВОЛЬВО Е935РО196</t>
  </si>
  <si>
    <t>Уфа</t>
  </si>
  <si>
    <t>Новиков Сергей</t>
  </si>
  <si>
    <t>Ситрак C105OP196</t>
  </si>
  <si>
    <t>авто(Семенова)</t>
  </si>
  <si>
    <t>Куприяшкин Сергей</t>
  </si>
  <si>
    <t>SHACMAN Н522СР21</t>
  </si>
  <si>
    <t>ДАФ У377МХ45</t>
  </si>
  <si>
    <t>Ильин Андрей</t>
  </si>
  <si>
    <t xml:space="preserve"> Ежов Алексей</t>
  </si>
  <si>
    <t>FAW О484ОУ29</t>
  </si>
  <si>
    <t>290126</t>
  </si>
  <si>
    <t>ВОЛЬВО О951РК72</t>
  </si>
  <si>
    <t>Добрыдин Станислав</t>
  </si>
  <si>
    <t>300126</t>
  </si>
  <si>
    <t>Спец№2-СТ (3-14)</t>
  </si>
  <si>
    <t>Спец№2-СТ (4-14)</t>
  </si>
  <si>
    <t>Спец№2-СТ (5-14)</t>
  </si>
  <si>
    <t>Спец№2-СТ (6-14)</t>
  </si>
  <si>
    <t>Спец№2-СТ (7-14)</t>
  </si>
  <si>
    <t>Спец№2-СТ (8-14)</t>
  </si>
  <si>
    <t>Спец№2-СТ (9-14)</t>
  </si>
  <si>
    <t>Спец№2-СТ (10-14)</t>
  </si>
  <si>
    <t>310126</t>
  </si>
  <si>
    <t>310126/1</t>
  </si>
  <si>
    <t>Корнилов Дмитрий</t>
  </si>
  <si>
    <t>Скания Е999СЕ156</t>
  </si>
  <si>
    <t>Дудин Андрей</t>
  </si>
  <si>
    <t>РЕНО Н451МС196</t>
  </si>
  <si>
    <t>отгружено</t>
  </si>
  <si>
    <t>Андриянов Андрей</t>
  </si>
  <si>
    <t>Камаз М428АН702</t>
  </si>
  <si>
    <t>Решетин Александр</t>
  </si>
  <si>
    <t>Вольво В434РА702</t>
  </si>
  <si>
    <t>самовывоз</t>
  </si>
  <si>
    <t>Спец. №3</t>
  </si>
  <si>
    <t>FWL</t>
  </si>
  <si>
    <t>ЛИКВИТРОЛ - 180 кг мет</t>
  </si>
  <si>
    <t>030226</t>
  </si>
  <si>
    <t>020226</t>
  </si>
  <si>
    <t>010226</t>
  </si>
  <si>
    <t>010226/1</t>
  </si>
  <si>
    <t>Болдырев Владимир</t>
  </si>
  <si>
    <t>Камаз М701УТ69</t>
  </si>
  <si>
    <t>ТКШ</t>
  </si>
  <si>
    <t>Холмск</t>
  </si>
  <si>
    <t>RSH7.MDS.R-25-0800-013214</t>
  </si>
  <si>
    <t>040226</t>
  </si>
  <si>
    <t>Спец№102К (1-2)</t>
  </si>
  <si>
    <t>Спец№102К (2-2)</t>
  </si>
  <si>
    <t>Антонов Евгений</t>
  </si>
  <si>
    <t>DAF К298МО45</t>
  </si>
  <si>
    <t>авто(Коровин)</t>
  </si>
  <si>
    <t>авто(Шмакова)</t>
  </si>
  <si>
    <t>Анфалов Сергей</t>
  </si>
  <si>
    <t>DAF В426МХ45</t>
  </si>
  <si>
    <t>Тайбарей Гавриил</t>
  </si>
  <si>
    <t>КАМАЗ А188УО 43</t>
  </si>
  <si>
    <t>Спец№103К (1-3)</t>
  </si>
  <si>
    <t>Спец№103К (2-3)</t>
  </si>
  <si>
    <t>Спец№103К (3-3)</t>
  </si>
  <si>
    <t>Спец№42</t>
  </si>
  <si>
    <t>авто(Клото)</t>
  </si>
  <si>
    <t>Борисов Дмитрий</t>
  </si>
  <si>
    <t>Mercedes О515ОУ29</t>
  </si>
  <si>
    <t>050226</t>
  </si>
  <si>
    <t xml:space="preserve"> Белоусов Денис</t>
  </si>
  <si>
    <t>Вольво Т838ВМ196</t>
  </si>
  <si>
    <t>НА СКЛАД</t>
  </si>
  <si>
    <t>авто(Горкий Транзит)</t>
  </si>
  <si>
    <t>Звонарев Алексей</t>
  </si>
  <si>
    <t>Скания Т369СО152</t>
  </si>
  <si>
    <t>060226</t>
  </si>
  <si>
    <t>100226</t>
  </si>
  <si>
    <t>Хрущ Александр</t>
  </si>
  <si>
    <t>DAF О539ОН29</t>
  </si>
  <si>
    <t>Спец№44 (1-4)</t>
  </si>
  <si>
    <t>Спец№44 (2-4)</t>
  </si>
  <si>
    <t>Спец№44 (3-4)</t>
  </si>
  <si>
    <t>Спец№44 (4-4)</t>
  </si>
  <si>
    <t>Спец№55</t>
  </si>
  <si>
    <t>Демьянка</t>
  </si>
  <si>
    <t>Акрос</t>
  </si>
  <si>
    <t>Мурманск</t>
  </si>
  <si>
    <t>Спец№156</t>
  </si>
  <si>
    <t>Прогресс-2</t>
  </si>
  <si>
    <t>180625</t>
  </si>
  <si>
    <t>Спец№2-СТ (11-14)</t>
  </si>
  <si>
    <t>Киреев Сергей</t>
  </si>
  <si>
    <t>Вольво Р034СВ29</t>
  </si>
  <si>
    <t>100226/1</t>
  </si>
  <si>
    <t>110226</t>
  </si>
  <si>
    <t>120226</t>
  </si>
  <si>
    <t>НА СКЛАД заявка №25</t>
  </si>
  <si>
    <t>НА СКЛАД заявка №26</t>
  </si>
  <si>
    <t>89224245220/89146819608</t>
  </si>
  <si>
    <t>20260210</t>
  </si>
  <si>
    <t>20260209</t>
  </si>
  <si>
    <t>Спец№56</t>
  </si>
  <si>
    <t>Ситрак С105ОР196</t>
  </si>
  <si>
    <t>SHACMAN К789ОЕ702</t>
  </si>
  <si>
    <t>Ременников Александр</t>
  </si>
  <si>
    <t>Спец№2</t>
  </si>
  <si>
    <t>Газель У078НУ797</t>
  </si>
  <si>
    <t>Скрябин Иван</t>
  </si>
  <si>
    <t>Спец№45</t>
  </si>
  <si>
    <t>170226</t>
  </si>
  <si>
    <t>160226</t>
  </si>
  <si>
    <t>20250625</t>
  </si>
  <si>
    <t>20250216</t>
  </si>
  <si>
    <t>авто(Семенов)</t>
  </si>
  <si>
    <t>DAF У377МХ45</t>
  </si>
  <si>
    <t xml:space="preserve">Ильин Андрей </t>
  </si>
  <si>
    <t>ИВЕКО В187СС43</t>
  </si>
  <si>
    <t>Шкляев Дмитрий</t>
  </si>
  <si>
    <t>Соловьев Александр</t>
  </si>
  <si>
    <t xml:space="preserve"> SITRAK Р957ВВ159</t>
  </si>
  <si>
    <t>БГРП</t>
  </si>
  <si>
    <t>БС-131135</t>
  </si>
  <si>
    <t>270226</t>
  </si>
  <si>
    <t>BUR MUL NTR, бочка п/э 190 кг</t>
  </si>
  <si>
    <t>Счет №44,46</t>
  </si>
  <si>
    <t>Спец№57</t>
  </si>
  <si>
    <t>Счет №14</t>
  </si>
  <si>
    <t>КОМОКС</t>
  </si>
  <si>
    <t>200226</t>
  </si>
  <si>
    <t>Спец№58</t>
  </si>
  <si>
    <t>140226</t>
  </si>
  <si>
    <t>180226</t>
  </si>
  <si>
    <t>ЗЛОБИН АНДРЕЙ</t>
  </si>
  <si>
    <t>ВОЛЬВО М822ХМ763</t>
  </si>
  <si>
    <t>Белоусов Денис</t>
  </si>
  <si>
    <t xml:space="preserve"> Вольво Т838ВМ196</t>
  </si>
  <si>
    <t>Тарганов Максим</t>
  </si>
  <si>
    <t>89090100029, 89214350395</t>
  </si>
  <si>
    <t>Вольво С397НО196</t>
  </si>
  <si>
    <t>кнт (Клото)</t>
  </si>
  <si>
    <t>Лабытнанги</t>
  </si>
  <si>
    <t>Комар эпокси</t>
  </si>
  <si>
    <t>250226</t>
  </si>
  <si>
    <t>030326</t>
  </si>
  <si>
    <t>240226</t>
  </si>
  <si>
    <t>Спец№4 (1-5)</t>
  </si>
  <si>
    <t>Спец№4(2-5)</t>
  </si>
  <si>
    <t>Спец№4(3-5)</t>
  </si>
  <si>
    <t>Спец№4(4-5)</t>
  </si>
  <si>
    <t>11 поддонов</t>
  </si>
  <si>
    <t>4 поддона</t>
  </si>
  <si>
    <t>3 поддона</t>
  </si>
  <si>
    <t>Спец№4(5-5)</t>
  </si>
  <si>
    <t>1 под х 20 меш</t>
  </si>
  <si>
    <t>19 под х 30 меш + 1 под х 10 меш</t>
  </si>
  <si>
    <t>1 под х 30 меш + 1 под х 20 меш</t>
  </si>
  <si>
    <t>20 поддонов</t>
  </si>
  <si>
    <t>Деловые линии</t>
  </si>
  <si>
    <t>Накл. 00250005980</t>
  </si>
  <si>
    <t>Мерседес О460СТ29</t>
  </si>
  <si>
    <t>Тюкавин Александр</t>
  </si>
  <si>
    <t>Ирченко Виталий</t>
  </si>
  <si>
    <t>FAW Х016ЕО154</t>
  </si>
  <si>
    <t>Губкинский</t>
  </si>
  <si>
    <t>100326</t>
  </si>
  <si>
    <t>110326</t>
  </si>
  <si>
    <t>БС-131996</t>
  </si>
  <si>
    <t>БС-129358</t>
  </si>
  <si>
    <t>120326</t>
  </si>
  <si>
    <t>260226</t>
  </si>
  <si>
    <t>GQRU0000200</t>
  </si>
  <si>
    <t>TKRU3203135</t>
  </si>
  <si>
    <t>151025</t>
  </si>
  <si>
    <t>авто(Транскомплект)</t>
  </si>
  <si>
    <t>MAN С938ВУ18</t>
  </si>
  <si>
    <t>Беляев Дмитрий</t>
  </si>
  <si>
    <t>Спец№47</t>
  </si>
  <si>
    <t>TKRU3018395</t>
  </si>
  <si>
    <t>TKRU3473594</t>
  </si>
  <si>
    <t>GQRU3309472</t>
  </si>
  <si>
    <t>НГС</t>
  </si>
  <si>
    <t>Счет №24 от 24.02.26</t>
  </si>
  <si>
    <t>Спец№33</t>
  </si>
  <si>
    <t>МК Сервис</t>
  </si>
  <si>
    <t>110521</t>
  </si>
  <si>
    <t>Сорочинск</t>
  </si>
  <si>
    <t>Байкал сервис АР-0048772</t>
  </si>
  <si>
    <t>130226</t>
  </si>
  <si>
    <t>Шамсутдинов Рустам</t>
  </si>
  <si>
    <t>Скания А074РУ716</t>
  </si>
  <si>
    <t>БС-133281</t>
  </si>
  <si>
    <t>Пурпе</t>
  </si>
  <si>
    <t>03-26</t>
  </si>
  <si>
    <t>БС-133959</t>
  </si>
  <si>
    <t xml:space="preserve">Спец№105К </t>
  </si>
  <si>
    <t>Спец№51(2-2)</t>
  </si>
  <si>
    <t xml:space="preserve">Антипов Алексей </t>
  </si>
  <si>
    <t>DAF В484ХС18</t>
  </si>
  <si>
    <t>авто(Борисов)</t>
  </si>
  <si>
    <t>СОГЛАСОВАНА СТАВКА 300 300</t>
  </si>
  <si>
    <t>Спец№104К (1-3)</t>
  </si>
  <si>
    <t>Спец№104К (2-3)</t>
  </si>
  <si>
    <t>Спец№104К (3-3)</t>
  </si>
  <si>
    <t>Спец№48</t>
  </si>
  <si>
    <t>Спец№49</t>
  </si>
  <si>
    <t>TKRU3100266</t>
  </si>
  <si>
    <t>130326</t>
  </si>
  <si>
    <t>180326</t>
  </si>
  <si>
    <t>SHACMAN М003ВЕ702</t>
  </si>
  <si>
    <t>Ардаширов Фанил</t>
  </si>
  <si>
    <t>Чернаков Константин</t>
  </si>
  <si>
    <t>МАЗ М326ОХ29</t>
  </si>
  <si>
    <t>230326</t>
  </si>
  <si>
    <t>240326</t>
  </si>
  <si>
    <t>250326</t>
  </si>
  <si>
    <t>260326</t>
  </si>
  <si>
    <t>БС-133633(1-4)</t>
  </si>
  <si>
    <t>БС-133633(2-4)</t>
  </si>
  <si>
    <t>БС-133633(3-4)</t>
  </si>
  <si>
    <t>БС-133633(4-4)</t>
  </si>
  <si>
    <t xml:space="preserve">Самара </t>
  </si>
  <si>
    <t>TKRU3050680</t>
  </si>
  <si>
    <t>TKRU3560370</t>
  </si>
  <si>
    <t>НА АПРЕЛЬ. ПО ЗВОНКУ</t>
  </si>
  <si>
    <t>Спец№52(1-2)</t>
  </si>
  <si>
    <t>Спец№52(2-2)</t>
  </si>
  <si>
    <t>270326</t>
  </si>
  <si>
    <t>Спец№27764</t>
  </si>
  <si>
    <t>Петроинжиниринг</t>
  </si>
  <si>
    <t>190326</t>
  </si>
  <si>
    <t>Коженов Андрей</t>
  </si>
  <si>
    <t>Shacman М770КР763</t>
  </si>
  <si>
    <t>Спец№50</t>
  </si>
  <si>
    <t>Спец№1</t>
  </si>
  <si>
    <t>Полихимпром</t>
  </si>
  <si>
    <t>б/п</t>
  </si>
  <si>
    <t>310326</t>
  </si>
  <si>
    <t>Усинск</t>
  </si>
  <si>
    <t>кнт(Клото)</t>
  </si>
  <si>
    <t>Онохин Евгений</t>
  </si>
  <si>
    <t>Ситрак Е806ОР156</t>
  </si>
  <si>
    <t>БС-135012</t>
  </si>
  <si>
    <t>Спец№59</t>
  </si>
  <si>
    <t xml:space="preserve"> + (24.03)</t>
  </si>
  <si>
    <t xml:space="preserve">Калашников Михаил </t>
  </si>
  <si>
    <t>Скания Х189МС777</t>
  </si>
  <si>
    <t>Крючков Александр</t>
  </si>
  <si>
    <t>Ситрак Т881РТ18</t>
  </si>
  <si>
    <t>РЕНО Т224УХ174</t>
  </si>
  <si>
    <t>Колоколов Александр</t>
  </si>
  <si>
    <t>Коротчаево</t>
  </si>
  <si>
    <t>Вольво О 856 УЕ 29</t>
  </si>
  <si>
    <t>Рядовкин Евгений</t>
  </si>
  <si>
    <t>Спец№3</t>
  </si>
  <si>
    <t>Счет №91</t>
  </si>
  <si>
    <t>СГК ГРУПП</t>
  </si>
  <si>
    <t xml:space="preserve"> + (26.03)</t>
  </si>
  <si>
    <t>Shacman О799КН71</t>
  </si>
  <si>
    <t>Трифонов Артём</t>
  </si>
  <si>
    <t xml:space="preserve">Shacman О494РУ71 </t>
  </si>
  <si>
    <t>Горбатых Андрей</t>
  </si>
  <si>
    <t>Шулепов Александр</t>
  </si>
  <si>
    <t xml:space="preserve">  +(27.03)</t>
  </si>
  <si>
    <t xml:space="preserve">SHACMAN Т706ЕК196 </t>
  </si>
  <si>
    <t>Казаков Иван</t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</si>
  <si>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Самовывоз)</t>
    </r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</si>
  <si>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</t>
    </r>
    <r>
      <rPr>
        <sz val="11"/>
        <color theme="1"/>
        <rFont val="Calibri"/>
        <family val="2"/>
        <scheme val="minor"/>
      </rPr>
      <t>)</t>
    </r>
  </si>
  <si>
    <t>Ситрак К817ТТ18</t>
  </si>
  <si>
    <t>Кузнецов Руслан</t>
  </si>
  <si>
    <t>SHACMAN  У463ХО196</t>
  </si>
  <si>
    <t>TKRU3000626</t>
  </si>
  <si>
    <t>Вольво М213АУ196</t>
  </si>
  <si>
    <t>Химнефтесервис</t>
  </si>
  <si>
    <t>080426</t>
  </si>
  <si>
    <t>Актау</t>
  </si>
  <si>
    <t>№ 600-4293558R</t>
  </si>
  <si>
    <t>Кирчигин Владислав, Алексей Козочкин</t>
  </si>
  <si>
    <t>ТК Энергия ГАЗ М737АЕ29,  ГАЗ К412НР29</t>
  </si>
  <si>
    <t>ТК Энергия ГАЗ М737АЕ29,  ГАЗ К412НР30</t>
  </si>
  <si>
    <t>ТК Энергия ГАЗ М737АЕ29,  ГАЗ К412НР31</t>
  </si>
  <si>
    <t>ТК Энергия ГАЗ М737АЕ29,  ГАЗ К412НР32</t>
  </si>
  <si>
    <t>BUR MUL NTR (Экстрамул Суприм), бочка п/э 190 кг</t>
  </si>
  <si>
    <t>Спец №4</t>
  </si>
  <si>
    <t>Freightliner О551СС 29</t>
  </si>
  <si>
    <t>Чурбанов Дмитрий</t>
  </si>
  <si>
    <t>300326</t>
  </si>
  <si>
    <t>010426</t>
  </si>
  <si>
    <t>030426</t>
  </si>
  <si>
    <t>040426</t>
  </si>
  <si>
    <t>060426</t>
  </si>
  <si>
    <t>230326 (02.04 №RU117813242)</t>
  </si>
  <si>
    <t>240326(02.04 №RU117813242)</t>
  </si>
  <si>
    <t>161025/1(02.04 №RU117813242)</t>
  </si>
  <si>
    <t>161025/2(02.04 №RU117813242)</t>
  </si>
  <si>
    <t>291025/1(02.04 №RU117813242)</t>
  </si>
  <si>
    <t>291025/2(02.04 №RU117813242)</t>
  </si>
  <si>
    <t>291025/3(02.04 №RU117813242)</t>
  </si>
  <si>
    <t>291025/4(02.04 №RU117813242)</t>
  </si>
  <si>
    <t>250326(02.04 №RU117813242)</t>
  </si>
  <si>
    <t>260326(02.04 №RU117813242)</t>
  </si>
  <si>
    <t>Спец№60</t>
  </si>
  <si>
    <t>250326 (02.04 №RU117813242)</t>
  </si>
  <si>
    <t>260326 (02.04 №RU117813242)</t>
  </si>
  <si>
    <t>240326 (02.04 №RU117813242)</t>
  </si>
  <si>
    <t>Накл. №ЭР862709</t>
  </si>
  <si>
    <t>DAF У515РВ96</t>
  </si>
  <si>
    <t>Лескин Вячеслав</t>
  </si>
  <si>
    <t>БС-136247</t>
  </si>
  <si>
    <t>Счет №98 от 30.03.26</t>
  </si>
  <si>
    <t>Голодяев Иван</t>
  </si>
  <si>
    <t>DONG FENG О546АЕ159</t>
  </si>
  <si>
    <t>Соколов Александр</t>
  </si>
  <si>
    <t>Джак У732КС152</t>
  </si>
  <si>
    <t xml:space="preserve">  +(02.04)</t>
  </si>
  <si>
    <t>ФОРЕСТ-ОЙЛ, бочка п/э 190 кг</t>
  </si>
  <si>
    <t>070426</t>
  </si>
  <si>
    <t xml:space="preserve">  +(03.04)</t>
  </si>
  <si>
    <t>DONGFENG С831ВУ 18</t>
  </si>
  <si>
    <t>Волков Иван, Филимонов Александр</t>
  </si>
  <si>
    <t>Переданы образцы</t>
  </si>
  <si>
    <t>BLACKTROL ж - 216 кг п/эт</t>
  </si>
  <si>
    <t>Спец№51</t>
  </si>
  <si>
    <t>Спец№106К (1-3)</t>
  </si>
  <si>
    <t>Спец№106К (2-3)</t>
  </si>
  <si>
    <t>Спец№106К (3-3)</t>
  </si>
  <si>
    <t>230425</t>
  </si>
  <si>
    <t>Спец№107К</t>
  </si>
  <si>
    <t>Вайгант Сергей</t>
  </si>
  <si>
    <t>Камаз Е999СА29</t>
  </si>
  <si>
    <t>авто (Ариал+ванюхин)</t>
  </si>
  <si>
    <t xml:space="preserve">89115553852/89273633863/77789283367  </t>
  </si>
  <si>
    <t xml:space="preserve">Попов Геннадий/Суетин Дмитрий </t>
  </si>
  <si>
    <t>RZDU0724659</t>
  </si>
  <si>
    <t xml:space="preserve">  (09.04)</t>
  </si>
  <si>
    <t>FORD О483УС29 / Р039ВВ250</t>
  </si>
  <si>
    <t>Умурбаев Сергей</t>
  </si>
  <si>
    <t>SITRAK К868ВУ702</t>
  </si>
  <si>
    <t>161025/2 (DPD RU118085965)</t>
  </si>
  <si>
    <t>161025/3 (DPD RU118085965)</t>
  </si>
  <si>
    <t>161025/4 (DPD RU118085965)</t>
  </si>
  <si>
    <t>060426 (DPD RU118085965)</t>
  </si>
  <si>
    <t>Спец№4</t>
  </si>
  <si>
    <t>100426</t>
  </si>
  <si>
    <t>RZDU3005129</t>
  </si>
  <si>
    <t>16-17.04.26</t>
  </si>
  <si>
    <t>ДАФ К575ТС763</t>
  </si>
  <si>
    <t xml:space="preserve">Березанский Евгений </t>
  </si>
  <si>
    <t>Спец№20</t>
  </si>
  <si>
    <t>ХимБурСервис</t>
  </si>
  <si>
    <t>150426</t>
  </si>
  <si>
    <t>Спец№100К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</si>
</sst>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19]mmmm\ yyyy;@"/>
    <numFmt numFmtId="166" formatCode="0.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Times"/>
      <family val="1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89AD9"/>
        <bgColor indexed="64"/>
      </patternFill>
    </fill>
    <fill>
      <patternFill patternType="solid">
        <fgColor rgb="FFA2D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5B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904E"/>
        <bgColor indexed="64"/>
      </patternFill>
    </fill>
    <fill>
      <patternFill patternType="solid">
        <fgColor rgb="FFDEB7B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8E4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757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2BFD2"/>
        <bgColor indexed="64"/>
      </patternFill>
    </fill>
    <fill>
      <patternFill patternType="solid">
        <fgColor rgb="FF9EF6A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7">
    <xf numFmtId="0" fontId="0" fillId="0" borderId="0" xfId="0"/>
    <xf numFmtId="0" fontId="38" fillId="9" borderId="7" xfId="0" applyFont="1" applyFill="1" applyBorder="1" applyAlignment="1">
      <alignment wrapText="1"/>
    </xf>
    <xf numFmtId="0" fontId="37" fillId="9" borderId="7" xfId="0" applyFont="1" applyFill="1" applyBorder="1" applyAlignment="1">
      <alignment wrapText="1"/>
    </xf>
    <xf numFmtId="0" fontId="37" fillId="9" borderId="5" xfId="0" applyFont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3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1" fontId="41" fillId="15" borderId="13" xfId="0" applyNumberFormat="1" applyFont="1" applyFill="1" applyBorder="1" applyAlignment="1">
      <alignment horizontal="center" shrinkToFit="1"/>
    </xf>
    <xf numFmtId="1" fontId="44" fillId="9" borderId="14" xfId="0" applyNumberFormat="1" applyFont="1" applyFill="1" applyBorder="1" applyAlignment="1">
      <alignment horizontal="center" shrinkToFit="1"/>
    </xf>
    <xf numFmtId="14" fontId="45" fillId="0" borderId="0" xfId="0" applyNumberFormat="1" applyFont="1"/>
    <xf numFmtId="0" fontId="45" fillId="0" borderId="0" xfId="0" applyFont="1"/>
    <xf numFmtId="164" fontId="46" fillId="15" borderId="12" xfId="0" applyNumberFormat="1" applyFont="1" applyFill="1" applyBorder="1" applyAlignment="1">
      <alignment horizontal="center"/>
    </xf>
    <xf numFmtId="164" fontId="46" fillId="15" borderId="16" xfId="0" applyNumberFormat="1" applyFont="1" applyFill="1" applyBorder="1" applyAlignment="1">
      <alignment horizontal="center"/>
    </xf>
    <xf numFmtId="1" fontId="40" fillId="9" borderId="16" xfId="0" applyNumberFormat="1" applyFont="1" applyFill="1" applyBorder="1" applyAlignment="1">
      <alignment horizontal="center" shrinkToFit="1"/>
    </xf>
    <xf numFmtId="1" fontId="40" fillId="9" borderId="21" xfId="0" applyNumberFormat="1" applyFont="1" applyFill="1" applyBorder="1" applyAlignment="1">
      <alignment horizontal="center" shrinkToFit="1"/>
    </xf>
    <xf numFmtId="0" fontId="47" fillId="16" borderId="17" xfId="0" applyFont="1" applyFill="1" applyBorder="1" applyAlignment="1">
      <alignment horizontal="center" vertical="center" wrapText="1"/>
    </xf>
    <xf numFmtId="164" fontId="47" fillId="16" borderId="16" xfId="0" applyNumberFormat="1" applyFont="1" applyFill="1" applyBorder="1" applyAlignment="1">
      <alignment horizontal="center"/>
    </xf>
    <xf numFmtId="0" fontId="47" fillId="16" borderId="15" xfId="0" applyFont="1" applyFill="1" applyBorder="1" applyAlignment="1">
      <alignment horizontal="center" vertical="center" wrapText="1"/>
    </xf>
    <xf numFmtId="0" fontId="48" fillId="16" borderId="15" xfId="0" applyFont="1" applyFill="1" applyBorder="1" applyAlignment="1">
      <alignment horizontal="center" vertical="center" wrapText="1"/>
    </xf>
    <xf numFmtId="164" fontId="47" fillId="16" borderId="19" xfId="0" applyNumberFormat="1" applyFont="1" applyFill="1" applyBorder="1" applyAlignment="1">
      <alignment horizontal="center"/>
    </xf>
    <xf numFmtId="0" fontId="47" fillId="16" borderId="16" xfId="0" applyFont="1" applyFill="1" applyBorder="1" applyAlignment="1">
      <alignment horizontal="center" vertical="center" wrapText="1"/>
    </xf>
    <xf numFmtId="0" fontId="47" fillId="16" borderId="20" xfId="0" applyFont="1" applyFill="1" applyBorder="1" applyAlignment="1">
      <alignment horizontal="center" vertical="center" wrapText="1"/>
    </xf>
    <xf numFmtId="0" fontId="48" fillId="15" borderId="12" xfId="0" applyFont="1" applyFill="1" applyBorder="1" applyAlignment="1">
      <alignment horizontal="center" vertical="center" wrapText="1"/>
    </xf>
    <xf numFmtId="0" fontId="48" fillId="15" borderId="15" xfId="0" applyFont="1" applyFill="1" applyBorder="1" applyAlignment="1">
      <alignment horizontal="center" vertical="center" wrapText="1"/>
    </xf>
    <xf numFmtId="0" fontId="48" fillId="15" borderId="16" xfId="0" applyFont="1" applyFill="1" applyBorder="1" applyAlignment="1">
      <alignment horizontal="center" vertical="center" wrapText="1"/>
    </xf>
    <xf numFmtId="1" fontId="0" fillId="0" borderId="0" xfId="0" applyNumberFormat="1"/>
    <xf numFmtId="0" fontId="47" fillId="16" borderId="22" xfId="0" applyFont="1" applyFill="1" applyBorder="1" applyAlignment="1">
      <alignment horizontal="center" vertical="center" wrapText="1"/>
    </xf>
    <xf numFmtId="164" fontId="47" fillId="16" borderId="12" xfId="0" applyNumberFormat="1" applyFont="1" applyFill="1" applyBorder="1" applyAlignment="1">
      <alignment horizontal="center"/>
    </xf>
    <xf numFmtId="1" fontId="41" fillId="15" borderId="23" xfId="0" applyNumberFormat="1" applyFont="1" applyFill="1" applyBorder="1" applyAlignment="1">
      <alignment horizontal="center" shrinkToFit="1"/>
    </xf>
    <xf numFmtId="1" fontId="40" fillId="9" borderId="12" xfId="0" applyNumberFormat="1" applyFont="1" applyFill="1" applyBorder="1" applyAlignment="1">
      <alignment horizontal="center" shrinkToFit="1"/>
    </xf>
    <xf numFmtId="0" fontId="47" fillId="16" borderId="24" xfId="0" applyFont="1" applyFill="1" applyBorder="1" applyAlignment="1">
      <alignment horizontal="center" vertical="center" wrapText="1"/>
    </xf>
    <xf numFmtId="164" fontId="47" fillId="16" borderId="21" xfId="0" applyNumberFormat="1" applyFont="1" applyFill="1" applyBorder="1" applyAlignment="1">
      <alignment horizontal="center"/>
    </xf>
    <xf numFmtId="0" fontId="43" fillId="9" borderId="25" xfId="0" applyFont="1" applyFill="1" applyBorder="1" applyAlignment="1">
      <alignment horizontal="center" vertical="center"/>
    </xf>
    <xf numFmtId="0" fontId="43" fillId="9" borderId="18" xfId="0" applyFont="1" applyFill="1" applyBorder="1" applyAlignment="1">
      <alignment horizontal="center" vertical="center"/>
    </xf>
    <xf numFmtId="0" fontId="43" fillId="14" borderId="18" xfId="0" applyFont="1" applyFill="1" applyBorder="1" applyAlignment="1">
      <alignment horizontal="center" vertical="center"/>
    </xf>
    <xf numFmtId="0" fontId="43" fillId="14" borderId="25" xfId="0" applyFont="1" applyFill="1" applyBorder="1" applyAlignment="1">
      <alignment horizontal="center" vertical="center"/>
    </xf>
    <xf numFmtId="1" fontId="44" fillId="9" borderId="12" xfId="0" applyNumberFormat="1" applyFont="1" applyFill="1" applyBorder="1" applyAlignment="1">
      <alignment horizontal="center" shrinkToFit="1"/>
    </xf>
    <xf numFmtId="0" fontId="48" fillId="15" borderId="24" xfId="0" applyFont="1" applyFill="1" applyBorder="1" applyAlignment="1">
      <alignment horizontal="center" vertical="center" wrapText="1"/>
    </xf>
    <xf numFmtId="164" fontId="46" fillId="15" borderId="21" xfId="0" applyNumberFormat="1" applyFont="1" applyFill="1" applyBorder="1" applyAlignment="1">
      <alignment horizontal="center"/>
    </xf>
    <xf numFmtId="1" fontId="41" fillId="15" borderId="26" xfId="0" applyNumberFormat="1" applyFont="1" applyFill="1" applyBorder="1" applyAlignment="1">
      <alignment horizontal="center" shrinkToFit="1"/>
    </xf>
    <xf numFmtId="1" fontId="44" fillId="9" borderId="27" xfId="0" applyNumberFormat="1" applyFont="1" applyFill="1" applyBorder="1" applyAlignment="1">
      <alignment horizontal="center" shrinkToFit="1"/>
    </xf>
    <xf numFmtId="0" fontId="0" fillId="11" borderId="1" xfId="0" applyFill="1" applyBorder="1"/>
    <xf numFmtId="0" fontId="37" fillId="9" borderId="28" xfId="0" applyFont="1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6" fillId="17" borderId="0" xfId="0" applyFont="1" applyFill="1" applyBorder="1" applyAlignment="1">
      <alignment horizontal="center"/>
    </xf>
    <xf numFmtId="0" fontId="0" fillId="17" borderId="0" xfId="0" applyFill="1"/>
    <xf numFmtId="0" fontId="36" fillId="17" borderId="0" xfId="0" applyFont="1" applyFill="1" applyBorder="1" applyAlignment="1"/>
    <xf numFmtId="3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1" borderId="0" xfId="0" applyFill="1"/>
    <xf numFmtId="0" fontId="0" fillId="11" borderId="1" xfId="0" applyFill="1" applyBorder="1" applyAlignment="1">
      <alignment horizontal="center" vertical="center"/>
    </xf>
    <xf numFmtId="165" fontId="36" fillId="9" borderId="0" xfId="0" applyNumberFormat="1" applyFont="1" applyFill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0" fontId="35" fillId="0" borderId="0" xfId="0" applyFont="1"/>
    <xf numFmtId="14" fontId="51" fillId="0" borderId="0" xfId="0" applyNumberFormat="1" applyFont="1"/>
    <xf numFmtId="0" fontId="51" fillId="0" borderId="0" xfId="0" applyFont="1"/>
    <xf numFmtId="0" fontId="35" fillId="0" borderId="0" xfId="0" applyFont="1" applyAlignment="1">
      <alignment horizontal="center"/>
    </xf>
    <xf numFmtId="0" fontId="43" fillId="11" borderId="30" xfId="0" applyFont="1" applyFill="1" applyBorder="1" applyAlignment="1">
      <alignment horizontal="center" vertical="center"/>
    </xf>
    <xf numFmtId="0" fontId="43" fillId="11" borderId="18" xfId="0" applyFont="1" applyFill="1" applyBorder="1" applyAlignment="1">
      <alignment horizontal="center" vertical="center"/>
    </xf>
    <xf numFmtId="0" fontId="46" fillId="8" borderId="12" xfId="0" applyFont="1" applyFill="1" applyBorder="1" applyAlignment="1">
      <alignment horizontal="left" vertical="center" wrapText="1"/>
    </xf>
    <xf numFmtId="2" fontId="46" fillId="8" borderId="12" xfId="0" applyNumberFormat="1" applyFont="1" applyFill="1" applyBorder="1" applyAlignment="1">
      <alignment horizontal="center"/>
    </xf>
    <xf numFmtId="1" fontId="41" fillId="8" borderId="10" xfId="0" applyNumberFormat="1" applyFont="1" applyFill="1" applyBorder="1" applyAlignment="1">
      <alignment horizontal="center" shrinkToFit="1"/>
    </xf>
    <xf numFmtId="0" fontId="46" fillId="8" borderId="15" xfId="0" applyFont="1" applyFill="1" applyBorder="1" applyAlignment="1">
      <alignment horizontal="left" vertical="center" wrapText="1"/>
    </xf>
    <xf numFmtId="164" fontId="46" fillId="8" borderId="16" xfId="0" applyNumberFormat="1" applyFont="1" applyFill="1" applyBorder="1" applyAlignment="1">
      <alignment horizontal="center"/>
    </xf>
    <xf numFmtId="0" fontId="46" fillId="8" borderId="16" xfId="0" applyFont="1" applyFill="1" applyBorder="1" applyAlignment="1">
      <alignment horizontal="left" vertical="center" wrapText="1"/>
    </xf>
    <xf numFmtId="0" fontId="46" fillId="8" borderId="20" xfId="0" applyFont="1" applyFill="1" applyBorder="1" applyAlignment="1">
      <alignment horizontal="left" vertical="center" wrapText="1"/>
    </xf>
    <xf numFmtId="164" fontId="46" fillId="8" borderId="19" xfId="0" applyNumberFormat="1" applyFont="1" applyFill="1" applyBorder="1" applyAlignment="1">
      <alignment horizontal="center"/>
    </xf>
    <xf numFmtId="164" fontId="52" fillId="7" borderId="16" xfId="0" applyNumberFormat="1" applyFont="1" applyFill="1" applyBorder="1" applyAlignment="1">
      <alignment horizontal="center"/>
    </xf>
    <xf numFmtId="0" fontId="52" fillId="7" borderId="15" xfId="0" applyFont="1" applyFill="1" applyBorder="1" applyAlignment="1">
      <alignment horizontal="left" vertical="center" wrapText="1"/>
    </xf>
    <xf numFmtId="164" fontId="52" fillId="7" borderId="19" xfId="0" applyNumberFormat="1" applyFont="1" applyFill="1" applyBorder="1" applyAlignment="1">
      <alignment horizontal="center"/>
    </xf>
    <xf numFmtId="0" fontId="52" fillId="7" borderId="16" xfId="0" applyFont="1" applyFill="1" applyBorder="1" applyAlignment="1">
      <alignment horizontal="left" vertical="center" wrapText="1"/>
    </xf>
    <xf numFmtId="0" fontId="52" fillId="7" borderId="20" xfId="0" applyFont="1" applyFill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 wrapText="1"/>
    </xf>
    <xf numFmtId="164" fontId="52" fillId="7" borderId="32" xfId="0" applyNumberFormat="1" applyFont="1" applyFill="1" applyBorder="1" applyAlignment="1">
      <alignment horizontal="center"/>
    </xf>
    <xf numFmtId="0" fontId="50" fillId="11" borderId="1" xfId="0" applyFont="1" applyFill="1" applyBorder="1" applyAlignment="1">
      <alignment horizontal="center"/>
    </xf>
    <xf numFmtId="0" fontId="50" fillId="11" borderId="1" xfId="0" applyFont="1" applyFill="1" applyBorder="1" applyAlignment="1">
      <alignment horizontal="center" vertical="center"/>
    </xf>
    <xf numFmtId="3" fontId="0" fillId="11" borderId="8" xfId="0" applyNumberFormat="1" applyFill="1" applyBorder="1"/>
    <xf numFmtId="0" fontId="0" fillId="0" borderId="1" xfId="0" applyBorder="1"/>
    <xf numFmtId="2" fontId="46" fillId="8" borderId="16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166" fontId="37" fillId="9" borderId="1" xfId="0" applyNumberFormat="1" applyFont="1" applyFill="1" applyBorder="1" applyAlignment="1">
      <alignment wrapText="1"/>
    </xf>
    <xf numFmtId="166" fontId="37" fillId="9" borderId="2" xfId="0" applyNumberFormat="1" applyFont="1" applyFill="1" applyBorder="1" applyAlignment="1">
      <alignment wrapText="1"/>
    </xf>
    <xf numFmtId="166" fontId="38" fillId="9" borderId="1" xfId="0" applyNumberFormat="1" applyFont="1" applyFill="1" applyBorder="1" applyAlignment="1">
      <alignment wrapText="1"/>
    </xf>
    <xf numFmtId="166" fontId="37" fillId="9" borderId="4" xfId="0" applyNumberFormat="1" applyFont="1" applyFill="1" applyBorder="1" applyAlignment="1">
      <alignment wrapText="1"/>
    </xf>
    <xf numFmtId="0" fontId="36" fillId="17" borderId="0" xfId="0" applyFont="1" applyFill="1" applyBorder="1" applyAlignment="1">
      <alignment horizontal="left"/>
    </xf>
    <xf numFmtId="0" fontId="35" fillId="5" borderId="8" xfId="0" applyFont="1" applyFill="1" applyBorder="1" applyAlignment="1">
      <alignment horizontal="left" vertical="center"/>
    </xf>
    <xf numFmtId="0" fontId="36" fillId="17" borderId="0" xfId="0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3" fillId="0" borderId="0" xfId="0" applyFont="1" applyAlignment="1">
      <alignment horizontal="center"/>
    </xf>
    <xf numFmtId="0" fontId="49" fillId="0" borderId="0" xfId="0" applyFont="1"/>
    <xf numFmtId="0" fontId="49" fillId="0" borderId="1" xfId="0" applyFont="1" applyBorder="1" applyAlignment="1">
      <alignment horizontal="left" vertical="center" wrapText="1"/>
    </xf>
    <xf numFmtId="0" fontId="49" fillId="0" borderId="0" xfId="0" applyFont="1" applyAlignment="1">
      <alignment horizontal="left"/>
    </xf>
    <xf numFmtId="0" fontId="49" fillId="0" borderId="1" xfId="0" applyFont="1" applyBorder="1"/>
    <xf numFmtId="0" fontId="49" fillId="0" borderId="1" xfId="0" applyFont="1" applyFill="1" applyBorder="1"/>
    <xf numFmtId="0" fontId="49" fillId="0" borderId="1" xfId="0" applyFont="1" applyBorder="1" applyAlignment="1">
      <alignment vertical="top" wrapText="1"/>
    </xf>
    <xf numFmtId="0" fontId="40" fillId="0" borderId="0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49" fillId="0" borderId="1" xfId="0" applyFont="1" applyFill="1" applyBorder="1" applyAlignment="1">
      <alignment horizontal="left"/>
    </xf>
    <xf numFmtId="0" fontId="46" fillId="13" borderId="20" xfId="0" applyFont="1" applyFill="1" applyBorder="1" applyAlignment="1">
      <alignment horizontal="left" vertical="center" wrapText="1"/>
    </xf>
    <xf numFmtId="164" fontId="46" fillId="13" borderId="16" xfId="0" applyNumberFormat="1" applyFont="1" applyFill="1" applyBorder="1" applyAlignment="1">
      <alignment horizontal="center"/>
    </xf>
    <xf numFmtId="0" fontId="46" fillId="13" borderId="15" xfId="0" applyFont="1" applyFill="1" applyBorder="1" applyAlignment="1">
      <alignment horizontal="left" vertical="center" wrapText="1"/>
    </xf>
    <xf numFmtId="0" fontId="46" fillId="13" borderId="17" xfId="0" applyFont="1" applyFill="1" applyBorder="1" applyAlignment="1">
      <alignment horizontal="left" vertical="center" wrapText="1"/>
    </xf>
    <xf numFmtId="0" fontId="52" fillId="13" borderId="17" xfId="0" applyFont="1" applyFill="1" applyBorder="1" applyAlignment="1">
      <alignment horizontal="left" vertical="center" wrapText="1"/>
    </xf>
    <xf numFmtId="164" fontId="52" fillId="13" borderId="16" xfId="0" applyNumberFormat="1" applyFont="1" applyFill="1" applyBorder="1" applyAlignment="1">
      <alignment horizontal="center"/>
    </xf>
    <xf numFmtId="0" fontId="52" fillId="13" borderId="15" xfId="0" applyFont="1" applyFill="1" applyBorder="1" applyAlignment="1">
      <alignment horizontal="left" vertical="center" wrapText="1"/>
    </xf>
    <xf numFmtId="164" fontId="52" fillId="13" borderId="19" xfId="0" applyNumberFormat="1" applyFont="1" applyFill="1" applyBorder="1" applyAlignment="1">
      <alignment horizontal="center"/>
    </xf>
    <xf numFmtId="2" fontId="46" fillId="13" borderId="16" xfId="0" applyNumberFormat="1" applyFont="1" applyFill="1" applyBorder="1" applyAlignment="1">
      <alignment horizontal="center"/>
    </xf>
    <xf numFmtId="2" fontId="52" fillId="13" borderId="16" xfId="0" applyNumberFormat="1" applyFont="1" applyFill="1" applyBorder="1" applyAlignment="1">
      <alignment horizontal="center"/>
    </xf>
    <xf numFmtId="0" fontId="52" fillId="13" borderId="20" xfId="0" applyFont="1" applyFill="1" applyBorder="1" applyAlignment="1">
      <alignment horizontal="left" vertical="center" wrapText="1"/>
    </xf>
    <xf numFmtId="0" fontId="52" fillId="13" borderId="16" xfId="0" applyFont="1" applyFill="1" applyBorder="1" applyAlignment="1">
      <alignment horizontal="left" vertical="center" wrapText="1"/>
    </xf>
    <xf numFmtId="2" fontId="52" fillId="13" borderId="19" xfId="0" applyNumberFormat="1" applyFont="1" applyFill="1" applyBorder="1" applyAlignment="1">
      <alignment horizontal="center"/>
    </xf>
    <xf numFmtId="0" fontId="35" fillId="0" borderId="0" xfId="0" applyFont="1" applyAlignment="1">
      <alignment horizontal="left"/>
    </xf>
    <xf numFmtId="0" fontId="35" fillId="7" borderId="9" xfId="0" applyFont="1" applyFill="1" applyBorder="1" applyAlignment="1">
      <alignment horizontal="center" vertical="center"/>
    </xf>
    <xf numFmtId="0" fontId="35" fillId="5" borderId="33" xfId="0" applyFont="1" applyFill="1" applyBorder="1" applyAlignment="1">
      <alignment horizontal="left" vertical="center"/>
    </xf>
    <xf numFmtId="0" fontId="35" fillId="13" borderId="9" xfId="0" applyFont="1" applyFill="1" applyBorder="1" applyAlignment="1">
      <alignment horizontal="center" vertical="center"/>
    </xf>
    <xf numFmtId="0" fontId="35" fillId="13" borderId="9" xfId="0" applyFont="1" applyFill="1" applyBorder="1"/>
    <xf numFmtId="0" fontId="0" fillId="18" borderId="9" xfId="0" applyFill="1" applyBorder="1"/>
    <xf numFmtId="0" fontId="37" fillId="0" borderId="0" xfId="0" applyFont="1"/>
    <xf numFmtId="0" fontId="0" fillId="9" borderId="2" xfId="0" applyFont="1" applyFill="1" applyBorder="1" applyAlignment="1">
      <alignment horizontal="center" vertical="center" wrapText="1"/>
    </xf>
    <xf numFmtId="14" fontId="35" fillId="11" borderId="9" xfId="0" applyNumberFormat="1" applyFon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49" fontId="36" fillId="17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19" borderId="0" xfId="0" applyNumberFormat="1" applyFill="1"/>
    <xf numFmtId="49" fontId="0" fillId="20" borderId="0" xfId="0" applyNumberFormat="1" applyFill="1"/>
    <xf numFmtId="1" fontId="41" fillId="13" borderId="10" xfId="0" applyNumberFormat="1" applyFont="1" applyFill="1" applyBorder="1" applyAlignment="1">
      <alignment horizontal="center" shrinkToFit="1"/>
    </xf>
    <xf numFmtId="1" fontId="41" fillId="7" borderId="10" xfId="0" applyNumberFormat="1" applyFont="1" applyFill="1" applyBorder="1" applyAlignment="1">
      <alignment horizontal="center" shrinkToFit="1"/>
    </xf>
    <xf numFmtId="0" fontId="0" fillId="0" borderId="0" xfId="0" applyFill="1"/>
    <xf numFmtId="49" fontId="0" fillId="21" borderId="0" xfId="0" applyNumberFormat="1" applyFill="1"/>
    <xf numFmtId="0" fontId="55" fillId="0" borderId="1" xfId="0" applyFont="1" applyBorder="1"/>
    <xf numFmtId="0" fontId="0" fillId="11" borderId="9" xfId="0" applyFill="1" applyBorder="1"/>
    <xf numFmtId="14" fontId="0" fillId="11" borderId="9" xfId="0" applyNumberFormat="1" applyFill="1" applyBorder="1" applyAlignment="1">
      <alignment horizontal="left" vertical="center"/>
    </xf>
    <xf numFmtId="0" fontId="56" fillId="0" borderId="1" xfId="0" applyFont="1" applyBorder="1"/>
    <xf numFmtId="0" fontId="50" fillId="11" borderId="1" xfId="0" applyFont="1" applyFill="1" applyBorder="1" applyAlignment="1">
      <alignment horizontal="left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/>
    </xf>
    <xf numFmtId="49" fontId="0" fillId="22" borderId="1" xfId="0" applyNumberFormat="1" applyFill="1" applyBorder="1" applyAlignment="1">
      <alignment horizontal="center"/>
    </xf>
    <xf numFmtId="1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/>
    <xf numFmtId="0" fontId="0" fillId="22" borderId="1" xfId="0" applyFill="1" applyBorder="1" applyAlignment="1">
      <alignment horizontal="left" wrapText="1"/>
    </xf>
    <xf numFmtId="14" fontId="0" fillId="22" borderId="9" xfId="0" applyNumberFormat="1" applyFill="1" applyBorder="1" applyAlignment="1">
      <alignment horizontal="left" vertical="center"/>
    </xf>
    <xf numFmtId="3" fontId="0" fillId="22" borderId="8" xfId="0" applyNumberFormat="1" applyFill="1" applyBorder="1"/>
    <xf numFmtId="0" fontId="28" fillId="11" borderId="1" xfId="0" applyFont="1" applyFill="1" applyBorder="1" applyAlignment="1">
      <alignment horizontal="left" wrapText="1"/>
    </xf>
    <xf numFmtId="0" fontId="46" fillId="8" borderId="17" xfId="0" applyFont="1" applyFill="1" applyBorder="1" applyAlignment="1">
      <alignment horizontal="left" vertical="center" wrapText="1"/>
    </xf>
    <xf numFmtId="2" fontId="46" fillId="8" borderId="14" xfId="0" applyNumberFormat="1" applyFont="1" applyFill="1" applyBorder="1" applyAlignment="1">
      <alignment horizontal="center"/>
    </xf>
    <xf numFmtId="1" fontId="44" fillId="9" borderId="16" xfId="0" applyNumberFormat="1" applyFont="1" applyFill="1" applyBorder="1" applyAlignment="1">
      <alignment horizontal="center" shrinkToFit="1"/>
    </xf>
    <xf numFmtId="49" fontId="0" fillId="23" borderId="0" xfId="0" applyNumberFormat="1" applyFill="1"/>
    <xf numFmtId="0" fontId="35" fillId="0" borderId="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/>
    </xf>
    <xf numFmtId="49" fontId="35" fillId="0" borderId="2" xfId="0" applyNumberFormat="1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/>
    </xf>
    <xf numFmtId="0" fontId="35" fillId="0" borderId="33" xfId="0" applyFont="1" applyFill="1" applyBorder="1" applyAlignment="1">
      <alignment horizontal="left" vertical="center"/>
    </xf>
    <xf numFmtId="0" fontId="35" fillId="0" borderId="9" xfId="0" applyFont="1" applyFill="1" applyBorder="1"/>
    <xf numFmtId="0" fontId="0" fillId="0" borderId="29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50" fillId="13" borderId="1" xfId="0" applyFont="1" applyFill="1" applyBorder="1" applyAlignment="1">
      <alignment horizontal="center" vertical="center"/>
    </xf>
    <xf numFmtId="49" fontId="50" fillId="13" borderId="1" xfId="0" applyNumberFormat="1" applyFont="1" applyFill="1" applyBorder="1" applyAlignment="1">
      <alignment horizontal="center"/>
    </xf>
    <xf numFmtId="0" fontId="50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/>
    <xf numFmtId="14" fontId="0" fillId="13" borderId="1" xfId="0" applyNumberFormat="1" applyFill="1" applyBorder="1" applyAlignment="1">
      <alignment horizontal="left" vertical="center"/>
    </xf>
    <xf numFmtId="3" fontId="0" fillId="13" borderId="8" xfId="0" applyNumberFormat="1" applyFill="1" applyBorder="1"/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41" fillId="24" borderId="1" xfId="0" applyFont="1" applyFill="1" applyBorder="1" applyAlignment="1">
      <alignment horizontal="center" vertical="center"/>
    </xf>
    <xf numFmtId="14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14" fontId="0" fillId="25" borderId="1" xfId="0" applyNumberForma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/>
    </xf>
    <xf numFmtId="0" fontId="58" fillId="26" borderId="1" xfId="0" applyFont="1" applyFill="1" applyBorder="1" applyAlignment="1">
      <alignment horizontal="center" vertical="center"/>
    </xf>
    <xf numFmtId="49" fontId="57" fillId="26" borderId="1" xfId="0" applyNumberFormat="1" applyFont="1" applyFill="1" applyBorder="1" applyAlignment="1">
      <alignment horizontal="center"/>
    </xf>
    <xf numFmtId="14" fontId="57" fillId="26" borderId="1" xfId="0" applyNumberFormat="1" applyFont="1" applyFill="1" applyBorder="1" applyAlignment="1">
      <alignment horizontal="center" vertical="center"/>
    </xf>
    <xf numFmtId="0" fontId="57" fillId="26" borderId="1" xfId="0" applyNumberFormat="1" applyFont="1" applyFill="1" applyBorder="1" applyAlignment="1">
      <alignment horizontal="center"/>
    </xf>
    <xf numFmtId="3" fontId="57" fillId="26" borderId="8" xfId="0" applyNumberFormat="1" applyFont="1" applyFill="1" applyBorder="1" applyAlignment="1">
      <alignment horizontal="center"/>
    </xf>
    <xf numFmtId="14" fontId="27" fillId="11" borderId="9" xfId="0" applyNumberFormat="1" applyFont="1" applyFill="1" applyBorder="1" applyAlignment="1">
      <alignment horizontal="left" vertical="center"/>
    </xf>
    <xf numFmtId="49" fontId="42" fillId="9" borderId="0" xfId="0" applyNumberFormat="1" applyFont="1" applyFill="1"/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  <xf numFmtId="49" fontId="0" fillId="27" borderId="1" xfId="0" applyNumberForma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 vertical="center"/>
    </xf>
    <xf numFmtId="0" fontId="0" fillId="27" borderId="1" xfId="0" applyFill="1" applyBorder="1"/>
    <xf numFmtId="3" fontId="0" fillId="27" borderId="8" xfId="0" applyNumberFormat="1" applyFill="1" applyBorder="1"/>
    <xf numFmtId="3" fontId="0" fillId="24" borderId="8" xfId="0" applyNumberFormat="1" applyFill="1" applyBorder="1"/>
    <xf numFmtId="0" fontId="35" fillId="2" borderId="9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50" fillId="28" borderId="1" xfId="0" applyFont="1" applyFill="1" applyBorder="1" applyAlignment="1">
      <alignment horizontal="center" vertical="center"/>
    </xf>
    <xf numFmtId="0" fontId="50" fillId="28" borderId="1" xfId="0" applyFont="1" applyFill="1" applyBorder="1" applyAlignment="1">
      <alignment horizontal="center"/>
    </xf>
    <xf numFmtId="14" fontId="0" fillId="28" borderId="1" xfId="0" applyNumberFormat="1" applyFill="1" applyBorder="1" applyAlignment="1">
      <alignment horizontal="center" vertical="center"/>
    </xf>
    <xf numFmtId="0" fontId="50" fillId="28" borderId="1" xfId="0" applyFont="1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14" fontId="35" fillId="28" borderId="9" xfId="0" applyNumberFormat="1" applyFont="1" applyFill="1" applyBorder="1" applyAlignment="1">
      <alignment horizontal="left" vertical="center"/>
    </xf>
    <xf numFmtId="0" fontId="0" fillId="28" borderId="1" xfId="0" applyFill="1" applyBorder="1"/>
    <xf numFmtId="3" fontId="0" fillId="28" borderId="8" xfId="0" applyNumberFormat="1" applyFill="1" applyBorder="1"/>
    <xf numFmtId="49" fontId="50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left" vertical="top"/>
    </xf>
    <xf numFmtId="14" fontId="0" fillId="11" borderId="1" xfId="0" applyNumberFormat="1" applyFill="1" applyBorder="1" applyAlignment="1">
      <alignment horizontal="left" vertical="center"/>
    </xf>
    <xf numFmtId="0" fontId="50" fillId="2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top"/>
    </xf>
    <xf numFmtId="14" fontId="25" fillId="11" borderId="9" xfId="0" applyNumberFormat="1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/>
    </xf>
    <xf numFmtId="0" fontId="0" fillId="11" borderId="1" xfId="0" applyFill="1" applyBorder="1" applyAlignment="1"/>
    <xf numFmtId="0" fontId="0" fillId="11" borderId="1" xfId="0" applyFill="1" applyBorder="1" applyAlignment="1">
      <alignment horizontal="left" wrapText="1"/>
    </xf>
    <xf numFmtId="14" fontId="24" fillId="11" borderId="9" xfId="0" applyNumberFormat="1" applyFont="1" applyFill="1" applyBorder="1" applyAlignment="1">
      <alignment horizontal="left" vertical="center"/>
    </xf>
    <xf numFmtId="14" fontId="50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top" wrapText="1"/>
    </xf>
    <xf numFmtId="0" fontId="35" fillId="2" borderId="9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wrapText="1"/>
    </xf>
    <xf numFmtId="0" fontId="35" fillId="12" borderId="2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49" fontId="35" fillId="6" borderId="2" xfId="0" applyNumberFormat="1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wrapText="1"/>
    </xf>
    <xf numFmtId="14" fontId="23" fillId="11" borderId="9" xfId="0" applyNumberFormat="1" applyFont="1" applyFill="1" applyBorder="1" applyAlignment="1">
      <alignment horizontal="left" vertical="center"/>
    </xf>
    <xf numFmtId="14" fontId="22" fillId="11" borderId="9" xfId="0" applyNumberFormat="1" applyFont="1" applyFill="1" applyBorder="1" applyAlignment="1">
      <alignment horizontal="left" vertical="center"/>
    </xf>
    <xf numFmtId="14" fontId="22" fillId="11" borderId="1" xfId="0" applyNumberFormat="1" applyFont="1" applyFill="1" applyBorder="1" applyAlignment="1">
      <alignment horizontal="left" vertical="center"/>
    </xf>
    <xf numFmtId="14" fontId="35" fillId="11" borderId="1" xfId="0" applyNumberFormat="1" applyFont="1" applyFill="1" applyBorder="1" applyAlignment="1">
      <alignment horizontal="left" vertical="center"/>
    </xf>
    <xf numFmtId="14" fontId="21" fillId="11" borderId="9" xfId="0" applyNumberFormat="1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50" fillId="25" borderId="1" xfId="0" applyFont="1" applyFill="1" applyBorder="1" applyAlignment="1">
      <alignment horizontal="center" vertical="center"/>
    </xf>
    <xf numFmtId="49" fontId="50" fillId="25" borderId="1" xfId="0" applyNumberFormat="1" applyFont="1" applyFill="1" applyBorder="1" applyAlignment="1">
      <alignment horizontal="center"/>
    </xf>
    <xf numFmtId="0" fontId="50" fillId="25" borderId="1" xfId="0" applyFont="1" applyFill="1" applyBorder="1" applyAlignment="1">
      <alignment horizontal="center"/>
    </xf>
    <xf numFmtId="14" fontId="50" fillId="25" borderId="1" xfId="0" applyNumberFormat="1" applyFont="1" applyFill="1" applyBorder="1" applyAlignment="1">
      <alignment horizontal="center"/>
    </xf>
    <xf numFmtId="0" fontId="0" fillId="25" borderId="1" xfId="0" applyFill="1" applyBorder="1" applyAlignment="1">
      <alignment horizontal="left" vertical="top" wrapText="1"/>
    </xf>
    <xf numFmtId="0" fontId="0" fillId="25" borderId="1" xfId="0" applyFill="1" applyBorder="1"/>
    <xf numFmtId="14" fontId="0" fillId="25" borderId="9" xfId="0" applyNumberFormat="1" applyFill="1" applyBorder="1" applyAlignment="1">
      <alignment horizontal="left" vertical="center"/>
    </xf>
    <xf numFmtId="3" fontId="0" fillId="25" borderId="8" xfId="0" applyNumberFormat="1" applyFill="1" applyBorder="1"/>
    <xf numFmtId="14" fontId="20" fillId="11" borderId="9" xfId="0" applyNumberFormat="1" applyFont="1" applyFill="1" applyBorder="1" applyAlignment="1">
      <alignment horizontal="left" vertical="center"/>
    </xf>
    <xf numFmtId="0" fontId="50" fillId="25" borderId="1" xfId="0" applyNumberFormat="1" applyFont="1" applyFill="1" applyBorder="1" applyAlignment="1">
      <alignment horizontal="center"/>
    </xf>
    <xf numFmtId="0" fontId="35" fillId="11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/>
    </xf>
    <xf numFmtId="0" fontId="0" fillId="27" borderId="1" xfId="0" applyNumberFormat="1" applyFill="1" applyBorder="1" applyAlignment="1">
      <alignment horizontal="left" vertical="top"/>
    </xf>
    <xf numFmtId="0" fontId="0" fillId="27" borderId="1" xfId="0" applyFill="1" applyBorder="1" applyAlignment="1"/>
    <xf numFmtId="14" fontId="35" fillId="27" borderId="9" xfId="0" applyNumberFormat="1" applyFont="1" applyFill="1" applyBorder="1" applyAlignment="1">
      <alignment horizontal="left" vertical="center"/>
    </xf>
    <xf numFmtId="0" fontId="0" fillId="19" borderId="1" xfId="0" applyFill="1" applyBorder="1"/>
    <xf numFmtId="14" fontId="18" fillId="11" borderId="9" xfId="0" applyNumberFormat="1" applyFont="1" applyFill="1" applyBorder="1" applyAlignment="1">
      <alignment horizontal="left" vertical="center"/>
    </xf>
    <xf numFmtId="14" fontId="17" fillId="11" borderId="9" xfId="0" applyNumberFormat="1" applyFont="1" applyFill="1" applyBorder="1" applyAlignment="1">
      <alignment horizontal="left" vertical="center"/>
    </xf>
    <xf numFmtId="14" fontId="16" fillId="11" borderId="9" xfId="0" applyNumberFormat="1" applyFont="1" applyFill="1" applyBorder="1" applyAlignment="1">
      <alignment horizontal="left" vertical="center"/>
    </xf>
    <xf numFmtId="0" fontId="35" fillId="2" borderId="9" xfId="0" applyFont="1" applyFill="1" applyBorder="1" applyAlignment="1">
      <alignment horizontal="center" vertical="center"/>
    </xf>
    <xf numFmtId="14" fontId="14" fillId="11" borderId="9" xfId="0" applyNumberFormat="1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41" fillId="29" borderId="1" xfId="0" applyFont="1" applyFill="1" applyBorder="1" applyAlignment="1">
      <alignment horizontal="center" vertical="center"/>
    </xf>
    <xf numFmtId="49" fontId="0" fillId="29" borderId="1" xfId="0" applyNumberFormat="1" applyFill="1" applyBorder="1" applyAlignment="1">
      <alignment horizontal="center"/>
    </xf>
    <xf numFmtId="0" fontId="50" fillId="29" borderId="1" xfId="0" applyFont="1" applyFill="1" applyBorder="1" applyAlignment="1">
      <alignment horizontal="center"/>
    </xf>
    <xf numFmtId="14" fontId="0" fillId="29" borderId="1" xfId="0" applyNumberFormat="1" applyFill="1" applyBorder="1" applyAlignment="1">
      <alignment horizontal="center" vertical="center"/>
    </xf>
    <xf numFmtId="0" fontId="50" fillId="29" borderId="1" xfId="0" applyFont="1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4" fontId="35" fillId="29" borderId="9" xfId="0" applyNumberFormat="1" applyFont="1" applyFill="1" applyBorder="1" applyAlignment="1">
      <alignment horizontal="left" vertical="center"/>
    </xf>
    <xf numFmtId="0" fontId="0" fillId="29" borderId="1" xfId="0" applyFill="1" applyBorder="1"/>
    <xf numFmtId="3" fontId="0" fillId="29" borderId="8" xfId="0" applyNumberFormat="1" applyFill="1" applyBorder="1"/>
    <xf numFmtId="14" fontId="0" fillId="29" borderId="9" xfId="0" applyNumberFormat="1" applyFill="1" applyBorder="1" applyAlignment="1">
      <alignment horizontal="left" vertical="center"/>
    </xf>
    <xf numFmtId="14" fontId="12" fillId="11" borderId="9" xfId="0" applyNumberFormat="1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wrapText="1"/>
    </xf>
    <xf numFmtId="0" fontId="19" fillId="11" borderId="1" xfId="0" applyFont="1" applyFill="1" applyBorder="1" applyAlignment="1">
      <alignment horizontal="left" wrapText="1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41" fillId="30" borderId="1" xfId="0" applyFont="1" applyFill="1" applyBorder="1" applyAlignment="1">
      <alignment horizontal="center" vertical="center"/>
    </xf>
    <xf numFmtId="49" fontId="0" fillId="30" borderId="1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/>
    <xf numFmtId="14" fontId="0" fillId="30" borderId="9" xfId="0" applyNumberFormat="1" applyFill="1" applyBorder="1" applyAlignment="1">
      <alignment horizontal="left" vertical="center"/>
    </xf>
    <xf numFmtId="0" fontId="50" fillId="30" borderId="1" xfId="0" applyFont="1" applyFill="1" applyBorder="1" applyAlignment="1">
      <alignment horizontal="center"/>
    </xf>
    <xf numFmtId="3" fontId="0" fillId="30" borderId="8" xfId="0" applyNumberFormat="1" applyFill="1" applyBorder="1"/>
    <xf numFmtId="3" fontId="57" fillId="0" borderId="0" xfId="0" applyNumberFormat="1" applyFont="1"/>
    <xf numFmtId="49" fontId="0" fillId="29" borderId="0" xfId="0" applyNumberFormat="1" applyFill="1"/>
    <xf numFmtId="0" fontId="35" fillId="29" borderId="1" xfId="0" applyFont="1" applyFill="1" applyBorder="1"/>
    <xf numFmtId="14" fontId="9" fillId="11" borderId="9" xfId="0" applyNumberFormat="1" applyFont="1" applyFill="1" applyBorder="1" applyAlignment="1">
      <alignment horizontal="left" vertical="center"/>
    </xf>
    <xf numFmtId="14" fontId="0" fillId="11" borderId="1" xfId="0" applyNumberFormat="1" applyFill="1" applyBorder="1" applyAlignment="1">
      <alignment horizontal="center"/>
    </xf>
    <xf numFmtId="49" fontId="0" fillId="25" borderId="1" xfId="0" applyNumberFormat="1" applyFill="1" applyBorder="1" applyAlignment="1">
      <alignment horizontal="center"/>
    </xf>
    <xf numFmtId="0" fontId="50" fillId="25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14" fontId="35" fillId="25" borderId="9" xfId="0" applyNumberFormat="1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wrapText="1"/>
    </xf>
    <xf numFmtId="0" fontId="15" fillId="11" borderId="1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 wrapText="1"/>
    </xf>
    <xf numFmtId="14" fontId="50" fillId="11" borderId="1" xfId="0" applyNumberFormat="1" applyFont="1" applyFill="1" applyBorder="1" applyAlignment="1">
      <alignment horizontal="center" vertical="center"/>
    </xf>
    <xf numFmtId="14" fontId="50" fillId="11" borderId="9" xfId="0" applyNumberFormat="1" applyFont="1" applyFill="1" applyBorder="1" applyAlignment="1">
      <alignment horizontal="left" vertical="center" wrapText="1"/>
    </xf>
    <xf numFmtId="14" fontId="59" fillId="11" borderId="9" xfId="0" applyNumberFormat="1" applyFont="1" applyFill="1" applyBorder="1" applyAlignment="1">
      <alignment horizontal="left" vertical="center"/>
    </xf>
    <xf numFmtId="0" fontId="50" fillId="11" borderId="1" xfId="0" applyFont="1" applyFill="1" applyBorder="1"/>
    <xf numFmtId="3" fontId="50" fillId="11" borderId="8" xfId="0" applyNumberFormat="1" applyFont="1" applyFill="1" applyBorder="1"/>
    <xf numFmtId="0" fontId="35" fillId="11" borderId="1" xfId="0" applyFont="1" applyFill="1" applyBorder="1"/>
    <xf numFmtId="0" fontId="0" fillId="31" borderId="1" xfId="0" applyFill="1" applyBorder="1" applyAlignment="1">
      <alignment horizontal="center" vertical="center"/>
    </xf>
    <xf numFmtId="14" fontId="0" fillId="31" borderId="1" xfId="0" applyNumberForma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41" fillId="32" borderId="1" xfId="0" applyFont="1" applyFill="1" applyBorder="1" applyAlignment="1">
      <alignment horizontal="center" vertical="center"/>
    </xf>
    <xf numFmtId="49" fontId="0" fillId="32" borderId="1" xfId="0" applyNumberFormat="1" applyFill="1" applyBorder="1" applyAlignment="1">
      <alignment horizontal="center"/>
    </xf>
    <xf numFmtId="14" fontId="0" fillId="32" borderId="1" xfId="0" applyNumberFormat="1" applyFill="1" applyBorder="1" applyAlignment="1">
      <alignment horizontal="center" vertical="center"/>
    </xf>
    <xf numFmtId="0" fontId="0" fillId="32" borderId="1" xfId="0" applyFill="1" applyBorder="1"/>
    <xf numFmtId="0" fontId="0" fillId="32" borderId="1" xfId="0" applyFill="1" applyBorder="1" applyAlignment="1">
      <alignment horizontal="left" wrapText="1"/>
    </xf>
    <xf numFmtId="14" fontId="0" fillId="32" borderId="9" xfId="0" applyNumberFormat="1" applyFill="1" applyBorder="1" applyAlignment="1">
      <alignment horizontal="left" vertical="center"/>
    </xf>
    <xf numFmtId="3" fontId="0" fillId="32" borderId="8" xfId="0" applyNumberFormat="1" applyFill="1" applyBorder="1"/>
    <xf numFmtId="0" fontId="0" fillId="11" borderId="9" xfId="0" applyNumberFormat="1" applyFill="1" applyBorder="1"/>
    <xf numFmtId="0" fontId="0" fillId="11" borderId="1" xfId="0" applyNumberFormat="1" applyFill="1" applyBorder="1" applyAlignment="1">
      <alignment horizontal="left" vertical="center"/>
    </xf>
    <xf numFmtId="0" fontId="26" fillId="28" borderId="9" xfId="0" applyNumberFormat="1" applyFont="1" applyFill="1" applyBorder="1" applyAlignment="1">
      <alignment horizontal="left" vertical="center"/>
    </xf>
    <xf numFmtId="0" fontId="0" fillId="22" borderId="1" xfId="0" applyNumberFormat="1" applyFill="1" applyBorder="1"/>
    <xf numFmtId="0" fontId="0" fillId="32" borderId="1" xfId="0" applyNumberFormat="1" applyFill="1" applyBorder="1"/>
    <xf numFmtId="0" fontId="0" fillId="11" borderId="1" xfId="0" applyNumberFormat="1" applyFill="1" applyBorder="1"/>
    <xf numFmtId="0" fontId="0" fillId="25" borderId="1" xfId="0" applyNumberFormat="1" applyFill="1" applyBorder="1" applyAlignment="1">
      <alignment horizontal="center" vertical="center"/>
    </xf>
    <xf numFmtId="0" fontId="0" fillId="11" borderId="9" xfId="0" applyNumberFormat="1" applyFill="1" applyBorder="1" applyAlignment="1">
      <alignment horizontal="center"/>
    </xf>
    <xf numFmtId="0" fontId="0" fillId="13" borderId="1" xfId="0" applyNumberFormat="1" applyFill="1" applyBorder="1" applyAlignment="1">
      <alignment horizontal="center" vertical="center"/>
    </xf>
    <xf numFmtId="0" fontId="0" fillId="24" borderId="1" xfId="0" applyNumberForma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0" fontId="7" fillId="29" borderId="9" xfId="0" applyNumberFormat="1" applyFont="1" applyFill="1" applyBorder="1" applyAlignment="1">
      <alignment horizontal="left" vertical="center"/>
    </xf>
    <xf numFmtId="14" fontId="35" fillId="11" borderId="1" xfId="0" applyNumberFormat="1" applyFont="1" applyFill="1" applyBorder="1" applyAlignment="1">
      <alignment horizontal="center" vertical="center"/>
    </xf>
    <xf numFmtId="14" fontId="8" fillId="11" borderId="9" xfId="0" applyNumberFormat="1" applyFont="1" applyFill="1" applyBorder="1" applyAlignment="1">
      <alignment horizontal="left" vertical="center"/>
    </xf>
    <xf numFmtId="0" fontId="7" fillId="11" borderId="9" xfId="0" applyNumberFormat="1" applyFont="1" applyFill="1" applyBorder="1" applyAlignment="1">
      <alignment horizontal="left" vertical="center"/>
    </xf>
    <xf numFmtId="0" fontId="50" fillId="11" borderId="1" xfId="0" applyFont="1" applyFill="1" applyBorder="1" applyAlignment="1">
      <alignment horizontal="left" wrapText="1"/>
    </xf>
    <xf numFmtId="0" fontId="35" fillId="2" borderId="9" xfId="0" applyFont="1" applyFill="1" applyBorder="1" applyAlignment="1">
      <alignment horizontal="center" vertical="center"/>
    </xf>
    <xf numFmtId="0" fontId="6" fillId="11" borderId="9" xfId="0" applyNumberFormat="1" applyFont="1" applyFill="1" applyBorder="1" applyAlignment="1">
      <alignment horizontal="left" vertical="center"/>
    </xf>
    <xf numFmtId="0" fontId="0" fillId="11" borderId="9" xfId="0" applyNumberFormat="1" applyFill="1" applyBorder="1" applyAlignment="1">
      <alignment horizontal="left"/>
    </xf>
    <xf numFmtId="14" fontId="20" fillId="30" borderId="9" xfId="0" applyNumberFormat="1" applyFont="1" applyFill="1" applyBorder="1" applyAlignment="1">
      <alignment horizontal="left" vertical="center"/>
    </xf>
    <xf numFmtId="0" fontId="50" fillId="30" borderId="1" xfId="0" applyFont="1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0" fillId="31" borderId="1" xfId="0" applyFill="1" applyBorder="1" applyAlignment="1">
      <alignment horizontal="center"/>
    </xf>
    <xf numFmtId="0" fontId="50" fillId="31" borderId="1" xfId="0" applyFont="1" applyFill="1" applyBorder="1" applyAlignment="1">
      <alignment horizontal="center" vertical="center"/>
    </xf>
    <xf numFmtId="49" fontId="0" fillId="31" borderId="1" xfId="0" applyNumberFormat="1" applyFill="1" applyBorder="1" applyAlignment="1">
      <alignment horizontal="center"/>
    </xf>
    <xf numFmtId="0" fontId="50" fillId="31" borderId="1" xfId="0" applyFont="1" applyFill="1" applyBorder="1" applyAlignment="1">
      <alignment horizontal="center"/>
    </xf>
    <xf numFmtId="0" fontId="0" fillId="31" borderId="1" xfId="0" applyNumberFormat="1" applyFill="1" applyBorder="1" applyAlignment="1">
      <alignment horizontal="left" vertical="top"/>
    </xf>
    <xf numFmtId="0" fontId="0" fillId="31" borderId="1" xfId="0" applyFill="1" applyBorder="1" applyAlignment="1"/>
    <xf numFmtId="14" fontId="35" fillId="31" borderId="9" xfId="0" applyNumberFormat="1" applyFont="1" applyFill="1" applyBorder="1" applyAlignment="1">
      <alignment horizontal="left" vertical="center"/>
    </xf>
    <xf numFmtId="0" fontId="0" fillId="31" borderId="1" xfId="0" applyFill="1" applyBorder="1"/>
    <xf numFmtId="3" fontId="0" fillId="31" borderId="8" xfId="0" applyNumberFormat="1" applyFill="1" applyBorder="1"/>
    <xf numFmtId="0" fontId="5" fillId="11" borderId="9" xfId="0" applyNumberFormat="1" applyFont="1" applyFill="1" applyBorder="1" applyAlignment="1">
      <alignment horizontal="left" vertical="center"/>
    </xf>
    <xf numFmtId="0" fontId="50" fillId="33" borderId="1" xfId="0" applyFont="1" applyFill="1" applyBorder="1" applyAlignment="1">
      <alignment horizontal="center" vertical="center"/>
    </xf>
    <xf numFmtId="0" fontId="50" fillId="33" borderId="1" xfId="0" applyFont="1" applyFill="1" applyBorder="1" applyAlignment="1">
      <alignment horizontal="center"/>
    </xf>
    <xf numFmtId="49" fontId="50" fillId="33" borderId="1" xfId="0" applyNumberFormat="1" applyFont="1" applyFill="1" applyBorder="1" applyAlignment="1">
      <alignment horizontal="center"/>
    </xf>
    <xf numFmtId="14" fontId="50" fillId="33" borderId="1" xfId="0" applyNumberFormat="1" applyFont="1" applyFill="1" applyBorder="1" applyAlignment="1">
      <alignment horizontal="center" vertical="center"/>
    </xf>
    <xf numFmtId="14" fontId="50" fillId="33" borderId="9" xfId="0" applyNumberFormat="1" applyFont="1" applyFill="1" applyBorder="1" applyAlignment="1">
      <alignment horizontal="left" vertical="center" wrapText="1"/>
    </xf>
    <xf numFmtId="0" fontId="50" fillId="33" borderId="1" xfId="0" applyFont="1" applyFill="1" applyBorder="1" applyAlignment="1">
      <alignment horizontal="left"/>
    </xf>
    <xf numFmtId="14" fontId="59" fillId="33" borderId="9" xfId="0" applyNumberFormat="1" applyFont="1" applyFill="1" applyBorder="1" applyAlignment="1">
      <alignment horizontal="left" vertical="center"/>
    </xf>
    <xf numFmtId="0" fontId="50" fillId="33" borderId="1" xfId="0" applyFont="1" applyFill="1" applyBorder="1"/>
    <xf numFmtId="3" fontId="50" fillId="33" borderId="8" xfId="0" applyNumberFormat="1" applyFont="1" applyFill="1" applyBorder="1"/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41" fillId="15" borderId="1" xfId="0" applyFon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9" xfId="0" applyNumberFormat="1" applyFill="1" applyBorder="1"/>
    <xf numFmtId="0" fontId="28" fillId="15" borderId="1" xfId="0" applyFont="1" applyFill="1" applyBorder="1" applyAlignment="1">
      <alignment horizontal="left" wrapText="1"/>
    </xf>
    <xf numFmtId="0" fontId="0" fillId="15" borderId="1" xfId="0" applyFill="1" applyBorder="1"/>
    <xf numFmtId="14" fontId="0" fillId="15" borderId="9" xfId="0" applyNumberFormat="1" applyFill="1" applyBorder="1" applyAlignment="1">
      <alignment horizontal="left" vertical="center"/>
    </xf>
    <xf numFmtId="0" fontId="50" fillId="15" borderId="1" xfId="0" applyFont="1" applyFill="1" applyBorder="1" applyAlignment="1">
      <alignment horizontal="center"/>
    </xf>
    <xf numFmtId="3" fontId="0" fillId="15" borderId="8" xfId="0" applyNumberFormat="1" applyFill="1" applyBorder="1"/>
    <xf numFmtId="0" fontId="3" fillId="11" borderId="9" xfId="0" applyNumberFormat="1" applyFont="1" applyFill="1" applyBorder="1" applyAlignment="1">
      <alignment horizontal="left" vertical="center"/>
    </xf>
    <xf numFmtId="0" fontId="0" fillId="11" borderId="9" xfId="0" applyNumberFormat="1" applyFill="1" applyBorder="1" applyAlignment="1">
      <alignment wrapText="1"/>
    </xf>
    <xf numFmtId="0" fontId="0" fillId="34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0" fontId="41" fillId="34" borderId="1" xfId="0" applyFont="1" applyFill="1" applyBorder="1" applyAlignment="1">
      <alignment horizontal="center" vertical="center"/>
    </xf>
    <xf numFmtId="49" fontId="0" fillId="34" borderId="1" xfId="0" applyNumberFormat="1" applyFill="1" applyBorder="1" applyAlignment="1">
      <alignment horizontal="center"/>
    </xf>
    <xf numFmtId="0" fontId="50" fillId="34" borderId="1" xfId="0" applyFont="1" applyFill="1" applyBorder="1" applyAlignment="1">
      <alignment horizontal="center"/>
    </xf>
    <xf numFmtId="14" fontId="0" fillId="34" borderId="1" xfId="0" applyNumberFormat="1" applyFill="1" applyBorder="1" applyAlignment="1">
      <alignment horizontal="center" vertical="center"/>
    </xf>
    <xf numFmtId="0" fontId="7" fillId="34" borderId="9" xfId="0" applyNumberFormat="1" applyFont="1" applyFill="1" applyBorder="1" applyAlignment="1">
      <alignment horizontal="left" vertical="center"/>
    </xf>
    <xf numFmtId="0" fontId="50" fillId="34" borderId="1" xfId="0" applyFont="1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14" fontId="0" fillId="34" borderId="9" xfId="0" applyNumberFormat="1" applyFill="1" applyBorder="1" applyAlignment="1">
      <alignment horizontal="left" vertical="center"/>
    </xf>
    <xf numFmtId="0" fontId="0" fillId="34" borderId="1" xfId="0" applyFill="1" applyBorder="1"/>
    <xf numFmtId="3" fontId="0" fillId="34" borderId="8" xfId="0" applyNumberFormat="1" applyFill="1" applyBorder="1"/>
    <xf numFmtId="0" fontId="3" fillId="25" borderId="9" xfId="0" applyNumberFormat="1" applyFont="1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50" fillId="19" borderId="1" xfId="0" applyFon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/>
    </xf>
    <xf numFmtId="0" fontId="50" fillId="19" borderId="1" xfId="0" applyFont="1" applyFill="1" applyBorder="1" applyAlignment="1">
      <alignment horizontal="center"/>
    </xf>
    <xf numFmtId="14" fontId="0" fillId="19" borderId="1" xfId="0" applyNumberFormat="1" applyFill="1" applyBorder="1" applyAlignment="1">
      <alignment horizontal="center" vertical="center"/>
    </xf>
    <xf numFmtId="0" fontId="3" fillId="19" borderId="9" xfId="0" applyNumberFormat="1" applyFont="1" applyFill="1" applyBorder="1" applyAlignment="1">
      <alignment horizontal="left" vertical="center"/>
    </xf>
    <xf numFmtId="0" fontId="50" fillId="19" borderId="1" xfId="0" applyFon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14" fontId="35" fillId="19" borderId="9" xfId="0" applyNumberFormat="1" applyFont="1" applyFill="1" applyBorder="1" applyAlignment="1">
      <alignment horizontal="left" vertical="center"/>
    </xf>
    <xf numFmtId="3" fontId="0" fillId="19" borderId="8" xfId="0" applyNumberFormat="1" applyFill="1" applyBorder="1"/>
    <xf numFmtId="14" fontId="0" fillId="24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left" vertical="center" wrapText="1"/>
    </xf>
    <xf numFmtId="0" fontId="0" fillId="24" borderId="1" xfId="0" applyNumberFormat="1" applyFill="1" applyBorder="1" applyAlignment="1">
      <alignment horizontal="left" vertical="center"/>
    </xf>
    <xf numFmtId="0" fontId="2" fillId="11" borderId="9" xfId="0" applyNumberFormat="1" applyFont="1" applyFill="1" applyBorder="1" applyAlignment="1">
      <alignment horizontal="left" vertical="center"/>
    </xf>
    <xf numFmtId="0" fontId="41" fillId="28" borderId="1" xfId="0" applyFont="1" applyFill="1" applyBorder="1" applyAlignment="1">
      <alignment horizontal="center" vertical="center"/>
    </xf>
    <xf numFmtId="49" fontId="0" fillId="28" borderId="1" xfId="0" applyNumberFormat="1" applyFill="1" applyBorder="1" applyAlignment="1">
      <alignment horizontal="center"/>
    </xf>
    <xf numFmtId="0" fontId="0" fillId="28" borderId="9" xfId="0" applyNumberFormat="1" applyFill="1" applyBorder="1" applyAlignment="1">
      <alignment horizontal="left"/>
    </xf>
    <xf numFmtId="0" fontId="28" fillId="28" borderId="1" xfId="0" applyFont="1" applyFill="1" applyBorder="1" applyAlignment="1">
      <alignment horizontal="left" wrapText="1"/>
    </xf>
    <xf numFmtId="0" fontId="0" fillId="26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41" fillId="26" borderId="1" xfId="0" applyFont="1" applyFill="1" applyBorder="1" applyAlignment="1">
      <alignment horizontal="center" vertical="center"/>
    </xf>
    <xf numFmtId="49" fontId="0" fillId="26" borderId="1" xfId="0" applyNumberFormat="1" applyFill="1" applyBorder="1" applyAlignment="1">
      <alignment horizontal="center"/>
    </xf>
    <xf numFmtId="0" fontId="35" fillId="26" borderId="1" xfId="0" applyFont="1" applyFill="1" applyBorder="1" applyAlignment="1">
      <alignment horizontal="center" vertical="center"/>
    </xf>
    <xf numFmtId="14" fontId="0" fillId="26" borderId="1" xfId="0" applyNumberFormat="1" applyFill="1" applyBorder="1" applyAlignment="1">
      <alignment horizontal="center" vertical="center"/>
    </xf>
    <xf numFmtId="0" fontId="0" fillId="26" borderId="9" xfId="0" applyFill="1" applyBorder="1"/>
    <xf numFmtId="0" fontId="28" fillId="26" borderId="1" xfId="0" applyFont="1" applyFill="1" applyBorder="1" applyAlignment="1">
      <alignment horizontal="left" wrapText="1"/>
    </xf>
    <xf numFmtId="0" fontId="0" fillId="26" borderId="1" xfId="0" applyFill="1" applyBorder="1"/>
    <xf numFmtId="14" fontId="0" fillId="26" borderId="9" xfId="0" applyNumberFormat="1" applyFill="1" applyBorder="1" applyAlignment="1">
      <alignment horizontal="left" vertical="center"/>
    </xf>
    <xf numFmtId="3" fontId="0" fillId="26" borderId="8" xfId="0" applyNumberFormat="1" applyFill="1" applyBorder="1"/>
    <xf numFmtId="0" fontId="0" fillId="26" borderId="9" xfId="0" applyFill="1" applyBorder="1" applyAlignment="1">
      <alignment horizontal="left"/>
    </xf>
    <xf numFmtId="49" fontId="0" fillId="11" borderId="1" xfId="0" applyNumberFormat="1" applyFill="1" applyBorder="1" applyAlignment="1">
      <alignment horizontal="center" vertical="center"/>
    </xf>
    <xf numFmtId="0" fontId="0" fillId="11" borderId="9" xfId="0" applyNumberForma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35" fillId="7" borderId="8" xfId="0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5" fillId="12" borderId="9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49" fontId="35" fillId="6" borderId="9" xfId="0" applyNumberFormat="1" applyFont="1" applyFill="1" applyBorder="1" applyAlignment="1">
      <alignment horizontal="center" vertical="center"/>
    </xf>
    <xf numFmtId="49" fontId="35" fillId="6" borderId="2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wrapText="1"/>
    </xf>
    <xf numFmtId="0" fontId="35" fillId="8" borderId="9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/>
    </xf>
    <xf numFmtId="0" fontId="35" fillId="13" borderId="11" xfId="0" applyFont="1" applyFill="1" applyBorder="1" applyAlignment="1">
      <alignment horizontal="center"/>
    </xf>
    <xf numFmtId="0" fontId="35" fillId="13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 wrapText="1"/>
    </xf>
    <xf numFmtId="0" fontId="0" fillId="10" borderId="29" xfId="0" applyFill="1" applyBorder="1" applyAlignment="1">
      <alignment horizontal="center" wrapText="1"/>
    </xf>
    <xf numFmtId="0" fontId="0" fillId="35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50" fillId="35" borderId="1" xfId="0" applyFont="1" applyFill="1" applyBorder="1" applyAlignment="1">
      <alignment horizontal="center" vertical="center"/>
    </xf>
    <xf numFmtId="49" fontId="0" fillId="35" borderId="1" xfId="0" applyNumberFormat="1" applyFill="1" applyBorder="1" applyAlignment="1">
      <alignment horizontal="center"/>
    </xf>
    <xf numFmtId="0" fontId="50" fillId="35" borderId="1" xfId="0" applyFont="1" applyFill="1" applyBorder="1" applyAlignment="1">
      <alignment horizontal="center"/>
    </xf>
    <xf numFmtId="14" fontId="0" fillId="35" borderId="1" xfId="0" applyNumberFormat="1" applyFill="1" applyBorder="1" applyAlignment="1">
      <alignment horizontal="center" vertical="center"/>
    </xf>
    <xf numFmtId="0" fontId="3" fillId="35" borderId="9" xfId="0" applyNumberFormat="1" applyFont="1" applyFill="1" applyBorder="1" applyAlignment="1">
      <alignment horizontal="left" vertical="center"/>
    </xf>
    <xf numFmtId="0" fontId="50" fillId="35" borderId="1" xfId="0" applyFont="1" applyFill="1" applyBorder="1" applyAlignment="1">
      <alignment horizontal="left"/>
    </xf>
    <xf numFmtId="0" fontId="0" fillId="35" borderId="1" xfId="0" applyFill="1" applyBorder="1" applyAlignment="1">
      <alignment horizontal="left"/>
    </xf>
    <xf numFmtId="14" fontId="35" fillId="35" borderId="9" xfId="0" applyNumberFormat="1" applyFont="1" applyFill="1" applyBorder="1" applyAlignment="1">
      <alignment horizontal="left" vertical="center"/>
    </xf>
    <xf numFmtId="0" fontId="0" fillId="35" borderId="1" xfId="0" applyFill="1" applyBorder="1"/>
    <xf numFmtId="3" fontId="0" fillId="35" borderId="8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EF6A0"/>
      <color rgb="FF00FFFF"/>
      <color rgb="FFF0904E"/>
      <color rgb="FFDEB7B6"/>
      <color rgb="FFA8E4EC"/>
      <color rgb="FF32BFD2"/>
      <color rgb="FFEB7575"/>
      <color rgb="FFFF66FF"/>
      <color rgb="FF87BF61"/>
      <color rgb="FFF35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7;&#1040;&#1050;&#1040;&#1047;&#1067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екабрь 2025"/>
      <sheetName val="ноябрь 2025"/>
      <sheetName val="октябрь 2025"/>
      <sheetName val="сентябрь 2025"/>
      <sheetName val="август 2025"/>
      <sheetName val="июль 2025"/>
      <sheetName val="июнь 2025"/>
      <sheetName val="май 2025"/>
      <sheetName val="апрель 2025"/>
      <sheetName val="март 2025"/>
      <sheetName val="февраль 2025"/>
      <sheetName val="январь 2025"/>
      <sheetName val="справочник"/>
      <sheetName val="промеж.06"/>
      <sheetName val="промеж."/>
      <sheetName val="промеж.12.25"/>
      <sheetName val="промеж.11.25"/>
      <sheetName val="промеж.10.25"/>
      <sheetName val="промеж.09.25"/>
      <sheetName val="промеж.08.25"/>
      <sheetName val="промеж.07.25"/>
      <sheetName val="промеж.06.25"/>
      <sheetName val="промеж.05.25"/>
      <sheetName val="промеж.04.25"/>
      <sheetName val="промеж.03.25"/>
      <sheetName val="промеж.02.25"/>
      <sheetName val="промеж.01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9"/>
  <sheetViews>
    <sheetView tabSelected="1" zoomScale="70" zoomScaleNormal="70" zoomScaleSheetLayoutView="70" workbookViewId="0">
      <pane ySplit="3" topLeftCell="A34" activePane="bottomLeft" state="frozen"/>
      <selection pane="bottomLeft" activeCell="C62" sqref="C62"/>
    </sheetView>
  </sheetViews>
  <sheetFormatPr defaultRowHeight="15" x14ac:dyDescent="0.25"/>
  <cols>
    <col min="1" max="1" width="18" style="104" customWidth="1"/>
    <col min="2" max="2" width="24.5703125" customWidth="1"/>
    <col min="3" max="3" width="17" customWidth="1"/>
    <col min="4" max="4" width="41" customWidth="1"/>
    <col min="5" max="5" width="28.5703125" style="140" customWidth="1"/>
    <col min="6" max="6" width="13" bestFit="1" customWidth="1"/>
    <col min="7" max="7" width="15.5703125" customWidth="1"/>
    <col min="8" max="8" width="20.140625" customWidth="1"/>
    <col min="9" max="9" width="17.140625" customWidth="1"/>
    <col min="10" max="10" width="22.5703125" customWidth="1"/>
    <col min="11" max="11" width="30.140625" customWidth="1"/>
    <col min="12" max="12" width="25.7109375" customWidth="1"/>
    <col min="13" max="13" width="23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46082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0" t="s">
        <v>158</v>
      </c>
      <c r="B2" s="432" t="s">
        <v>17</v>
      </c>
      <c r="C2" s="434" t="s">
        <v>155</v>
      </c>
      <c r="D2" s="436" t="s">
        <v>4</v>
      </c>
      <c r="E2" s="438" t="s">
        <v>5</v>
      </c>
      <c r="F2" s="428" t="s">
        <v>0</v>
      </c>
      <c r="G2" s="429"/>
      <c r="H2" s="441" t="s">
        <v>2</v>
      </c>
      <c r="I2" s="443" t="s">
        <v>3</v>
      </c>
      <c r="J2" s="445" t="s">
        <v>6</v>
      </c>
      <c r="K2" s="447" t="s">
        <v>7</v>
      </c>
      <c r="L2" s="448"/>
      <c r="M2" s="449"/>
      <c r="N2" s="99" t="s">
        <v>9</v>
      </c>
      <c r="O2" s="450" t="s">
        <v>11</v>
      </c>
      <c r="P2" s="451"/>
      <c r="Q2" s="452"/>
      <c r="R2" s="453" t="s">
        <v>150</v>
      </c>
      <c r="S2" s="440" t="s">
        <v>160</v>
      </c>
      <c r="T2" s="91"/>
    </row>
    <row r="3" spans="1:20" x14ac:dyDescent="0.25">
      <c r="A3" s="431"/>
      <c r="B3" s="433"/>
      <c r="C3" s="435"/>
      <c r="D3" s="437"/>
      <c r="E3" s="439"/>
      <c r="F3" s="130" t="s">
        <v>1</v>
      </c>
      <c r="G3" s="130" t="s">
        <v>154</v>
      </c>
      <c r="H3" s="442"/>
      <c r="I3" s="444"/>
      <c r="J3" s="446"/>
      <c r="K3" s="341" t="s">
        <v>8</v>
      </c>
      <c r="L3" s="341" t="s">
        <v>20</v>
      </c>
      <c r="M3" s="341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54"/>
      <c r="S3" s="440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429</v>
      </c>
      <c r="B5" s="57" t="s">
        <v>692</v>
      </c>
      <c r="C5" s="57" t="s">
        <v>163</v>
      </c>
      <c r="D5" s="10" t="s">
        <v>291</v>
      </c>
      <c r="E5" s="138" t="s">
        <v>776</v>
      </c>
      <c r="F5" s="57">
        <v>7000</v>
      </c>
      <c r="G5" s="64">
        <v>40</v>
      </c>
      <c r="H5" s="64" t="s">
        <v>666</v>
      </c>
      <c r="I5" s="55" t="s">
        <v>507</v>
      </c>
      <c r="J5" s="300">
        <v>46113</v>
      </c>
      <c r="K5" s="326" t="s">
        <v>746</v>
      </c>
      <c r="L5" s="229">
        <v>89221247745</v>
      </c>
      <c r="M5" s="53" t="s">
        <v>736</v>
      </c>
      <c r="N5" s="298"/>
      <c r="O5" s="57"/>
      <c r="P5" s="57"/>
      <c r="Q5" s="57">
        <v>7000</v>
      </c>
      <c r="R5" s="266" t="s">
        <v>788</v>
      </c>
      <c r="S5" s="90">
        <v>255000</v>
      </c>
      <c r="T5" s="61">
        <f t="shared" ref="T5:T9" si="0">S5*F5/1000</f>
        <v>1785000</v>
      </c>
    </row>
    <row r="6" spans="1:20" s="63" customFormat="1" ht="13.5" customHeight="1" x14ac:dyDescent="0.25">
      <c r="A6" s="64" t="s">
        <v>429</v>
      </c>
      <c r="B6" s="57" t="s">
        <v>692</v>
      </c>
      <c r="C6" s="57" t="s">
        <v>163</v>
      </c>
      <c r="D6" s="10" t="s">
        <v>291</v>
      </c>
      <c r="E6" s="138" t="s">
        <v>777</v>
      </c>
      <c r="F6" s="57">
        <v>7000</v>
      </c>
      <c r="G6" s="64">
        <v>40</v>
      </c>
      <c r="H6" s="64" t="s">
        <v>666</v>
      </c>
      <c r="I6" s="55" t="s">
        <v>507</v>
      </c>
      <c r="J6" s="300">
        <v>46113</v>
      </c>
      <c r="K6" s="326" t="s">
        <v>746</v>
      </c>
      <c r="L6" s="229">
        <v>89221247745</v>
      </c>
      <c r="M6" s="53" t="s">
        <v>736</v>
      </c>
      <c r="N6" s="298"/>
      <c r="O6" s="57"/>
      <c r="P6" s="57"/>
      <c r="Q6" s="57">
        <v>7000</v>
      </c>
      <c r="R6" s="266" t="s">
        <v>788</v>
      </c>
      <c r="S6" s="90">
        <v>255000</v>
      </c>
      <c r="T6" s="61">
        <f t="shared" si="0"/>
        <v>1785000</v>
      </c>
    </row>
    <row r="7" spans="1:20" s="63" customFormat="1" ht="13.5" customHeight="1" x14ac:dyDescent="0.25">
      <c r="A7" s="64" t="s">
        <v>740</v>
      </c>
      <c r="B7" s="57" t="s">
        <v>693</v>
      </c>
      <c r="C7" s="57" t="s">
        <v>163</v>
      </c>
      <c r="D7" s="10" t="s">
        <v>327</v>
      </c>
      <c r="E7" s="138" t="s">
        <v>765</v>
      </c>
      <c r="F7" s="57">
        <v>7400</v>
      </c>
      <c r="G7" s="64">
        <v>40</v>
      </c>
      <c r="H7" s="64" t="s">
        <v>666</v>
      </c>
      <c r="I7" s="55" t="s">
        <v>507</v>
      </c>
      <c r="J7" s="300">
        <v>46114</v>
      </c>
      <c r="K7" s="326" t="s">
        <v>738</v>
      </c>
      <c r="L7" s="229">
        <v>89221029900</v>
      </c>
      <c r="M7" s="53" t="s">
        <v>739</v>
      </c>
      <c r="N7" s="298"/>
      <c r="O7" s="57"/>
      <c r="P7" s="57"/>
      <c r="Q7" s="57">
        <v>7400</v>
      </c>
      <c r="R7" s="266" t="s">
        <v>788</v>
      </c>
      <c r="S7" s="90">
        <v>125000</v>
      </c>
      <c r="T7" s="61">
        <f t="shared" si="0"/>
        <v>925000</v>
      </c>
    </row>
    <row r="8" spans="1:20" s="63" customFormat="1" ht="13.5" customHeight="1" x14ac:dyDescent="0.25">
      <c r="A8" s="64" t="s">
        <v>741</v>
      </c>
      <c r="B8" s="57" t="s">
        <v>693</v>
      </c>
      <c r="C8" s="57" t="s">
        <v>163</v>
      </c>
      <c r="D8" s="10" t="s">
        <v>327</v>
      </c>
      <c r="E8" s="138" t="s">
        <v>778</v>
      </c>
      <c r="F8" s="57">
        <v>7400</v>
      </c>
      <c r="G8" s="64">
        <v>40</v>
      </c>
      <c r="H8" s="64" t="s">
        <v>666</v>
      </c>
      <c r="I8" s="55" t="s">
        <v>507</v>
      </c>
      <c r="J8" s="300">
        <v>46114</v>
      </c>
      <c r="K8" s="326" t="s">
        <v>738</v>
      </c>
      <c r="L8" s="229">
        <v>89221029900</v>
      </c>
      <c r="M8" s="53" t="s">
        <v>739</v>
      </c>
      <c r="N8" s="298"/>
      <c r="O8" s="57"/>
      <c r="P8" s="57"/>
      <c r="Q8" s="57">
        <v>7400</v>
      </c>
      <c r="R8" s="266" t="s">
        <v>788</v>
      </c>
      <c r="S8" s="90">
        <v>125000</v>
      </c>
      <c r="T8" s="61">
        <f t="shared" si="0"/>
        <v>925000</v>
      </c>
    </row>
    <row r="9" spans="1:20" s="63" customFormat="1" ht="13.5" customHeight="1" x14ac:dyDescent="0.25">
      <c r="A9" s="64" t="s">
        <v>713</v>
      </c>
      <c r="B9" s="57" t="s">
        <v>580</v>
      </c>
      <c r="C9" s="57" t="s">
        <v>709</v>
      </c>
      <c r="D9" s="10" t="s">
        <v>178</v>
      </c>
      <c r="E9" s="56" t="s">
        <v>711</v>
      </c>
      <c r="F9" s="57">
        <v>16000</v>
      </c>
      <c r="G9" s="64">
        <v>80</v>
      </c>
      <c r="H9" s="64" t="s">
        <v>712</v>
      </c>
      <c r="I9" s="64" t="s">
        <v>507</v>
      </c>
      <c r="J9" s="55">
        <v>46114</v>
      </c>
      <c r="K9" s="343" t="s">
        <v>779</v>
      </c>
      <c r="L9" s="161"/>
      <c r="M9" s="53"/>
      <c r="N9" s="137" t="s">
        <v>745</v>
      </c>
      <c r="O9" s="57"/>
      <c r="P9" s="57"/>
      <c r="Q9" s="57">
        <v>16000</v>
      </c>
      <c r="R9" s="53" t="s">
        <v>422</v>
      </c>
      <c r="S9" s="90">
        <v>85000</v>
      </c>
      <c r="T9" s="61">
        <f t="shared" si="0"/>
        <v>1360000</v>
      </c>
    </row>
    <row r="10" spans="1:20" s="63" customFormat="1" ht="29.25" customHeight="1" x14ac:dyDescent="0.25">
      <c r="A10" s="64" t="s">
        <v>437</v>
      </c>
      <c r="B10" s="57" t="s">
        <v>729</v>
      </c>
      <c r="C10" s="57" t="s">
        <v>730</v>
      </c>
      <c r="D10" s="10" t="s">
        <v>178</v>
      </c>
      <c r="E10" s="56" t="s">
        <v>711</v>
      </c>
      <c r="F10" s="57">
        <v>2400</v>
      </c>
      <c r="G10" s="64">
        <v>12</v>
      </c>
      <c r="H10" s="64" t="s">
        <v>437</v>
      </c>
      <c r="I10" s="64" t="s">
        <v>507</v>
      </c>
      <c r="J10" s="55">
        <v>46114</v>
      </c>
      <c r="K10" s="378" t="s">
        <v>752</v>
      </c>
      <c r="L10" s="404" t="s">
        <v>750</v>
      </c>
      <c r="M10" s="218" t="s">
        <v>751</v>
      </c>
      <c r="N10" s="149"/>
      <c r="O10" s="57"/>
      <c r="P10" s="57"/>
      <c r="Q10" s="57">
        <v>2400</v>
      </c>
      <c r="R10" s="53" t="s">
        <v>422</v>
      </c>
      <c r="S10" s="90">
        <v>87000</v>
      </c>
      <c r="T10" s="61">
        <f t="shared" ref="T10:T17" si="1">S10*F10/1000</f>
        <v>208800</v>
      </c>
    </row>
    <row r="11" spans="1:20" s="63" customFormat="1" ht="30" x14ac:dyDescent="0.25">
      <c r="A11" s="64" t="s">
        <v>437</v>
      </c>
      <c r="B11" s="57" t="s">
        <v>729</v>
      </c>
      <c r="C11" s="57" t="s">
        <v>730</v>
      </c>
      <c r="D11" s="10" t="s">
        <v>259</v>
      </c>
      <c r="E11" s="56" t="s">
        <v>689</v>
      </c>
      <c r="F11" s="57">
        <v>200</v>
      </c>
      <c r="G11" s="64">
        <v>1</v>
      </c>
      <c r="H11" s="64" t="s">
        <v>437</v>
      </c>
      <c r="I11" s="64" t="s">
        <v>507</v>
      </c>
      <c r="J11" s="55">
        <v>46114</v>
      </c>
      <c r="K11" s="378" t="s">
        <v>753</v>
      </c>
      <c r="L11" s="404" t="s">
        <v>750</v>
      </c>
      <c r="M11" s="218" t="s">
        <v>751</v>
      </c>
      <c r="N11" s="149"/>
      <c r="O11" s="57"/>
      <c r="P11" s="57"/>
      <c r="Q11" s="57">
        <v>200</v>
      </c>
      <c r="R11" s="53" t="s">
        <v>422</v>
      </c>
      <c r="S11" s="90">
        <v>255000</v>
      </c>
      <c r="T11" s="61">
        <f t="shared" si="1"/>
        <v>51000</v>
      </c>
    </row>
    <row r="12" spans="1:20" s="63" customFormat="1" ht="30" x14ac:dyDescent="0.25">
      <c r="A12" s="64" t="s">
        <v>437</v>
      </c>
      <c r="B12" s="57" t="s">
        <v>729</v>
      </c>
      <c r="C12" s="57" t="s">
        <v>730</v>
      </c>
      <c r="D12" s="10" t="s">
        <v>166</v>
      </c>
      <c r="E12" s="56" t="s">
        <v>603</v>
      </c>
      <c r="F12" s="57">
        <v>400</v>
      </c>
      <c r="G12" s="64">
        <v>2</v>
      </c>
      <c r="H12" s="64" t="s">
        <v>437</v>
      </c>
      <c r="I12" s="64" t="s">
        <v>507</v>
      </c>
      <c r="J12" s="55">
        <v>46114</v>
      </c>
      <c r="K12" s="378" t="s">
        <v>754</v>
      </c>
      <c r="L12" s="404" t="s">
        <v>750</v>
      </c>
      <c r="M12" s="218" t="s">
        <v>751</v>
      </c>
      <c r="N12" s="149"/>
      <c r="O12" s="57"/>
      <c r="P12" s="57"/>
      <c r="Q12" s="57">
        <v>400</v>
      </c>
      <c r="R12" s="53" t="s">
        <v>422</v>
      </c>
      <c r="S12" s="90">
        <v>89000</v>
      </c>
      <c r="T12" s="61">
        <f t="shared" si="1"/>
        <v>35600</v>
      </c>
    </row>
    <row r="13" spans="1:20" s="63" customFormat="1" ht="30" x14ac:dyDescent="0.25">
      <c r="A13" s="64" t="s">
        <v>437</v>
      </c>
      <c r="B13" s="57" t="s">
        <v>729</v>
      </c>
      <c r="C13" s="57" t="s">
        <v>730</v>
      </c>
      <c r="D13" s="10" t="s">
        <v>156</v>
      </c>
      <c r="E13" s="56" t="s">
        <v>395</v>
      </c>
      <c r="F13" s="57">
        <v>200</v>
      </c>
      <c r="G13" s="64">
        <v>1</v>
      </c>
      <c r="H13" s="64" t="s">
        <v>437</v>
      </c>
      <c r="I13" s="64" t="s">
        <v>507</v>
      </c>
      <c r="J13" s="55">
        <v>46114</v>
      </c>
      <c r="K13" s="378" t="s">
        <v>755</v>
      </c>
      <c r="L13" s="404" t="s">
        <v>750</v>
      </c>
      <c r="M13" s="218" t="s">
        <v>751</v>
      </c>
      <c r="N13" s="149"/>
      <c r="O13" s="57"/>
      <c r="P13" s="57"/>
      <c r="Q13" s="57">
        <v>200</v>
      </c>
      <c r="R13" s="53" t="s">
        <v>422</v>
      </c>
      <c r="S13" s="90">
        <v>79500</v>
      </c>
      <c r="T13" s="61">
        <f t="shared" si="1"/>
        <v>15900</v>
      </c>
    </row>
    <row r="14" spans="1:20" s="63" customFormat="1" ht="13.5" customHeight="1" x14ac:dyDescent="0.25">
      <c r="A14" s="64" t="s">
        <v>461</v>
      </c>
      <c r="B14" s="57" t="s">
        <v>676</v>
      </c>
      <c r="C14" s="57" t="s">
        <v>352</v>
      </c>
      <c r="D14" s="89" t="s">
        <v>222</v>
      </c>
      <c r="E14" s="56" t="s">
        <v>334</v>
      </c>
      <c r="F14" s="88">
        <v>20000</v>
      </c>
      <c r="G14" s="64">
        <v>800</v>
      </c>
      <c r="H14" s="64" t="s">
        <v>164</v>
      </c>
      <c r="I14" s="64" t="s">
        <v>507</v>
      </c>
      <c r="J14" s="55">
        <v>46114</v>
      </c>
      <c r="K14" s="377" t="s">
        <v>780</v>
      </c>
      <c r="L14" s="151">
        <v>89221782811</v>
      </c>
      <c r="M14" s="62" t="s">
        <v>781</v>
      </c>
      <c r="N14" s="137"/>
      <c r="O14" s="88">
        <v>20000</v>
      </c>
      <c r="P14" s="88"/>
      <c r="Q14" s="57"/>
      <c r="R14" s="53" t="s">
        <v>422</v>
      </c>
      <c r="S14" s="90">
        <v>44500</v>
      </c>
      <c r="T14" s="61">
        <f t="shared" si="1"/>
        <v>890000</v>
      </c>
    </row>
    <row r="15" spans="1:20" s="63" customFormat="1" ht="13.5" customHeight="1" x14ac:dyDescent="0.25">
      <c r="A15" s="64" t="s">
        <v>461</v>
      </c>
      <c r="B15" s="57" t="s">
        <v>694</v>
      </c>
      <c r="C15" s="57" t="s">
        <v>163</v>
      </c>
      <c r="D15" s="10" t="s">
        <v>327</v>
      </c>
      <c r="E15" s="138" t="s">
        <v>773</v>
      </c>
      <c r="F15" s="57">
        <v>7400</v>
      </c>
      <c r="G15" s="64">
        <v>40</v>
      </c>
      <c r="H15" s="64" t="s">
        <v>666</v>
      </c>
      <c r="I15" s="55" t="s">
        <v>507</v>
      </c>
      <c r="J15" s="300">
        <v>46115</v>
      </c>
      <c r="K15" s="326" t="s">
        <v>744</v>
      </c>
      <c r="L15" s="229">
        <v>89829645340</v>
      </c>
      <c r="M15" s="53" t="s">
        <v>430</v>
      </c>
      <c r="N15" s="298"/>
      <c r="O15" s="57"/>
      <c r="P15" s="57"/>
      <c r="Q15" s="57">
        <v>7400</v>
      </c>
      <c r="R15" s="266" t="s">
        <v>791</v>
      </c>
      <c r="S15" s="90">
        <v>125000</v>
      </c>
      <c r="T15" s="61">
        <f t="shared" si="1"/>
        <v>925000</v>
      </c>
    </row>
    <row r="16" spans="1:20" s="63" customFormat="1" ht="13.5" customHeight="1" x14ac:dyDescent="0.25">
      <c r="A16" s="64" t="s">
        <v>461</v>
      </c>
      <c r="B16" s="57" t="s">
        <v>694</v>
      </c>
      <c r="C16" s="57" t="s">
        <v>163</v>
      </c>
      <c r="D16" s="10" t="s">
        <v>327</v>
      </c>
      <c r="E16" s="138" t="s">
        <v>774</v>
      </c>
      <c r="F16" s="57">
        <v>7400</v>
      </c>
      <c r="G16" s="64">
        <v>40</v>
      </c>
      <c r="H16" s="64" t="s">
        <v>666</v>
      </c>
      <c r="I16" s="55" t="s">
        <v>507</v>
      </c>
      <c r="J16" s="300">
        <v>46115</v>
      </c>
      <c r="K16" s="326" t="s">
        <v>744</v>
      </c>
      <c r="L16" s="229">
        <v>89829645340</v>
      </c>
      <c r="M16" s="53" t="s">
        <v>430</v>
      </c>
      <c r="N16" s="298"/>
      <c r="O16" s="57"/>
      <c r="P16" s="57"/>
      <c r="Q16" s="57">
        <v>7400</v>
      </c>
      <c r="R16" s="266" t="s">
        <v>791</v>
      </c>
      <c r="S16" s="90">
        <v>125000</v>
      </c>
      <c r="T16" s="61">
        <f t="shared" si="1"/>
        <v>925000</v>
      </c>
    </row>
    <row r="17" spans="1:20" s="63" customFormat="1" ht="13.5" customHeight="1" x14ac:dyDescent="0.25">
      <c r="A17" s="64" t="s">
        <v>512</v>
      </c>
      <c r="B17" s="57" t="s">
        <v>757</v>
      </c>
      <c r="C17" s="57" t="s">
        <v>514</v>
      </c>
      <c r="D17" s="10" t="s">
        <v>187</v>
      </c>
      <c r="E17" s="56" t="s">
        <v>701</v>
      </c>
      <c r="F17" s="57">
        <v>14400</v>
      </c>
      <c r="G17" s="64">
        <v>80</v>
      </c>
      <c r="H17" s="64" t="s">
        <v>512</v>
      </c>
      <c r="I17" s="64" t="s">
        <v>507</v>
      </c>
      <c r="J17" s="55">
        <v>46115</v>
      </c>
      <c r="K17" s="325" t="s">
        <v>758</v>
      </c>
      <c r="L17" s="161"/>
      <c r="M17" s="53" t="s">
        <v>759</v>
      </c>
      <c r="N17" s="149"/>
      <c r="O17" s="57"/>
      <c r="P17" s="57"/>
      <c r="Q17" s="57">
        <v>14400</v>
      </c>
      <c r="R17" s="53" t="s">
        <v>422</v>
      </c>
      <c r="S17" s="90">
        <v>128500</v>
      </c>
      <c r="T17" s="61">
        <f t="shared" si="1"/>
        <v>1850400</v>
      </c>
    </row>
    <row r="18" spans="1:20" s="63" customFormat="1" ht="13.5" customHeight="1" x14ac:dyDescent="0.25">
      <c r="A18" s="64" t="s">
        <v>461</v>
      </c>
      <c r="B18" s="57" t="s">
        <v>677</v>
      </c>
      <c r="C18" s="57" t="s">
        <v>352</v>
      </c>
      <c r="D18" s="89" t="s">
        <v>222</v>
      </c>
      <c r="E18" s="56" t="s">
        <v>334</v>
      </c>
      <c r="F18" s="88">
        <v>20000</v>
      </c>
      <c r="G18" s="64">
        <v>800</v>
      </c>
      <c r="H18" s="64" t="s">
        <v>164</v>
      </c>
      <c r="I18" s="64" t="s">
        <v>507</v>
      </c>
      <c r="J18" s="55">
        <v>46118</v>
      </c>
      <c r="K18" s="406" t="s">
        <v>785</v>
      </c>
      <c r="L18" s="151">
        <v>89141869306</v>
      </c>
      <c r="M18" s="62" t="s">
        <v>784</v>
      </c>
      <c r="N18" s="137"/>
      <c r="O18" s="88">
        <v>20000</v>
      </c>
      <c r="P18" s="88"/>
      <c r="Q18" s="57"/>
      <c r="R18" s="53" t="s">
        <v>422</v>
      </c>
      <c r="S18" s="90">
        <v>44500</v>
      </c>
      <c r="T18" s="61">
        <f t="shared" ref="T18:T20" si="2">S18*F18/1000</f>
        <v>890000</v>
      </c>
    </row>
    <row r="19" spans="1:20" s="63" customFormat="1" ht="13.5" customHeight="1" x14ac:dyDescent="0.25">
      <c r="A19" s="64" t="s">
        <v>437</v>
      </c>
      <c r="B19" s="57" t="s">
        <v>708</v>
      </c>
      <c r="C19" s="57" t="s">
        <v>709</v>
      </c>
      <c r="D19" s="10" t="s">
        <v>178</v>
      </c>
      <c r="E19" s="56" t="s">
        <v>711</v>
      </c>
      <c r="F19" s="57">
        <v>4000</v>
      </c>
      <c r="G19" s="64">
        <v>20</v>
      </c>
      <c r="H19" s="64" t="s">
        <v>437</v>
      </c>
      <c r="I19" s="64" t="s">
        <v>507</v>
      </c>
      <c r="J19" s="55">
        <v>46118</v>
      </c>
      <c r="K19" s="325" t="s">
        <v>787</v>
      </c>
      <c r="L19" s="161">
        <v>89065566644</v>
      </c>
      <c r="M19" s="53" t="s">
        <v>786</v>
      </c>
      <c r="N19" s="325" t="s">
        <v>794</v>
      </c>
      <c r="O19" s="57"/>
      <c r="P19" s="57"/>
      <c r="Q19" s="57">
        <v>4000</v>
      </c>
      <c r="R19" s="53" t="s">
        <v>422</v>
      </c>
      <c r="S19" s="90">
        <v>85000</v>
      </c>
      <c r="T19" s="61">
        <f t="shared" si="2"/>
        <v>340000</v>
      </c>
    </row>
    <row r="20" spans="1:20" s="63" customFormat="1" ht="13.5" customHeight="1" x14ac:dyDescent="0.25">
      <c r="A20" s="64" t="s">
        <v>437</v>
      </c>
      <c r="B20" s="57" t="s">
        <v>728</v>
      </c>
      <c r="C20" s="57" t="s">
        <v>709</v>
      </c>
      <c r="D20" s="10" t="s">
        <v>178</v>
      </c>
      <c r="E20" s="56" t="s">
        <v>711</v>
      </c>
      <c r="F20" s="57">
        <v>1600</v>
      </c>
      <c r="G20" s="64">
        <v>8</v>
      </c>
      <c r="H20" s="64" t="s">
        <v>437</v>
      </c>
      <c r="I20" s="64" t="s">
        <v>507</v>
      </c>
      <c r="J20" s="55">
        <v>46118</v>
      </c>
      <c r="K20" s="325" t="s">
        <v>787</v>
      </c>
      <c r="L20" s="161">
        <v>89065566644</v>
      </c>
      <c r="M20" s="53" t="s">
        <v>786</v>
      </c>
      <c r="N20" s="325" t="s">
        <v>794</v>
      </c>
      <c r="O20" s="57"/>
      <c r="P20" s="57"/>
      <c r="Q20" s="57">
        <v>1600</v>
      </c>
      <c r="R20" s="53" t="s">
        <v>422</v>
      </c>
      <c r="S20" s="90">
        <v>85000</v>
      </c>
      <c r="T20" s="61">
        <f t="shared" si="2"/>
        <v>136000</v>
      </c>
    </row>
    <row r="21" spans="1:20" s="63" customFormat="1" ht="13.5" customHeight="1" x14ac:dyDescent="0.25">
      <c r="A21" s="64" t="s">
        <v>512</v>
      </c>
      <c r="B21" s="57" t="s">
        <v>757</v>
      </c>
      <c r="C21" s="57" t="s">
        <v>514</v>
      </c>
      <c r="D21" s="10" t="s">
        <v>181</v>
      </c>
      <c r="E21" s="56" t="s">
        <v>763</v>
      </c>
      <c r="F21" s="57">
        <v>14400</v>
      </c>
      <c r="G21" s="64">
        <v>80</v>
      </c>
      <c r="H21" s="64" t="s">
        <v>512</v>
      </c>
      <c r="I21" s="64" t="s">
        <v>507</v>
      </c>
      <c r="J21" s="55">
        <v>46119</v>
      </c>
      <c r="K21" s="325" t="s">
        <v>792</v>
      </c>
      <c r="L21" s="161"/>
      <c r="M21" s="218" t="s">
        <v>793</v>
      </c>
      <c r="N21" s="149"/>
      <c r="O21" s="57"/>
      <c r="P21" s="57"/>
      <c r="Q21" s="57">
        <v>14400</v>
      </c>
      <c r="R21" s="53" t="s">
        <v>422</v>
      </c>
      <c r="S21" s="90">
        <v>149900</v>
      </c>
      <c r="T21" s="61">
        <f t="shared" ref="T21:T61" si="3">S21*F21/1000</f>
        <v>2158560</v>
      </c>
    </row>
    <row r="22" spans="1:20" s="63" customFormat="1" ht="13.5" customHeight="1" x14ac:dyDescent="0.25">
      <c r="A22" s="184" t="s">
        <v>351</v>
      </c>
      <c r="B22" s="185" t="s">
        <v>782</v>
      </c>
      <c r="C22" s="185" t="s">
        <v>163</v>
      </c>
      <c r="D22" s="186" t="s">
        <v>293</v>
      </c>
      <c r="E22" s="138" t="s">
        <v>812</v>
      </c>
      <c r="F22" s="185">
        <v>3500</v>
      </c>
      <c r="G22" s="334">
        <v>140</v>
      </c>
      <c r="H22" s="184" t="s">
        <v>712</v>
      </c>
      <c r="I22" s="187" t="s">
        <v>507</v>
      </c>
      <c r="J22" s="403">
        <v>46121</v>
      </c>
      <c r="K22" s="405" t="s">
        <v>803</v>
      </c>
      <c r="L22" s="405">
        <v>89115583359</v>
      </c>
      <c r="M22" s="188" t="s">
        <v>802</v>
      </c>
      <c r="N22" s="298" t="s">
        <v>807</v>
      </c>
      <c r="O22" s="185">
        <v>3500</v>
      </c>
      <c r="P22" s="185"/>
      <c r="Q22" s="185"/>
      <c r="R22" s="266" t="s">
        <v>808</v>
      </c>
      <c r="S22" s="205">
        <v>41000</v>
      </c>
      <c r="T22" s="61">
        <f t="shared" si="3"/>
        <v>143500</v>
      </c>
    </row>
    <row r="23" spans="1:20" s="63" customFormat="1" ht="13.5" customHeight="1" x14ac:dyDescent="0.25">
      <c r="A23" s="184" t="s">
        <v>351</v>
      </c>
      <c r="B23" s="185" t="s">
        <v>782</v>
      </c>
      <c r="C23" s="185" t="s">
        <v>163</v>
      </c>
      <c r="D23" s="186" t="s">
        <v>293</v>
      </c>
      <c r="E23" s="138" t="s">
        <v>813</v>
      </c>
      <c r="F23" s="185">
        <v>4375</v>
      </c>
      <c r="G23" s="334">
        <v>175</v>
      </c>
      <c r="H23" s="184" t="s">
        <v>712</v>
      </c>
      <c r="I23" s="187" t="s">
        <v>507</v>
      </c>
      <c r="J23" s="403">
        <v>46121</v>
      </c>
      <c r="K23" s="405" t="s">
        <v>803</v>
      </c>
      <c r="L23" s="405">
        <v>89115583359</v>
      </c>
      <c r="M23" s="188" t="s">
        <v>802</v>
      </c>
      <c r="N23" s="298" t="s">
        <v>807</v>
      </c>
      <c r="O23" s="185">
        <v>4375</v>
      </c>
      <c r="P23" s="185"/>
      <c r="Q23" s="185"/>
      <c r="R23" s="266" t="s">
        <v>808</v>
      </c>
      <c r="S23" s="205">
        <v>41000</v>
      </c>
      <c r="T23" s="61">
        <f t="shared" si="3"/>
        <v>179375</v>
      </c>
    </row>
    <row r="24" spans="1:20" s="63" customFormat="1" ht="13.5" customHeight="1" x14ac:dyDescent="0.25">
      <c r="A24" s="184" t="s">
        <v>351</v>
      </c>
      <c r="B24" s="185" t="s">
        <v>782</v>
      </c>
      <c r="C24" s="185" t="s">
        <v>163</v>
      </c>
      <c r="D24" s="186" t="s">
        <v>293</v>
      </c>
      <c r="E24" s="138" t="s">
        <v>814</v>
      </c>
      <c r="F24" s="185">
        <v>4375</v>
      </c>
      <c r="G24" s="334">
        <v>175</v>
      </c>
      <c r="H24" s="184" t="s">
        <v>712</v>
      </c>
      <c r="I24" s="187" t="s">
        <v>507</v>
      </c>
      <c r="J24" s="403">
        <v>46121</v>
      </c>
      <c r="K24" s="405" t="s">
        <v>803</v>
      </c>
      <c r="L24" s="405">
        <v>89115583359</v>
      </c>
      <c r="M24" s="188" t="s">
        <v>802</v>
      </c>
      <c r="N24" s="298" t="s">
        <v>807</v>
      </c>
      <c r="O24" s="185">
        <v>4375</v>
      </c>
      <c r="P24" s="185"/>
      <c r="Q24" s="185"/>
      <c r="R24" s="266" t="s">
        <v>808</v>
      </c>
      <c r="S24" s="205">
        <v>41000</v>
      </c>
      <c r="T24" s="61">
        <f t="shared" si="3"/>
        <v>179375</v>
      </c>
    </row>
    <row r="25" spans="1:20" s="63" customFormat="1" ht="13.5" customHeight="1" x14ac:dyDescent="0.25">
      <c r="A25" s="184" t="s">
        <v>351</v>
      </c>
      <c r="B25" s="185" t="s">
        <v>782</v>
      </c>
      <c r="C25" s="185" t="s">
        <v>163</v>
      </c>
      <c r="D25" s="186" t="s">
        <v>293</v>
      </c>
      <c r="E25" s="138" t="s">
        <v>815</v>
      </c>
      <c r="F25" s="185">
        <v>5250</v>
      </c>
      <c r="G25" s="334">
        <v>210</v>
      </c>
      <c r="H25" s="184" t="s">
        <v>712</v>
      </c>
      <c r="I25" s="187" t="s">
        <v>507</v>
      </c>
      <c r="J25" s="403">
        <v>46121</v>
      </c>
      <c r="K25" s="405" t="s">
        <v>803</v>
      </c>
      <c r="L25" s="405">
        <v>89115583359</v>
      </c>
      <c r="M25" s="188" t="s">
        <v>802</v>
      </c>
      <c r="N25" s="298" t="s">
        <v>807</v>
      </c>
      <c r="O25" s="185">
        <v>5250</v>
      </c>
      <c r="P25" s="185"/>
      <c r="Q25" s="185"/>
      <c r="R25" s="266" t="s">
        <v>808</v>
      </c>
      <c r="S25" s="205">
        <v>41000</v>
      </c>
      <c r="T25" s="61">
        <f t="shared" si="3"/>
        <v>215250</v>
      </c>
    </row>
    <row r="26" spans="1:20" s="63" customFormat="1" ht="13.5" customHeight="1" x14ac:dyDescent="0.25">
      <c r="A26" s="357" t="s">
        <v>437</v>
      </c>
      <c r="B26" s="358" t="s">
        <v>783</v>
      </c>
      <c r="C26" s="358" t="s">
        <v>655</v>
      </c>
      <c r="D26" s="357" t="s">
        <v>330</v>
      </c>
      <c r="E26" s="359" t="s">
        <v>748</v>
      </c>
      <c r="F26" s="358">
        <v>1200</v>
      </c>
      <c r="G26" s="357">
        <v>6</v>
      </c>
      <c r="H26" s="357" t="s">
        <v>437</v>
      </c>
      <c r="I26" s="360" t="s">
        <v>507</v>
      </c>
      <c r="J26" s="360">
        <v>46122</v>
      </c>
      <c r="K26" s="361" t="s">
        <v>811</v>
      </c>
      <c r="L26" s="362">
        <v>89173476508</v>
      </c>
      <c r="M26" s="362" t="s">
        <v>810</v>
      </c>
      <c r="N26" s="363"/>
      <c r="O26" s="358"/>
      <c r="P26" s="358"/>
      <c r="Q26" s="358">
        <v>1200</v>
      </c>
      <c r="R26" s="364"/>
      <c r="S26" s="365">
        <v>330000</v>
      </c>
      <c r="T26" s="61">
        <f t="shared" si="3"/>
        <v>396000</v>
      </c>
    </row>
    <row r="27" spans="1:20" s="63" customFormat="1" ht="13.5" customHeight="1" x14ac:dyDescent="0.25">
      <c r="A27" s="357" t="s">
        <v>437</v>
      </c>
      <c r="B27" s="358" t="s">
        <v>783</v>
      </c>
      <c r="C27" s="358" t="s">
        <v>655</v>
      </c>
      <c r="D27" s="357" t="s">
        <v>326</v>
      </c>
      <c r="E27" s="359" t="s">
        <v>764</v>
      </c>
      <c r="F27" s="358">
        <v>1000</v>
      </c>
      <c r="G27" s="357">
        <v>5</v>
      </c>
      <c r="H27" s="357" t="s">
        <v>437</v>
      </c>
      <c r="I27" s="360" t="s">
        <v>507</v>
      </c>
      <c r="J27" s="360">
        <v>46122</v>
      </c>
      <c r="K27" s="361" t="s">
        <v>811</v>
      </c>
      <c r="L27" s="362">
        <v>89173476508</v>
      </c>
      <c r="M27" s="362" t="s">
        <v>810</v>
      </c>
      <c r="N27" s="363"/>
      <c r="O27" s="358"/>
      <c r="P27" s="358"/>
      <c r="Q27" s="358">
        <v>1000</v>
      </c>
      <c r="R27" s="364"/>
      <c r="S27" s="365">
        <v>419000</v>
      </c>
      <c r="T27" s="61">
        <f t="shared" si="3"/>
        <v>419000</v>
      </c>
    </row>
    <row r="28" spans="1:20" s="63" customFormat="1" ht="13.5" customHeight="1" x14ac:dyDescent="0.25">
      <c r="A28" s="357" t="s">
        <v>437</v>
      </c>
      <c r="B28" s="358" t="s">
        <v>783</v>
      </c>
      <c r="C28" s="358" t="s">
        <v>655</v>
      </c>
      <c r="D28" s="357" t="s">
        <v>789</v>
      </c>
      <c r="E28" s="359" t="s">
        <v>790</v>
      </c>
      <c r="F28" s="358">
        <v>8740</v>
      </c>
      <c r="G28" s="357">
        <v>46</v>
      </c>
      <c r="H28" s="357" t="s">
        <v>437</v>
      </c>
      <c r="I28" s="360" t="s">
        <v>507</v>
      </c>
      <c r="J28" s="360">
        <v>46122</v>
      </c>
      <c r="K28" s="361" t="s">
        <v>811</v>
      </c>
      <c r="L28" s="362">
        <v>89173476508</v>
      </c>
      <c r="M28" s="362" t="s">
        <v>810</v>
      </c>
      <c r="N28" s="363"/>
      <c r="O28" s="358"/>
      <c r="P28" s="358"/>
      <c r="Q28" s="358">
        <v>8740</v>
      </c>
      <c r="R28" s="364"/>
      <c r="S28" s="365">
        <v>127000</v>
      </c>
      <c r="T28" s="61">
        <f t="shared" si="3"/>
        <v>1109980</v>
      </c>
    </row>
    <row r="29" spans="1:20" s="63" customFormat="1" ht="13.5" customHeight="1" x14ac:dyDescent="0.25">
      <c r="A29" s="64" t="s">
        <v>540</v>
      </c>
      <c r="B29" s="57" t="s">
        <v>797</v>
      </c>
      <c r="C29" s="57" t="s">
        <v>352</v>
      </c>
      <c r="D29" s="89" t="s">
        <v>222</v>
      </c>
      <c r="E29" s="56" t="s">
        <v>334</v>
      </c>
      <c r="F29" s="88">
        <v>20000</v>
      </c>
      <c r="G29" s="64">
        <v>800</v>
      </c>
      <c r="H29" s="64" t="s">
        <v>164</v>
      </c>
      <c r="I29" s="55" t="s">
        <v>507</v>
      </c>
      <c r="J29" s="55">
        <v>46122</v>
      </c>
      <c r="K29" s="258" t="s">
        <v>542</v>
      </c>
      <c r="L29" s="151">
        <v>89115800204</v>
      </c>
      <c r="M29" s="62" t="s">
        <v>541</v>
      </c>
      <c r="N29" s="137"/>
      <c r="O29" s="88">
        <v>20000</v>
      </c>
      <c r="P29" s="88"/>
      <c r="Q29" s="57"/>
      <c r="R29" s="53" t="s">
        <v>422</v>
      </c>
      <c r="S29" s="90">
        <v>44500</v>
      </c>
      <c r="T29" s="61">
        <f t="shared" si="3"/>
        <v>890000</v>
      </c>
    </row>
    <row r="30" spans="1:20" s="63" customFormat="1" ht="27.75" customHeight="1" x14ac:dyDescent="0.25">
      <c r="A30" s="64" t="s">
        <v>804</v>
      </c>
      <c r="B30" s="64" t="s">
        <v>708</v>
      </c>
      <c r="C30" s="64" t="s">
        <v>747</v>
      </c>
      <c r="D30" s="10" t="s">
        <v>281</v>
      </c>
      <c r="E30" s="423" t="s">
        <v>748</v>
      </c>
      <c r="F30" s="64">
        <v>1200</v>
      </c>
      <c r="G30" s="64">
        <v>6</v>
      </c>
      <c r="H30" s="64" t="s">
        <v>749</v>
      </c>
      <c r="I30" s="64" t="s">
        <v>507</v>
      </c>
      <c r="J30" s="55">
        <v>46122</v>
      </c>
      <c r="K30" s="424" t="s">
        <v>809</v>
      </c>
      <c r="L30" s="425" t="s">
        <v>805</v>
      </c>
      <c r="M30" s="426" t="s">
        <v>806</v>
      </c>
      <c r="N30" s="149"/>
      <c r="O30" s="64"/>
      <c r="P30" s="64"/>
      <c r="Q30" s="64">
        <v>1200</v>
      </c>
      <c r="R30" s="427" t="s">
        <v>422</v>
      </c>
      <c r="S30" s="90">
        <v>125000</v>
      </c>
      <c r="T30" s="61">
        <f t="shared" si="3"/>
        <v>150000</v>
      </c>
    </row>
    <row r="31" spans="1:20" s="63" customFormat="1" ht="13.5" customHeight="1" x14ac:dyDescent="0.25">
      <c r="A31" s="314" t="s">
        <v>332</v>
      </c>
      <c r="B31" s="347" t="s">
        <v>775</v>
      </c>
      <c r="C31" s="347" t="s">
        <v>318</v>
      </c>
      <c r="D31" s="348" t="s">
        <v>349</v>
      </c>
      <c r="E31" s="349" t="s">
        <v>688</v>
      </c>
      <c r="F31" s="350">
        <v>20000</v>
      </c>
      <c r="G31" s="314">
        <v>800</v>
      </c>
      <c r="H31" s="314" t="s">
        <v>319</v>
      </c>
      <c r="I31" s="314" t="s">
        <v>507</v>
      </c>
      <c r="J31" s="315">
        <v>46125</v>
      </c>
      <c r="K31" s="351" t="s">
        <v>820</v>
      </c>
      <c r="L31" s="351">
        <v>89270004647</v>
      </c>
      <c r="M31" s="352" t="s">
        <v>821</v>
      </c>
      <c r="N31" s="353"/>
      <c r="O31" s="350">
        <v>20000</v>
      </c>
      <c r="P31" s="350"/>
      <c r="Q31" s="350"/>
      <c r="R31" s="354"/>
      <c r="S31" s="355">
        <v>44300</v>
      </c>
      <c r="T31" s="61">
        <f t="shared" si="3"/>
        <v>886000</v>
      </c>
    </row>
    <row r="32" spans="1:20" s="63" customFormat="1" ht="13.5" customHeight="1" x14ac:dyDescent="0.25">
      <c r="A32" s="64"/>
      <c r="B32" s="57"/>
      <c r="C32" s="57"/>
      <c r="D32" s="10"/>
      <c r="E32" s="56"/>
      <c r="F32" s="57"/>
      <c r="G32" s="64"/>
      <c r="H32" s="64"/>
      <c r="I32" s="64"/>
      <c r="J32" s="55"/>
      <c r="K32" s="325"/>
      <c r="L32" s="161"/>
      <c r="M32" s="53"/>
      <c r="N32" s="149"/>
      <c r="O32" s="57"/>
      <c r="P32" s="57"/>
      <c r="Q32" s="88"/>
      <c r="R32" s="53"/>
      <c r="S32" s="90"/>
      <c r="T32" s="61">
        <f t="shared" si="3"/>
        <v>0</v>
      </c>
    </row>
    <row r="33" spans="1:20" s="63" customFormat="1" ht="13.5" customHeight="1" x14ac:dyDescent="0.25">
      <c r="A33" s="64"/>
      <c r="B33" s="57"/>
      <c r="C33" s="57"/>
      <c r="D33" s="10"/>
      <c r="E33" s="56"/>
      <c r="F33" s="57"/>
      <c r="G33" s="64"/>
      <c r="H33" s="64"/>
      <c r="I33" s="64"/>
      <c r="J33" s="55"/>
      <c r="K33" s="325"/>
      <c r="L33" s="161"/>
      <c r="M33" s="53"/>
      <c r="N33" s="149"/>
      <c r="O33" s="57"/>
      <c r="P33" s="57"/>
      <c r="Q33" s="88"/>
      <c r="R33" s="53"/>
      <c r="S33" s="90"/>
      <c r="T33" s="61">
        <f t="shared" si="3"/>
        <v>0</v>
      </c>
    </row>
    <row r="34" spans="1:20" s="63" customFormat="1" ht="13.5" customHeight="1" x14ac:dyDescent="0.25">
      <c r="A34" s="207" t="s">
        <v>713</v>
      </c>
      <c r="B34" s="208" t="s">
        <v>816</v>
      </c>
      <c r="C34" s="208" t="s">
        <v>709</v>
      </c>
      <c r="D34" s="407" t="s">
        <v>178</v>
      </c>
      <c r="E34" s="408" t="s">
        <v>817</v>
      </c>
      <c r="F34" s="208">
        <v>16000</v>
      </c>
      <c r="G34" s="207">
        <v>80</v>
      </c>
      <c r="H34" s="207" t="s">
        <v>712</v>
      </c>
      <c r="I34" s="207"/>
      <c r="J34" s="211">
        <v>46126</v>
      </c>
      <c r="K34" s="409"/>
      <c r="L34" s="410"/>
      <c r="M34" s="215"/>
      <c r="N34" s="214" t="s">
        <v>818</v>
      </c>
      <c r="O34" s="208"/>
      <c r="P34" s="208"/>
      <c r="Q34" s="208"/>
      <c r="R34" s="215"/>
      <c r="S34" s="216">
        <v>85000</v>
      </c>
      <c r="T34" s="61">
        <f t="shared" si="3"/>
        <v>1360000</v>
      </c>
    </row>
    <row r="35" spans="1:20" s="63" customFormat="1" ht="13.5" customHeight="1" x14ac:dyDescent="0.25">
      <c r="A35" s="64"/>
      <c r="B35" s="57"/>
      <c r="C35" s="57"/>
      <c r="D35" s="10"/>
      <c r="E35" s="56"/>
      <c r="F35" s="57"/>
      <c r="G35" s="64"/>
      <c r="H35" s="64"/>
      <c r="I35" s="64"/>
      <c r="J35" s="55"/>
      <c r="K35" s="325"/>
      <c r="L35" s="161"/>
      <c r="M35" s="53"/>
      <c r="N35" s="149"/>
      <c r="O35" s="57"/>
      <c r="P35" s="57"/>
      <c r="Q35" s="88"/>
      <c r="R35" s="53"/>
      <c r="S35" s="90"/>
      <c r="T35" s="61">
        <f t="shared" si="3"/>
        <v>0</v>
      </c>
    </row>
    <row r="36" spans="1:20" s="63" customFormat="1" ht="13.5" customHeight="1" x14ac:dyDescent="0.25">
      <c r="A36" s="64"/>
      <c r="B36" s="57"/>
      <c r="C36" s="57"/>
      <c r="D36" s="10"/>
      <c r="E36" s="56"/>
      <c r="F36" s="57"/>
      <c r="G36" s="64"/>
      <c r="H36" s="64"/>
      <c r="I36" s="64"/>
      <c r="J36" s="55"/>
      <c r="K36" s="325"/>
      <c r="L36" s="161"/>
      <c r="M36" s="53"/>
      <c r="N36" s="149"/>
      <c r="O36" s="57"/>
      <c r="P36" s="57"/>
      <c r="Q36" s="88"/>
      <c r="R36" s="53"/>
      <c r="S36" s="90"/>
      <c r="T36" s="61">
        <f t="shared" si="3"/>
        <v>0</v>
      </c>
    </row>
    <row r="37" spans="1:20" s="63" customFormat="1" ht="13.5" customHeight="1" x14ac:dyDescent="0.25">
      <c r="A37" s="411" t="s">
        <v>332</v>
      </c>
      <c r="B37" s="412" t="s">
        <v>822</v>
      </c>
      <c r="C37" s="412" t="s">
        <v>823</v>
      </c>
      <c r="D37" s="413" t="s">
        <v>166</v>
      </c>
      <c r="E37" s="414" t="s">
        <v>551</v>
      </c>
      <c r="F37" s="412">
        <v>8800</v>
      </c>
      <c r="G37" s="411">
        <v>44</v>
      </c>
      <c r="H37" s="415" t="s">
        <v>164</v>
      </c>
      <c r="I37" s="411"/>
      <c r="J37" s="416">
        <v>46127</v>
      </c>
      <c r="K37" s="422">
        <v>262</v>
      </c>
      <c r="L37" s="418"/>
      <c r="M37" s="419"/>
      <c r="N37" s="420"/>
      <c r="O37" s="412"/>
      <c r="P37" s="412"/>
      <c r="Q37" s="412"/>
      <c r="R37" s="419"/>
      <c r="S37" s="421">
        <v>88400</v>
      </c>
      <c r="T37" s="61">
        <f t="shared" si="3"/>
        <v>777920</v>
      </c>
    </row>
    <row r="38" spans="1:20" s="63" customFormat="1" ht="13.5" customHeight="1" x14ac:dyDescent="0.25">
      <c r="A38" s="411" t="s">
        <v>332</v>
      </c>
      <c r="B38" s="412" t="s">
        <v>822</v>
      </c>
      <c r="C38" s="412" t="s">
        <v>823</v>
      </c>
      <c r="D38" s="413" t="s">
        <v>166</v>
      </c>
      <c r="E38" s="414" t="s">
        <v>570</v>
      </c>
      <c r="F38" s="412">
        <v>8800</v>
      </c>
      <c r="G38" s="411">
        <v>44</v>
      </c>
      <c r="H38" s="415" t="s">
        <v>164</v>
      </c>
      <c r="I38" s="411"/>
      <c r="J38" s="416">
        <v>46127</v>
      </c>
      <c r="K38" s="417"/>
      <c r="L38" s="418"/>
      <c r="M38" s="419"/>
      <c r="N38" s="420"/>
      <c r="O38" s="412"/>
      <c r="P38" s="412"/>
      <c r="Q38" s="412"/>
      <c r="R38" s="419"/>
      <c r="S38" s="421">
        <v>88400</v>
      </c>
      <c r="T38" s="61">
        <f t="shared" ref="T38" si="4">S38*F38/1000</f>
        <v>777920</v>
      </c>
    </row>
    <row r="39" spans="1:20" s="63" customFormat="1" ht="13.5" customHeight="1" x14ac:dyDescent="0.25">
      <c r="A39" s="64"/>
      <c r="B39" s="57"/>
      <c r="C39" s="57"/>
      <c r="D39" s="10"/>
      <c r="E39" s="56"/>
      <c r="F39" s="57"/>
      <c r="G39" s="64"/>
      <c r="H39" s="64"/>
      <c r="I39" s="64"/>
      <c r="J39" s="55"/>
      <c r="K39" s="325"/>
      <c r="L39" s="161"/>
      <c r="M39" s="53"/>
      <c r="N39" s="149"/>
      <c r="O39" s="57"/>
      <c r="P39" s="57"/>
      <c r="Q39" s="88"/>
      <c r="R39" s="53"/>
      <c r="S39" s="90"/>
      <c r="T39" s="61">
        <f t="shared" si="3"/>
        <v>0</v>
      </c>
    </row>
    <row r="40" spans="1:20" s="63" customFormat="1" ht="13.5" customHeight="1" x14ac:dyDescent="0.25">
      <c r="A40" s="64"/>
      <c r="B40" s="57"/>
      <c r="C40" s="57"/>
      <c r="D40" s="10"/>
      <c r="E40" s="56"/>
      <c r="F40" s="57"/>
      <c r="G40" s="64"/>
      <c r="H40" s="64"/>
      <c r="I40" s="64"/>
      <c r="J40" s="55"/>
      <c r="K40" s="325"/>
      <c r="L40" s="161"/>
      <c r="M40" s="53"/>
      <c r="N40" s="149"/>
      <c r="O40" s="57"/>
      <c r="P40" s="57"/>
      <c r="Q40" s="88"/>
      <c r="R40" s="53"/>
      <c r="S40" s="90"/>
      <c r="T40" s="61">
        <f t="shared" si="3"/>
        <v>0</v>
      </c>
    </row>
    <row r="41" spans="1:20" s="63" customFormat="1" ht="13.5" customHeight="1" x14ac:dyDescent="0.25">
      <c r="A41" s="366" t="s">
        <v>512</v>
      </c>
      <c r="B41" s="367" t="s">
        <v>757</v>
      </c>
      <c r="C41" s="367" t="s">
        <v>514</v>
      </c>
      <c r="D41" s="368" t="s">
        <v>187</v>
      </c>
      <c r="E41" s="369" t="s">
        <v>760</v>
      </c>
      <c r="F41" s="367">
        <v>14400</v>
      </c>
      <c r="G41" s="366">
        <v>80</v>
      </c>
      <c r="H41" s="366" t="s">
        <v>512</v>
      </c>
      <c r="I41" s="366"/>
      <c r="J41" s="370">
        <v>46125</v>
      </c>
      <c r="K41" s="371"/>
      <c r="L41" s="372"/>
      <c r="M41" s="373"/>
      <c r="N41" s="374"/>
      <c r="O41" s="367"/>
      <c r="P41" s="367"/>
      <c r="Q41" s="375"/>
      <c r="R41" s="373"/>
      <c r="S41" s="376">
        <v>128500</v>
      </c>
      <c r="T41" s="61">
        <f t="shared" si="3"/>
        <v>1850400</v>
      </c>
    </row>
    <row r="42" spans="1:20" s="63" customFormat="1" ht="13.5" customHeight="1" x14ac:dyDescent="0.25">
      <c r="A42" s="366" t="s">
        <v>512</v>
      </c>
      <c r="B42" s="367" t="s">
        <v>757</v>
      </c>
      <c r="C42" s="367" t="s">
        <v>514</v>
      </c>
      <c r="D42" s="368" t="s">
        <v>187</v>
      </c>
      <c r="E42" s="369" t="s">
        <v>761</v>
      </c>
      <c r="F42" s="367">
        <v>14400</v>
      </c>
      <c r="G42" s="366">
        <v>80</v>
      </c>
      <c r="H42" s="366" t="s">
        <v>512</v>
      </c>
      <c r="I42" s="366"/>
      <c r="J42" s="370">
        <v>46127</v>
      </c>
      <c r="K42" s="371"/>
      <c r="L42" s="372"/>
      <c r="M42" s="373"/>
      <c r="N42" s="374"/>
      <c r="O42" s="367"/>
      <c r="P42" s="367"/>
      <c r="Q42" s="375"/>
      <c r="R42" s="373"/>
      <c r="S42" s="376">
        <v>128500</v>
      </c>
      <c r="T42" s="61">
        <f t="shared" si="3"/>
        <v>1850400</v>
      </c>
    </row>
    <row r="43" spans="1:20" s="63" customFormat="1" ht="13.5" customHeight="1" x14ac:dyDescent="0.25">
      <c r="A43" s="366" t="s">
        <v>512</v>
      </c>
      <c r="B43" s="367" t="s">
        <v>757</v>
      </c>
      <c r="C43" s="367" t="s">
        <v>514</v>
      </c>
      <c r="D43" s="368" t="s">
        <v>187</v>
      </c>
      <c r="E43" s="369" t="s">
        <v>762</v>
      </c>
      <c r="F43" s="367">
        <v>14400</v>
      </c>
      <c r="G43" s="366">
        <v>80</v>
      </c>
      <c r="H43" s="366" t="s">
        <v>512</v>
      </c>
      <c r="I43" s="366"/>
      <c r="J43" s="370">
        <v>46127</v>
      </c>
      <c r="K43" s="371"/>
      <c r="L43" s="372"/>
      <c r="M43" s="373"/>
      <c r="N43" s="374"/>
      <c r="O43" s="367"/>
      <c r="P43" s="367"/>
      <c r="Q43" s="375"/>
      <c r="R43" s="373"/>
      <c r="S43" s="376">
        <v>128500</v>
      </c>
      <c r="T43" s="61">
        <f t="shared" si="3"/>
        <v>1850400</v>
      </c>
    </row>
    <row r="44" spans="1:20" s="63" customFormat="1" ht="13.5" customHeight="1" x14ac:dyDescent="0.25">
      <c r="A44" s="366" t="s">
        <v>512</v>
      </c>
      <c r="B44" s="367" t="s">
        <v>757</v>
      </c>
      <c r="C44" s="367" t="s">
        <v>514</v>
      </c>
      <c r="D44" s="368" t="s">
        <v>181</v>
      </c>
      <c r="E44" s="369" t="s">
        <v>764</v>
      </c>
      <c r="F44" s="367">
        <v>14400</v>
      </c>
      <c r="G44" s="366">
        <v>80</v>
      </c>
      <c r="H44" s="366" t="s">
        <v>512</v>
      </c>
      <c r="I44" s="366"/>
      <c r="J44" s="370">
        <v>46125</v>
      </c>
      <c r="K44" s="371"/>
      <c r="L44" s="372"/>
      <c r="M44" s="373"/>
      <c r="N44" s="374"/>
      <c r="O44" s="367"/>
      <c r="P44" s="367"/>
      <c r="Q44" s="375"/>
      <c r="R44" s="373"/>
      <c r="S44" s="376">
        <v>149900</v>
      </c>
      <c r="T44" s="61">
        <f t="shared" si="3"/>
        <v>2158560</v>
      </c>
    </row>
    <row r="45" spans="1:20" s="63" customFormat="1" ht="13.5" customHeight="1" x14ac:dyDescent="0.25">
      <c r="A45" s="64"/>
      <c r="B45" s="57"/>
      <c r="C45" s="57"/>
      <c r="D45" s="10"/>
      <c r="E45" s="56"/>
      <c r="F45" s="57"/>
      <c r="G45" s="64"/>
      <c r="H45" s="64"/>
      <c r="I45" s="64"/>
      <c r="J45" s="55"/>
      <c r="K45" s="325"/>
      <c r="L45" s="161"/>
      <c r="M45" s="53"/>
      <c r="N45" s="149"/>
      <c r="O45" s="57"/>
      <c r="P45" s="57"/>
      <c r="Q45" s="88"/>
      <c r="R45" s="53"/>
      <c r="S45" s="90"/>
      <c r="T45" s="61">
        <f t="shared" si="3"/>
        <v>0</v>
      </c>
    </row>
    <row r="46" spans="1:20" s="63" customFormat="1" ht="13.5" customHeight="1" x14ac:dyDescent="0.25">
      <c r="A46" s="64"/>
      <c r="B46" s="57"/>
      <c r="C46" s="57"/>
      <c r="D46" s="10"/>
      <c r="E46" s="56"/>
      <c r="F46" s="57"/>
      <c r="G46" s="64"/>
      <c r="H46" s="64"/>
      <c r="I46" s="64"/>
      <c r="J46" s="55"/>
      <c r="K46" s="325"/>
      <c r="L46" s="161"/>
      <c r="M46" s="53"/>
      <c r="N46" s="149"/>
      <c r="O46" s="57"/>
      <c r="P46" s="57"/>
      <c r="Q46" s="88"/>
      <c r="R46" s="53"/>
      <c r="S46" s="90"/>
      <c r="T46" s="61">
        <f t="shared" si="3"/>
        <v>0</v>
      </c>
    </row>
    <row r="47" spans="1:20" s="63" customFormat="1" ht="13.5" customHeight="1" x14ac:dyDescent="0.25">
      <c r="A47" s="287" t="s">
        <v>332</v>
      </c>
      <c r="B47" s="288" t="s">
        <v>657</v>
      </c>
      <c r="C47" s="288" t="s">
        <v>658</v>
      </c>
      <c r="D47" s="289" t="s">
        <v>295</v>
      </c>
      <c r="E47" s="290" t="s">
        <v>659</v>
      </c>
      <c r="F47" s="288">
        <v>9900</v>
      </c>
      <c r="G47" s="287">
        <v>180</v>
      </c>
      <c r="H47" s="287" t="s">
        <v>660</v>
      </c>
      <c r="I47" s="287" t="s">
        <v>328</v>
      </c>
      <c r="J47" s="291"/>
      <c r="K47" s="344"/>
      <c r="L47" s="345"/>
      <c r="M47" s="346"/>
      <c r="N47" s="293"/>
      <c r="O47" s="288"/>
      <c r="P47" s="288"/>
      <c r="Q47" s="294"/>
      <c r="R47" s="292"/>
      <c r="S47" s="295">
        <v>92000</v>
      </c>
      <c r="T47" s="61">
        <f t="shared" si="3"/>
        <v>910800</v>
      </c>
    </row>
    <row r="48" spans="1:20" s="63" customFormat="1" ht="13.5" customHeight="1" x14ac:dyDescent="0.25">
      <c r="A48" s="64"/>
      <c r="B48" s="57"/>
      <c r="C48" s="57"/>
      <c r="D48" s="10"/>
      <c r="E48" s="56"/>
      <c r="F48" s="57"/>
      <c r="G48" s="64"/>
      <c r="H48" s="64"/>
      <c r="I48" s="64"/>
      <c r="J48" s="55"/>
      <c r="K48" s="325"/>
      <c r="L48" s="161"/>
      <c r="M48" s="53"/>
      <c r="N48" s="149"/>
      <c r="O48" s="57"/>
      <c r="P48" s="57"/>
      <c r="Q48" s="88"/>
      <c r="R48" s="53"/>
      <c r="S48" s="90"/>
      <c r="T48" s="61">
        <f t="shared" si="3"/>
        <v>0</v>
      </c>
    </row>
    <row r="49" spans="1:20" s="63" customFormat="1" ht="13.5" customHeight="1" x14ac:dyDescent="0.25">
      <c r="A49" s="64"/>
      <c r="B49" s="57"/>
      <c r="C49" s="57"/>
      <c r="D49" s="10"/>
      <c r="E49" s="56"/>
      <c r="F49" s="57"/>
      <c r="G49" s="64"/>
      <c r="H49" s="64"/>
      <c r="I49" s="64"/>
      <c r="J49" s="55"/>
      <c r="K49" s="325"/>
      <c r="L49" s="161"/>
      <c r="M49" s="53"/>
      <c r="N49" s="149"/>
      <c r="O49" s="57"/>
      <c r="P49" s="57"/>
      <c r="Q49" s="88"/>
      <c r="R49" s="53"/>
      <c r="S49" s="90"/>
      <c r="T49" s="61">
        <f t="shared" si="3"/>
        <v>0</v>
      </c>
    </row>
    <row r="50" spans="1:20" s="63" customFormat="1" ht="13.5" customHeight="1" x14ac:dyDescent="0.25">
      <c r="A50" s="272" t="s">
        <v>332</v>
      </c>
      <c r="B50" s="273" t="s">
        <v>707</v>
      </c>
      <c r="C50" s="273" t="s">
        <v>316</v>
      </c>
      <c r="D50" s="274" t="s">
        <v>795</v>
      </c>
      <c r="E50" s="275" t="s">
        <v>584</v>
      </c>
      <c r="F50" s="276">
        <v>6912</v>
      </c>
      <c r="G50" s="272">
        <v>32</v>
      </c>
      <c r="H50" s="272" t="s">
        <v>467</v>
      </c>
      <c r="I50" s="272" t="s">
        <v>388</v>
      </c>
      <c r="J50" s="277">
        <v>46129</v>
      </c>
      <c r="K50" s="336">
        <v>194</v>
      </c>
      <c r="L50" s="278"/>
      <c r="M50" s="279"/>
      <c r="N50" s="280"/>
      <c r="O50" s="276"/>
      <c r="P50" s="276"/>
      <c r="Q50" s="276"/>
      <c r="R50" s="281"/>
      <c r="S50" s="282">
        <v>85000</v>
      </c>
      <c r="T50" s="61">
        <f t="shared" si="3"/>
        <v>587520</v>
      </c>
    </row>
    <row r="51" spans="1:20" s="63" customFormat="1" ht="13.5" customHeight="1" x14ac:dyDescent="0.25">
      <c r="A51" s="272" t="s">
        <v>332</v>
      </c>
      <c r="B51" s="273" t="s">
        <v>707</v>
      </c>
      <c r="C51" s="273" t="s">
        <v>316</v>
      </c>
      <c r="D51" s="274" t="s">
        <v>222</v>
      </c>
      <c r="E51" s="275" t="s">
        <v>585</v>
      </c>
      <c r="F51" s="276">
        <v>8000</v>
      </c>
      <c r="G51" s="272">
        <v>320</v>
      </c>
      <c r="H51" s="272" t="s">
        <v>467</v>
      </c>
      <c r="I51" s="272" t="s">
        <v>328</v>
      </c>
      <c r="J51" s="277">
        <v>46129</v>
      </c>
      <c r="K51" s="336"/>
      <c r="L51" s="278"/>
      <c r="M51" s="279"/>
      <c r="N51" s="283"/>
      <c r="O51" s="273"/>
      <c r="P51" s="273"/>
      <c r="Q51" s="276"/>
      <c r="R51" s="281"/>
      <c r="S51" s="282">
        <v>44500</v>
      </c>
      <c r="T51" s="61">
        <f t="shared" si="3"/>
        <v>356000</v>
      </c>
    </row>
    <row r="52" spans="1:20" s="63" customFormat="1" ht="13.5" customHeight="1" x14ac:dyDescent="0.25">
      <c r="A52" s="379" t="s">
        <v>332</v>
      </c>
      <c r="B52" s="380" t="s">
        <v>796</v>
      </c>
      <c r="C52" s="380" t="s">
        <v>316</v>
      </c>
      <c r="D52" s="381" t="s">
        <v>222</v>
      </c>
      <c r="E52" s="382" t="s">
        <v>585</v>
      </c>
      <c r="F52" s="383">
        <v>5000</v>
      </c>
      <c r="G52" s="379">
        <v>200</v>
      </c>
      <c r="H52" s="379" t="s">
        <v>479</v>
      </c>
      <c r="I52" s="379" t="s">
        <v>328</v>
      </c>
      <c r="J52" s="384">
        <v>46129</v>
      </c>
      <c r="K52" s="385"/>
      <c r="L52" s="386"/>
      <c r="M52" s="387"/>
      <c r="N52" s="388"/>
      <c r="O52" s="380"/>
      <c r="P52" s="380"/>
      <c r="Q52" s="383"/>
      <c r="R52" s="389"/>
      <c r="S52" s="390">
        <v>44500</v>
      </c>
      <c r="T52" s="61">
        <f t="shared" si="3"/>
        <v>222500</v>
      </c>
    </row>
    <row r="53" spans="1:20" s="63" customFormat="1" ht="13.5" customHeight="1" x14ac:dyDescent="0.25">
      <c r="A53" s="64"/>
      <c r="B53" s="57"/>
      <c r="C53" s="57"/>
      <c r="D53" s="10"/>
      <c r="E53" s="56"/>
      <c r="F53" s="57"/>
      <c r="G53" s="64"/>
      <c r="H53" s="64"/>
      <c r="I53" s="64"/>
      <c r="J53" s="55"/>
      <c r="K53" s="325"/>
      <c r="L53" s="161"/>
      <c r="M53" s="53"/>
      <c r="N53" s="149"/>
      <c r="O53" s="57"/>
      <c r="P53" s="57"/>
      <c r="Q53" s="88"/>
      <c r="R53" s="53"/>
      <c r="S53" s="90"/>
      <c r="T53" s="61">
        <f t="shared" si="3"/>
        <v>0</v>
      </c>
    </row>
    <row r="54" spans="1:20" s="63" customFormat="1" ht="13.5" customHeight="1" x14ac:dyDescent="0.25">
      <c r="A54" s="64"/>
      <c r="B54" s="57"/>
      <c r="C54" s="57"/>
      <c r="D54" s="10"/>
      <c r="E54" s="56"/>
      <c r="F54" s="57"/>
      <c r="G54" s="64"/>
      <c r="H54" s="64"/>
      <c r="I54" s="64"/>
      <c r="J54" s="55"/>
      <c r="K54" s="325"/>
      <c r="L54" s="161"/>
      <c r="M54" s="53"/>
      <c r="N54" s="149"/>
      <c r="O54" s="57"/>
      <c r="P54" s="57"/>
      <c r="Q54" s="88"/>
      <c r="R54" s="53"/>
      <c r="S54" s="90"/>
      <c r="T54" s="61">
        <f t="shared" si="3"/>
        <v>0</v>
      </c>
    </row>
    <row r="55" spans="1:20" s="63" customFormat="1" ht="13.5" customHeight="1" x14ac:dyDescent="0.25">
      <c r="A55" s="199" t="s">
        <v>332</v>
      </c>
      <c r="B55" s="200" t="s">
        <v>600</v>
      </c>
      <c r="C55" s="200" t="s">
        <v>318</v>
      </c>
      <c r="D55" s="261" t="s">
        <v>296</v>
      </c>
      <c r="E55" s="201" t="s">
        <v>348</v>
      </c>
      <c r="F55" s="262">
        <v>15200</v>
      </c>
      <c r="G55" s="199">
        <v>76</v>
      </c>
      <c r="H55" s="314" t="s">
        <v>319</v>
      </c>
      <c r="I55" s="314" t="s">
        <v>388</v>
      </c>
      <c r="J55" s="202" t="s">
        <v>819</v>
      </c>
      <c r="K55" s="263">
        <v>190</v>
      </c>
      <c r="L55" s="263"/>
      <c r="M55" s="264"/>
      <c r="N55" s="265"/>
      <c r="O55" s="262"/>
      <c r="P55" s="262"/>
      <c r="Q55" s="262"/>
      <c r="R55" s="203"/>
      <c r="S55" s="204">
        <v>122000</v>
      </c>
      <c r="T55" s="61">
        <f t="shared" si="3"/>
        <v>1854400</v>
      </c>
    </row>
    <row r="56" spans="1:20" s="63" customFormat="1" ht="13.5" customHeight="1" x14ac:dyDescent="0.25">
      <c r="A56" s="199" t="s">
        <v>332</v>
      </c>
      <c r="B56" s="200" t="s">
        <v>600</v>
      </c>
      <c r="C56" s="200" t="s">
        <v>318</v>
      </c>
      <c r="D56" s="261" t="s">
        <v>335</v>
      </c>
      <c r="E56" s="201" t="s">
        <v>587</v>
      </c>
      <c r="F56" s="262">
        <v>1440</v>
      </c>
      <c r="G56" s="199">
        <v>80</v>
      </c>
      <c r="H56" s="199" t="s">
        <v>319</v>
      </c>
      <c r="I56" s="199" t="s">
        <v>328</v>
      </c>
      <c r="J56" s="202" t="s">
        <v>819</v>
      </c>
      <c r="K56" s="263"/>
      <c r="L56" s="263"/>
      <c r="M56" s="264"/>
      <c r="N56" s="265"/>
      <c r="O56" s="262"/>
      <c r="P56" s="262"/>
      <c r="Q56" s="262"/>
      <c r="R56" s="203"/>
      <c r="S56" s="204">
        <v>220000</v>
      </c>
      <c r="T56" s="61">
        <f t="shared" si="3"/>
        <v>316800</v>
      </c>
    </row>
    <row r="57" spans="1:20" s="63" customFormat="1" ht="13.5" customHeight="1" x14ac:dyDescent="0.25">
      <c r="A57" s="199" t="s">
        <v>332</v>
      </c>
      <c r="B57" s="200" t="s">
        <v>600</v>
      </c>
      <c r="C57" s="200" t="s">
        <v>318</v>
      </c>
      <c r="D57" s="261" t="s">
        <v>170</v>
      </c>
      <c r="E57" s="201" t="s">
        <v>586</v>
      </c>
      <c r="F57" s="262">
        <v>800</v>
      </c>
      <c r="G57" s="199">
        <v>4</v>
      </c>
      <c r="H57" s="199" t="s">
        <v>319</v>
      </c>
      <c r="I57" s="199" t="s">
        <v>328</v>
      </c>
      <c r="J57" s="202" t="s">
        <v>819</v>
      </c>
      <c r="K57" s="263"/>
      <c r="L57" s="263"/>
      <c r="M57" s="264"/>
      <c r="N57" s="265"/>
      <c r="O57" s="262"/>
      <c r="P57" s="262"/>
      <c r="Q57" s="262"/>
      <c r="R57" s="203"/>
      <c r="S57" s="204">
        <v>157000</v>
      </c>
      <c r="T57" s="61">
        <f t="shared" si="3"/>
        <v>125600</v>
      </c>
    </row>
    <row r="58" spans="1:20" s="63" customFormat="1" ht="13.5" customHeight="1" x14ac:dyDescent="0.25">
      <c r="A58" s="64"/>
      <c r="B58" s="57"/>
      <c r="C58" s="57"/>
      <c r="D58" s="10"/>
      <c r="E58" s="56"/>
      <c r="F58" s="57"/>
      <c r="G58" s="64"/>
      <c r="H58" s="64"/>
      <c r="I58" s="64"/>
      <c r="J58" s="55"/>
      <c r="K58" s="325"/>
      <c r="L58" s="161"/>
      <c r="M58" s="53"/>
      <c r="N58" s="149"/>
      <c r="O58" s="57"/>
      <c r="P58" s="57"/>
      <c r="Q58" s="88"/>
      <c r="R58" s="53"/>
      <c r="S58" s="90"/>
      <c r="T58" s="61">
        <f t="shared" si="3"/>
        <v>0</v>
      </c>
    </row>
    <row r="59" spans="1:20" s="63" customFormat="1" ht="13.5" customHeight="1" x14ac:dyDescent="0.25">
      <c r="A59" s="64"/>
      <c r="B59" s="57"/>
      <c r="C59" s="57"/>
      <c r="D59" s="89"/>
      <c r="E59" s="56"/>
      <c r="F59" s="88"/>
      <c r="G59" s="64"/>
      <c r="H59" s="64"/>
      <c r="I59" s="64"/>
      <c r="J59" s="55"/>
      <c r="K59" s="377"/>
      <c r="L59" s="151"/>
      <c r="M59" s="62"/>
      <c r="N59" s="137"/>
      <c r="O59" s="88"/>
      <c r="P59" s="88"/>
      <c r="Q59" s="57"/>
      <c r="R59" s="53"/>
      <c r="S59" s="90"/>
      <c r="T59" s="61">
        <f t="shared" si="3"/>
        <v>0</v>
      </c>
    </row>
    <row r="60" spans="1:20" s="63" customFormat="1" ht="13.5" customHeight="1" x14ac:dyDescent="0.25">
      <c r="A60" s="248" t="s">
        <v>332</v>
      </c>
      <c r="B60" s="249" t="s">
        <v>798</v>
      </c>
      <c r="C60" s="249" t="s">
        <v>352</v>
      </c>
      <c r="D60" s="250" t="s">
        <v>222</v>
      </c>
      <c r="E60" s="301" t="s">
        <v>334</v>
      </c>
      <c r="F60" s="252">
        <v>20000</v>
      </c>
      <c r="G60" s="248">
        <v>800</v>
      </c>
      <c r="H60" s="248" t="s">
        <v>164</v>
      </c>
      <c r="I60" s="248" t="s">
        <v>328</v>
      </c>
      <c r="J60" s="189"/>
      <c r="K60" s="391">
        <v>263</v>
      </c>
      <c r="L60" s="302"/>
      <c r="M60" s="303"/>
      <c r="N60" s="304"/>
      <c r="O60" s="252"/>
      <c r="P60" s="252"/>
      <c r="Q60" s="249"/>
      <c r="R60" s="255"/>
      <c r="S60" s="257">
        <v>44500</v>
      </c>
      <c r="T60" s="61">
        <f t="shared" si="3"/>
        <v>890000</v>
      </c>
    </row>
    <row r="61" spans="1:20" s="63" customFormat="1" ht="13.5" customHeight="1" x14ac:dyDescent="0.25">
      <c r="A61" s="64"/>
      <c r="B61" s="57"/>
      <c r="C61" s="57"/>
      <c r="D61" s="10"/>
      <c r="E61" s="56"/>
      <c r="F61" s="57"/>
      <c r="G61" s="64"/>
      <c r="H61" s="64"/>
      <c r="I61" s="64"/>
      <c r="J61" s="55"/>
      <c r="K61" s="325"/>
      <c r="L61" s="161"/>
      <c r="M61" s="53"/>
      <c r="N61" s="149"/>
      <c r="O61" s="57"/>
      <c r="P61" s="57"/>
      <c r="Q61" s="88"/>
      <c r="R61" s="53"/>
      <c r="S61" s="90"/>
      <c r="T61" s="61">
        <f t="shared" si="3"/>
        <v>0</v>
      </c>
    </row>
    <row r="62" spans="1:20" s="63" customFormat="1" ht="13.5" customHeight="1" x14ac:dyDescent="0.25">
      <c r="A62" s="248" t="s">
        <v>332</v>
      </c>
      <c r="B62" s="249" t="s">
        <v>799</v>
      </c>
      <c r="C62" s="249" t="s">
        <v>352</v>
      </c>
      <c r="D62" s="250" t="s">
        <v>222</v>
      </c>
      <c r="E62" s="301" t="s">
        <v>334</v>
      </c>
      <c r="F62" s="252">
        <v>10000</v>
      </c>
      <c r="G62" s="248">
        <v>400</v>
      </c>
      <c r="H62" s="248" t="s">
        <v>164</v>
      </c>
      <c r="I62" s="248" t="s">
        <v>388</v>
      </c>
      <c r="J62" s="189">
        <v>46132</v>
      </c>
      <c r="K62" s="391">
        <v>263</v>
      </c>
      <c r="L62" s="302"/>
      <c r="M62" s="303"/>
      <c r="N62" s="304"/>
      <c r="O62" s="252"/>
      <c r="P62" s="252"/>
      <c r="Q62" s="249"/>
      <c r="R62" s="255"/>
      <c r="S62" s="257">
        <v>44500</v>
      </c>
      <c r="T62" s="61">
        <f t="shared" ref="T62:T82" si="5">S62*F62/1000</f>
        <v>445000</v>
      </c>
    </row>
    <row r="63" spans="1:20" s="63" customFormat="1" ht="13.5" customHeight="1" x14ac:dyDescent="0.25">
      <c r="A63" s="248" t="s">
        <v>332</v>
      </c>
      <c r="B63" s="249" t="s">
        <v>799</v>
      </c>
      <c r="C63" s="249" t="s">
        <v>352</v>
      </c>
      <c r="D63" s="250" t="s">
        <v>219</v>
      </c>
      <c r="E63" s="301" t="s">
        <v>404</v>
      </c>
      <c r="F63" s="252">
        <v>7000</v>
      </c>
      <c r="G63" s="248">
        <v>280</v>
      </c>
      <c r="H63" s="248" t="s">
        <v>164</v>
      </c>
      <c r="I63" s="248" t="s">
        <v>328</v>
      </c>
      <c r="J63" s="189">
        <v>46132</v>
      </c>
      <c r="K63" s="391"/>
      <c r="L63" s="302"/>
      <c r="M63" s="303"/>
      <c r="N63" s="304"/>
      <c r="O63" s="252"/>
      <c r="P63" s="252"/>
      <c r="Q63" s="249"/>
      <c r="R63" s="255"/>
      <c r="S63" s="257">
        <v>249000</v>
      </c>
      <c r="T63" s="61">
        <f t="shared" si="5"/>
        <v>1743000</v>
      </c>
    </row>
    <row r="64" spans="1:20" s="63" customFormat="1" ht="13.5" customHeight="1" x14ac:dyDescent="0.25">
      <c r="A64" s="248" t="s">
        <v>332</v>
      </c>
      <c r="B64" s="249" t="s">
        <v>799</v>
      </c>
      <c r="C64" s="249" t="s">
        <v>352</v>
      </c>
      <c r="D64" s="250" t="s">
        <v>192</v>
      </c>
      <c r="E64" s="301" t="s">
        <v>800</v>
      </c>
      <c r="F64" s="252">
        <v>2400</v>
      </c>
      <c r="G64" s="248">
        <v>12</v>
      </c>
      <c r="H64" s="248" t="s">
        <v>164</v>
      </c>
      <c r="I64" s="248" t="s">
        <v>388</v>
      </c>
      <c r="J64" s="189">
        <v>46132</v>
      </c>
      <c r="K64" s="391"/>
      <c r="L64" s="302"/>
      <c r="M64" s="303"/>
      <c r="N64" s="304"/>
      <c r="O64" s="252"/>
      <c r="P64" s="252"/>
      <c r="Q64" s="249"/>
      <c r="R64" s="255"/>
      <c r="S64" s="257">
        <v>105000</v>
      </c>
      <c r="T64" s="61">
        <f t="shared" si="5"/>
        <v>252000</v>
      </c>
    </row>
    <row r="65" spans="1:20" s="63" customFormat="1" ht="13.5" customHeight="1" x14ac:dyDescent="0.25">
      <c r="A65" s="64"/>
      <c r="B65" s="57"/>
      <c r="C65" s="57"/>
      <c r="D65" s="10"/>
      <c r="E65" s="56"/>
      <c r="F65" s="57"/>
      <c r="G65" s="64"/>
      <c r="H65" s="64"/>
      <c r="I65" s="64"/>
      <c r="J65" s="55"/>
      <c r="K65" s="325"/>
      <c r="L65" s="161"/>
      <c r="M65" s="53"/>
      <c r="N65" s="149"/>
      <c r="O65" s="57"/>
      <c r="P65" s="57"/>
      <c r="Q65" s="88"/>
      <c r="R65" s="53"/>
      <c r="S65" s="90"/>
      <c r="T65" s="61">
        <f t="shared" si="5"/>
        <v>0</v>
      </c>
    </row>
    <row r="66" spans="1:20" s="63" customFormat="1" ht="13.5" customHeight="1" x14ac:dyDescent="0.25">
      <c r="A66" s="64"/>
      <c r="B66" s="57"/>
      <c r="C66" s="57"/>
      <c r="D66" s="10"/>
      <c r="E66" s="56"/>
      <c r="F66" s="57"/>
      <c r="G66" s="64"/>
      <c r="H66" s="64"/>
      <c r="I66" s="64"/>
      <c r="J66" s="55"/>
      <c r="K66" s="325"/>
      <c r="L66" s="161"/>
      <c r="M66" s="53"/>
      <c r="N66" s="149"/>
      <c r="O66" s="57"/>
      <c r="P66" s="57"/>
      <c r="Q66" s="88"/>
      <c r="R66" s="53"/>
      <c r="S66" s="90"/>
      <c r="T66" s="61">
        <f t="shared" si="5"/>
        <v>0</v>
      </c>
    </row>
    <row r="67" spans="1:20" s="63" customFormat="1" ht="13.5" customHeight="1" x14ac:dyDescent="0.25">
      <c r="A67" s="392" t="s">
        <v>332</v>
      </c>
      <c r="B67" s="393" t="s">
        <v>801</v>
      </c>
      <c r="C67" s="393" t="s">
        <v>352</v>
      </c>
      <c r="D67" s="394" t="s">
        <v>222</v>
      </c>
      <c r="E67" s="395" t="s">
        <v>334</v>
      </c>
      <c r="F67" s="396">
        <v>20000</v>
      </c>
      <c r="G67" s="392">
        <v>800</v>
      </c>
      <c r="H67" s="392" t="s">
        <v>315</v>
      </c>
      <c r="I67" s="392" t="s">
        <v>328</v>
      </c>
      <c r="J67" s="397"/>
      <c r="K67" s="398">
        <v>290</v>
      </c>
      <c r="L67" s="399"/>
      <c r="M67" s="400"/>
      <c r="N67" s="401"/>
      <c r="O67" s="396"/>
      <c r="P67" s="396"/>
      <c r="Q67" s="393"/>
      <c r="R67" s="266"/>
      <c r="S67" s="402">
        <v>44500</v>
      </c>
      <c r="T67" s="61">
        <f t="shared" si="5"/>
        <v>890000</v>
      </c>
    </row>
    <row r="68" spans="1:20" s="63" customFormat="1" ht="13.5" customHeight="1" x14ac:dyDescent="0.25">
      <c r="A68" s="64"/>
      <c r="B68" s="57"/>
      <c r="C68" s="57"/>
      <c r="D68" s="10"/>
      <c r="E68" s="56"/>
      <c r="F68" s="57"/>
      <c r="G68" s="64"/>
      <c r="H68" s="64"/>
      <c r="I68" s="64"/>
      <c r="J68" s="55"/>
      <c r="K68" s="325"/>
      <c r="L68" s="161"/>
      <c r="M68" s="53"/>
      <c r="N68" s="149"/>
      <c r="O68" s="57"/>
      <c r="P68" s="57"/>
      <c r="Q68" s="88"/>
      <c r="R68" s="53"/>
      <c r="S68" s="90"/>
      <c r="T68" s="61">
        <f t="shared" si="5"/>
        <v>0</v>
      </c>
    </row>
    <row r="69" spans="1:20" s="63" customFormat="1" ht="13.5" customHeight="1" x14ac:dyDescent="0.25">
      <c r="A69" s="64"/>
      <c r="B69" s="57"/>
      <c r="C69" s="57"/>
      <c r="D69" s="10"/>
      <c r="E69" s="56"/>
      <c r="F69" s="57"/>
      <c r="G69" s="64"/>
      <c r="H69" s="64"/>
      <c r="I69" s="64"/>
      <c r="J69" s="55"/>
      <c r="K69" s="325"/>
      <c r="L69" s="161"/>
      <c r="M69" s="53"/>
      <c r="N69" s="149"/>
      <c r="O69" s="57"/>
      <c r="P69" s="57"/>
      <c r="Q69" s="88"/>
      <c r="R69" s="53"/>
      <c r="S69" s="90"/>
      <c r="T69" s="61">
        <f t="shared" si="5"/>
        <v>0</v>
      </c>
    </row>
    <row r="70" spans="1:20" s="63" customFormat="1" ht="13.5" customHeight="1" x14ac:dyDescent="0.25">
      <c r="A70" s="455" t="s">
        <v>332</v>
      </c>
      <c r="B70" s="456" t="s">
        <v>825</v>
      </c>
      <c r="C70" s="456" t="s">
        <v>352</v>
      </c>
      <c r="D70" s="457" t="s">
        <v>376</v>
      </c>
      <c r="E70" s="458" t="s">
        <v>824</v>
      </c>
      <c r="F70" s="459">
        <v>3600</v>
      </c>
      <c r="G70" s="455">
        <v>120</v>
      </c>
      <c r="H70" s="455" t="s">
        <v>164</v>
      </c>
      <c r="I70" s="455" t="s">
        <v>388</v>
      </c>
      <c r="J70" s="460">
        <v>46133</v>
      </c>
      <c r="K70" s="461"/>
      <c r="L70" s="462"/>
      <c r="M70" s="463"/>
      <c r="N70" s="464"/>
      <c r="O70" s="459"/>
      <c r="P70" s="459"/>
      <c r="Q70" s="456"/>
      <c r="R70" s="465"/>
      <c r="S70" s="466">
        <v>250000</v>
      </c>
      <c r="T70" s="61">
        <f t="shared" ref="T70" si="6">S70*F70/1000</f>
        <v>900000</v>
      </c>
    </row>
    <row r="71" spans="1:20" s="63" customFormat="1" ht="13.5" customHeight="1" x14ac:dyDescent="0.25">
      <c r="A71" s="207" t="s">
        <v>332</v>
      </c>
      <c r="B71" s="208" t="s">
        <v>367</v>
      </c>
      <c r="C71" s="208" t="s">
        <v>316</v>
      </c>
      <c r="D71" s="209" t="s">
        <v>376</v>
      </c>
      <c r="E71" s="408" t="s">
        <v>824</v>
      </c>
      <c r="F71" s="210">
        <v>5040</v>
      </c>
      <c r="G71" s="207">
        <v>168</v>
      </c>
      <c r="H71" s="207" t="s">
        <v>164</v>
      </c>
      <c r="I71" s="211" t="s">
        <v>388</v>
      </c>
      <c r="J71" s="211">
        <v>46133</v>
      </c>
      <c r="K71" s="327"/>
      <c r="L71" s="212"/>
      <c r="M71" s="213"/>
      <c r="N71" s="214"/>
      <c r="O71" s="210"/>
      <c r="P71" s="221"/>
      <c r="Q71" s="210"/>
      <c r="R71" s="215"/>
      <c r="S71" s="216">
        <v>250000</v>
      </c>
      <c r="T71" s="61">
        <f t="shared" si="5"/>
        <v>1260000</v>
      </c>
    </row>
    <row r="72" spans="1:20" s="63" customFormat="1" ht="13.5" customHeight="1" x14ac:dyDescent="0.25">
      <c r="A72" s="64"/>
      <c r="B72" s="57"/>
      <c r="C72" s="57"/>
      <c r="D72" s="10"/>
      <c r="E72" s="56"/>
      <c r="F72" s="57"/>
      <c r="G72" s="64"/>
      <c r="H72" s="64"/>
      <c r="I72" s="64"/>
      <c r="J72" s="55"/>
      <c r="K72" s="325"/>
      <c r="L72" s="161"/>
      <c r="M72" s="53"/>
      <c r="N72" s="149"/>
      <c r="O72" s="57"/>
      <c r="P72" s="57"/>
      <c r="Q72" s="88"/>
      <c r="R72" s="53"/>
      <c r="S72" s="90"/>
      <c r="T72" s="61">
        <f t="shared" si="5"/>
        <v>0</v>
      </c>
    </row>
    <row r="73" spans="1:20" s="63" customFormat="1" ht="13.5" customHeight="1" x14ac:dyDescent="0.25">
      <c r="A73" s="64"/>
      <c r="B73" s="57"/>
      <c r="C73" s="57"/>
      <c r="D73" s="89"/>
      <c r="E73" s="56"/>
      <c r="F73" s="88"/>
      <c r="G73" s="64"/>
      <c r="H73" s="64"/>
      <c r="I73" s="64"/>
      <c r="J73" s="55"/>
      <c r="K73" s="224"/>
      <c r="L73" s="224"/>
      <c r="M73" s="225"/>
      <c r="N73" s="137"/>
      <c r="O73" s="88"/>
      <c r="P73" s="88"/>
      <c r="Q73" s="88"/>
      <c r="R73" s="53"/>
      <c r="S73" s="90"/>
      <c r="T73" s="61">
        <f t="shared" si="5"/>
        <v>0</v>
      </c>
    </row>
    <row r="74" spans="1:20" s="63" customFormat="1" ht="13.5" customHeight="1" x14ac:dyDescent="0.25">
      <c r="A74" s="152" t="s">
        <v>332</v>
      </c>
      <c r="B74" s="153" t="s">
        <v>670</v>
      </c>
      <c r="C74" s="153" t="s">
        <v>317</v>
      </c>
      <c r="D74" s="154" t="s">
        <v>233</v>
      </c>
      <c r="E74" s="155" t="s">
        <v>383</v>
      </c>
      <c r="F74" s="153">
        <v>20000</v>
      </c>
      <c r="G74" s="152">
        <v>800</v>
      </c>
      <c r="H74" s="152" t="s">
        <v>164</v>
      </c>
      <c r="I74" s="156" t="s">
        <v>328</v>
      </c>
      <c r="J74" s="156" t="s">
        <v>698</v>
      </c>
      <c r="K74" s="328"/>
      <c r="L74" s="158"/>
      <c r="M74" s="157"/>
      <c r="N74" s="159"/>
      <c r="O74" s="157"/>
      <c r="P74" s="153"/>
      <c r="Q74" s="153"/>
      <c r="R74" s="157"/>
      <c r="S74" s="160">
        <v>41500</v>
      </c>
      <c r="T74" s="61">
        <f t="shared" si="5"/>
        <v>830000</v>
      </c>
    </row>
    <row r="75" spans="1:20" s="63" customFormat="1" ht="13.5" customHeight="1" x14ac:dyDescent="0.25">
      <c r="A75" s="64"/>
      <c r="B75" s="57"/>
      <c r="C75" s="57"/>
      <c r="D75" s="89"/>
      <c r="E75" s="56"/>
      <c r="F75" s="88"/>
      <c r="G75" s="64"/>
      <c r="H75" s="64"/>
      <c r="I75" s="64"/>
      <c r="J75" s="55"/>
      <c r="K75" s="224"/>
      <c r="L75" s="224"/>
      <c r="M75" s="225"/>
      <c r="N75" s="137"/>
      <c r="O75" s="88"/>
      <c r="P75" s="88"/>
      <c r="Q75" s="88"/>
      <c r="R75" s="53"/>
      <c r="S75" s="90"/>
      <c r="T75" s="61">
        <f t="shared" si="5"/>
        <v>0</v>
      </c>
    </row>
    <row r="76" spans="1:20" s="63" customFormat="1" ht="13.5" customHeight="1" x14ac:dyDescent="0.25">
      <c r="A76" s="316" t="s">
        <v>332</v>
      </c>
      <c r="B76" s="317" t="s">
        <v>699</v>
      </c>
      <c r="C76" s="317" t="s">
        <v>317</v>
      </c>
      <c r="D76" s="318" t="s">
        <v>233</v>
      </c>
      <c r="E76" s="319" t="s">
        <v>690</v>
      </c>
      <c r="F76" s="317">
        <v>20000</v>
      </c>
      <c r="G76" s="316">
        <v>800</v>
      </c>
      <c r="H76" s="316" t="s">
        <v>164</v>
      </c>
      <c r="I76" s="320" t="s">
        <v>328</v>
      </c>
      <c r="J76" s="320" t="s">
        <v>698</v>
      </c>
      <c r="K76" s="329"/>
      <c r="L76" s="322"/>
      <c r="M76" s="321"/>
      <c r="N76" s="323"/>
      <c r="O76" s="321"/>
      <c r="P76" s="317"/>
      <c r="Q76" s="317"/>
      <c r="R76" s="321"/>
      <c r="S76" s="324">
        <v>40000</v>
      </c>
      <c r="T76" s="61">
        <f t="shared" si="5"/>
        <v>800000</v>
      </c>
    </row>
    <row r="77" spans="1:20" s="63" customFormat="1" ht="13.5" customHeight="1" x14ac:dyDescent="0.25">
      <c r="A77" s="64"/>
      <c r="B77" s="57"/>
      <c r="C77" s="57"/>
      <c r="D77" s="10"/>
      <c r="E77" s="56"/>
      <c r="F77" s="57"/>
      <c r="G77" s="64"/>
      <c r="H77" s="64"/>
      <c r="I77" s="55"/>
      <c r="J77" s="55"/>
      <c r="K77" s="330"/>
      <c r="L77" s="226"/>
      <c r="M77" s="53"/>
      <c r="N77" s="149"/>
      <c r="O77" s="53"/>
      <c r="P77" s="57"/>
      <c r="Q77" s="57"/>
      <c r="R77" s="53"/>
      <c r="S77" s="90"/>
      <c r="T77" s="61">
        <f t="shared" si="5"/>
        <v>0</v>
      </c>
    </row>
    <row r="78" spans="1:20" s="63" customFormat="1" ht="13.5" customHeight="1" x14ac:dyDescent="0.25">
      <c r="A78" s="316" t="s">
        <v>332</v>
      </c>
      <c r="B78" s="317" t="s">
        <v>700</v>
      </c>
      <c r="C78" s="317" t="s">
        <v>317</v>
      </c>
      <c r="D78" s="318" t="s">
        <v>233</v>
      </c>
      <c r="E78" s="319" t="s">
        <v>701</v>
      </c>
      <c r="F78" s="317">
        <v>20000</v>
      </c>
      <c r="G78" s="316">
        <v>800</v>
      </c>
      <c r="H78" s="316" t="s">
        <v>164</v>
      </c>
      <c r="I78" s="320" t="s">
        <v>328</v>
      </c>
      <c r="J78" s="320" t="s">
        <v>698</v>
      </c>
      <c r="K78" s="329"/>
      <c r="L78" s="322"/>
      <c r="M78" s="321"/>
      <c r="N78" s="323"/>
      <c r="O78" s="321"/>
      <c r="P78" s="317"/>
      <c r="Q78" s="317"/>
      <c r="R78" s="321"/>
      <c r="S78" s="324">
        <v>40000</v>
      </c>
      <c r="T78" s="61">
        <f t="shared" si="5"/>
        <v>800000</v>
      </c>
    </row>
    <row r="79" spans="1:20" s="63" customFormat="1" ht="13.5" customHeight="1" x14ac:dyDescent="0.25">
      <c r="A79" s="64"/>
      <c r="B79" s="57"/>
      <c r="C79" s="57"/>
      <c r="D79" s="89"/>
      <c r="E79" s="56"/>
      <c r="F79" s="88"/>
      <c r="G79" s="64"/>
      <c r="H79" s="64"/>
      <c r="I79" s="64"/>
      <c r="J79" s="55"/>
      <c r="K79" s="224"/>
      <c r="L79" s="224"/>
      <c r="M79" s="225"/>
      <c r="N79" s="137"/>
      <c r="O79" s="88"/>
      <c r="P79" s="88"/>
      <c r="Q79" s="88"/>
      <c r="R79" s="53"/>
      <c r="S79" s="90"/>
      <c r="T79" s="61">
        <f t="shared" si="5"/>
        <v>0</v>
      </c>
    </row>
    <row r="80" spans="1:20" s="63" customFormat="1" ht="13.5" customHeight="1" x14ac:dyDescent="0.25">
      <c r="A80" s="64"/>
      <c r="B80" s="57"/>
      <c r="C80" s="57"/>
      <c r="D80" s="89"/>
      <c r="E80" s="56"/>
      <c r="F80" s="88"/>
      <c r="G80" s="64"/>
      <c r="H80" s="64"/>
      <c r="I80" s="64"/>
      <c r="J80" s="55"/>
      <c r="K80" s="224"/>
      <c r="L80" s="224"/>
      <c r="M80" s="225"/>
      <c r="N80" s="137"/>
      <c r="O80" s="88"/>
      <c r="P80" s="88"/>
      <c r="Q80" s="88"/>
      <c r="R80" s="53"/>
      <c r="S80" s="90"/>
      <c r="T80" s="61">
        <f t="shared" si="5"/>
        <v>0</v>
      </c>
    </row>
    <row r="81" spans="1:20" s="63" customFormat="1" ht="13.5" customHeight="1" x14ac:dyDescent="0.25">
      <c r="A81" s="248" t="s">
        <v>332</v>
      </c>
      <c r="B81" s="249" t="s">
        <v>571</v>
      </c>
      <c r="C81" s="249" t="s">
        <v>405</v>
      </c>
      <c r="D81" s="250" t="s">
        <v>156</v>
      </c>
      <c r="E81" s="251" t="s">
        <v>543</v>
      </c>
      <c r="F81" s="252"/>
      <c r="G81" s="248"/>
      <c r="H81" s="248" t="s">
        <v>406</v>
      </c>
      <c r="I81" s="253" t="s">
        <v>546</v>
      </c>
      <c r="J81" s="259">
        <v>2400</v>
      </c>
      <c r="K81" s="331">
        <v>12</v>
      </c>
      <c r="L81" s="254"/>
      <c r="M81" s="255"/>
      <c r="N81" s="256"/>
      <c r="O81" s="249"/>
      <c r="P81" s="249"/>
      <c r="Q81" s="252"/>
      <c r="R81" s="255"/>
      <c r="S81" s="257">
        <v>85500</v>
      </c>
      <c r="T81" s="61">
        <f t="shared" si="5"/>
        <v>0</v>
      </c>
    </row>
    <row r="82" spans="1:20" s="63" customFormat="1" ht="13.5" customHeight="1" x14ac:dyDescent="0.25">
      <c r="A82" s="248" t="s">
        <v>332</v>
      </c>
      <c r="B82" s="249" t="s">
        <v>571</v>
      </c>
      <c r="C82" s="249" t="s">
        <v>405</v>
      </c>
      <c r="D82" s="250" t="s">
        <v>156</v>
      </c>
      <c r="E82" s="251" t="s">
        <v>550</v>
      </c>
      <c r="F82" s="252"/>
      <c r="G82" s="248"/>
      <c r="H82" s="248" t="s">
        <v>406</v>
      </c>
      <c r="I82" s="253" t="s">
        <v>546</v>
      </c>
      <c r="J82" s="259">
        <v>6400</v>
      </c>
      <c r="K82" s="331">
        <v>32</v>
      </c>
      <c r="L82" s="254"/>
      <c r="M82" s="255"/>
      <c r="N82" s="256"/>
      <c r="O82" s="249"/>
      <c r="P82" s="249"/>
      <c r="Q82" s="252"/>
      <c r="R82" s="255"/>
      <c r="S82" s="257">
        <v>85500</v>
      </c>
      <c r="T82" s="61">
        <f t="shared" si="5"/>
        <v>0</v>
      </c>
    </row>
    <row r="83" spans="1:20" s="63" customFormat="1" ht="13.5" customHeight="1" x14ac:dyDescent="0.25">
      <c r="A83" s="248" t="s">
        <v>332</v>
      </c>
      <c r="B83" s="249" t="s">
        <v>571</v>
      </c>
      <c r="C83" s="249" t="s">
        <v>405</v>
      </c>
      <c r="D83" s="250" t="s">
        <v>156</v>
      </c>
      <c r="E83" s="251" t="s">
        <v>551</v>
      </c>
      <c r="F83" s="252"/>
      <c r="G83" s="248"/>
      <c r="H83" s="248" t="s">
        <v>406</v>
      </c>
      <c r="I83" s="253" t="s">
        <v>546</v>
      </c>
      <c r="J83" s="259">
        <v>7200</v>
      </c>
      <c r="K83" s="331">
        <v>36</v>
      </c>
      <c r="L83" s="254"/>
      <c r="M83" s="255"/>
      <c r="N83" s="256"/>
      <c r="O83" s="249"/>
      <c r="P83" s="249"/>
      <c r="Q83" s="252"/>
      <c r="R83" s="255"/>
      <c r="S83" s="257">
        <v>85500</v>
      </c>
      <c r="T83" s="61">
        <f t="shared" ref="T83:T112" si="7">S83*F83/1000</f>
        <v>0</v>
      </c>
    </row>
    <row r="84" spans="1:20" s="63" customFormat="1" ht="13.5" customHeight="1" x14ac:dyDescent="0.25">
      <c r="A84" s="248" t="s">
        <v>332</v>
      </c>
      <c r="B84" s="249" t="s">
        <v>571</v>
      </c>
      <c r="C84" s="249" t="s">
        <v>405</v>
      </c>
      <c r="D84" s="250" t="s">
        <v>156</v>
      </c>
      <c r="E84" s="251" t="s">
        <v>568</v>
      </c>
      <c r="F84" s="252"/>
      <c r="G84" s="248"/>
      <c r="H84" s="248" t="s">
        <v>406</v>
      </c>
      <c r="I84" s="253" t="s">
        <v>546</v>
      </c>
      <c r="J84" s="259">
        <v>7200</v>
      </c>
      <c r="K84" s="331">
        <v>36</v>
      </c>
      <c r="L84" s="254"/>
      <c r="M84" s="255"/>
      <c r="N84" s="256"/>
      <c r="O84" s="249"/>
      <c r="P84" s="249"/>
      <c r="Q84" s="252"/>
      <c r="R84" s="255"/>
      <c r="S84" s="257">
        <v>85500</v>
      </c>
      <c r="T84" s="61">
        <f t="shared" si="7"/>
        <v>0</v>
      </c>
    </row>
    <row r="85" spans="1:20" s="63" customFormat="1" ht="13.5" customHeight="1" x14ac:dyDescent="0.25">
      <c r="A85" s="248" t="s">
        <v>332</v>
      </c>
      <c r="B85" s="249" t="s">
        <v>571</v>
      </c>
      <c r="C85" s="249" t="s">
        <v>405</v>
      </c>
      <c r="D85" s="250" t="s">
        <v>156</v>
      </c>
      <c r="E85" s="251" t="s">
        <v>569</v>
      </c>
      <c r="F85" s="252"/>
      <c r="G85" s="248"/>
      <c r="H85" s="248" t="s">
        <v>406</v>
      </c>
      <c r="I85" s="253" t="s">
        <v>546</v>
      </c>
      <c r="J85" s="259">
        <v>6400</v>
      </c>
      <c r="K85" s="331">
        <v>32</v>
      </c>
      <c r="L85" s="254"/>
      <c r="M85" s="255"/>
      <c r="N85" s="256"/>
      <c r="O85" s="249"/>
      <c r="P85" s="249"/>
      <c r="Q85" s="252"/>
      <c r="R85" s="255"/>
      <c r="S85" s="257">
        <v>85500</v>
      </c>
      <c r="T85" s="61">
        <f t="shared" si="7"/>
        <v>0</v>
      </c>
    </row>
    <row r="86" spans="1:20" s="63" customFormat="1" ht="13.5" customHeight="1" x14ac:dyDescent="0.25">
      <c r="A86" s="248" t="s">
        <v>332</v>
      </c>
      <c r="B86" s="249" t="s">
        <v>571</v>
      </c>
      <c r="C86" s="249" t="s">
        <v>405</v>
      </c>
      <c r="D86" s="250" t="s">
        <v>156</v>
      </c>
      <c r="E86" s="251" t="s">
        <v>570</v>
      </c>
      <c r="F86" s="252"/>
      <c r="G86" s="248"/>
      <c r="H86" s="248" t="s">
        <v>406</v>
      </c>
      <c r="I86" s="253" t="s">
        <v>546</v>
      </c>
      <c r="J86" s="259">
        <v>7200</v>
      </c>
      <c r="K86" s="331">
        <v>36</v>
      </c>
      <c r="L86" s="254"/>
      <c r="M86" s="255"/>
      <c r="N86" s="256"/>
      <c r="O86" s="249"/>
      <c r="P86" s="249"/>
      <c r="Q86" s="252"/>
      <c r="R86" s="255"/>
      <c r="S86" s="257">
        <v>85500</v>
      </c>
      <c r="T86" s="61">
        <f t="shared" si="7"/>
        <v>0</v>
      </c>
    </row>
    <row r="87" spans="1:20" s="63" customFormat="1" ht="13.5" customHeight="1" x14ac:dyDescent="0.25">
      <c r="A87" s="248" t="s">
        <v>332</v>
      </c>
      <c r="B87" s="249" t="s">
        <v>571</v>
      </c>
      <c r="C87" s="249" t="s">
        <v>405</v>
      </c>
      <c r="D87" s="250" t="s">
        <v>156</v>
      </c>
      <c r="E87" s="251" t="s">
        <v>662</v>
      </c>
      <c r="F87" s="252"/>
      <c r="G87" s="248"/>
      <c r="H87" s="248" t="s">
        <v>406</v>
      </c>
      <c r="I87" s="253" t="s">
        <v>546</v>
      </c>
      <c r="J87" s="259">
        <v>5600</v>
      </c>
      <c r="K87" s="331">
        <v>28</v>
      </c>
      <c r="L87" s="254"/>
      <c r="M87" s="255"/>
      <c r="N87" s="256"/>
      <c r="O87" s="249"/>
      <c r="P87" s="249"/>
      <c r="Q87" s="252"/>
      <c r="R87" s="255"/>
      <c r="S87" s="257">
        <v>85500</v>
      </c>
      <c r="T87" s="61">
        <f t="shared" si="7"/>
        <v>0</v>
      </c>
    </row>
    <row r="88" spans="1:20" s="63" customFormat="1" ht="13.5" customHeight="1" x14ac:dyDescent="0.25">
      <c r="A88" s="248" t="s">
        <v>332</v>
      </c>
      <c r="B88" s="249" t="s">
        <v>571</v>
      </c>
      <c r="C88" s="249" t="s">
        <v>405</v>
      </c>
      <c r="D88" s="250" t="s">
        <v>156</v>
      </c>
      <c r="E88" s="251" t="s">
        <v>662</v>
      </c>
      <c r="F88" s="252"/>
      <c r="G88" s="248"/>
      <c r="H88" s="248" t="s">
        <v>406</v>
      </c>
      <c r="I88" s="253" t="s">
        <v>546</v>
      </c>
      <c r="J88" s="259">
        <v>7200</v>
      </c>
      <c r="K88" s="331">
        <v>36</v>
      </c>
      <c r="L88" s="254"/>
      <c r="M88" s="255"/>
      <c r="N88" s="256"/>
      <c r="O88" s="249"/>
      <c r="P88" s="249"/>
      <c r="Q88" s="252"/>
      <c r="R88" s="255"/>
      <c r="S88" s="257">
        <v>85500</v>
      </c>
      <c r="T88" s="61">
        <f t="shared" si="7"/>
        <v>0</v>
      </c>
    </row>
    <row r="89" spans="1:20" s="63" customFormat="1" ht="13.5" customHeight="1" x14ac:dyDescent="0.25">
      <c r="A89" s="248" t="s">
        <v>332</v>
      </c>
      <c r="B89" s="249" t="s">
        <v>571</v>
      </c>
      <c r="C89" s="249" t="s">
        <v>405</v>
      </c>
      <c r="D89" s="250" t="s">
        <v>156</v>
      </c>
      <c r="E89" s="251" t="s">
        <v>640</v>
      </c>
      <c r="F89" s="252"/>
      <c r="G89" s="248"/>
      <c r="H89" s="248" t="s">
        <v>406</v>
      </c>
      <c r="I89" s="253" t="s">
        <v>546</v>
      </c>
      <c r="J89" s="259">
        <v>7200</v>
      </c>
      <c r="K89" s="331">
        <v>36</v>
      </c>
      <c r="L89" s="254"/>
      <c r="M89" s="255"/>
      <c r="N89" s="256"/>
      <c r="O89" s="249"/>
      <c r="P89" s="249"/>
      <c r="Q89" s="252"/>
      <c r="R89" s="255"/>
      <c r="S89" s="257">
        <v>85500</v>
      </c>
      <c r="T89" s="61">
        <f t="shared" si="7"/>
        <v>0</v>
      </c>
    </row>
    <row r="90" spans="1:20" s="63" customFormat="1" ht="13.5" customHeight="1" x14ac:dyDescent="0.25">
      <c r="A90" s="248" t="s">
        <v>332</v>
      </c>
      <c r="B90" s="249" t="s">
        <v>571</v>
      </c>
      <c r="C90" s="249" t="s">
        <v>405</v>
      </c>
      <c r="D90" s="250" t="s">
        <v>156</v>
      </c>
      <c r="E90" s="251" t="s">
        <v>643</v>
      </c>
      <c r="F90" s="252"/>
      <c r="G90" s="248"/>
      <c r="H90" s="248" t="s">
        <v>406</v>
      </c>
      <c r="I90" s="253" t="s">
        <v>546</v>
      </c>
      <c r="J90" s="259">
        <v>6400</v>
      </c>
      <c r="K90" s="331">
        <v>32</v>
      </c>
      <c r="L90" s="254"/>
      <c r="M90" s="255"/>
      <c r="N90" s="256"/>
      <c r="O90" s="249"/>
      <c r="P90" s="249"/>
      <c r="Q90" s="252"/>
      <c r="R90" s="255"/>
      <c r="S90" s="257">
        <v>85500</v>
      </c>
      <c r="T90" s="61">
        <f t="shared" si="7"/>
        <v>0</v>
      </c>
    </row>
    <row r="91" spans="1:20" s="63" customFormat="1" ht="13.5" customHeight="1" x14ac:dyDescent="0.25">
      <c r="A91" s="248" t="s">
        <v>332</v>
      </c>
      <c r="B91" s="249" t="s">
        <v>571</v>
      </c>
      <c r="C91" s="249" t="s">
        <v>405</v>
      </c>
      <c r="D91" s="250" t="s">
        <v>156</v>
      </c>
      <c r="E91" s="251" t="s">
        <v>681</v>
      </c>
      <c r="F91" s="252"/>
      <c r="G91" s="248"/>
      <c r="H91" s="248" t="s">
        <v>406</v>
      </c>
      <c r="I91" s="253" t="s">
        <v>546</v>
      </c>
      <c r="J91" s="259">
        <v>6400</v>
      </c>
      <c r="K91" s="331">
        <v>32</v>
      </c>
      <c r="L91" s="254"/>
      <c r="M91" s="255"/>
      <c r="N91" s="256"/>
      <c r="O91" s="249"/>
      <c r="P91" s="249"/>
      <c r="Q91" s="252"/>
      <c r="R91" s="255"/>
      <c r="S91" s="257">
        <v>85500</v>
      </c>
      <c r="T91" s="61">
        <f t="shared" si="7"/>
        <v>0</v>
      </c>
    </row>
    <row r="92" spans="1:20" s="63" customFormat="1" ht="13.5" customHeight="1" x14ac:dyDescent="0.25">
      <c r="A92" s="248" t="s">
        <v>332</v>
      </c>
      <c r="B92" s="249" t="s">
        <v>571</v>
      </c>
      <c r="C92" s="249" t="s">
        <v>405</v>
      </c>
      <c r="D92" s="250" t="s">
        <v>156</v>
      </c>
      <c r="E92" s="251" t="s">
        <v>682</v>
      </c>
      <c r="F92" s="252"/>
      <c r="G92" s="248"/>
      <c r="H92" s="248" t="s">
        <v>406</v>
      </c>
      <c r="I92" s="253" t="s">
        <v>546</v>
      </c>
      <c r="J92" s="259">
        <v>6400</v>
      </c>
      <c r="K92" s="331">
        <v>32</v>
      </c>
      <c r="L92" s="254"/>
      <c r="M92" s="255"/>
      <c r="N92" s="256"/>
      <c r="O92" s="249"/>
      <c r="P92" s="249"/>
      <c r="Q92" s="252"/>
      <c r="R92" s="255"/>
      <c r="S92" s="257">
        <v>85500</v>
      </c>
      <c r="T92" s="61">
        <f t="shared" si="7"/>
        <v>0</v>
      </c>
    </row>
    <row r="93" spans="1:20" s="63" customFormat="1" ht="13.5" customHeight="1" x14ac:dyDescent="0.25">
      <c r="A93" s="248" t="s">
        <v>332</v>
      </c>
      <c r="B93" s="249" t="s">
        <v>571</v>
      </c>
      <c r="C93" s="249" t="s">
        <v>405</v>
      </c>
      <c r="D93" s="250" t="s">
        <v>156</v>
      </c>
      <c r="E93" s="251" t="s">
        <v>682</v>
      </c>
      <c r="F93" s="252"/>
      <c r="G93" s="248"/>
      <c r="H93" s="248" t="s">
        <v>406</v>
      </c>
      <c r="I93" s="253" t="s">
        <v>546</v>
      </c>
      <c r="J93" s="259">
        <v>6400</v>
      </c>
      <c r="K93" s="331">
        <v>32</v>
      </c>
      <c r="L93" s="254"/>
      <c r="M93" s="255"/>
      <c r="N93" s="256"/>
      <c r="O93" s="249"/>
      <c r="P93" s="249"/>
      <c r="Q93" s="252"/>
      <c r="R93" s="255"/>
      <c r="S93" s="257">
        <v>85500</v>
      </c>
      <c r="T93" s="61">
        <f t="shared" si="7"/>
        <v>0</v>
      </c>
    </row>
    <row r="94" spans="1:20" s="63" customFormat="1" ht="13.5" customHeight="1" x14ac:dyDescent="0.25">
      <c r="A94" s="248" t="s">
        <v>332</v>
      </c>
      <c r="B94" s="249" t="s">
        <v>571</v>
      </c>
      <c r="C94" s="249" t="s">
        <v>405</v>
      </c>
      <c r="D94" s="250" t="s">
        <v>156</v>
      </c>
      <c r="E94" s="251" t="s">
        <v>704</v>
      </c>
      <c r="F94" s="252"/>
      <c r="G94" s="248"/>
      <c r="H94" s="248" t="s">
        <v>406</v>
      </c>
      <c r="I94" s="253" t="s">
        <v>546</v>
      </c>
      <c r="J94" s="259">
        <v>7200</v>
      </c>
      <c r="K94" s="331">
        <v>36</v>
      </c>
      <c r="L94" s="254"/>
      <c r="M94" s="255"/>
      <c r="N94" s="256"/>
      <c r="O94" s="249"/>
      <c r="P94" s="249"/>
      <c r="Q94" s="252"/>
      <c r="R94" s="255"/>
      <c r="S94" s="257">
        <v>85500</v>
      </c>
      <c r="T94" s="61">
        <f t="shared" si="7"/>
        <v>0</v>
      </c>
    </row>
    <row r="95" spans="1:20" s="63" customFormat="1" ht="13.5" customHeight="1" x14ac:dyDescent="0.25">
      <c r="A95" s="64"/>
      <c r="B95" s="57"/>
      <c r="C95" s="57"/>
      <c r="D95" s="10"/>
      <c r="E95" s="56"/>
      <c r="F95" s="57"/>
      <c r="G95" s="64"/>
      <c r="H95" s="64"/>
      <c r="I95" s="64"/>
      <c r="J95" s="55"/>
      <c r="K95" s="332"/>
      <c r="L95" s="161"/>
      <c r="M95" s="53"/>
      <c r="N95" s="149"/>
      <c r="O95" s="57"/>
      <c r="P95" s="57"/>
      <c r="Q95" s="88"/>
      <c r="R95" s="53"/>
      <c r="S95" s="90"/>
      <c r="T95" s="61">
        <f t="shared" si="7"/>
        <v>0</v>
      </c>
    </row>
    <row r="96" spans="1:20" s="63" customFormat="1" ht="13.5" customHeight="1" x14ac:dyDescent="0.25">
      <c r="A96" s="248" t="s">
        <v>332</v>
      </c>
      <c r="B96" s="249" t="s">
        <v>572</v>
      </c>
      <c r="C96" s="249" t="s">
        <v>405</v>
      </c>
      <c r="D96" s="250" t="s">
        <v>166</v>
      </c>
      <c r="E96" s="251" t="s">
        <v>460</v>
      </c>
      <c r="F96" s="252"/>
      <c r="G96" s="248"/>
      <c r="H96" s="248" t="s">
        <v>406</v>
      </c>
      <c r="I96" s="253" t="s">
        <v>546</v>
      </c>
      <c r="J96" s="259">
        <v>2400</v>
      </c>
      <c r="K96" s="331">
        <v>12</v>
      </c>
      <c r="L96" s="254"/>
      <c r="M96" s="255"/>
      <c r="N96" s="256"/>
      <c r="O96" s="249"/>
      <c r="P96" s="249"/>
      <c r="Q96" s="252"/>
      <c r="R96" s="255"/>
      <c r="S96" s="257">
        <v>94500</v>
      </c>
      <c r="T96" s="61">
        <f t="shared" si="7"/>
        <v>0</v>
      </c>
    </row>
    <row r="97" spans="1:20" s="63" customFormat="1" ht="13.5" customHeight="1" x14ac:dyDescent="0.25">
      <c r="A97" s="248" t="s">
        <v>332</v>
      </c>
      <c r="B97" s="249" t="s">
        <v>572</v>
      </c>
      <c r="C97" s="249" t="s">
        <v>405</v>
      </c>
      <c r="D97" s="250" t="s">
        <v>166</v>
      </c>
      <c r="E97" s="251" t="s">
        <v>441</v>
      </c>
      <c r="F97" s="252"/>
      <c r="G97" s="248"/>
      <c r="H97" s="248" t="s">
        <v>406</v>
      </c>
      <c r="I97" s="253" t="s">
        <v>546</v>
      </c>
      <c r="J97" s="259">
        <v>3200</v>
      </c>
      <c r="K97" s="331">
        <v>16</v>
      </c>
      <c r="L97" s="254"/>
      <c r="M97" s="255"/>
      <c r="N97" s="256"/>
      <c r="O97" s="249"/>
      <c r="P97" s="249"/>
      <c r="Q97" s="252"/>
      <c r="R97" s="255"/>
      <c r="S97" s="257">
        <v>94500</v>
      </c>
      <c r="T97" s="61">
        <f t="shared" si="7"/>
        <v>0</v>
      </c>
    </row>
    <row r="98" spans="1:20" s="63" customFormat="1" ht="13.5" customHeight="1" x14ac:dyDescent="0.25">
      <c r="A98" s="248" t="s">
        <v>332</v>
      </c>
      <c r="B98" s="249" t="s">
        <v>572</v>
      </c>
      <c r="C98" s="249" t="s">
        <v>405</v>
      </c>
      <c r="D98" s="250" t="s">
        <v>166</v>
      </c>
      <c r="E98" s="251" t="s">
        <v>551</v>
      </c>
      <c r="F98" s="252"/>
      <c r="G98" s="248"/>
      <c r="H98" s="248" t="s">
        <v>406</v>
      </c>
      <c r="I98" s="253" t="s">
        <v>546</v>
      </c>
      <c r="J98" s="259">
        <v>8800</v>
      </c>
      <c r="K98" s="331">
        <v>44</v>
      </c>
      <c r="L98" s="254"/>
      <c r="M98" s="255"/>
      <c r="N98" s="256"/>
      <c r="O98" s="249"/>
      <c r="P98" s="249"/>
      <c r="Q98" s="252"/>
      <c r="R98" s="255"/>
      <c r="S98" s="257">
        <v>94500</v>
      </c>
      <c r="T98" s="61">
        <f t="shared" si="7"/>
        <v>0</v>
      </c>
    </row>
    <row r="99" spans="1:20" s="63" customFormat="1" ht="13.5" customHeight="1" x14ac:dyDescent="0.25">
      <c r="A99" s="248" t="s">
        <v>332</v>
      </c>
      <c r="B99" s="249" t="s">
        <v>572</v>
      </c>
      <c r="C99" s="249" t="s">
        <v>405</v>
      </c>
      <c r="D99" s="250" t="s">
        <v>166</v>
      </c>
      <c r="E99" s="251" t="s">
        <v>570</v>
      </c>
      <c r="F99" s="252"/>
      <c r="G99" s="248"/>
      <c r="H99" s="248" t="s">
        <v>406</v>
      </c>
      <c r="I99" s="253" t="s">
        <v>546</v>
      </c>
      <c r="J99" s="259">
        <v>8800</v>
      </c>
      <c r="K99" s="331">
        <v>44</v>
      </c>
      <c r="L99" s="254"/>
      <c r="M99" s="255"/>
      <c r="N99" s="256"/>
      <c r="O99" s="249"/>
      <c r="P99" s="249"/>
      <c r="Q99" s="252"/>
      <c r="R99" s="255"/>
      <c r="S99" s="257">
        <v>94500</v>
      </c>
      <c r="T99" s="61">
        <f t="shared" si="7"/>
        <v>0</v>
      </c>
    </row>
    <row r="100" spans="1:20" s="63" customFormat="1" ht="13.5" customHeight="1" x14ac:dyDescent="0.25">
      <c r="A100" s="248" t="s">
        <v>332</v>
      </c>
      <c r="B100" s="249" t="s">
        <v>572</v>
      </c>
      <c r="C100" s="249" t="s">
        <v>405</v>
      </c>
      <c r="D100" s="250" t="s">
        <v>166</v>
      </c>
      <c r="E100" s="251" t="s">
        <v>605</v>
      </c>
      <c r="F100" s="252"/>
      <c r="G100" s="248"/>
      <c r="H100" s="248" t="s">
        <v>406</v>
      </c>
      <c r="I100" s="253" t="s">
        <v>546</v>
      </c>
      <c r="J100" s="259">
        <v>8000</v>
      </c>
      <c r="K100" s="331">
        <v>40</v>
      </c>
      <c r="L100" s="254"/>
      <c r="M100" s="255"/>
      <c r="N100" s="256"/>
      <c r="O100" s="249"/>
      <c r="P100" s="249"/>
      <c r="Q100" s="252"/>
      <c r="R100" s="255"/>
      <c r="S100" s="257">
        <v>94500</v>
      </c>
      <c r="T100" s="61">
        <f t="shared" si="7"/>
        <v>0</v>
      </c>
    </row>
    <row r="101" spans="1:20" s="63" customFormat="1" ht="13.5" customHeight="1" x14ac:dyDescent="0.25">
      <c r="A101" s="248" t="s">
        <v>332</v>
      </c>
      <c r="B101" s="249" t="s">
        <v>572</v>
      </c>
      <c r="C101" s="249" t="s">
        <v>405</v>
      </c>
      <c r="D101" s="250" t="s">
        <v>166</v>
      </c>
      <c r="E101" s="251" t="s">
        <v>585</v>
      </c>
      <c r="F101" s="252"/>
      <c r="G101" s="248"/>
      <c r="H101" s="248" t="s">
        <v>406</v>
      </c>
      <c r="I101" s="253" t="s">
        <v>546</v>
      </c>
      <c r="J101" s="259">
        <v>8800</v>
      </c>
      <c r="K101" s="331">
        <v>44</v>
      </c>
      <c r="L101" s="254"/>
      <c r="M101" s="255"/>
      <c r="N101" s="256"/>
      <c r="O101" s="249"/>
      <c r="P101" s="249"/>
      <c r="Q101" s="252"/>
      <c r="R101" s="255"/>
      <c r="S101" s="257">
        <v>94500</v>
      </c>
      <c r="T101" s="61">
        <f t="shared" si="7"/>
        <v>0</v>
      </c>
    </row>
    <row r="102" spans="1:20" s="63" customFormat="1" ht="13.5" customHeight="1" x14ac:dyDescent="0.25">
      <c r="A102" s="248" t="s">
        <v>332</v>
      </c>
      <c r="B102" s="249" t="s">
        <v>572</v>
      </c>
      <c r="C102" s="249" t="s">
        <v>405</v>
      </c>
      <c r="D102" s="250" t="s">
        <v>166</v>
      </c>
      <c r="E102" s="251" t="s">
        <v>606</v>
      </c>
      <c r="F102" s="252"/>
      <c r="G102" s="248"/>
      <c r="H102" s="248" t="s">
        <v>406</v>
      </c>
      <c r="I102" s="253" t="s">
        <v>546</v>
      </c>
      <c r="J102" s="259">
        <v>8800</v>
      </c>
      <c r="K102" s="331">
        <v>44</v>
      </c>
      <c r="L102" s="254"/>
      <c r="M102" s="255"/>
      <c r="N102" s="256"/>
      <c r="O102" s="249"/>
      <c r="P102" s="249"/>
      <c r="Q102" s="252"/>
      <c r="R102" s="255"/>
      <c r="S102" s="257">
        <v>94500</v>
      </c>
      <c r="T102" s="61">
        <f t="shared" si="7"/>
        <v>0</v>
      </c>
    </row>
    <row r="103" spans="1:20" s="63" customFormat="1" ht="13.5" customHeight="1" x14ac:dyDescent="0.25">
      <c r="A103" s="248" t="s">
        <v>332</v>
      </c>
      <c r="B103" s="249" t="s">
        <v>572</v>
      </c>
      <c r="C103" s="249" t="s">
        <v>405</v>
      </c>
      <c r="D103" s="250" t="s">
        <v>166</v>
      </c>
      <c r="E103" s="251" t="s">
        <v>603</v>
      </c>
      <c r="F103" s="252"/>
      <c r="G103" s="248"/>
      <c r="H103" s="248" t="s">
        <v>406</v>
      </c>
      <c r="I103" s="253" t="s">
        <v>546</v>
      </c>
      <c r="J103" s="259">
        <v>8800</v>
      </c>
      <c r="K103" s="331">
        <v>44</v>
      </c>
      <c r="L103" s="254"/>
      <c r="M103" s="255"/>
      <c r="N103" s="256"/>
      <c r="O103" s="249"/>
      <c r="P103" s="249"/>
      <c r="Q103" s="252"/>
      <c r="R103" s="255"/>
      <c r="S103" s="257">
        <v>94500</v>
      </c>
      <c r="T103" s="61">
        <f t="shared" si="7"/>
        <v>0</v>
      </c>
    </row>
    <row r="104" spans="1:20" s="63" customFormat="1" ht="13.5" customHeight="1" x14ac:dyDescent="0.25">
      <c r="A104" s="64"/>
      <c r="B104" s="57"/>
      <c r="C104" s="57"/>
      <c r="D104" s="10"/>
      <c r="E104" s="56"/>
      <c r="F104" s="57"/>
      <c r="G104" s="64"/>
      <c r="H104" s="64"/>
      <c r="I104" s="64"/>
      <c r="J104" s="55"/>
      <c r="K104" s="325"/>
      <c r="L104" s="161"/>
      <c r="M104" s="53"/>
      <c r="N104" s="149"/>
      <c r="O104" s="57"/>
      <c r="P104" s="57"/>
      <c r="Q104" s="88"/>
      <c r="R104" s="53"/>
      <c r="S104" s="90"/>
      <c r="T104" s="61">
        <f t="shared" si="7"/>
        <v>0</v>
      </c>
    </row>
    <row r="105" spans="1:20" s="63" customFormat="1" ht="13.5" customHeight="1" x14ac:dyDescent="0.25">
      <c r="A105" s="64"/>
      <c r="B105" s="57"/>
      <c r="C105" s="57"/>
      <c r="D105" s="10"/>
      <c r="E105" s="56"/>
      <c r="F105" s="57"/>
      <c r="G105" s="64"/>
      <c r="H105" s="64"/>
      <c r="I105" s="64"/>
      <c r="J105" s="55"/>
      <c r="K105" s="325"/>
      <c r="L105" s="161"/>
      <c r="M105" s="53"/>
      <c r="N105" s="149"/>
      <c r="O105" s="57"/>
      <c r="P105" s="57"/>
      <c r="Q105" s="88"/>
      <c r="R105" s="53"/>
      <c r="S105" s="90"/>
      <c r="T105" s="61">
        <f t="shared" si="7"/>
        <v>0</v>
      </c>
    </row>
    <row r="106" spans="1:20" s="63" customFormat="1" ht="13.5" customHeight="1" x14ac:dyDescent="0.25">
      <c r="A106" s="175" t="s">
        <v>332</v>
      </c>
      <c r="B106" s="176"/>
      <c r="C106" s="176"/>
      <c r="D106" s="177" t="s">
        <v>156</v>
      </c>
      <c r="E106" s="178" t="s">
        <v>395</v>
      </c>
      <c r="F106" s="179"/>
      <c r="G106" s="175"/>
      <c r="H106" s="175" t="s">
        <v>364</v>
      </c>
      <c r="I106" s="175"/>
      <c r="J106" s="179">
        <v>4600</v>
      </c>
      <c r="K106" s="333">
        <v>23</v>
      </c>
      <c r="L106" s="222"/>
      <c r="M106" s="181"/>
      <c r="N106" s="182"/>
      <c r="O106" s="179"/>
      <c r="P106" s="176"/>
      <c r="Q106" s="179"/>
      <c r="R106" s="181"/>
      <c r="S106" s="183">
        <v>82000</v>
      </c>
      <c r="T106" s="61">
        <f t="shared" si="7"/>
        <v>0</v>
      </c>
    </row>
    <row r="107" spans="1:20" s="63" customFormat="1" ht="13.5" customHeight="1" x14ac:dyDescent="0.25">
      <c r="A107" s="175" t="s">
        <v>332</v>
      </c>
      <c r="B107" s="176"/>
      <c r="C107" s="176"/>
      <c r="D107" s="177" t="s">
        <v>156</v>
      </c>
      <c r="E107" s="178" t="s">
        <v>382</v>
      </c>
      <c r="F107" s="179"/>
      <c r="G107" s="175"/>
      <c r="H107" s="175" t="s">
        <v>364</v>
      </c>
      <c r="I107" s="179"/>
      <c r="J107" s="179">
        <v>7200</v>
      </c>
      <c r="K107" s="333">
        <v>36</v>
      </c>
      <c r="L107" s="180"/>
      <c r="M107" s="181"/>
      <c r="N107" s="182"/>
      <c r="O107" s="179"/>
      <c r="P107" s="176"/>
      <c r="Q107" s="179"/>
      <c r="R107" s="181"/>
      <c r="S107" s="183">
        <v>82000</v>
      </c>
      <c r="T107" s="61">
        <f t="shared" si="7"/>
        <v>0</v>
      </c>
    </row>
    <row r="108" spans="1:20" s="63" customFormat="1" ht="13.5" customHeight="1" x14ac:dyDescent="0.25">
      <c r="A108" s="175" t="s">
        <v>332</v>
      </c>
      <c r="B108" s="176"/>
      <c r="C108" s="176"/>
      <c r="D108" s="177" t="s">
        <v>156</v>
      </c>
      <c r="E108" s="178" t="s">
        <v>383</v>
      </c>
      <c r="F108" s="179"/>
      <c r="G108" s="175"/>
      <c r="H108" s="175" t="s">
        <v>364</v>
      </c>
      <c r="I108" s="179"/>
      <c r="J108" s="179">
        <v>6400</v>
      </c>
      <c r="K108" s="333">
        <v>32</v>
      </c>
      <c r="L108" s="180"/>
      <c r="M108" s="181"/>
      <c r="N108" s="182"/>
      <c r="O108" s="179"/>
      <c r="P108" s="176"/>
      <c r="Q108" s="179"/>
      <c r="R108" s="181"/>
      <c r="S108" s="183">
        <v>82000</v>
      </c>
      <c r="T108" s="61">
        <f t="shared" si="7"/>
        <v>0</v>
      </c>
    </row>
    <row r="109" spans="1:20" s="63" customFormat="1" ht="13.5" customHeight="1" x14ac:dyDescent="0.25">
      <c r="A109" s="175" t="s">
        <v>332</v>
      </c>
      <c r="B109" s="176"/>
      <c r="C109" s="176"/>
      <c r="D109" s="177" t="s">
        <v>156</v>
      </c>
      <c r="E109" s="178" t="s">
        <v>384</v>
      </c>
      <c r="F109" s="179"/>
      <c r="G109" s="175"/>
      <c r="H109" s="175" t="s">
        <v>364</v>
      </c>
      <c r="I109" s="179"/>
      <c r="J109" s="179">
        <v>7200</v>
      </c>
      <c r="K109" s="333">
        <v>36</v>
      </c>
      <c r="L109" s="180"/>
      <c r="M109" s="181"/>
      <c r="N109" s="182"/>
      <c r="O109" s="179"/>
      <c r="P109" s="176"/>
      <c r="Q109" s="179"/>
      <c r="R109" s="181"/>
      <c r="S109" s="183">
        <v>82000</v>
      </c>
      <c r="T109" s="61">
        <f t="shared" si="7"/>
        <v>0</v>
      </c>
    </row>
    <row r="110" spans="1:20" s="63" customFormat="1" ht="13.5" customHeight="1" x14ac:dyDescent="0.25">
      <c r="A110" s="64"/>
      <c r="B110" s="57"/>
      <c r="C110" s="57"/>
      <c r="D110" s="10"/>
      <c r="E110" s="56"/>
      <c r="F110" s="57"/>
      <c r="G110" s="64"/>
      <c r="H110" s="64"/>
      <c r="I110" s="64"/>
      <c r="J110" s="55"/>
      <c r="K110" s="325"/>
      <c r="L110" s="161"/>
      <c r="M110" s="53"/>
      <c r="N110" s="149"/>
      <c r="O110" s="57"/>
      <c r="P110" s="57"/>
      <c r="Q110" s="88"/>
      <c r="R110" s="53"/>
      <c r="S110" s="90"/>
      <c r="T110" s="61">
        <f t="shared" si="7"/>
        <v>0</v>
      </c>
    </row>
    <row r="111" spans="1:20" s="63" customFormat="1" ht="13.5" customHeight="1" x14ac:dyDescent="0.25">
      <c r="A111" s="64"/>
      <c r="B111" s="57"/>
      <c r="C111" s="57"/>
      <c r="D111" s="89"/>
      <c r="E111" s="56"/>
      <c r="F111" s="88"/>
      <c r="G111" s="64"/>
      <c r="H111" s="64"/>
      <c r="I111" s="64"/>
      <c r="J111" s="55"/>
      <c r="K111" s="197"/>
      <c r="L111" s="151"/>
      <c r="M111" s="62"/>
      <c r="N111" s="137"/>
      <c r="O111" s="88"/>
      <c r="P111" s="88"/>
      <c r="Q111" s="57"/>
      <c r="R111" s="53"/>
      <c r="S111" s="90"/>
      <c r="T111" s="61">
        <f t="shared" si="7"/>
        <v>0</v>
      </c>
    </row>
    <row r="112" spans="1:20" s="63" customFormat="1" ht="13.5" customHeight="1" x14ac:dyDescent="0.3">
      <c r="A112" s="190"/>
      <c r="B112" s="191"/>
      <c r="C112" s="191"/>
      <c r="D112" s="192"/>
      <c r="E112" s="193"/>
      <c r="F112" s="191"/>
      <c r="G112" s="190"/>
      <c r="H112" s="190"/>
      <c r="I112" s="190"/>
      <c r="J112" s="194"/>
      <c r="K112" s="190"/>
      <c r="L112" s="195"/>
      <c r="M112" s="191"/>
      <c r="N112" s="191"/>
      <c r="O112" s="191"/>
      <c r="P112" s="191"/>
      <c r="Q112" s="191"/>
      <c r="R112" s="191"/>
      <c r="S112" s="196"/>
      <c r="T112" s="61">
        <f t="shared" si="7"/>
        <v>0</v>
      </c>
    </row>
    <row r="113" spans="1:20" ht="21" customHeight="1" x14ac:dyDescent="0.3">
      <c r="A113" s="136" t="s">
        <v>14</v>
      </c>
      <c r="B113" s="95">
        <f>SUM($F$5:$F$112)/1000</f>
        <v>473.33199999999999</v>
      </c>
      <c r="C113" s="54" t="s">
        <v>13</v>
      </c>
      <c r="T113" s="196">
        <f>SUM(T5:T112)</f>
        <v>43583960</v>
      </c>
    </row>
    <row r="114" spans="1:20" ht="21" customHeight="1" x14ac:dyDescent="0.3">
      <c r="A114" s="101" t="s">
        <v>15</v>
      </c>
      <c r="B114" s="96">
        <f>$B$115+$B$116+$B$117</f>
        <v>206.84</v>
      </c>
      <c r="C114" s="1" t="s">
        <v>13</v>
      </c>
      <c r="E114" s="198"/>
      <c r="F114" s="135" t="s">
        <v>304</v>
      </c>
      <c r="G114" s="135"/>
    </row>
    <row r="115" spans="1:20" ht="23.25" customHeight="1" x14ac:dyDescent="0.3">
      <c r="A115" s="102" t="s">
        <v>16</v>
      </c>
      <c r="B115" s="94">
        <f>SUM(O5:O112)/1000</f>
        <v>97.5</v>
      </c>
      <c r="C115" s="2" t="s">
        <v>13</v>
      </c>
      <c r="D115" s="145"/>
      <c r="E115" s="297"/>
      <c r="F115" s="135" t="s">
        <v>303</v>
      </c>
      <c r="G115" s="135"/>
    </row>
    <row r="116" spans="1:20" ht="23.25" customHeight="1" x14ac:dyDescent="0.3">
      <c r="A116" s="102" t="s">
        <v>152</v>
      </c>
      <c r="B116" s="94">
        <f>SUM(P5:P112)/1000</f>
        <v>0</v>
      </c>
      <c r="C116" s="2" t="s">
        <v>13</v>
      </c>
      <c r="E116" s="141"/>
      <c r="F116" s="135" t="s">
        <v>302</v>
      </c>
      <c r="G116" s="135"/>
    </row>
    <row r="117" spans="1:20" ht="23.25" customHeight="1" x14ac:dyDescent="0.3">
      <c r="A117" s="102" t="s">
        <v>23</v>
      </c>
      <c r="B117" s="94">
        <f>SUM(Q5:Q112)/1000</f>
        <v>109.34</v>
      </c>
      <c r="C117" s="2" t="s">
        <v>13</v>
      </c>
      <c r="E117" s="142"/>
      <c r="F117" s="135" t="s">
        <v>307</v>
      </c>
    </row>
    <row r="118" spans="1:20" ht="23.25" customHeight="1" thickBot="1" x14ac:dyDescent="0.35">
      <c r="A118" s="103" t="s">
        <v>19</v>
      </c>
      <c r="B118" s="97">
        <f>$B$113-$B$114</f>
        <v>266.49199999999996</v>
      </c>
      <c r="C118" s="3" t="s">
        <v>13</v>
      </c>
      <c r="E118" s="165"/>
      <c r="F118" s="135" t="s">
        <v>343</v>
      </c>
    </row>
    <row r="119" spans="1:20" ht="23.25" customHeight="1" x14ac:dyDescent="0.25"/>
  </sheetData>
  <sheetProtection formatCells="0" formatColumns="0" formatRows="0" insertColumns="0" insertRows="0" insertHyperlinks="0" deleteColumns="0" deleteRows="0" sort="0" autoFilter="0" pivotTables="0"/>
  <autoFilter ref="D1:D118" xr:uid="{00000000-0009-0000-0000-000000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54" type="noConversion"/>
  <pageMargins left="0.7" right="0.7" top="0.75" bottom="0.75" header="0.3" footer="0.3"/>
  <pageSetup paperSize="9" scale="36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справочник!$E$2:$E$183</xm:f>
          </x14:formula1>
          <xm:sqref>D1:D36 D39:D1048576</xm:sqref>
        </x14:dataValidation>
        <x14:dataValidation type="list" allowBlank="1" showInputMessage="1" showErrorMessage="1" xr:uid="{544F6247-67DD-46EC-9CD3-C572D15A9875}">
          <x14:formula1>
            <xm:f>справочник!$E$2:$E$182</xm:f>
          </x14:formula1>
          <xm:sqref>D37:D38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3"/>
  <sheetViews>
    <sheetView zoomScale="70" zoomScaleNormal="70" zoomScaleSheetLayoutView="70" workbookViewId="0">
      <pane ySplit="3" topLeftCell="A4" activePane="bottomLeft" state="frozen"/>
      <selection pane="bottomLeft" activeCell="M24" sqref="K24:M24"/>
    </sheetView>
  </sheetViews>
  <sheetFormatPr defaultRowHeight="15" x14ac:dyDescent="0.25"/>
  <cols>
    <col min="1" max="1" width="18" style="104" customWidth="1"/>
    <col min="2" max="2" width="22.28515625" customWidth="1"/>
    <col min="3" max="3" width="17" customWidth="1"/>
    <col min="4" max="4" width="48.28515625" bestFit="1" customWidth="1"/>
    <col min="5" max="5" width="28.7109375" style="140" customWidth="1"/>
    <col min="6" max="6" width="11.140625" customWidth="1"/>
    <col min="7" max="7" width="13.28515625" customWidth="1"/>
    <col min="8" max="8" width="20.140625" customWidth="1"/>
    <col min="9" max="9" width="17.140625" customWidth="1"/>
    <col min="10" max="10" width="19.28515625" customWidth="1"/>
    <col min="11" max="11" width="30.140625" customWidth="1"/>
    <col min="12" max="12" width="28.7109375" customWidth="1"/>
    <col min="13" max="13" width="23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2.570312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46082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0" t="s">
        <v>158</v>
      </c>
      <c r="B2" s="432" t="s">
        <v>17</v>
      </c>
      <c r="C2" s="434" t="s">
        <v>155</v>
      </c>
      <c r="D2" s="436" t="s">
        <v>4</v>
      </c>
      <c r="E2" s="438" t="s">
        <v>5</v>
      </c>
      <c r="F2" s="428" t="s">
        <v>0</v>
      </c>
      <c r="G2" s="429"/>
      <c r="H2" s="441" t="s">
        <v>2</v>
      </c>
      <c r="I2" s="443" t="s">
        <v>3</v>
      </c>
      <c r="J2" s="445" t="s">
        <v>6</v>
      </c>
      <c r="K2" s="447" t="s">
        <v>7</v>
      </c>
      <c r="L2" s="448"/>
      <c r="M2" s="449"/>
      <c r="N2" s="99" t="s">
        <v>9</v>
      </c>
      <c r="O2" s="450" t="s">
        <v>11</v>
      </c>
      <c r="P2" s="451"/>
      <c r="Q2" s="452"/>
      <c r="R2" s="453" t="s">
        <v>150</v>
      </c>
      <c r="S2" s="440" t="s">
        <v>160</v>
      </c>
      <c r="T2" s="91"/>
    </row>
    <row r="3" spans="1:20" x14ac:dyDescent="0.25">
      <c r="A3" s="431"/>
      <c r="B3" s="433"/>
      <c r="C3" s="435"/>
      <c r="D3" s="437"/>
      <c r="E3" s="439"/>
      <c r="F3" s="130" t="s">
        <v>1</v>
      </c>
      <c r="G3" s="130" t="s">
        <v>154</v>
      </c>
      <c r="H3" s="442"/>
      <c r="I3" s="444"/>
      <c r="J3" s="446"/>
      <c r="K3" s="270" t="s">
        <v>8</v>
      </c>
      <c r="L3" s="270" t="s">
        <v>20</v>
      </c>
      <c r="M3" s="270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54"/>
      <c r="S3" s="440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429</v>
      </c>
      <c r="B5" s="57" t="s">
        <v>538</v>
      </c>
      <c r="C5" s="57" t="s">
        <v>352</v>
      </c>
      <c r="D5" s="89" t="s">
        <v>222</v>
      </c>
      <c r="E5" s="56" t="s">
        <v>334</v>
      </c>
      <c r="F5" s="88">
        <v>20000</v>
      </c>
      <c r="G5" s="64">
        <v>800</v>
      </c>
      <c r="H5" s="64" t="s">
        <v>164</v>
      </c>
      <c r="I5" s="64" t="s">
        <v>507</v>
      </c>
      <c r="J5" s="55">
        <v>46084</v>
      </c>
      <c r="K5" s="284" t="s">
        <v>553</v>
      </c>
      <c r="L5" s="151">
        <v>89216700606</v>
      </c>
      <c r="M5" s="62" t="s">
        <v>552</v>
      </c>
      <c r="N5" s="137"/>
      <c r="O5" s="88">
        <v>20000</v>
      </c>
      <c r="P5" s="88"/>
      <c r="Q5" s="57"/>
      <c r="R5" s="53" t="s">
        <v>422</v>
      </c>
      <c r="S5" s="90">
        <v>44500</v>
      </c>
      <c r="T5" s="61">
        <f t="shared" ref="T5:T44" si="0">S5*F5/1000</f>
        <v>890000</v>
      </c>
    </row>
    <row r="6" spans="1:20" s="63" customFormat="1" ht="13.5" customHeight="1" x14ac:dyDescent="0.25">
      <c r="A6" s="64" t="s">
        <v>648</v>
      </c>
      <c r="B6" s="57" t="s">
        <v>562</v>
      </c>
      <c r="C6" s="57" t="s">
        <v>560</v>
      </c>
      <c r="D6" s="10" t="s">
        <v>263</v>
      </c>
      <c r="E6" s="56" t="s">
        <v>603</v>
      </c>
      <c r="F6" s="57">
        <v>17600</v>
      </c>
      <c r="G6" s="64">
        <v>88</v>
      </c>
      <c r="H6" s="64" t="s">
        <v>561</v>
      </c>
      <c r="I6" s="64" t="s">
        <v>507</v>
      </c>
      <c r="J6" s="55">
        <v>46084</v>
      </c>
      <c r="K6" s="285" t="s">
        <v>649</v>
      </c>
      <c r="L6" s="286">
        <v>89194506037</v>
      </c>
      <c r="M6" s="53" t="s">
        <v>650</v>
      </c>
      <c r="N6" s="149"/>
      <c r="O6" s="57"/>
      <c r="P6" s="57"/>
      <c r="Q6" s="57">
        <v>17600</v>
      </c>
      <c r="R6" s="53" t="s">
        <v>422</v>
      </c>
      <c r="S6" s="90">
        <v>369000</v>
      </c>
      <c r="T6" s="61">
        <f t="shared" si="0"/>
        <v>6494400</v>
      </c>
    </row>
    <row r="7" spans="1:20" s="63" customFormat="1" ht="13.5" customHeight="1" x14ac:dyDescent="0.25">
      <c r="A7" s="64" t="s">
        <v>437</v>
      </c>
      <c r="B7" s="57" t="s">
        <v>601</v>
      </c>
      <c r="C7" s="57" t="s">
        <v>602</v>
      </c>
      <c r="D7" s="89" t="s">
        <v>230</v>
      </c>
      <c r="E7" s="56" t="s">
        <v>603</v>
      </c>
      <c r="F7" s="88">
        <v>504</v>
      </c>
      <c r="G7" s="64">
        <v>28</v>
      </c>
      <c r="H7" s="64" t="s">
        <v>437</v>
      </c>
      <c r="I7" s="64" t="s">
        <v>507</v>
      </c>
      <c r="J7" s="55">
        <v>46087</v>
      </c>
      <c r="K7" s="224" t="s">
        <v>661</v>
      </c>
      <c r="L7" s="224"/>
      <c r="M7" s="225"/>
      <c r="N7" s="137"/>
      <c r="O7" s="88"/>
      <c r="P7" s="88">
        <v>504</v>
      </c>
      <c r="Q7" s="88"/>
      <c r="R7" s="53" t="s">
        <v>422</v>
      </c>
      <c r="S7" s="90">
        <v>245000</v>
      </c>
      <c r="T7" s="61">
        <f t="shared" si="0"/>
        <v>123480</v>
      </c>
    </row>
    <row r="8" spans="1:20" s="63" customFormat="1" ht="13.5" customHeight="1" x14ac:dyDescent="0.25">
      <c r="A8" s="64" t="s">
        <v>482</v>
      </c>
      <c r="B8" s="57" t="s">
        <v>604</v>
      </c>
      <c r="C8" s="57" t="s">
        <v>318</v>
      </c>
      <c r="D8" s="89" t="s">
        <v>296</v>
      </c>
      <c r="E8" s="56" t="s">
        <v>575</v>
      </c>
      <c r="F8" s="88">
        <v>14400</v>
      </c>
      <c r="G8" s="64">
        <v>72</v>
      </c>
      <c r="H8" s="64" t="s">
        <v>559</v>
      </c>
      <c r="I8" s="64" t="s">
        <v>507</v>
      </c>
      <c r="J8" s="55">
        <v>46087</v>
      </c>
      <c r="K8" s="224" t="s">
        <v>589</v>
      </c>
      <c r="L8" s="224">
        <v>89195966929</v>
      </c>
      <c r="M8" s="225" t="s">
        <v>590</v>
      </c>
      <c r="N8" s="137"/>
      <c r="O8" s="88"/>
      <c r="P8" s="88"/>
      <c r="Q8" s="88">
        <v>14400</v>
      </c>
      <c r="R8" s="53" t="s">
        <v>422</v>
      </c>
      <c r="S8" s="90">
        <v>122000</v>
      </c>
      <c r="T8" s="61">
        <f t="shared" si="0"/>
        <v>1756800</v>
      </c>
    </row>
    <row r="9" spans="1:20" s="63" customFormat="1" ht="13.5" customHeight="1" x14ac:dyDescent="0.25">
      <c r="A9" s="64" t="s">
        <v>482</v>
      </c>
      <c r="B9" s="57" t="s">
        <v>604</v>
      </c>
      <c r="C9" s="57" t="s">
        <v>318</v>
      </c>
      <c r="D9" s="89" t="s">
        <v>335</v>
      </c>
      <c r="E9" s="56" t="s">
        <v>574</v>
      </c>
      <c r="F9" s="88">
        <v>720</v>
      </c>
      <c r="G9" s="64">
        <v>40</v>
      </c>
      <c r="H9" s="64" t="s">
        <v>559</v>
      </c>
      <c r="I9" s="64" t="s">
        <v>507</v>
      </c>
      <c r="J9" s="55">
        <v>46087</v>
      </c>
      <c r="K9" s="224" t="s">
        <v>589</v>
      </c>
      <c r="L9" s="224">
        <v>89195966929</v>
      </c>
      <c r="M9" s="225" t="s">
        <v>590</v>
      </c>
      <c r="N9" s="137"/>
      <c r="O9" s="88"/>
      <c r="P9" s="88">
        <v>720</v>
      </c>
      <c r="Q9" s="88"/>
      <c r="R9" s="53" t="s">
        <v>422</v>
      </c>
      <c r="S9" s="90">
        <v>220000</v>
      </c>
      <c r="T9" s="61">
        <f t="shared" si="0"/>
        <v>158400</v>
      </c>
    </row>
    <row r="10" spans="1:20" s="63" customFormat="1" ht="13.5" customHeight="1" x14ac:dyDescent="0.25">
      <c r="A10" s="64" t="s">
        <v>482</v>
      </c>
      <c r="B10" s="57" t="s">
        <v>604</v>
      </c>
      <c r="C10" s="57" t="s">
        <v>318</v>
      </c>
      <c r="D10" s="89" t="s">
        <v>170</v>
      </c>
      <c r="E10" s="56" t="s">
        <v>575</v>
      </c>
      <c r="F10" s="88">
        <v>1600</v>
      </c>
      <c r="G10" s="64">
        <v>8</v>
      </c>
      <c r="H10" s="64" t="s">
        <v>559</v>
      </c>
      <c r="I10" s="64" t="s">
        <v>507</v>
      </c>
      <c r="J10" s="55">
        <v>46087</v>
      </c>
      <c r="K10" s="224" t="s">
        <v>589</v>
      </c>
      <c r="L10" s="224">
        <v>89195966929</v>
      </c>
      <c r="M10" s="225" t="s">
        <v>590</v>
      </c>
      <c r="N10" s="137"/>
      <c r="O10" s="88"/>
      <c r="P10" s="88"/>
      <c r="Q10" s="88">
        <v>1600</v>
      </c>
      <c r="R10" s="53" t="s">
        <v>422</v>
      </c>
      <c r="S10" s="90">
        <v>157000</v>
      </c>
      <c r="T10" s="61">
        <f t="shared" si="0"/>
        <v>251200</v>
      </c>
    </row>
    <row r="11" spans="1:20" s="63" customFormat="1" ht="13.5" customHeight="1" x14ac:dyDescent="0.25">
      <c r="A11" s="64" t="s">
        <v>461</v>
      </c>
      <c r="B11" s="57" t="s">
        <v>555</v>
      </c>
      <c r="C11" s="57" t="s">
        <v>316</v>
      </c>
      <c r="D11" s="10" t="s">
        <v>222</v>
      </c>
      <c r="E11" s="56" t="s">
        <v>585</v>
      </c>
      <c r="F11" s="88">
        <v>20000</v>
      </c>
      <c r="G11" s="64">
        <v>800</v>
      </c>
      <c r="H11" s="64" t="s">
        <v>467</v>
      </c>
      <c r="I11" s="64" t="s">
        <v>507</v>
      </c>
      <c r="J11" s="55">
        <v>46091</v>
      </c>
      <c r="K11" s="299" t="s">
        <v>664</v>
      </c>
      <c r="L11" s="151">
        <v>89058517997</v>
      </c>
      <c r="M11" s="62" t="s">
        <v>663</v>
      </c>
      <c r="N11" s="137"/>
      <c r="O11" s="88">
        <v>20000</v>
      </c>
      <c r="P11" s="88"/>
      <c r="Q11" s="88"/>
      <c r="R11" s="53" t="s">
        <v>422</v>
      </c>
      <c r="S11" s="90">
        <v>44500</v>
      </c>
      <c r="T11" s="61">
        <f t="shared" si="0"/>
        <v>890000</v>
      </c>
    </row>
    <row r="12" spans="1:20" s="63" customFormat="1" ht="13.5" customHeight="1" x14ac:dyDescent="0.25">
      <c r="A12" s="64" t="s">
        <v>429</v>
      </c>
      <c r="B12" s="57" t="s">
        <v>641</v>
      </c>
      <c r="C12" s="57" t="s">
        <v>163</v>
      </c>
      <c r="D12" s="10" t="s">
        <v>291</v>
      </c>
      <c r="E12" s="138" t="s">
        <v>639</v>
      </c>
      <c r="F12" s="57">
        <v>7700</v>
      </c>
      <c r="G12" s="64">
        <v>44</v>
      </c>
      <c r="H12" s="64" t="s">
        <v>638</v>
      </c>
      <c r="I12" s="55" t="s">
        <v>507</v>
      </c>
      <c r="J12" s="300">
        <v>46091</v>
      </c>
      <c r="K12" s="229" t="s">
        <v>545</v>
      </c>
      <c r="L12" s="229">
        <v>89090041850</v>
      </c>
      <c r="M12" s="53" t="s">
        <v>609</v>
      </c>
      <c r="N12" s="298"/>
      <c r="O12" s="57"/>
      <c r="P12" s="57"/>
      <c r="Q12" s="57">
        <v>7700</v>
      </c>
      <c r="R12" s="266" t="s">
        <v>422</v>
      </c>
      <c r="S12" s="90">
        <v>255000</v>
      </c>
      <c r="T12" s="61">
        <f t="shared" si="0"/>
        <v>1963500</v>
      </c>
    </row>
    <row r="13" spans="1:20" s="63" customFormat="1" ht="13.5" customHeight="1" x14ac:dyDescent="0.25">
      <c r="A13" s="64" t="s">
        <v>429</v>
      </c>
      <c r="B13" s="57" t="s">
        <v>641</v>
      </c>
      <c r="C13" s="57" t="s">
        <v>163</v>
      </c>
      <c r="D13" s="10" t="s">
        <v>291</v>
      </c>
      <c r="E13" s="138" t="s">
        <v>640</v>
      </c>
      <c r="F13" s="57">
        <v>7700</v>
      </c>
      <c r="G13" s="64">
        <v>44</v>
      </c>
      <c r="H13" s="64" t="s">
        <v>638</v>
      </c>
      <c r="I13" s="55" t="s">
        <v>507</v>
      </c>
      <c r="J13" s="300">
        <v>46091</v>
      </c>
      <c r="K13" s="229" t="s">
        <v>545</v>
      </c>
      <c r="L13" s="229">
        <v>89090041850</v>
      </c>
      <c r="M13" s="53" t="s">
        <v>609</v>
      </c>
      <c r="N13" s="298"/>
      <c r="O13" s="57"/>
      <c r="P13" s="57"/>
      <c r="Q13" s="57">
        <v>7700</v>
      </c>
      <c r="R13" s="266" t="s">
        <v>422</v>
      </c>
      <c r="S13" s="90">
        <v>255000</v>
      </c>
      <c r="T13" s="61">
        <f t="shared" si="0"/>
        <v>1963500</v>
      </c>
    </row>
    <row r="14" spans="1:20" s="63" customFormat="1" ht="13.5" customHeight="1" x14ac:dyDescent="0.25">
      <c r="A14" s="64" t="s">
        <v>614</v>
      </c>
      <c r="B14" s="57" t="s">
        <v>620</v>
      </c>
      <c r="C14" s="57" t="s">
        <v>616</v>
      </c>
      <c r="D14" s="10" t="s">
        <v>192</v>
      </c>
      <c r="E14" s="56" t="s">
        <v>617</v>
      </c>
      <c r="F14" s="57">
        <v>16000</v>
      </c>
      <c r="G14" s="64">
        <v>80</v>
      </c>
      <c r="H14" s="64" t="s">
        <v>615</v>
      </c>
      <c r="I14" s="64" t="s">
        <v>507</v>
      </c>
      <c r="J14" s="55">
        <v>46092</v>
      </c>
      <c r="K14" s="148" t="s">
        <v>631</v>
      </c>
      <c r="L14" s="161"/>
      <c r="M14" s="53"/>
      <c r="N14" s="137" t="s">
        <v>645</v>
      </c>
      <c r="O14" s="57"/>
      <c r="P14" s="57"/>
      <c r="Q14" s="57">
        <v>16000</v>
      </c>
      <c r="R14" s="53" t="s">
        <v>422</v>
      </c>
      <c r="S14" s="90">
        <v>155000</v>
      </c>
      <c r="T14" s="61">
        <f t="shared" si="0"/>
        <v>2480000</v>
      </c>
    </row>
    <row r="15" spans="1:20" s="63" customFormat="1" ht="13.5" customHeight="1" x14ac:dyDescent="0.25">
      <c r="A15" s="64" t="s">
        <v>614</v>
      </c>
      <c r="B15" s="57" t="s">
        <v>621</v>
      </c>
      <c r="C15" s="57" t="s">
        <v>616</v>
      </c>
      <c r="D15" s="10" t="s">
        <v>248</v>
      </c>
      <c r="E15" s="56" t="s">
        <v>597</v>
      </c>
      <c r="F15" s="57">
        <v>6600</v>
      </c>
      <c r="G15" s="64">
        <v>330</v>
      </c>
      <c r="H15" s="64" t="s">
        <v>615</v>
      </c>
      <c r="I15" s="64" t="s">
        <v>507</v>
      </c>
      <c r="J15" s="55">
        <v>46092</v>
      </c>
      <c r="K15" s="305" t="s">
        <v>624</v>
      </c>
      <c r="L15" s="306"/>
      <c r="M15" s="53"/>
      <c r="N15" s="137" t="s">
        <v>646</v>
      </c>
      <c r="O15" s="57"/>
      <c r="P15" s="57">
        <v>6600</v>
      </c>
      <c r="Q15" s="88"/>
      <c r="R15" s="53" t="s">
        <v>422</v>
      </c>
      <c r="S15" s="90">
        <v>87500</v>
      </c>
      <c r="T15" s="61">
        <f t="shared" si="0"/>
        <v>577500</v>
      </c>
    </row>
    <row r="16" spans="1:20" s="63" customFormat="1" ht="13.5" customHeight="1" x14ac:dyDescent="0.25">
      <c r="A16" s="64" t="s">
        <v>614</v>
      </c>
      <c r="B16" s="57" t="s">
        <v>621</v>
      </c>
      <c r="C16" s="57" t="s">
        <v>616</v>
      </c>
      <c r="D16" s="10" t="s">
        <v>322</v>
      </c>
      <c r="E16" s="56" t="s">
        <v>619</v>
      </c>
      <c r="F16" s="57">
        <v>3000</v>
      </c>
      <c r="G16" s="64">
        <v>120</v>
      </c>
      <c r="H16" s="64" t="s">
        <v>615</v>
      </c>
      <c r="I16" s="64" t="s">
        <v>507</v>
      </c>
      <c r="J16" s="55">
        <v>46092</v>
      </c>
      <c r="K16" s="148" t="s">
        <v>625</v>
      </c>
      <c r="L16" s="306"/>
      <c r="M16" s="53"/>
      <c r="N16" s="137" t="s">
        <v>646</v>
      </c>
      <c r="O16" s="57"/>
      <c r="P16" s="57">
        <v>3000</v>
      </c>
      <c r="Q16" s="88"/>
      <c r="R16" s="53" t="s">
        <v>422</v>
      </c>
      <c r="S16" s="90">
        <v>206000</v>
      </c>
      <c r="T16" s="61">
        <f t="shared" si="0"/>
        <v>618000</v>
      </c>
    </row>
    <row r="17" spans="1:20" s="63" customFormat="1" ht="13.5" customHeight="1" x14ac:dyDescent="0.25">
      <c r="A17" s="64" t="s">
        <v>614</v>
      </c>
      <c r="B17" s="57" t="s">
        <v>621</v>
      </c>
      <c r="C17" s="57" t="s">
        <v>616</v>
      </c>
      <c r="D17" s="10" t="s">
        <v>320</v>
      </c>
      <c r="E17" s="56" t="s">
        <v>619</v>
      </c>
      <c r="F17" s="57">
        <v>2250</v>
      </c>
      <c r="G17" s="64">
        <v>90</v>
      </c>
      <c r="H17" s="64" t="s">
        <v>615</v>
      </c>
      <c r="I17" s="64" t="s">
        <v>507</v>
      </c>
      <c r="J17" s="55">
        <v>46092</v>
      </c>
      <c r="K17" s="148" t="s">
        <v>626</v>
      </c>
      <c r="L17" s="306"/>
      <c r="M17" s="53"/>
      <c r="N17" s="137" t="s">
        <v>646</v>
      </c>
      <c r="O17" s="57"/>
      <c r="P17" s="57">
        <v>2250</v>
      </c>
      <c r="Q17" s="88"/>
      <c r="R17" s="53" t="s">
        <v>422</v>
      </c>
      <c r="S17" s="90">
        <v>206000</v>
      </c>
      <c r="T17" s="61">
        <f t="shared" si="0"/>
        <v>463500</v>
      </c>
    </row>
    <row r="18" spans="1:20" s="63" customFormat="1" ht="13.5" customHeight="1" x14ac:dyDescent="0.25">
      <c r="A18" s="64" t="s">
        <v>614</v>
      </c>
      <c r="B18" s="57" t="s">
        <v>621</v>
      </c>
      <c r="C18" s="57" t="s">
        <v>616</v>
      </c>
      <c r="D18" s="10" t="s">
        <v>321</v>
      </c>
      <c r="E18" s="56" t="s">
        <v>619</v>
      </c>
      <c r="F18" s="57">
        <v>1250</v>
      </c>
      <c r="G18" s="64">
        <v>50</v>
      </c>
      <c r="H18" s="64" t="s">
        <v>615</v>
      </c>
      <c r="I18" s="64" t="s">
        <v>507</v>
      </c>
      <c r="J18" s="55">
        <v>46092</v>
      </c>
      <c r="K18" s="148" t="s">
        <v>630</v>
      </c>
      <c r="L18" s="306"/>
      <c r="M18" s="53"/>
      <c r="N18" s="137" t="s">
        <v>646</v>
      </c>
      <c r="O18" s="57"/>
      <c r="P18" s="57">
        <v>1250</v>
      </c>
      <c r="Q18" s="88"/>
      <c r="R18" s="53" t="s">
        <v>422</v>
      </c>
      <c r="S18" s="90">
        <v>206000</v>
      </c>
      <c r="T18" s="61">
        <f t="shared" si="0"/>
        <v>257500</v>
      </c>
    </row>
    <row r="19" spans="1:20" s="63" customFormat="1" ht="13.5" customHeight="1" x14ac:dyDescent="0.25">
      <c r="A19" s="64" t="s">
        <v>614</v>
      </c>
      <c r="B19" s="57" t="s">
        <v>622</v>
      </c>
      <c r="C19" s="57" t="s">
        <v>616</v>
      </c>
      <c r="D19" s="10" t="s">
        <v>251</v>
      </c>
      <c r="E19" s="56" t="s">
        <v>618</v>
      </c>
      <c r="F19" s="57">
        <v>11600</v>
      </c>
      <c r="G19" s="64">
        <v>580</v>
      </c>
      <c r="H19" s="64" t="s">
        <v>615</v>
      </c>
      <c r="I19" s="64" t="s">
        <v>507</v>
      </c>
      <c r="J19" s="55">
        <v>46092</v>
      </c>
      <c r="K19" s="148" t="s">
        <v>629</v>
      </c>
      <c r="L19" s="53"/>
      <c r="M19" s="53"/>
      <c r="N19" s="137" t="s">
        <v>652</v>
      </c>
      <c r="O19" s="57"/>
      <c r="P19" s="57">
        <v>11600</v>
      </c>
      <c r="Q19" s="88"/>
      <c r="R19" s="53" t="s">
        <v>422</v>
      </c>
      <c r="S19" s="90">
        <v>78500</v>
      </c>
      <c r="T19" s="61">
        <f t="shared" si="0"/>
        <v>910600</v>
      </c>
    </row>
    <row r="20" spans="1:20" s="63" customFormat="1" ht="13.5" customHeight="1" x14ac:dyDescent="0.25">
      <c r="A20" s="64" t="s">
        <v>614</v>
      </c>
      <c r="B20" s="57" t="s">
        <v>622</v>
      </c>
      <c r="C20" s="57" t="s">
        <v>616</v>
      </c>
      <c r="D20" s="10" t="s">
        <v>248</v>
      </c>
      <c r="E20" s="56" t="s">
        <v>597</v>
      </c>
      <c r="F20" s="57">
        <v>400</v>
      </c>
      <c r="G20" s="64">
        <v>20</v>
      </c>
      <c r="H20" s="64" t="s">
        <v>615</v>
      </c>
      <c r="I20" s="64" t="s">
        <v>507</v>
      </c>
      <c r="J20" s="55">
        <v>46092</v>
      </c>
      <c r="K20" s="305" t="s">
        <v>628</v>
      </c>
      <c r="L20" s="307"/>
      <c r="M20" s="53"/>
      <c r="N20" s="137" t="s">
        <v>652</v>
      </c>
      <c r="O20" s="57"/>
      <c r="P20" s="57">
        <v>400</v>
      </c>
      <c r="Q20" s="88"/>
      <c r="R20" s="53" t="s">
        <v>422</v>
      </c>
      <c r="S20" s="90">
        <v>87500</v>
      </c>
      <c r="T20" s="61">
        <f t="shared" si="0"/>
        <v>35000</v>
      </c>
    </row>
    <row r="21" spans="1:20" s="63" customFormat="1" ht="13.5" customHeight="1" x14ac:dyDescent="0.25">
      <c r="A21" s="64" t="s">
        <v>614</v>
      </c>
      <c r="B21" s="57" t="s">
        <v>623</v>
      </c>
      <c r="C21" s="57" t="s">
        <v>616</v>
      </c>
      <c r="D21" s="10" t="s">
        <v>248</v>
      </c>
      <c r="E21" s="56" t="s">
        <v>597</v>
      </c>
      <c r="F21" s="57">
        <v>12000</v>
      </c>
      <c r="G21" s="64">
        <v>600</v>
      </c>
      <c r="H21" s="64" t="s">
        <v>615</v>
      </c>
      <c r="I21" s="64" t="s">
        <v>507</v>
      </c>
      <c r="J21" s="55">
        <v>46092</v>
      </c>
      <c r="K21" s="148" t="s">
        <v>631</v>
      </c>
      <c r="L21" s="53"/>
      <c r="M21" s="53"/>
      <c r="N21" s="137" t="s">
        <v>653</v>
      </c>
      <c r="O21" s="57"/>
      <c r="P21" s="57">
        <v>12000</v>
      </c>
      <c r="Q21" s="88"/>
      <c r="R21" s="53" t="s">
        <v>422</v>
      </c>
      <c r="S21" s="90">
        <v>87500</v>
      </c>
      <c r="T21" s="61">
        <f t="shared" si="0"/>
        <v>1050000</v>
      </c>
    </row>
    <row r="22" spans="1:20" s="63" customFormat="1" ht="13.5" customHeight="1" x14ac:dyDescent="0.25">
      <c r="A22" s="64" t="s">
        <v>614</v>
      </c>
      <c r="B22" s="57" t="s">
        <v>627</v>
      </c>
      <c r="C22" s="57" t="s">
        <v>616</v>
      </c>
      <c r="D22" s="10" t="s">
        <v>251</v>
      </c>
      <c r="E22" s="56" t="s">
        <v>618</v>
      </c>
      <c r="F22" s="57">
        <v>12000</v>
      </c>
      <c r="G22" s="64">
        <v>600</v>
      </c>
      <c r="H22" s="64" t="s">
        <v>615</v>
      </c>
      <c r="I22" s="64" t="s">
        <v>507</v>
      </c>
      <c r="J22" s="55">
        <v>46092</v>
      </c>
      <c r="K22" s="148" t="s">
        <v>631</v>
      </c>
      <c r="L22" s="53"/>
      <c r="M22" s="53"/>
      <c r="N22" s="137" t="s">
        <v>654</v>
      </c>
      <c r="O22" s="57"/>
      <c r="P22" s="57">
        <v>12000</v>
      </c>
      <c r="Q22" s="88"/>
      <c r="R22" s="53" t="s">
        <v>422</v>
      </c>
      <c r="S22" s="90">
        <v>78500</v>
      </c>
      <c r="T22" s="61">
        <f t="shared" si="0"/>
        <v>942000</v>
      </c>
    </row>
    <row r="23" spans="1:20" s="63" customFormat="1" ht="13.5" customHeight="1" x14ac:dyDescent="0.25">
      <c r="A23" s="89" t="s">
        <v>437</v>
      </c>
      <c r="B23" s="88" t="s">
        <v>656</v>
      </c>
      <c r="C23" s="88" t="s">
        <v>655</v>
      </c>
      <c r="D23" s="89" t="s">
        <v>330</v>
      </c>
      <c r="E23" s="217" t="s">
        <v>667</v>
      </c>
      <c r="F23" s="88">
        <v>600</v>
      </c>
      <c r="G23" s="89">
        <v>3</v>
      </c>
      <c r="H23" s="89" t="s">
        <v>437</v>
      </c>
      <c r="I23" s="308" t="s">
        <v>507</v>
      </c>
      <c r="J23" s="308">
        <v>46094</v>
      </c>
      <c r="K23" s="309" t="s">
        <v>672</v>
      </c>
      <c r="L23" s="151">
        <v>89128578010</v>
      </c>
      <c r="M23" s="151" t="s">
        <v>671</v>
      </c>
      <c r="N23" s="310"/>
      <c r="O23" s="88"/>
      <c r="P23" s="88"/>
      <c r="Q23" s="88">
        <v>600</v>
      </c>
      <c r="R23" s="311" t="s">
        <v>422</v>
      </c>
      <c r="S23" s="312">
        <v>330000</v>
      </c>
      <c r="T23" s="61">
        <f>S23*F23/1000</f>
        <v>198000</v>
      </c>
    </row>
    <row r="24" spans="1:20" s="63" customFormat="1" ht="13.5" customHeight="1" x14ac:dyDescent="0.25">
      <c r="A24" s="64" t="s">
        <v>673</v>
      </c>
      <c r="B24" s="57" t="s">
        <v>556</v>
      </c>
      <c r="C24" s="57" t="s">
        <v>316</v>
      </c>
      <c r="D24" s="10" t="s">
        <v>222</v>
      </c>
      <c r="E24" s="56" t="s">
        <v>585</v>
      </c>
      <c r="F24" s="88">
        <v>20000</v>
      </c>
      <c r="G24" s="64">
        <v>800</v>
      </c>
      <c r="H24" s="64" t="s">
        <v>467</v>
      </c>
      <c r="I24" s="64" t="s">
        <v>507</v>
      </c>
      <c r="J24" s="55">
        <v>46098</v>
      </c>
      <c r="K24" s="258" t="s">
        <v>542</v>
      </c>
      <c r="L24" s="151">
        <v>89115800204</v>
      </c>
      <c r="M24" s="62" t="s">
        <v>541</v>
      </c>
      <c r="N24" s="137"/>
      <c r="O24" s="88">
        <v>20000</v>
      </c>
      <c r="P24" s="88"/>
      <c r="Q24" s="88"/>
      <c r="R24" s="53" t="s">
        <v>422</v>
      </c>
      <c r="S24" s="90">
        <v>44500</v>
      </c>
      <c r="T24" s="61">
        <f>S24*F24/1000</f>
        <v>890000</v>
      </c>
    </row>
    <row r="25" spans="1:20" s="63" customFormat="1" ht="13.5" customHeight="1" x14ac:dyDescent="0.25">
      <c r="A25" s="64" t="s">
        <v>540</v>
      </c>
      <c r="B25" s="57" t="s">
        <v>642</v>
      </c>
      <c r="C25" s="57" t="s">
        <v>163</v>
      </c>
      <c r="D25" s="10" t="s">
        <v>372</v>
      </c>
      <c r="E25" s="138" t="s">
        <v>643</v>
      </c>
      <c r="F25" s="57">
        <v>17500</v>
      </c>
      <c r="G25" s="64">
        <v>700</v>
      </c>
      <c r="H25" s="64" t="s">
        <v>559</v>
      </c>
      <c r="I25" s="55" t="s">
        <v>507</v>
      </c>
      <c r="J25" s="55">
        <v>46098</v>
      </c>
      <c r="K25" s="64"/>
      <c r="L25" s="337" t="s">
        <v>674</v>
      </c>
      <c r="M25" s="53"/>
      <c r="N25" s="298" t="s">
        <v>680</v>
      </c>
      <c r="O25" s="57"/>
      <c r="P25" s="57">
        <v>17500</v>
      </c>
      <c r="Q25" s="57"/>
      <c r="R25" s="266" t="s">
        <v>422</v>
      </c>
      <c r="S25" s="90">
        <v>265000</v>
      </c>
      <c r="T25" s="61">
        <f t="shared" si="0"/>
        <v>4637500</v>
      </c>
    </row>
    <row r="26" spans="1:20" s="63" customFormat="1" ht="13.5" customHeight="1" x14ac:dyDescent="0.25">
      <c r="A26" s="64" t="s">
        <v>471</v>
      </c>
      <c r="B26" s="57" t="s">
        <v>557</v>
      </c>
      <c r="C26" s="57" t="s">
        <v>316</v>
      </c>
      <c r="D26" s="10" t="s">
        <v>222</v>
      </c>
      <c r="E26" s="56" t="s">
        <v>585</v>
      </c>
      <c r="F26" s="88">
        <v>20000</v>
      </c>
      <c r="G26" s="64">
        <v>800</v>
      </c>
      <c r="H26" s="64" t="s">
        <v>467</v>
      </c>
      <c r="I26" s="64" t="s">
        <v>507</v>
      </c>
      <c r="J26" s="55">
        <v>46099</v>
      </c>
      <c r="K26" s="338" t="s">
        <v>683</v>
      </c>
      <c r="L26" s="151">
        <v>89177372854</v>
      </c>
      <c r="M26" s="62" t="s">
        <v>684</v>
      </c>
      <c r="N26" s="137"/>
      <c r="O26" s="88">
        <v>20000</v>
      </c>
      <c r="P26" s="88"/>
      <c r="Q26" s="88"/>
      <c r="R26" s="53" t="s">
        <v>422</v>
      </c>
      <c r="S26" s="90">
        <v>44500</v>
      </c>
      <c r="T26" s="61">
        <f t="shared" si="0"/>
        <v>890000</v>
      </c>
    </row>
    <row r="27" spans="1:20" s="63" customFormat="1" ht="13.5" customHeight="1" x14ac:dyDescent="0.25">
      <c r="A27" s="64" t="s">
        <v>351</v>
      </c>
      <c r="B27" s="57" t="s">
        <v>665</v>
      </c>
      <c r="C27" s="57" t="s">
        <v>163</v>
      </c>
      <c r="D27" s="10" t="s">
        <v>293</v>
      </c>
      <c r="E27" s="138" t="s">
        <v>353</v>
      </c>
      <c r="F27" s="57">
        <v>4375</v>
      </c>
      <c r="G27" s="64">
        <v>175</v>
      </c>
      <c r="H27" s="64" t="s">
        <v>666</v>
      </c>
      <c r="I27" s="55" t="s">
        <v>507</v>
      </c>
      <c r="J27" s="300">
        <v>46099</v>
      </c>
      <c r="K27" s="229" t="s">
        <v>686</v>
      </c>
      <c r="L27" s="326">
        <v>89815516137</v>
      </c>
      <c r="M27" s="53" t="s">
        <v>685</v>
      </c>
      <c r="N27" s="298" t="s">
        <v>696</v>
      </c>
      <c r="O27" s="57">
        <v>4375</v>
      </c>
      <c r="P27" s="57"/>
      <c r="Q27" s="57"/>
      <c r="R27" s="266" t="s">
        <v>422</v>
      </c>
      <c r="S27" s="90">
        <v>41000</v>
      </c>
      <c r="T27" s="61">
        <f t="shared" si="0"/>
        <v>179375</v>
      </c>
    </row>
    <row r="28" spans="1:20" s="63" customFormat="1" ht="13.5" customHeight="1" x14ac:dyDescent="0.25">
      <c r="A28" s="64" t="s">
        <v>351</v>
      </c>
      <c r="B28" s="57" t="s">
        <v>665</v>
      </c>
      <c r="C28" s="57" t="s">
        <v>163</v>
      </c>
      <c r="D28" s="10" t="s">
        <v>293</v>
      </c>
      <c r="E28" s="138" t="s">
        <v>354</v>
      </c>
      <c r="F28" s="57">
        <v>4375</v>
      </c>
      <c r="G28" s="64">
        <v>175</v>
      </c>
      <c r="H28" s="64" t="s">
        <v>666</v>
      </c>
      <c r="I28" s="55" t="s">
        <v>507</v>
      </c>
      <c r="J28" s="300">
        <v>46099</v>
      </c>
      <c r="K28" s="229" t="s">
        <v>686</v>
      </c>
      <c r="L28" s="326">
        <v>89815516137</v>
      </c>
      <c r="M28" s="53" t="s">
        <v>685</v>
      </c>
      <c r="N28" s="298" t="s">
        <v>696</v>
      </c>
      <c r="O28" s="57">
        <v>4375</v>
      </c>
      <c r="P28" s="57"/>
      <c r="Q28" s="57"/>
      <c r="R28" s="266" t="s">
        <v>422</v>
      </c>
      <c r="S28" s="90">
        <v>41000</v>
      </c>
      <c r="T28" s="61">
        <f t="shared" si="0"/>
        <v>179375</v>
      </c>
    </row>
    <row r="29" spans="1:20" s="63" customFormat="1" ht="13.5" customHeight="1" x14ac:dyDescent="0.25">
      <c r="A29" s="64" t="s">
        <v>351</v>
      </c>
      <c r="B29" s="57" t="s">
        <v>665</v>
      </c>
      <c r="C29" s="57" t="s">
        <v>163</v>
      </c>
      <c r="D29" s="10" t="s">
        <v>293</v>
      </c>
      <c r="E29" s="138" t="s">
        <v>355</v>
      </c>
      <c r="F29" s="57">
        <v>4375</v>
      </c>
      <c r="G29" s="64">
        <v>175</v>
      </c>
      <c r="H29" s="64" t="s">
        <v>666</v>
      </c>
      <c r="I29" s="55" t="s">
        <v>507</v>
      </c>
      <c r="J29" s="300">
        <v>46099</v>
      </c>
      <c r="K29" s="229" t="s">
        <v>686</v>
      </c>
      <c r="L29" s="326">
        <v>89815516137</v>
      </c>
      <c r="M29" s="53" t="s">
        <v>685</v>
      </c>
      <c r="N29" s="298" t="s">
        <v>696</v>
      </c>
      <c r="O29" s="57">
        <v>4375</v>
      </c>
      <c r="P29" s="57"/>
      <c r="Q29" s="57"/>
      <c r="R29" s="266" t="s">
        <v>422</v>
      </c>
      <c r="S29" s="90">
        <v>41000</v>
      </c>
      <c r="T29" s="61">
        <f t="shared" si="0"/>
        <v>179375</v>
      </c>
    </row>
    <row r="30" spans="1:20" s="63" customFormat="1" ht="13.5" customHeight="1" x14ac:dyDescent="0.25">
      <c r="A30" s="64" t="s">
        <v>351</v>
      </c>
      <c r="B30" s="57" t="s">
        <v>665</v>
      </c>
      <c r="C30" s="57" t="s">
        <v>163</v>
      </c>
      <c r="D30" s="10" t="s">
        <v>293</v>
      </c>
      <c r="E30" s="138" t="s">
        <v>356</v>
      </c>
      <c r="F30" s="57">
        <v>4375</v>
      </c>
      <c r="G30" s="64">
        <v>175</v>
      </c>
      <c r="H30" s="64" t="s">
        <v>666</v>
      </c>
      <c r="I30" s="55" t="s">
        <v>507</v>
      </c>
      <c r="J30" s="300">
        <v>46099</v>
      </c>
      <c r="K30" s="229" t="s">
        <v>686</v>
      </c>
      <c r="L30" s="326">
        <v>89815516137</v>
      </c>
      <c r="M30" s="53" t="s">
        <v>685</v>
      </c>
      <c r="N30" s="298" t="s">
        <v>696</v>
      </c>
      <c r="O30" s="57">
        <v>4375</v>
      </c>
      <c r="P30" s="57"/>
      <c r="Q30" s="57"/>
      <c r="R30" s="266" t="s">
        <v>422</v>
      </c>
      <c r="S30" s="90">
        <v>41000</v>
      </c>
      <c r="T30" s="61">
        <f t="shared" si="0"/>
        <v>179375</v>
      </c>
    </row>
    <row r="31" spans="1:20" s="63" customFormat="1" ht="13.5" customHeight="1" x14ac:dyDescent="0.25">
      <c r="A31" s="64" t="s">
        <v>351</v>
      </c>
      <c r="B31" s="57" t="s">
        <v>668</v>
      </c>
      <c r="C31" s="57" t="s">
        <v>163</v>
      </c>
      <c r="D31" s="10" t="s">
        <v>293</v>
      </c>
      <c r="E31" s="138" t="s">
        <v>358</v>
      </c>
      <c r="F31" s="57">
        <v>4375</v>
      </c>
      <c r="G31" s="64">
        <v>175</v>
      </c>
      <c r="H31" s="64" t="s">
        <v>666</v>
      </c>
      <c r="I31" s="55" t="s">
        <v>507</v>
      </c>
      <c r="J31" s="300">
        <v>46099</v>
      </c>
      <c r="K31" s="229" t="s">
        <v>686</v>
      </c>
      <c r="L31" s="326">
        <v>89815516137</v>
      </c>
      <c r="M31" s="53" t="s">
        <v>685</v>
      </c>
      <c r="N31" s="298" t="s">
        <v>697</v>
      </c>
      <c r="O31" s="57">
        <v>4375</v>
      </c>
      <c r="P31" s="57"/>
      <c r="Q31" s="57"/>
      <c r="R31" s="266" t="s">
        <v>422</v>
      </c>
      <c r="S31" s="90">
        <v>41000</v>
      </c>
      <c r="T31" s="61">
        <f t="shared" si="0"/>
        <v>179375</v>
      </c>
    </row>
    <row r="32" spans="1:20" s="63" customFormat="1" ht="13.5" customHeight="1" x14ac:dyDescent="0.25">
      <c r="A32" s="64" t="s">
        <v>351</v>
      </c>
      <c r="B32" s="57" t="s">
        <v>668</v>
      </c>
      <c r="C32" s="57" t="s">
        <v>163</v>
      </c>
      <c r="D32" s="10" t="s">
        <v>293</v>
      </c>
      <c r="E32" s="138" t="s">
        <v>359</v>
      </c>
      <c r="F32" s="57">
        <v>4375</v>
      </c>
      <c r="G32" s="64">
        <v>175</v>
      </c>
      <c r="H32" s="64" t="s">
        <v>666</v>
      </c>
      <c r="I32" s="55" t="s">
        <v>507</v>
      </c>
      <c r="J32" s="300">
        <v>46099</v>
      </c>
      <c r="K32" s="229" t="s">
        <v>686</v>
      </c>
      <c r="L32" s="326">
        <v>89815516137</v>
      </c>
      <c r="M32" s="53" t="s">
        <v>685</v>
      </c>
      <c r="N32" s="298" t="s">
        <v>697</v>
      </c>
      <c r="O32" s="57">
        <v>4375</v>
      </c>
      <c r="P32" s="57"/>
      <c r="Q32" s="57"/>
      <c r="R32" s="266" t="s">
        <v>422</v>
      </c>
      <c r="S32" s="90">
        <v>41000</v>
      </c>
      <c r="T32" s="61">
        <f t="shared" si="0"/>
        <v>179375</v>
      </c>
    </row>
    <row r="33" spans="1:20" s="63" customFormat="1" ht="13.5" customHeight="1" x14ac:dyDescent="0.25">
      <c r="A33" s="64" t="s">
        <v>351</v>
      </c>
      <c r="B33" s="57" t="s">
        <v>668</v>
      </c>
      <c r="C33" s="57" t="s">
        <v>163</v>
      </c>
      <c r="D33" s="10" t="s">
        <v>293</v>
      </c>
      <c r="E33" s="138" t="s">
        <v>360</v>
      </c>
      <c r="F33" s="57">
        <v>4375</v>
      </c>
      <c r="G33" s="64">
        <v>175</v>
      </c>
      <c r="H33" s="64" t="s">
        <v>666</v>
      </c>
      <c r="I33" s="55" t="s">
        <v>507</v>
      </c>
      <c r="J33" s="300">
        <v>46099</v>
      </c>
      <c r="K33" s="229" t="s">
        <v>686</v>
      </c>
      <c r="L33" s="326">
        <v>89815516137</v>
      </c>
      <c r="M33" s="53" t="s">
        <v>685</v>
      </c>
      <c r="N33" s="298" t="s">
        <v>697</v>
      </c>
      <c r="O33" s="57">
        <v>4375</v>
      </c>
      <c r="P33" s="57"/>
      <c r="Q33" s="57"/>
      <c r="R33" s="266" t="s">
        <v>422</v>
      </c>
      <c r="S33" s="90">
        <v>41000</v>
      </c>
      <c r="T33" s="61">
        <f t="shared" si="0"/>
        <v>179375</v>
      </c>
    </row>
    <row r="34" spans="1:20" s="63" customFormat="1" ht="13.5" customHeight="1" x14ac:dyDescent="0.25">
      <c r="A34" s="64" t="s">
        <v>351</v>
      </c>
      <c r="B34" s="57" t="s">
        <v>668</v>
      </c>
      <c r="C34" s="57" t="s">
        <v>163</v>
      </c>
      <c r="D34" s="10" t="s">
        <v>293</v>
      </c>
      <c r="E34" s="138" t="s">
        <v>361</v>
      </c>
      <c r="F34" s="57">
        <v>4375</v>
      </c>
      <c r="G34" s="64">
        <v>175</v>
      </c>
      <c r="H34" s="64" t="s">
        <v>666</v>
      </c>
      <c r="I34" s="55" t="s">
        <v>507</v>
      </c>
      <c r="J34" s="300">
        <v>46099</v>
      </c>
      <c r="K34" s="229" t="s">
        <v>686</v>
      </c>
      <c r="L34" s="326">
        <v>89815516137</v>
      </c>
      <c r="M34" s="53" t="s">
        <v>685</v>
      </c>
      <c r="N34" s="298" t="s">
        <v>697</v>
      </c>
      <c r="O34" s="57">
        <v>4375</v>
      </c>
      <c r="P34" s="57"/>
      <c r="Q34" s="57"/>
      <c r="R34" s="266" t="s">
        <v>422</v>
      </c>
      <c r="S34" s="90">
        <v>41000</v>
      </c>
      <c r="T34" s="61">
        <f t="shared" si="0"/>
        <v>179375</v>
      </c>
    </row>
    <row r="35" spans="1:20" s="63" customFormat="1" ht="13.5" customHeight="1" x14ac:dyDescent="0.25">
      <c r="A35" s="64" t="s">
        <v>470</v>
      </c>
      <c r="B35" s="57" t="s">
        <v>669</v>
      </c>
      <c r="C35" s="57" t="s">
        <v>352</v>
      </c>
      <c r="D35" s="89" t="s">
        <v>222</v>
      </c>
      <c r="E35" s="56" t="s">
        <v>334</v>
      </c>
      <c r="F35" s="88">
        <v>20000</v>
      </c>
      <c r="G35" s="64">
        <v>800</v>
      </c>
      <c r="H35" s="64" t="s">
        <v>315</v>
      </c>
      <c r="I35" s="64" t="s">
        <v>507</v>
      </c>
      <c r="J35" s="55">
        <v>46104</v>
      </c>
      <c r="K35" s="284" t="s">
        <v>553</v>
      </c>
      <c r="L35" s="151">
        <v>89216700606</v>
      </c>
      <c r="M35" s="62" t="s">
        <v>552</v>
      </c>
      <c r="N35" s="137"/>
      <c r="O35" s="88">
        <v>20000</v>
      </c>
      <c r="P35" s="88"/>
      <c r="Q35" s="57"/>
      <c r="R35" s="53" t="s">
        <v>422</v>
      </c>
      <c r="S35" s="90">
        <v>44500</v>
      </c>
      <c r="T35" s="61">
        <f>S35*F35/1000</f>
        <v>890000</v>
      </c>
    </row>
    <row r="36" spans="1:20" s="63" customFormat="1" ht="13.5" customHeight="1" x14ac:dyDescent="0.25">
      <c r="A36" s="64" t="s">
        <v>471</v>
      </c>
      <c r="B36" s="57" t="s">
        <v>651</v>
      </c>
      <c r="C36" s="57" t="s">
        <v>316</v>
      </c>
      <c r="D36" s="10" t="s">
        <v>281</v>
      </c>
      <c r="E36" s="56" t="s">
        <v>442</v>
      </c>
      <c r="F36" s="88">
        <v>4000</v>
      </c>
      <c r="G36" s="64">
        <v>20</v>
      </c>
      <c r="H36" s="64" t="s">
        <v>444</v>
      </c>
      <c r="I36" s="64" t="s">
        <v>507</v>
      </c>
      <c r="J36" s="55">
        <v>46104</v>
      </c>
      <c r="K36" s="339" t="s">
        <v>706</v>
      </c>
      <c r="L36" s="151">
        <v>89179672527</v>
      </c>
      <c r="M36" s="62" t="s">
        <v>705</v>
      </c>
      <c r="N36" s="137"/>
      <c r="O36" s="88"/>
      <c r="P36" s="88"/>
      <c r="Q36" s="88">
        <v>4000</v>
      </c>
      <c r="R36" s="53" t="s">
        <v>422</v>
      </c>
      <c r="S36" s="90">
        <v>127000</v>
      </c>
      <c r="T36" s="61">
        <f>S36*F36/1000</f>
        <v>508000</v>
      </c>
    </row>
    <row r="37" spans="1:20" s="63" customFormat="1" ht="13.5" customHeight="1" x14ac:dyDescent="0.25">
      <c r="A37" s="64" t="s">
        <v>471</v>
      </c>
      <c r="B37" s="57" t="s">
        <v>651</v>
      </c>
      <c r="C37" s="57" t="s">
        <v>316</v>
      </c>
      <c r="D37" s="10" t="s">
        <v>272</v>
      </c>
      <c r="E37" s="56" t="s">
        <v>445</v>
      </c>
      <c r="F37" s="88">
        <v>4000</v>
      </c>
      <c r="G37" s="64">
        <v>20</v>
      </c>
      <c r="H37" s="64" t="s">
        <v>444</v>
      </c>
      <c r="I37" s="64" t="s">
        <v>507</v>
      </c>
      <c r="J37" s="55">
        <v>46104</v>
      </c>
      <c r="K37" s="339" t="s">
        <v>706</v>
      </c>
      <c r="L37" s="151">
        <v>89179672527</v>
      </c>
      <c r="M37" s="62" t="s">
        <v>705</v>
      </c>
      <c r="N37" s="137"/>
      <c r="O37" s="88"/>
      <c r="P37" s="88"/>
      <c r="Q37" s="88">
        <v>4000</v>
      </c>
      <c r="R37" s="53" t="s">
        <v>422</v>
      </c>
      <c r="S37" s="90">
        <v>97000</v>
      </c>
      <c r="T37" s="61">
        <f>S37*F37/1000</f>
        <v>388000</v>
      </c>
    </row>
    <row r="38" spans="1:20" s="63" customFormat="1" ht="13.5" customHeight="1" x14ac:dyDescent="0.25">
      <c r="A38" s="64" t="s">
        <v>471</v>
      </c>
      <c r="B38" s="57" t="s">
        <v>651</v>
      </c>
      <c r="C38" s="57" t="s">
        <v>316</v>
      </c>
      <c r="D38" s="10" t="s">
        <v>222</v>
      </c>
      <c r="E38" s="56" t="s">
        <v>585</v>
      </c>
      <c r="F38" s="88">
        <v>12000</v>
      </c>
      <c r="G38" s="64">
        <v>480</v>
      </c>
      <c r="H38" s="64" t="s">
        <v>444</v>
      </c>
      <c r="I38" s="64" t="s">
        <v>507</v>
      </c>
      <c r="J38" s="55">
        <v>46104</v>
      </c>
      <c r="K38" s="339" t="s">
        <v>706</v>
      </c>
      <c r="L38" s="151">
        <v>89179672527</v>
      </c>
      <c r="M38" s="62" t="s">
        <v>705</v>
      </c>
      <c r="N38" s="149"/>
      <c r="O38" s="88">
        <v>12000</v>
      </c>
      <c r="P38" s="57"/>
      <c r="Q38" s="88"/>
      <c r="R38" s="53" t="s">
        <v>422</v>
      </c>
      <c r="S38" s="90">
        <v>44500</v>
      </c>
      <c r="T38" s="61">
        <f>S38*F38/1000</f>
        <v>534000</v>
      </c>
    </row>
    <row r="39" spans="1:20" s="63" customFormat="1" ht="13.5" customHeight="1" x14ac:dyDescent="0.25">
      <c r="A39" s="64" t="s">
        <v>429</v>
      </c>
      <c r="B39" s="57" t="s">
        <v>596</v>
      </c>
      <c r="C39" s="57" t="s">
        <v>163</v>
      </c>
      <c r="D39" s="10" t="s">
        <v>756</v>
      </c>
      <c r="E39" s="138" t="s">
        <v>644</v>
      </c>
      <c r="F39" s="57">
        <v>8360</v>
      </c>
      <c r="G39" s="64">
        <v>44</v>
      </c>
      <c r="H39" s="64" t="s">
        <v>164</v>
      </c>
      <c r="I39" s="55" t="s">
        <v>507</v>
      </c>
      <c r="J39" s="55">
        <v>46105</v>
      </c>
      <c r="K39" s="220" t="s">
        <v>545</v>
      </c>
      <c r="L39" s="326">
        <v>89090041850</v>
      </c>
      <c r="M39" s="53" t="s">
        <v>609</v>
      </c>
      <c r="N39" s="313"/>
      <c r="O39" s="57"/>
      <c r="P39" s="57"/>
      <c r="Q39" s="57">
        <v>8360</v>
      </c>
      <c r="R39" s="266" t="s">
        <v>718</v>
      </c>
      <c r="S39" s="90">
        <v>125000</v>
      </c>
      <c r="T39" s="61">
        <f t="shared" si="0"/>
        <v>1045000</v>
      </c>
    </row>
    <row r="40" spans="1:20" s="63" customFormat="1" ht="13.5" customHeight="1" x14ac:dyDescent="0.25">
      <c r="A40" s="64" t="s">
        <v>429</v>
      </c>
      <c r="B40" s="57" t="s">
        <v>596</v>
      </c>
      <c r="C40" s="57" t="s">
        <v>163</v>
      </c>
      <c r="D40" s="10" t="s">
        <v>756</v>
      </c>
      <c r="E40" s="138" t="s">
        <v>597</v>
      </c>
      <c r="F40" s="57">
        <v>8360</v>
      </c>
      <c r="G40" s="64">
        <v>44</v>
      </c>
      <c r="H40" s="64" t="s">
        <v>164</v>
      </c>
      <c r="I40" s="55" t="s">
        <v>507</v>
      </c>
      <c r="J40" s="55">
        <v>46105</v>
      </c>
      <c r="K40" s="220" t="s">
        <v>545</v>
      </c>
      <c r="L40" s="326">
        <v>89090041850</v>
      </c>
      <c r="M40" s="53" t="s">
        <v>609</v>
      </c>
      <c r="N40" s="313"/>
      <c r="O40" s="57"/>
      <c r="P40" s="57"/>
      <c r="Q40" s="57">
        <v>8360</v>
      </c>
      <c r="R40" s="266" t="s">
        <v>718</v>
      </c>
      <c r="S40" s="90">
        <v>125000</v>
      </c>
      <c r="T40" s="61">
        <f t="shared" si="0"/>
        <v>1045000</v>
      </c>
    </row>
    <row r="41" spans="1:20" s="63" customFormat="1" ht="13.5" customHeight="1" x14ac:dyDescent="0.25">
      <c r="A41" s="64" t="s">
        <v>461</v>
      </c>
      <c r="B41" s="57" t="s">
        <v>679</v>
      </c>
      <c r="C41" s="57" t="s">
        <v>316</v>
      </c>
      <c r="D41" s="10" t="s">
        <v>222</v>
      </c>
      <c r="E41" s="56" t="s">
        <v>585</v>
      </c>
      <c r="F41" s="88">
        <v>20000</v>
      </c>
      <c r="G41" s="64">
        <v>800</v>
      </c>
      <c r="H41" s="64" t="s">
        <v>164</v>
      </c>
      <c r="I41" s="64" t="s">
        <v>507</v>
      </c>
      <c r="J41" s="55">
        <v>46105</v>
      </c>
      <c r="K41" s="339" t="s">
        <v>715</v>
      </c>
      <c r="L41" s="340">
        <v>89877987973</v>
      </c>
      <c r="M41" s="62" t="s">
        <v>714</v>
      </c>
      <c r="N41" s="137"/>
      <c r="O41" s="88">
        <v>20000</v>
      </c>
      <c r="P41" s="88"/>
      <c r="Q41" s="88"/>
      <c r="R41" s="53" t="s">
        <v>422</v>
      </c>
      <c r="S41" s="90">
        <v>44500</v>
      </c>
      <c r="T41" s="61">
        <f t="shared" si="0"/>
        <v>890000</v>
      </c>
    </row>
    <row r="42" spans="1:20" s="63" customFormat="1" ht="13.5" customHeight="1" x14ac:dyDescent="0.25">
      <c r="A42" s="64" t="s">
        <v>437</v>
      </c>
      <c r="B42" s="57" t="s">
        <v>708</v>
      </c>
      <c r="C42" s="57" t="s">
        <v>709</v>
      </c>
      <c r="D42" s="10" t="s">
        <v>222</v>
      </c>
      <c r="E42" s="56" t="s">
        <v>710</v>
      </c>
      <c r="F42" s="57">
        <v>20000</v>
      </c>
      <c r="G42" s="64">
        <v>800</v>
      </c>
      <c r="H42" s="64" t="s">
        <v>437</v>
      </c>
      <c r="I42" s="64" t="s">
        <v>507</v>
      </c>
      <c r="J42" s="55">
        <v>46106</v>
      </c>
      <c r="K42" s="325" t="s">
        <v>722</v>
      </c>
      <c r="L42" s="161">
        <v>89127517516</v>
      </c>
      <c r="M42" s="53" t="s">
        <v>721</v>
      </c>
      <c r="N42" s="149"/>
      <c r="O42" s="57">
        <v>20000</v>
      </c>
      <c r="P42" s="57"/>
      <c r="Q42" s="88"/>
      <c r="R42" s="53" t="s">
        <v>422</v>
      </c>
      <c r="S42" s="90">
        <v>41000</v>
      </c>
      <c r="T42" s="61">
        <f>S42*F42/1000</f>
        <v>820000</v>
      </c>
    </row>
    <row r="43" spans="1:20" s="63" customFormat="1" ht="13.5" customHeight="1" x14ac:dyDescent="0.25">
      <c r="A43" s="64" t="s">
        <v>429</v>
      </c>
      <c r="B43" s="57" t="s">
        <v>691</v>
      </c>
      <c r="C43" s="57" t="s">
        <v>163</v>
      </c>
      <c r="D43" s="10" t="s">
        <v>291</v>
      </c>
      <c r="E43" s="138" t="s">
        <v>765</v>
      </c>
      <c r="F43" s="57">
        <v>7000</v>
      </c>
      <c r="G43" s="64">
        <v>40</v>
      </c>
      <c r="H43" s="64" t="s">
        <v>725</v>
      </c>
      <c r="I43" s="55" t="s">
        <v>507</v>
      </c>
      <c r="J43" s="300">
        <v>46106</v>
      </c>
      <c r="K43" s="326" t="s">
        <v>720</v>
      </c>
      <c r="L43" s="229">
        <v>89505643387</v>
      </c>
      <c r="M43" s="53" t="s">
        <v>719</v>
      </c>
      <c r="N43" s="298"/>
      <c r="O43" s="57"/>
      <c r="P43" s="57"/>
      <c r="Q43" s="57">
        <v>7000</v>
      </c>
      <c r="R43" s="266" t="s">
        <v>731</v>
      </c>
      <c r="S43" s="90">
        <v>255000</v>
      </c>
      <c r="T43" s="61">
        <f t="shared" si="0"/>
        <v>1785000</v>
      </c>
    </row>
    <row r="44" spans="1:20" s="63" customFormat="1" ht="13.5" customHeight="1" x14ac:dyDescent="0.25">
      <c r="A44" s="64" t="s">
        <v>429</v>
      </c>
      <c r="B44" s="57" t="s">
        <v>691</v>
      </c>
      <c r="C44" s="57" t="s">
        <v>163</v>
      </c>
      <c r="D44" s="10" t="s">
        <v>291</v>
      </c>
      <c r="E44" s="138" t="s">
        <v>766</v>
      </c>
      <c r="F44" s="57">
        <v>7000</v>
      </c>
      <c r="G44" s="64">
        <v>40</v>
      </c>
      <c r="H44" s="64" t="s">
        <v>725</v>
      </c>
      <c r="I44" s="55" t="s">
        <v>507</v>
      </c>
      <c r="J44" s="300">
        <v>46106</v>
      </c>
      <c r="K44" s="326" t="s">
        <v>720</v>
      </c>
      <c r="L44" s="229">
        <v>89505643387</v>
      </c>
      <c r="M44" s="53" t="s">
        <v>719</v>
      </c>
      <c r="N44" s="298"/>
      <c r="O44" s="57"/>
      <c r="P44" s="57"/>
      <c r="Q44" s="57">
        <v>7000</v>
      </c>
      <c r="R44" s="266" t="s">
        <v>731</v>
      </c>
      <c r="S44" s="90">
        <v>255000</v>
      </c>
      <c r="T44" s="61">
        <f t="shared" si="0"/>
        <v>1785000</v>
      </c>
    </row>
    <row r="45" spans="1:20" s="63" customFormat="1" ht="13.5" customHeight="1" x14ac:dyDescent="0.25">
      <c r="A45" s="64" t="s">
        <v>426</v>
      </c>
      <c r="B45" s="57" t="s">
        <v>716</v>
      </c>
      <c r="C45" s="57" t="s">
        <v>163</v>
      </c>
      <c r="D45" s="10" t="s">
        <v>293</v>
      </c>
      <c r="E45" s="138" t="s">
        <v>767</v>
      </c>
      <c r="F45" s="57">
        <v>1750</v>
      </c>
      <c r="G45" s="64">
        <v>70</v>
      </c>
      <c r="H45" s="64" t="s">
        <v>725</v>
      </c>
      <c r="I45" s="55" t="s">
        <v>507</v>
      </c>
      <c r="J45" s="300">
        <v>46108</v>
      </c>
      <c r="K45" s="326" t="s">
        <v>726</v>
      </c>
      <c r="L45" s="326">
        <v>89216004800</v>
      </c>
      <c r="M45" s="53" t="s">
        <v>727</v>
      </c>
      <c r="N45" s="298"/>
      <c r="O45" s="57">
        <v>1750</v>
      </c>
      <c r="P45" s="57"/>
      <c r="Q45" s="57"/>
      <c r="R45" s="266" t="s">
        <v>737</v>
      </c>
      <c r="S45" s="90">
        <v>41000</v>
      </c>
      <c r="T45" s="61">
        <f t="shared" ref="T45:T56" si="1">S45*F45/1000</f>
        <v>71750</v>
      </c>
    </row>
    <row r="46" spans="1:20" s="63" customFormat="1" ht="13.5" customHeight="1" x14ac:dyDescent="0.25">
      <c r="A46" s="64" t="s">
        <v>426</v>
      </c>
      <c r="B46" s="57" t="s">
        <v>716</v>
      </c>
      <c r="C46" s="57" t="s">
        <v>163</v>
      </c>
      <c r="D46" s="10" t="s">
        <v>293</v>
      </c>
      <c r="E46" s="138" t="s">
        <v>768</v>
      </c>
      <c r="F46" s="57">
        <v>875</v>
      </c>
      <c r="G46" s="64">
        <v>35</v>
      </c>
      <c r="H46" s="64" t="s">
        <v>725</v>
      </c>
      <c r="I46" s="55" t="s">
        <v>507</v>
      </c>
      <c r="J46" s="300">
        <v>46108</v>
      </c>
      <c r="K46" s="326" t="s">
        <v>726</v>
      </c>
      <c r="L46" s="326">
        <v>89216004800</v>
      </c>
      <c r="M46" s="53" t="s">
        <v>727</v>
      </c>
      <c r="N46" s="298"/>
      <c r="O46" s="57">
        <v>875</v>
      </c>
      <c r="P46" s="57"/>
      <c r="Q46" s="57"/>
      <c r="R46" s="266" t="s">
        <v>737</v>
      </c>
      <c r="S46" s="90">
        <v>41000</v>
      </c>
      <c r="T46" s="61">
        <f t="shared" si="1"/>
        <v>35875</v>
      </c>
    </row>
    <row r="47" spans="1:20" s="63" customFormat="1" ht="13.5" customHeight="1" x14ac:dyDescent="0.25">
      <c r="A47" s="64" t="s">
        <v>426</v>
      </c>
      <c r="B47" s="57" t="s">
        <v>716</v>
      </c>
      <c r="C47" s="57" t="s">
        <v>163</v>
      </c>
      <c r="D47" s="10" t="s">
        <v>293</v>
      </c>
      <c r="E47" s="138" t="s">
        <v>769</v>
      </c>
      <c r="F47" s="57">
        <v>4375</v>
      </c>
      <c r="G47" s="335">
        <v>175</v>
      </c>
      <c r="H47" s="64" t="s">
        <v>725</v>
      </c>
      <c r="I47" s="55" t="s">
        <v>507</v>
      </c>
      <c r="J47" s="300">
        <v>46108</v>
      </c>
      <c r="K47" s="326" t="s">
        <v>726</v>
      </c>
      <c r="L47" s="326">
        <v>89216004800</v>
      </c>
      <c r="M47" s="53" t="s">
        <v>727</v>
      </c>
      <c r="N47" s="298"/>
      <c r="O47" s="57">
        <v>4375</v>
      </c>
      <c r="P47" s="57"/>
      <c r="Q47" s="57"/>
      <c r="R47" s="266" t="s">
        <v>737</v>
      </c>
      <c r="S47" s="90">
        <v>41000</v>
      </c>
      <c r="T47" s="61">
        <f t="shared" si="1"/>
        <v>179375</v>
      </c>
    </row>
    <row r="48" spans="1:20" s="63" customFormat="1" ht="13.5" customHeight="1" x14ac:dyDescent="0.25">
      <c r="A48" s="64" t="s">
        <v>426</v>
      </c>
      <c r="B48" s="57" t="s">
        <v>716</v>
      </c>
      <c r="C48" s="57" t="s">
        <v>163</v>
      </c>
      <c r="D48" s="10" t="s">
        <v>293</v>
      </c>
      <c r="E48" s="138" t="s">
        <v>770</v>
      </c>
      <c r="F48" s="57">
        <v>4375</v>
      </c>
      <c r="G48" s="335">
        <v>175</v>
      </c>
      <c r="H48" s="64" t="s">
        <v>725</v>
      </c>
      <c r="I48" s="55" t="s">
        <v>507</v>
      </c>
      <c r="J48" s="300">
        <v>46108</v>
      </c>
      <c r="K48" s="326" t="s">
        <v>726</v>
      </c>
      <c r="L48" s="326">
        <v>89216004800</v>
      </c>
      <c r="M48" s="53" t="s">
        <v>727</v>
      </c>
      <c r="N48" s="298"/>
      <c r="O48" s="57">
        <v>4375</v>
      </c>
      <c r="P48" s="57"/>
      <c r="Q48" s="57"/>
      <c r="R48" s="266" t="s">
        <v>737</v>
      </c>
      <c r="S48" s="90">
        <v>41000</v>
      </c>
      <c r="T48" s="61">
        <f t="shared" si="1"/>
        <v>179375</v>
      </c>
    </row>
    <row r="49" spans="1:20" s="63" customFormat="1" ht="13.5" customHeight="1" x14ac:dyDescent="0.25">
      <c r="A49" s="64" t="s">
        <v>426</v>
      </c>
      <c r="B49" s="57" t="s">
        <v>716</v>
      </c>
      <c r="C49" s="57" t="s">
        <v>163</v>
      </c>
      <c r="D49" s="10" t="s">
        <v>293</v>
      </c>
      <c r="E49" s="138" t="s">
        <v>771</v>
      </c>
      <c r="F49" s="57">
        <v>4375</v>
      </c>
      <c r="G49" s="335">
        <v>175</v>
      </c>
      <c r="H49" s="64" t="s">
        <v>725</v>
      </c>
      <c r="I49" s="55" t="s">
        <v>507</v>
      </c>
      <c r="J49" s="300">
        <v>46108</v>
      </c>
      <c r="K49" s="326" t="s">
        <v>726</v>
      </c>
      <c r="L49" s="326">
        <v>89216004800</v>
      </c>
      <c r="M49" s="53" t="s">
        <v>727</v>
      </c>
      <c r="N49" s="298"/>
      <c r="O49" s="57">
        <v>4375</v>
      </c>
      <c r="P49" s="57"/>
      <c r="Q49" s="57"/>
      <c r="R49" s="266" t="s">
        <v>737</v>
      </c>
      <c r="S49" s="90">
        <v>41000</v>
      </c>
      <c r="T49" s="61">
        <f t="shared" si="1"/>
        <v>179375</v>
      </c>
    </row>
    <row r="50" spans="1:20" s="63" customFormat="1" ht="13.5" customHeight="1" x14ac:dyDescent="0.25">
      <c r="A50" s="64" t="s">
        <v>426</v>
      </c>
      <c r="B50" s="57" t="s">
        <v>716</v>
      </c>
      <c r="C50" s="57" t="s">
        <v>163</v>
      </c>
      <c r="D50" s="10" t="s">
        <v>293</v>
      </c>
      <c r="E50" s="138" t="s">
        <v>772</v>
      </c>
      <c r="F50" s="57">
        <v>4375</v>
      </c>
      <c r="G50" s="335">
        <v>175</v>
      </c>
      <c r="H50" s="64" t="s">
        <v>725</v>
      </c>
      <c r="I50" s="55" t="s">
        <v>507</v>
      </c>
      <c r="J50" s="300">
        <v>46108</v>
      </c>
      <c r="K50" s="326" t="s">
        <v>726</v>
      </c>
      <c r="L50" s="326">
        <v>89216004800</v>
      </c>
      <c r="M50" s="53" t="s">
        <v>727</v>
      </c>
      <c r="N50" s="298"/>
      <c r="O50" s="57">
        <v>4375</v>
      </c>
      <c r="P50" s="57"/>
      <c r="Q50" s="57"/>
      <c r="R50" s="266" t="s">
        <v>737</v>
      </c>
      <c r="S50" s="90">
        <v>41000</v>
      </c>
      <c r="T50" s="61">
        <f t="shared" si="1"/>
        <v>179375</v>
      </c>
    </row>
    <row r="51" spans="1:20" s="63" customFormat="1" ht="13.5" customHeight="1" x14ac:dyDescent="0.25">
      <c r="A51" s="64" t="s">
        <v>429</v>
      </c>
      <c r="B51" s="57" t="s">
        <v>678</v>
      </c>
      <c r="C51" s="57" t="s">
        <v>316</v>
      </c>
      <c r="D51" s="10" t="s">
        <v>222</v>
      </c>
      <c r="E51" s="56" t="s">
        <v>585</v>
      </c>
      <c r="F51" s="88">
        <v>20000</v>
      </c>
      <c r="G51" s="64">
        <v>800</v>
      </c>
      <c r="H51" s="64" t="s">
        <v>695</v>
      </c>
      <c r="I51" s="64" t="s">
        <v>507</v>
      </c>
      <c r="J51" s="55">
        <v>46111</v>
      </c>
      <c r="K51" s="342" t="s">
        <v>723</v>
      </c>
      <c r="L51" s="151">
        <v>89638667943</v>
      </c>
      <c r="M51" s="62" t="s">
        <v>724</v>
      </c>
      <c r="N51" s="137"/>
      <c r="O51" s="88">
        <v>20000</v>
      </c>
      <c r="P51" s="88"/>
      <c r="Q51" s="88"/>
      <c r="R51" s="53" t="s">
        <v>422</v>
      </c>
      <c r="S51" s="90">
        <v>44500</v>
      </c>
      <c r="T51" s="61">
        <f t="shared" si="1"/>
        <v>890000</v>
      </c>
    </row>
    <row r="52" spans="1:20" s="63" customFormat="1" ht="13.5" customHeight="1" x14ac:dyDescent="0.25">
      <c r="A52" s="64" t="s">
        <v>461</v>
      </c>
      <c r="B52" s="57" t="s">
        <v>702</v>
      </c>
      <c r="C52" s="57" t="s">
        <v>703</v>
      </c>
      <c r="D52" s="10" t="s">
        <v>244</v>
      </c>
      <c r="E52" s="56" t="s">
        <v>687</v>
      </c>
      <c r="F52" s="57">
        <v>10000</v>
      </c>
      <c r="G52" s="64">
        <v>400</v>
      </c>
      <c r="H52" s="64" t="s">
        <v>444</v>
      </c>
      <c r="I52" s="64" t="s">
        <v>507</v>
      </c>
      <c r="J52" s="55">
        <v>46111</v>
      </c>
      <c r="K52" s="343" t="s">
        <v>732</v>
      </c>
      <c r="L52" s="161">
        <v>89015051787</v>
      </c>
      <c r="M52" s="53" t="s">
        <v>733</v>
      </c>
      <c r="N52" s="149"/>
      <c r="O52" s="57">
        <v>10000</v>
      </c>
      <c r="P52" s="57"/>
      <c r="Q52" s="88"/>
      <c r="R52" s="53" t="s">
        <v>422</v>
      </c>
      <c r="S52" s="90">
        <v>39000</v>
      </c>
      <c r="T52" s="61">
        <f t="shared" si="1"/>
        <v>390000</v>
      </c>
    </row>
    <row r="53" spans="1:20" s="63" customFormat="1" ht="13.5" customHeight="1" x14ac:dyDescent="0.25">
      <c r="A53" s="64" t="s">
        <v>461</v>
      </c>
      <c r="B53" s="57" t="s">
        <v>702</v>
      </c>
      <c r="C53" s="57" t="s">
        <v>703</v>
      </c>
      <c r="D53" s="10" t="s">
        <v>259</v>
      </c>
      <c r="E53" s="56" t="s">
        <v>689</v>
      </c>
      <c r="F53" s="57">
        <v>9600</v>
      </c>
      <c r="G53" s="64">
        <v>48</v>
      </c>
      <c r="H53" s="64" t="s">
        <v>444</v>
      </c>
      <c r="I53" s="64" t="s">
        <v>507</v>
      </c>
      <c r="J53" s="55">
        <v>46111</v>
      </c>
      <c r="K53" s="343" t="s">
        <v>732</v>
      </c>
      <c r="L53" s="161">
        <v>89015051787</v>
      </c>
      <c r="M53" s="53" t="s">
        <v>733</v>
      </c>
      <c r="N53" s="149"/>
      <c r="O53" s="57"/>
      <c r="P53" s="57"/>
      <c r="Q53" s="57">
        <v>9600</v>
      </c>
      <c r="R53" s="53" t="s">
        <v>422</v>
      </c>
      <c r="S53" s="90">
        <v>250000</v>
      </c>
      <c r="T53" s="61">
        <f t="shared" si="1"/>
        <v>2400000</v>
      </c>
    </row>
    <row r="54" spans="1:20" s="63" customFormat="1" ht="13.5" customHeight="1" x14ac:dyDescent="0.25">
      <c r="A54" s="64" t="s">
        <v>461</v>
      </c>
      <c r="B54" s="57" t="s">
        <v>717</v>
      </c>
      <c r="C54" s="57" t="s">
        <v>318</v>
      </c>
      <c r="D54" s="89" t="s">
        <v>349</v>
      </c>
      <c r="E54" s="56" t="s">
        <v>688</v>
      </c>
      <c r="F54" s="88">
        <v>20000</v>
      </c>
      <c r="G54" s="64">
        <v>800</v>
      </c>
      <c r="H54" s="64" t="s">
        <v>444</v>
      </c>
      <c r="I54" s="64" t="s">
        <v>507</v>
      </c>
      <c r="J54" s="55">
        <v>46111</v>
      </c>
      <c r="K54" s="224" t="s">
        <v>734</v>
      </c>
      <c r="L54" s="224">
        <v>89207597671</v>
      </c>
      <c r="M54" s="225" t="s">
        <v>735</v>
      </c>
      <c r="N54" s="137"/>
      <c r="O54" s="88">
        <v>20000</v>
      </c>
      <c r="P54" s="88"/>
      <c r="Q54" s="88"/>
      <c r="R54" s="53" t="s">
        <v>422</v>
      </c>
      <c r="S54" s="90">
        <v>44300</v>
      </c>
      <c r="T54" s="61">
        <f t="shared" si="1"/>
        <v>886000</v>
      </c>
    </row>
    <row r="55" spans="1:20" s="63" customFormat="1" ht="13.5" customHeight="1" x14ac:dyDescent="0.25">
      <c r="A55" s="64" t="s">
        <v>470</v>
      </c>
      <c r="B55" s="57" t="s">
        <v>675</v>
      </c>
      <c r="C55" s="57" t="s">
        <v>352</v>
      </c>
      <c r="D55" s="89" t="s">
        <v>222</v>
      </c>
      <c r="E55" s="56" t="s">
        <v>334</v>
      </c>
      <c r="F55" s="88">
        <v>20000</v>
      </c>
      <c r="G55" s="64">
        <v>800</v>
      </c>
      <c r="H55" s="64" t="s">
        <v>164</v>
      </c>
      <c r="I55" s="64" t="s">
        <v>507</v>
      </c>
      <c r="J55" s="55">
        <v>46112</v>
      </c>
      <c r="K55" s="356" t="s">
        <v>463</v>
      </c>
      <c r="L55" s="151">
        <v>89116825992</v>
      </c>
      <c r="M55" s="62" t="s">
        <v>462</v>
      </c>
      <c r="N55" s="137"/>
      <c r="O55" s="88">
        <v>20000</v>
      </c>
      <c r="P55" s="88"/>
      <c r="Q55" s="57"/>
      <c r="R55" s="53" t="s">
        <v>422</v>
      </c>
      <c r="S55" s="90">
        <v>44500</v>
      </c>
      <c r="T55" s="61">
        <f t="shared" si="1"/>
        <v>890000</v>
      </c>
    </row>
    <row r="56" spans="1:20" s="63" customFormat="1" ht="13.5" customHeight="1" x14ac:dyDescent="0.25">
      <c r="A56" s="64" t="s">
        <v>437</v>
      </c>
      <c r="B56" s="57" t="s">
        <v>728</v>
      </c>
      <c r="C56" s="57" t="s">
        <v>709</v>
      </c>
      <c r="D56" s="10" t="s">
        <v>222</v>
      </c>
      <c r="E56" s="56" t="s">
        <v>710</v>
      </c>
      <c r="F56" s="57">
        <v>18000</v>
      </c>
      <c r="G56" s="64">
        <v>720</v>
      </c>
      <c r="H56" s="64" t="s">
        <v>437</v>
      </c>
      <c r="I56" s="64" t="s">
        <v>507</v>
      </c>
      <c r="J56" s="55">
        <v>46112</v>
      </c>
      <c r="K56" s="325" t="s">
        <v>742</v>
      </c>
      <c r="L56" s="161">
        <v>89821240570</v>
      </c>
      <c r="M56" s="53" t="s">
        <v>743</v>
      </c>
      <c r="N56" s="149"/>
      <c r="O56" s="57">
        <v>18000</v>
      </c>
      <c r="P56" s="57"/>
      <c r="Q56" s="88"/>
      <c r="R56" s="53" t="s">
        <v>422</v>
      </c>
      <c r="S56" s="90">
        <v>41000</v>
      </c>
      <c r="T56" s="61">
        <f t="shared" si="1"/>
        <v>738000</v>
      </c>
    </row>
    <row r="57" spans="1:20" ht="21" customHeight="1" x14ac:dyDescent="0.3">
      <c r="A57" s="190"/>
      <c r="B57" s="191"/>
      <c r="C57" s="191"/>
      <c r="D57" s="192"/>
      <c r="E57" s="193"/>
      <c r="F57" s="191"/>
      <c r="G57" s="190"/>
      <c r="H57" s="190"/>
      <c r="I57" s="190"/>
      <c r="J57" s="194"/>
      <c r="K57" s="190"/>
      <c r="L57" s="195"/>
      <c r="M57" s="191"/>
      <c r="N57" s="191"/>
      <c r="O57" s="191"/>
      <c r="P57" s="191"/>
      <c r="Q57" s="191"/>
      <c r="R57" s="191"/>
      <c r="S57" s="196"/>
      <c r="T57" s="196">
        <f>SUM(T6:T56)</f>
        <v>45695005</v>
      </c>
    </row>
    <row r="58" spans="1:20" ht="21" customHeight="1" x14ac:dyDescent="0.3">
      <c r="A58" s="136" t="s">
        <v>14</v>
      </c>
      <c r="B58" s="95">
        <f>SUM($F$5:$F$57)/1000</f>
        <v>476.86900000000003</v>
      </c>
      <c r="C58" s="54" t="s">
        <v>13</v>
      </c>
    </row>
    <row r="59" spans="1:20" ht="23.25" customHeight="1" x14ac:dyDescent="0.3">
      <c r="A59" s="101" t="s">
        <v>15</v>
      </c>
      <c r="B59" s="96">
        <f>$B$60+$B$61+$B$62</f>
        <v>476.86900000000003</v>
      </c>
      <c r="C59" s="1" t="s">
        <v>13</v>
      </c>
      <c r="E59" s="198"/>
      <c r="F59" s="135" t="s">
        <v>304</v>
      </c>
      <c r="G59" s="135"/>
    </row>
    <row r="60" spans="1:20" ht="23.25" customHeight="1" x14ac:dyDescent="0.3">
      <c r="A60" s="102" t="s">
        <v>16</v>
      </c>
      <c r="B60" s="94">
        <f>SUM(O5:O57)/1000</f>
        <v>295.125</v>
      </c>
      <c r="C60" s="2" t="s">
        <v>13</v>
      </c>
      <c r="D60" s="145"/>
      <c r="E60" s="297"/>
      <c r="F60" s="135" t="s">
        <v>303</v>
      </c>
      <c r="G60" s="135"/>
    </row>
    <row r="61" spans="1:20" ht="23.25" customHeight="1" x14ac:dyDescent="0.3">
      <c r="A61" s="102" t="s">
        <v>152</v>
      </c>
      <c r="B61" s="94">
        <f>SUM(P5:P57)/1000</f>
        <v>67.823999999999998</v>
      </c>
      <c r="C61" s="2" t="s">
        <v>13</v>
      </c>
      <c r="E61" s="141"/>
      <c r="F61" s="135" t="s">
        <v>302</v>
      </c>
      <c r="G61" s="135"/>
    </row>
    <row r="62" spans="1:20" ht="23.25" customHeight="1" x14ac:dyDescent="0.3">
      <c r="A62" s="102" t="s">
        <v>23</v>
      </c>
      <c r="B62" s="94">
        <f>SUM(Q5:Q57)/1000</f>
        <v>113.92</v>
      </c>
      <c r="C62" s="2" t="s">
        <v>13</v>
      </c>
      <c r="E62" s="142"/>
      <c r="F62" s="135" t="s">
        <v>307</v>
      </c>
    </row>
    <row r="63" spans="1:20" ht="23.25" customHeight="1" thickBot="1" x14ac:dyDescent="0.35">
      <c r="A63" s="103" t="s">
        <v>19</v>
      </c>
      <c r="B63" s="97">
        <f>$B$58-$B$59</f>
        <v>0</v>
      </c>
      <c r="C63" s="3" t="s">
        <v>13</v>
      </c>
      <c r="E63" s="165"/>
      <c r="F63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63" xr:uid="{00000000-0009-0000-0000-000001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54" type="noConversion"/>
  <dataValidations count="1">
    <dataValidation type="list" allowBlank="1" showInputMessage="1" showErrorMessage="1" sqref="D36:D37" xr:uid="{00000000-0002-0000-0100-000000000000}">
      <formula1>$E$2:$E$134</formula1>
    </dataValidation>
  </dataValidations>
  <pageMargins left="0.7" right="0.7" top="0.75" bottom="0.75" header="0.3" footer="0.3"/>
  <pageSetup paperSize="9" scale="28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'C:\Users\user\YandexDisk\ЗАКАЗЫ общая\[ЗАКАЗЫ 2025.xlsx]справочник'!#REF!</xm:f>
          </x14:formula1>
          <xm:sqref>D23</xm:sqref>
        </x14:dataValidation>
        <x14:dataValidation type="list" allowBlank="1" showInputMessage="1" showErrorMessage="1" xr:uid="{00000000-0002-0000-0100-000002000000}">
          <x14:formula1>
            <xm:f>справочник!$E$2:$E$182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4"/>
  <sheetViews>
    <sheetView zoomScale="70" zoomScaleNormal="70" zoomScaleSheetLayoutView="70" workbookViewId="0">
      <pane ySplit="3" topLeftCell="A10" activePane="bottomLeft" state="frozen"/>
      <selection pane="bottomLeft" activeCell="A55" sqref="A55:XFD55"/>
    </sheetView>
  </sheetViews>
  <sheetFormatPr defaultRowHeight="15" x14ac:dyDescent="0.25"/>
  <cols>
    <col min="1" max="1" width="18" style="104" customWidth="1"/>
    <col min="2" max="2" width="27.42578125" bestFit="1" customWidth="1"/>
    <col min="3" max="3" width="17" customWidth="1"/>
    <col min="4" max="4" width="41" customWidth="1"/>
    <col min="5" max="5" width="15.5703125" style="140" customWidth="1"/>
    <col min="6" max="6" width="13" bestFit="1" customWidth="1"/>
    <col min="7" max="7" width="15.5703125" customWidth="1"/>
    <col min="8" max="8" width="22.42578125" customWidth="1"/>
    <col min="9" max="9" width="24.28515625" customWidth="1"/>
    <col min="10" max="10" width="20.28515625" customWidth="1"/>
    <col min="11" max="11" width="29.7109375" customWidth="1"/>
    <col min="12" max="12" width="26.7109375" customWidth="1"/>
    <col min="13" max="13" width="28.710937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46054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0" t="s">
        <v>158</v>
      </c>
      <c r="B2" s="432" t="s">
        <v>17</v>
      </c>
      <c r="C2" s="434" t="s">
        <v>155</v>
      </c>
      <c r="D2" s="436" t="s">
        <v>4</v>
      </c>
      <c r="E2" s="438" t="s">
        <v>5</v>
      </c>
      <c r="F2" s="428" t="s">
        <v>0</v>
      </c>
      <c r="G2" s="429"/>
      <c r="H2" s="441" t="s">
        <v>2</v>
      </c>
      <c r="I2" s="443" t="s">
        <v>3</v>
      </c>
      <c r="J2" s="445" t="s">
        <v>6</v>
      </c>
      <c r="K2" s="447" t="s">
        <v>7</v>
      </c>
      <c r="L2" s="448"/>
      <c r="M2" s="449"/>
      <c r="N2" s="99" t="s">
        <v>9</v>
      </c>
      <c r="O2" s="450" t="s">
        <v>11</v>
      </c>
      <c r="P2" s="451"/>
      <c r="Q2" s="452"/>
      <c r="R2" s="453" t="s">
        <v>150</v>
      </c>
      <c r="S2" s="440" t="s">
        <v>160</v>
      </c>
      <c r="T2" s="91"/>
    </row>
    <row r="3" spans="1:20" x14ac:dyDescent="0.25">
      <c r="A3" s="431"/>
      <c r="B3" s="433"/>
      <c r="C3" s="435"/>
      <c r="D3" s="437"/>
      <c r="E3" s="439"/>
      <c r="F3" s="130" t="s">
        <v>1</v>
      </c>
      <c r="G3" s="130" t="s">
        <v>154</v>
      </c>
      <c r="H3" s="442"/>
      <c r="I3" s="444"/>
      <c r="J3" s="446"/>
      <c r="K3" s="231" t="s">
        <v>8</v>
      </c>
      <c r="L3" s="231" t="s">
        <v>20</v>
      </c>
      <c r="M3" s="231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54"/>
      <c r="S3" s="440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429</v>
      </c>
      <c r="B5" s="57" t="s">
        <v>412</v>
      </c>
      <c r="C5" s="57" t="s">
        <v>405</v>
      </c>
      <c r="D5" s="89" t="s">
        <v>156</v>
      </c>
      <c r="E5" s="217" t="s">
        <v>453</v>
      </c>
      <c r="F5" s="88">
        <v>2400</v>
      </c>
      <c r="G5" s="64">
        <v>12</v>
      </c>
      <c r="H5" s="64" t="s">
        <v>406</v>
      </c>
      <c r="I5" s="228" t="s">
        <v>507</v>
      </c>
      <c r="J5" s="55">
        <v>46055</v>
      </c>
      <c r="K5" s="229" t="s">
        <v>490</v>
      </c>
      <c r="L5" s="230">
        <v>89966862434</v>
      </c>
      <c r="M5" s="53" t="s">
        <v>491</v>
      </c>
      <c r="N5" s="149"/>
      <c r="O5" s="57"/>
      <c r="P5" s="57"/>
      <c r="Q5" s="88">
        <v>2400</v>
      </c>
      <c r="R5" s="53" t="s">
        <v>422</v>
      </c>
      <c r="S5" s="90">
        <v>85500</v>
      </c>
      <c r="T5" s="61">
        <f>S5*F5/1000</f>
        <v>205200</v>
      </c>
    </row>
    <row r="6" spans="1:20" s="63" customFormat="1" ht="13.5" customHeight="1" x14ac:dyDescent="0.25">
      <c r="A6" s="64" t="s">
        <v>429</v>
      </c>
      <c r="B6" s="57" t="s">
        <v>412</v>
      </c>
      <c r="C6" s="57" t="s">
        <v>405</v>
      </c>
      <c r="D6" s="89" t="s">
        <v>156</v>
      </c>
      <c r="E6" s="217" t="s">
        <v>454</v>
      </c>
      <c r="F6" s="88">
        <v>7200</v>
      </c>
      <c r="G6" s="64">
        <v>36</v>
      </c>
      <c r="H6" s="64" t="s">
        <v>406</v>
      </c>
      <c r="I6" s="228" t="s">
        <v>507</v>
      </c>
      <c r="J6" s="55">
        <v>46055</v>
      </c>
      <c r="K6" s="229" t="s">
        <v>490</v>
      </c>
      <c r="L6" s="230">
        <v>89966862434</v>
      </c>
      <c r="M6" s="53" t="s">
        <v>491</v>
      </c>
      <c r="N6" s="149"/>
      <c r="O6" s="57"/>
      <c r="P6" s="57"/>
      <c r="Q6" s="88">
        <v>7200</v>
      </c>
      <c r="R6" s="53" t="s">
        <v>422</v>
      </c>
      <c r="S6" s="90">
        <v>85500</v>
      </c>
      <c r="T6" s="61">
        <f>S6*F6/1000</f>
        <v>615600</v>
      </c>
    </row>
    <row r="7" spans="1:20" s="63" customFormat="1" ht="13.5" customHeight="1" x14ac:dyDescent="0.25">
      <c r="A7" s="64" t="s">
        <v>429</v>
      </c>
      <c r="B7" s="57" t="s">
        <v>412</v>
      </c>
      <c r="C7" s="57" t="s">
        <v>405</v>
      </c>
      <c r="D7" s="89" t="s">
        <v>156</v>
      </c>
      <c r="E7" s="217" t="s">
        <v>455</v>
      </c>
      <c r="F7" s="88">
        <v>4800</v>
      </c>
      <c r="G7" s="64">
        <v>24</v>
      </c>
      <c r="H7" s="64" t="s">
        <v>406</v>
      </c>
      <c r="I7" s="228" t="s">
        <v>507</v>
      </c>
      <c r="J7" s="55">
        <v>46055</v>
      </c>
      <c r="K7" s="229" t="s">
        <v>490</v>
      </c>
      <c r="L7" s="230">
        <v>89966862434</v>
      </c>
      <c r="M7" s="53" t="s">
        <v>491</v>
      </c>
      <c r="N7" s="149"/>
      <c r="O7" s="57"/>
      <c r="P7" s="57"/>
      <c r="Q7" s="88">
        <v>4800</v>
      </c>
      <c r="R7" s="53" t="s">
        <v>422</v>
      </c>
      <c r="S7" s="90">
        <v>85500</v>
      </c>
      <c r="T7" s="61">
        <f>S7*F7/1000</f>
        <v>410400</v>
      </c>
    </row>
    <row r="8" spans="1:20" s="63" customFormat="1" ht="13.5" customHeight="1" x14ac:dyDescent="0.25">
      <c r="A8" s="64" t="s">
        <v>429</v>
      </c>
      <c r="B8" s="57" t="s">
        <v>412</v>
      </c>
      <c r="C8" s="57" t="s">
        <v>405</v>
      </c>
      <c r="D8" s="89" t="s">
        <v>156</v>
      </c>
      <c r="E8" s="217" t="s">
        <v>460</v>
      </c>
      <c r="F8" s="88">
        <v>3200</v>
      </c>
      <c r="G8" s="64">
        <v>16</v>
      </c>
      <c r="H8" s="64" t="s">
        <v>406</v>
      </c>
      <c r="I8" s="228" t="s">
        <v>507</v>
      </c>
      <c r="J8" s="55">
        <v>46055</v>
      </c>
      <c r="K8" s="229" t="s">
        <v>490</v>
      </c>
      <c r="L8" s="230">
        <v>89966862434</v>
      </c>
      <c r="M8" s="53" t="s">
        <v>491</v>
      </c>
      <c r="N8" s="149"/>
      <c r="O8" s="57"/>
      <c r="P8" s="57"/>
      <c r="Q8" s="88">
        <v>3200</v>
      </c>
      <c r="R8" s="53" t="s">
        <v>422</v>
      </c>
      <c r="S8" s="90">
        <v>85500</v>
      </c>
      <c r="T8" s="61">
        <f>S8*F8/1000</f>
        <v>273600</v>
      </c>
    </row>
    <row r="9" spans="1:20" s="63" customFormat="1" ht="13.5" customHeight="1" x14ac:dyDescent="0.25">
      <c r="A9" s="64" t="s">
        <v>461</v>
      </c>
      <c r="B9" s="57" t="s">
        <v>381</v>
      </c>
      <c r="C9" s="57" t="s">
        <v>317</v>
      </c>
      <c r="D9" s="10" t="s">
        <v>233</v>
      </c>
      <c r="E9" s="56" t="s">
        <v>382</v>
      </c>
      <c r="F9" s="57">
        <v>20000</v>
      </c>
      <c r="G9" s="64">
        <v>800</v>
      </c>
      <c r="H9" s="64" t="s">
        <v>164</v>
      </c>
      <c r="I9" s="55" t="s">
        <v>507</v>
      </c>
      <c r="J9" s="55">
        <v>46055</v>
      </c>
      <c r="K9" s="53" t="s">
        <v>504</v>
      </c>
      <c r="L9" s="226">
        <v>89228293405</v>
      </c>
      <c r="M9" s="53" t="s">
        <v>503</v>
      </c>
      <c r="N9" s="149"/>
      <c r="O9" s="57">
        <v>20000</v>
      </c>
      <c r="P9" s="57"/>
      <c r="Q9" s="57"/>
      <c r="R9" s="53" t="s">
        <v>422</v>
      </c>
      <c r="S9" s="90">
        <v>41500</v>
      </c>
      <c r="T9" s="61">
        <f t="shared" ref="T9:T16" si="0">S9*F9/1000</f>
        <v>830000</v>
      </c>
    </row>
    <row r="10" spans="1:20" s="63" customFormat="1" ht="13.5" customHeight="1" x14ac:dyDescent="0.25">
      <c r="A10" s="64" t="s">
        <v>461</v>
      </c>
      <c r="B10" s="57" t="s">
        <v>464</v>
      </c>
      <c r="C10" s="57" t="s">
        <v>316</v>
      </c>
      <c r="D10" s="10" t="s">
        <v>222</v>
      </c>
      <c r="E10" s="56" t="s">
        <v>466</v>
      </c>
      <c r="F10" s="88">
        <v>10000</v>
      </c>
      <c r="G10" s="64">
        <v>400</v>
      </c>
      <c r="H10" s="64" t="s">
        <v>467</v>
      </c>
      <c r="I10" s="64" t="s">
        <v>507</v>
      </c>
      <c r="J10" s="55">
        <v>46055</v>
      </c>
      <c r="K10" s="247" t="s">
        <v>506</v>
      </c>
      <c r="L10" s="151">
        <v>89923370709</v>
      </c>
      <c r="M10" s="62" t="s">
        <v>505</v>
      </c>
      <c r="N10" s="137"/>
      <c r="O10" s="88">
        <v>10000</v>
      </c>
      <c r="P10" s="88"/>
      <c r="Q10" s="88"/>
      <c r="R10" s="53" t="s">
        <v>422</v>
      </c>
      <c r="S10" s="90">
        <v>44500</v>
      </c>
      <c r="T10" s="61">
        <f t="shared" si="0"/>
        <v>445000</v>
      </c>
    </row>
    <row r="11" spans="1:20" s="63" customFormat="1" ht="13.5" customHeight="1" x14ac:dyDescent="0.25">
      <c r="A11" s="64" t="s">
        <v>461</v>
      </c>
      <c r="B11" s="57" t="s">
        <v>464</v>
      </c>
      <c r="C11" s="57" t="s">
        <v>316</v>
      </c>
      <c r="D11" s="10" t="s">
        <v>166</v>
      </c>
      <c r="E11" s="56" t="s">
        <v>465</v>
      </c>
      <c r="F11" s="57">
        <v>9600</v>
      </c>
      <c r="G11" s="64">
        <v>48</v>
      </c>
      <c r="H11" s="64" t="s">
        <v>467</v>
      </c>
      <c r="I11" s="64" t="s">
        <v>507</v>
      </c>
      <c r="J11" s="55">
        <v>46055</v>
      </c>
      <c r="K11" s="247" t="s">
        <v>506</v>
      </c>
      <c r="L11" s="161">
        <v>89923370709</v>
      </c>
      <c r="M11" s="62" t="s">
        <v>505</v>
      </c>
      <c r="N11" s="149"/>
      <c r="O11" s="57"/>
      <c r="P11" s="57"/>
      <c r="Q11" s="57">
        <v>9600</v>
      </c>
      <c r="R11" s="53" t="s">
        <v>422</v>
      </c>
      <c r="S11" s="90">
        <v>89000</v>
      </c>
      <c r="T11" s="61">
        <f t="shared" si="0"/>
        <v>854400</v>
      </c>
    </row>
    <row r="12" spans="1:20" s="63" customFormat="1" ht="13.5" customHeight="1" x14ac:dyDescent="0.25">
      <c r="A12" s="64" t="s">
        <v>429</v>
      </c>
      <c r="B12" s="57" t="s">
        <v>413</v>
      </c>
      <c r="C12" s="57" t="s">
        <v>405</v>
      </c>
      <c r="D12" s="89" t="s">
        <v>156</v>
      </c>
      <c r="E12" s="217" t="s">
        <v>460</v>
      </c>
      <c r="F12" s="88">
        <v>3200</v>
      </c>
      <c r="G12" s="64">
        <v>16</v>
      </c>
      <c r="H12" s="64" t="s">
        <v>406</v>
      </c>
      <c r="I12" s="228" t="s">
        <v>507</v>
      </c>
      <c r="J12" s="228">
        <v>46056</v>
      </c>
      <c r="K12" s="229" t="s">
        <v>509</v>
      </c>
      <c r="L12" s="230">
        <v>89174985876</v>
      </c>
      <c r="M12" s="53" t="s">
        <v>508</v>
      </c>
      <c r="N12" s="149"/>
      <c r="O12" s="57"/>
      <c r="P12" s="57"/>
      <c r="Q12" s="88">
        <v>3200</v>
      </c>
      <c r="R12" s="53" t="s">
        <v>422</v>
      </c>
      <c r="S12" s="90">
        <v>85500</v>
      </c>
      <c r="T12" s="61">
        <f t="shared" si="0"/>
        <v>273600</v>
      </c>
    </row>
    <row r="13" spans="1:20" s="63" customFormat="1" ht="13.5" customHeight="1" x14ac:dyDescent="0.25">
      <c r="A13" s="64" t="s">
        <v>429</v>
      </c>
      <c r="B13" s="57" t="s">
        <v>413</v>
      </c>
      <c r="C13" s="57" t="s">
        <v>405</v>
      </c>
      <c r="D13" s="89" t="s">
        <v>156</v>
      </c>
      <c r="E13" s="217" t="s">
        <v>441</v>
      </c>
      <c r="F13" s="88">
        <v>7200</v>
      </c>
      <c r="G13" s="64">
        <v>36</v>
      </c>
      <c r="H13" s="64" t="s">
        <v>406</v>
      </c>
      <c r="I13" s="228" t="s">
        <v>507</v>
      </c>
      <c r="J13" s="228">
        <v>46056</v>
      </c>
      <c r="K13" s="229" t="s">
        <v>509</v>
      </c>
      <c r="L13" s="230">
        <v>89174985876</v>
      </c>
      <c r="M13" s="53" t="s">
        <v>508</v>
      </c>
      <c r="N13" s="149"/>
      <c r="O13" s="57"/>
      <c r="P13" s="57"/>
      <c r="Q13" s="88">
        <v>7200</v>
      </c>
      <c r="R13" s="53" t="s">
        <v>422</v>
      </c>
      <c r="S13" s="90">
        <v>85500</v>
      </c>
      <c r="T13" s="61">
        <f t="shared" si="0"/>
        <v>615600</v>
      </c>
    </row>
    <row r="14" spans="1:20" s="63" customFormat="1" ht="13.5" customHeight="1" x14ac:dyDescent="0.25">
      <c r="A14" s="64" t="s">
        <v>429</v>
      </c>
      <c r="B14" s="57" t="s">
        <v>413</v>
      </c>
      <c r="C14" s="57" t="s">
        <v>405</v>
      </c>
      <c r="D14" s="89" t="s">
        <v>156</v>
      </c>
      <c r="E14" s="217" t="s">
        <v>489</v>
      </c>
      <c r="F14" s="88">
        <v>6400</v>
      </c>
      <c r="G14" s="64">
        <v>32</v>
      </c>
      <c r="H14" s="64" t="s">
        <v>406</v>
      </c>
      <c r="I14" s="228" t="s">
        <v>507</v>
      </c>
      <c r="J14" s="228">
        <v>46056</v>
      </c>
      <c r="K14" s="229" t="s">
        <v>509</v>
      </c>
      <c r="L14" s="230">
        <v>89174985876</v>
      </c>
      <c r="M14" s="53" t="s">
        <v>508</v>
      </c>
      <c r="N14" s="149"/>
      <c r="O14" s="57"/>
      <c r="P14" s="57"/>
      <c r="Q14" s="88">
        <v>6400</v>
      </c>
      <c r="R14" s="53" t="s">
        <v>422</v>
      </c>
      <c r="S14" s="90">
        <v>85500</v>
      </c>
      <c r="T14" s="61">
        <f t="shared" si="0"/>
        <v>547200</v>
      </c>
    </row>
    <row r="15" spans="1:20" s="63" customFormat="1" ht="13.5" customHeight="1" x14ac:dyDescent="0.25">
      <c r="A15" s="64" t="s">
        <v>429</v>
      </c>
      <c r="B15" s="57" t="s">
        <v>413</v>
      </c>
      <c r="C15" s="57" t="s">
        <v>405</v>
      </c>
      <c r="D15" s="89" t="s">
        <v>156</v>
      </c>
      <c r="E15" s="217" t="s">
        <v>492</v>
      </c>
      <c r="F15" s="88">
        <v>800</v>
      </c>
      <c r="G15" s="64">
        <v>4</v>
      </c>
      <c r="H15" s="64" t="s">
        <v>406</v>
      </c>
      <c r="I15" s="228" t="s">
        <v>507</v>
      </c>
      <c r="J15" s="228">
        <v>46056</v>
      </c>
      <c r="K15" s="229" t="s">
        <v>509</v>
      </c>
      <c r="L15" s="230">
        <v>89174985876</v>
      </c>
      <c r="M15" s="53" t="s">
        <v>508</v>
      </c>
      <c r="N15" s="149"/>
      <c r="O15" s="57"/>
      <c r="P15" s="57"/>
      <c r="Q15" s="88">
        <v>800</v>
      </c>
      <c r="R15" s="53" t="s">
        <v>422</v>
      </c>
      <c r="S15" s="90">
        <v>85500</v>
      </c>
      <c r="T15" s="61">
        <f t="shared" si="0"/>
        <v>68400</v>
      </c>
    </row>
    <row r="16" spans="1:20" s="63" customFormat="1" ht="13.5" customHeight="1" x14ac:dyDescent="0.25">
      <c r="A16" s="64" t="s">
        <v>461</v>
      </c>
      <c r="B16" s="57" t="s">
        <v>493</v>
      </c>
      <c r="C16" s="57" t="s">
        <v>398</v>
      </c>
      <c r="D16" s="10" t="s">
        <v>349</v>
      </c>
      <c r="E16" s="138" t="s">
        <v>492</v>
      </c>
      <c r="F16" s="57">
        <v>20000</v>
      </c>
      <c r="G16" s="64">
        <v>800</v>
      </c>
      <c r="H16" s="64" t="s">
        <v>399</v>
      </c>
      <c r="I16" s="55" t="s">
        <v>507</v>
      </c>
      <c r="J16" s="55">
        <v>46056</v>
      </c>
      <c r="K16" s="53" t="s">
        <v>511</v>
      </c>
      <c r="L16" s="226">
        <v>89371557300</v>
      </c>
      <c r="M16" s="53" t="s">
        <v>510</v>
      </c>
      <c r="N16" s="149"/>
      <c r="O16" s="57">
        <v>20000</v>
      </c>
      <c r="P16" s="57"/>
      <c r="Q16" s="57"/>
      <c r="R16" s="53" t="s">
        <v>422</v>
      </c>
      <c r="S16" s="90">
        <v>43500</v>
      </c>
      <c r="T16" s="61">
        <f t="shared" si="0"/>
        <v>870000</v>
      </c>
    </row>
    <row r="17" spans="1:20" s="63" customFormat="1" ht="13.5" customHeight="1" x14ac:dyDescent="0.25">
      <c r="A17" s="64" t="s">
        <v>429</v>
      </c>
      <c r="B17" s="57" t="s">
        <v>494</v>
      </c>
      <c r="C17" s="57" t="s">
        <v>398</v>
      </c>
      <c r="D17" s="10" t="s">
        <v>349</v>
      </c>
      <c r="E17" s="138" t="s">
        <v>517</v>
      </c>
      <c r="F17" s="57">
        <v>20000</v>
      </c>
      <c r="G17" s="64">
        <v>800</v>
      </c>
      <c r="H17" s="64" t="s">
        <v>399</v>
      </c>
      <c r="I17" s="55" t="s">
        <v>507</v>
      </c>
      <c r="J17" s="55">
        <v>46057</v>
      </c>
      <c r="K17" s="53" t="s">
        <v>521</v>
      </c>
      <c r="L17" s="226">
        <v>89068273915</v>
      </c>
      <c r="M17" s="53" t="s">
        <v>520</v>
      </c>
      <c r="N17" s="149"/>
      <c r="O17" s="57">
        <v>20000</v>
      </c>
      <c r="P17" s="57"/>
      <c r="Q17" s="57"/>
      <c r="R17" s="53" t="s">
        <v>422</v>
      </c>
      <c r="S17" s="90">
        <v>43500</v>
      </c>
      <c r="T17" s="61">
        <f t="shared" ref="T17:T32" si="1">S17*F17/1000</f>
        <v>870000</v>
      </c>
    </row>
    <row r="18" spans="1:20" s="63" customFormat="1" ht="13.5" customHeight="1" x14ac:dyDescent="0.25">
      <c r="A18" s="64" t="s">
        <v>531</v>
      </c>
      <c r="B18" s="57" t="s">
        <v>414</v>
      </c>
      <c r="C18" s="57" t="s">
        <v>405</v>
      </c>
      <c r="D18" s="89" t="s">
        <v>156</v>
      </c>
      <c r="E18" s="217" t="s">
        <v>492</v>
      </c>
      <c r="F18" s="88">
        <v>6400</v>
      </c>
      <c r="G18" s="64">
        <v>32</v>
      </c>
      <c r="H18" s="64" t="s">
        <v>406</v>
      </c>
      <c r="I18" s="228" t="s">
        <v>507</v>
      </c>
      <c r="J18" s="55">
        <v>46058</v>
      </c>
      <c r="K18" s="229" t="s">
        <v>529</v>
      </c>
      <c r="L18" s="230">
        <v>89080063420</v>
      </c>
      <c r="M18" s="53" t="s">
        <v>528</v>
      </c>
      <c r="N18" s="149"/>
      <c r="O18" s="57"/>
      <c r="P18" s="57"/>
      <c r="Q18" s="88">
        <v>6400</v>
      </c>
      <c r="R18" s="53" t="s">
        <v>422</v>
      </c>
      <c r="S18" s="90">
        <v>85500</v>
      </c>
      <c r="T18" s="61">
        <f t="shared" si="1"/>
        <v>547200</v>
      </c>
    </row>
    <row r="19" spans="1:20" s="63" customFormat="1" ht="13.5" customHeight="1" x14ac:dyDescent="0.25">
      <c r="A19" s="64" t="s">
        <v>531</v>
      </c>
      <c r="B19" s="57" t="s">
        <v>414</v>
      </c>
      <c r="C19" s="57" t="s">
        <v>405</v>
      </c>
      <c r="D19" s="89" t="s">
        <v>156</v>
      </c>
      <c r="E19" s="217" t="s">
        <v>501</v>
      </c>
      <c r="F19" s="88">
        <v>7200</v>
      </c>
      <c r="G19" s="64">
        <v>36</v>
      </c>
      <c r="H19" s="64" t="s">
        <v>406</v>
      </c>
      <c r="I19" s="228" t="s">
        <v>507</v>
      </c>
      <c r="J19" s="55">
        <v>46058</v>
      </c>
      <c r="K19" s="229" t="s">
        <v>529</v>
      </c>
      <c r="L19" s="230">
        <v>89080063420</v>
      </c>
      <c r="M19" s="53" t="s">
        <v>528</v>
      </c>
      <c r="N19" s="149"/>
      <c r="O19" s="57"/>
      <c r="P19" s="57"/>
      <c r="Q19" s="88">
        <v>7200</v>
      </c>
      <c r="R19" s="53" t="s">
        <v>422</v>
      </c>
      <c r="S19" s="90">
        <v>85500</v>
      </c>
      <c r="T19" s="61">
        <f t="shared" si="1"/>
        <v>615600</v>
      </c>
    </row>
    <row r="20" spans="1:20" s="63" customFormat="1" ht="13.5" customHeight="1" x14ac:dyDescent="0.25">
      <c r="A20" s="64" t="s">
        <v>531</v>
      </c>
      <c r="B20" s="57" t="s">
        <v>414</v>
      </c>
      <c r="C20" s="57" t="s">
        <v>405</v>
      </c>
      <c r="D20" s="89" t="s">
        <v>156</v>
      </c>
      <c r="E20" s="217" t="s">
        <v>502</v>
      </c>
      <c r="F20" s="88">
        <v>4000</v>
      </c>
      <c r="G20" s="64">
        <v>20</v>
      </c>
      <c r="H20" s="64" t="s">
        <v>406</v>
      </c>
      <c r="I20" s="228" t="s">
        <v>507</v>
      </c>
      <c r="J20" s="55">
        <v>46058</v>
      </c>
      <c r="K20" s="229" t="s">
        <v>529</v>
      </c>
      <c r="L20" s="230">
        <v>89080063420</v>
      </c>
      <c r="M20" s="53" t="s">
        <v>528</v>
      </c>
      <c r="N20" s="149"/>
      <c r="O20" s="57"/>
      <c r="P20" s="57"/>
      <c r="Q20" s="88">
        <v>4000</v>
      </c>
      <c r="R20" s="53" t="s">
        <v>422</v>
      </c>
      <c r="S20" s="90">
        <v>85500</v>
      </c>
      <c r="T20" s="61">
        <f t="shared" si="1"/>
        <v>342000</v>
      </c>
    </row>
    <row r="21" spans="1:20" s="63" customFormat="1" ht="13.5" customHeight="1" x14ac:dyDescent="0.25">
      <c r="A21" s="64" t="s">
        <v>530</v>
      </c>
      <c r="B21" s="57" t="s">
        <v>495</v>
      </c>
      <c r="C21" s="57" t="s">
        <v>398</v>
      </c>
      <c r="D21" s="10" t="s">
        <v>349</v>
      </c>
      <c r="E21" s="138" t="s">
        <v>516</v>
      </c>
      <c r="F21" s="57">
        <v>20000</v>
      </c>
      <c r="G21" s="64">
        <v>800</v>
      </c>
      <c r="H21" s="64" t="s">
        <v>399</v>
      </c>
      <c r="I21" s="55" t="s">
        <v>507</v>
      </c>
      <c r="J21" s="55">
        <v>46058</v>
      </c>
      <c r="K21" s="53" t="s">
        <v>533</v>
      </c>
      <c r="L21" s="226">
        <v>89125754867</v>
      </c>
      <c r="M21" s="53" t="s">
        <v>532</v>
      </c>
      <c r="N21" s="149"/>
      <c r="O21" s="57">
        <v>20000</v>
      </c>
      <c r="P21" s="57"/>
      <c r="Q21" s="57"/>
      <c r="R21" s="53" t="s">
        <v>422</v>
      </c>
      <c r="S21" s="90">
        <v>43500</v>
      </c>
      <c r="T21" s="61">
        <f t="shared" si="1"/>
        <v>870000</v>
      </c>
    </row>
    <row r="22" spans="1:20" s="63" customFormat="1" ht="13.5" customHeight="1" x14ac:dyDescent="0.25">
      <c r="A22" s="64" t="s">
        <v>512</v>
      </c>
      <c r="B22" s="57" t="s">
        <v>513</v>
      </c>
      <c r="C22" s="57" t="s">
        <v>514</v>
      </c>
      <c r="D22" s="10" t="s">
        <v>187</v>
      </c>
      <c r="E22" s="56" t="s">
        <v>517</v>
      </c>
      <c r="F22" s="57">
        <v>11520</v>
      </c>
      <c r="G22" s="64">
        <v>64</v>
      </c>
      <c r="H22" s="64" t="s">
        <v>437</v>
      </c>
      <c r="I22" s="64" t="s">
        <v>507</v>
      </c>
      <c r="J22" s="55">
        <v>46058</v>
      </c>
      <c r="K22" s="148" t="s">
        <v>535</v>
      </c>
      <c r="L22" s="161"/>
      <c r="M22" s="53" t="s">
        <v>534</v>
      </c>
      <c r="N22" s="149"/>
      <c r="O22" s="57"/>
      <c r="P22" s="57"/>
      <c r="Q22" s="57">
        <v>11520</v>
      </c>
      <c r="R22" s="53" t="s">
        <v>422</v>
      </c>
      <c r="S22" s="90">
        <v>127500</v>
      </c>
      <c r="T22" s="61">
        <f t="shared" si="1"/>
        <v>1468800</v>
      </c>
    </row>
    <row r="23" spans="1:20" s="63" customFormat="1" ht="13.5" customHeight="1" x14ac:dyDescent="0.25">
      <c r="A23" s="64" t="s">
        <v>512</v>
      </c>
      <c r="B23" s="57" t="s">
        <v>513</v>
      </c>
      <c r="C23" s="57" t="s">
        <v>514</v>
      </c>
      <c r="D23" s="10" t="s">
        <v>515</v>
      </c>
      <c r="E23" s="56" t="s">
        <v>516</v>
      </c>
      <c r="F23" s="57">
        <v>2880</v>
      </c>
      <c r="G23" s="64">
        <v>16</v>
      </c>
      <c r="H23" s="64" t="s">
        <v>437</v>
      </c>
      <c r="I23" s="64" t="s">
        <v>507</v>
      </c>
      <c r="J23" s="55">
        <v>46058</v>
      </c>
      <c r="K23" s="148" t="s">
        <v>535</v>
      </c>
      <c r="L23" s="161"/>
      <c r="M23" s="53" t="s">
        <v>534</v>
      </c>
      <c r="N23" s="149"/>
      <c r="O23" s="57"/>
      <c r="P23" s="57"/>
      <c r="Q23" s="57">
        <v>2880</v>
      </c>
      <c r="R23" s="53" t="s">
        <v>422</v>
      </c>
      <c r="S23" s="90">
        <v>160000</v>
      </c>
      <c r="T23" s="61">
        <f t="shared" si="1"/>
        <v>460800</v>
      </c>
    </row>
    <row r="24" spans="1:20" s="63" customFormat="1" ht="13.5" customHeight="1" x14ac:dyDescent="0.25">
      <c r="A24" s="64" t="s">
        <v>540</v>
      </c>
      <c r="B24" s="57" t="s">
        <v>539</v>
      </c>
      <c r="C24" s="57" t="s">
        <v>316</v>
      </c>
      <c r="D24" s="10" t="s">
        <v>222</v>
      </c>
      <c r="E24" s="56" t="s">
        <v>447</v>
      </c>
      <c r="F24" s="88">
        <v>20000</v>
      </c>
      <c r="G24" s="64">
        <v>800</v>
      </c>
      <c r="H24" s="64" t="s">
        <v>444</v>
      </c>
      <c r="I24" s="64" t="s">
        <v>507</v>
      </c>
      <c r="J24" s="55">
        <v>46059</v>
      </c>
      <c r="K24" s="258" t="s">
        <v>542</v>
      </c>
      <c r="L24" s="151">
        <v>89115800204</v>
      </c>
      <c r="M24" s="62" t="s">
        <v>541</v>
      </c>
      <c r="N24" s="137"/>
      <c r="O24" s="88">
        <v>20000</v>
      </c>
      <c r="P24" s="88"/>
      <c r="Q24" s="88"/>
      <c r="R24" s="53" t="s">
        <v>422</v>
      </c>
      <c r="S24" s="90">
        <v>44500</v>
      </c>
      <c r="T24" s="61">
        <f t="shared" si="1"/>
        <v>890000</v>
      </c>
    </row>
    <row r="25" spans="1:20" s="63" customFormat="1" ht="13.5" customHeight="1" x14ac:dyDescent="0.25">
      <c r="A25" s="64" t="s">
        <v>429</v>
      </c>
      <c r="B25" s="57" t="s">
        <v>415</v>
      </c>
      <c r="C25" s="57" t="s">
        <v>405</v>
      </c>
      <c r="D25" s="89" t="s">
        <v>156</v>
      </c>
      <c r="E25" s="217" t="s">
        <v>502</v>
      </c>
      <c r="F25" s="88">
        <v>2400</v>
      </c>
      <c r="G25" s="64">
        <v>12</v>
      </c>
      <c r="H25" s="64" t="s">
        <v>406</v>
      </c>
      <c r="I25" s="228" t="s">
        <v>507</v>
      </c>
      <c r="J25" s="55">
        <v>46059</v>
      </c>
      <c r="K25" s="229" t="s">
        <v>545</v>
      </c>
      <c r="L25" s="230">
        <v>89090041850</v>
      </c>
      <c r="M25" s="53" t="s">
        <v>544</v>
      </c>
      <c r="N25" s="149"/>
      <c r="O25" s="57"/>
      <c r="P25" s="57"/>
      <c r="Q25" s="88">
        <v>2400</v>
      </c>
      <c r="R25" s="53" t="s">
        <v>422</v>
      </c>
      <c r="S25" s="90">
        <v>85500</v>
      </c>
      <c r="T25" s="61">
        <f t="shared" si="1"/>
        <v>205200</v>
      </c>
    </row>
    <row r="26" spans="1:20" s="63" customFormat="1" ht="13.5" customHeight="1" x14ac:dyDescent="0.25">
      <c r="A26" s="64" t="s">
        <v>429</v>
      </c>
      <c r="B26" s="57" t="s">
        <v>415</v>
      </c>
      <c r="C26" s="57" t="s">
        <v>405</v>
      </c>
      <c r="D26" s="89" t="s">
        <v>166</v>
      </c>
      <c r="E26" s="217" t="s">
        <v>455</v>
      </c>
      <c r="F26" s="88">
        <v>8800</v>
      </c>
      <c r="G26" s="64">
        <v>44</v>
      </c>
      <c r="H26" s="64" t="s">
        <v>406</v>
      </c>
      <c r="I26" s="228" t="s">
        <v>507</v>
      </c>
      <c r="J26" s="55">
        <v>46059</v>
      </c>
      <c r="K26" s="229" t="s">
        <v>545</v>
      </c>
      <c r="L26" s="230">
        <v>89090041850</v>
      </c>
      <c r="M26" s="53" t="s">
        <v>544</v>
      </c>
      <c r="N26" s="149"/>
      <c r="O26" s="57"/>
      <c r="P26" s="57"/>
      <c r="Q26" s="88">
        <v>8800</v>
      </c>
      <c r="R26" s="53" t="s">
        <v>422</v>
      </c>
      <c r="S26" s="90">
        <v>94500</v>
      </c>
      <c r="T26" s="61">
        <f t="shared" si="1"/>
        <v>831600</v>
      </c>
    </row>
    <row r="27" spans="1:20" s="63" customFormat="1" ht="13.5" customHeight="1" x14ac:dyDescent="0.25">
      <c r="A27" s="64" t="s">
        <v>429</v>
      </c>
      <c r="B27" s="57" t="s">
        <v>415</v>
      </c>
      <c r="C27" s="57" t="s">
        <v>405</v>
      </c>
      <c r="D27" s="89" t="s">
        <v>166</v>
      </c>
      <c r="E27" s="217" t="s">
        <v>460</v>
      </c>
      <c r="F27" s="88">
        <v>6400</v>
      </c>
      <c r="G27" s="64">
        <v>32</v>
      </c>
      <c r="H27" s="64" t="s">
        <v>406</v>
      </c>
      <c r="I27" s="228" t="s">
        <v>507</v>
      </c>
      <c r="J27" s="55">
        <v>46059</v>
      </c>
      <c r="K27" s="229" t="s">
        <v>545</v>
      </c>
      <c r="L27" s="230">
        <v>89090041850</v>
      </c>
      <c r="M27" s="53" t="s">
        <v>544</v>
      </c>
      <c r="N27" s="149"/>
      <c r="O27" s="57"/>
      <c r="P27" s="57"/>
      <c r="Q27" s="88">
        <v>6400</v>
      </c>
      <c r="R27" s="53" t="s">
        <v>422</v>
      </c>
      <c r="S27" s="90">
        <v>94500</v>
      </c>
      <c r="T27" s="61">
        <f t="shared" si="1"/>
        <v>604800</v>
      </c>
    </row>
    <row r="28" spans="1:20" s="63" customFormat="1" ht="13.5" customHeight="1" x14ac:dyDescent="0.25">
      <c r="A28" s="64" t="s">
        <v>547</v>
      </c>
      <c r="B28" s="57" t="s">
        <v>524</v>
      </c>
      <c r="C28" s="57" t="s">
        <v>522</v>
      </c>
      <c r="D28" s="89" t="s">
        <v>240</v>
      </c>
      <c r="E28" s="56" t="s">
        <v>525</v>
      </c>
      <c r="F28" s="88">
        <v>14000</v>
      </c>
      <c r="G28" s="88">
        <v>1000</v>
      </c>
      <c r="H28" s="64" t="s">
        <v>523</v>
      </c>
      <c r="I28" s="64" t="s">
        <v>507</v>
      </c>
      <c r="J28" s="55">
        <v>46063</v>
      </c>
      <c r="K28" s="258" t="s">
        <v>549</v>
      </c>
      <c r="L28" s="151" t="s">
        <v>573</v>
      </c>
      <c r="M28" s="62" t="s">
        <v>548</v>
      </c>
      <c r="N28" s="137"/>
      <c r="O28" s="88"/>
      <c r="P28" s="88">
        <v>14000</v>
      </c>
      <c r="Q28" s="57"/>
      <c r="R28" s="53" t="s">
        <v>422</v>
      </c>
      <c r="S28" s="90">
        <v>317000</v>
      </c>
      <c r="T28" s="61">
        <f t="shared" si="1"/>
        <v>4438000</v>
      </c>
    </row>
    <row r="29" spans="1:20" s="63" customFormat="1" ht="13.5" customHeight="1" x14ac:dyDescent="0.25">
      <c r="A29" s="64" t="s">
        <v>470</v>
      </c>
      <c r="B29" s="57" t="s">
        <v>416</v>
      </c>
      <c r="C29" s="57" t="s">
        <v>405</v>
      </c>
      <c r="D29" s="89" t="s">
        <v>156</v>
      </c>
      <c r="E29" s="217" t="s">
        <v>502</v>
      </c>
      <c r="F29" s="88">
        <v>800</v>
      </c>
      <c r="G29" s="64">
        <v>4</v>
      </c>
      <c r="H29" s="64" t="s">
        <v>406</v>
      </c>
      <c r="I29" s="228" t="s">
        <v>507</v>
      </c>
      <c r="J29" s="228">
        <v>46063</v>
      </c>
      <c r="K29" s="229" t="s">
        <v>553</v>
      </c>
      <c r="L29" s="230">
        <v>89216700606</v>
      </c>
      <c r="M29" s="53" t="s">
        <v>552</v>
      </c>
      <c r="N29" s="149"/>
      <c r="O29" s="57"/>
      <c r="P29" s="57"/>
      <c r="Q29" s="88">
        <v>800</v>
      </c>
      <c r="R29" s="53" t="s">
        <v>422</v>
      </c>
      <c r="S29" s="90">
        <v>85500</v>
      </c>
      <c r="T29" s="61">
        <f t="shared" si="1"/>
        <v>68400</v>
      </c>
    </row>
    <row r="30" spans="1:20" s="63" customFormat="1" ht="13.5" customHeight="1" x14ac:dyDescent="0.25">
      <c r="A30" s="64" t="s">
        <v>470</v>
      </c>
      <c r="B30" s="57" t="s">
        <v>416</v>
      </c>
      <c r="C30" s="57" t="s">
        <v>405</v>
      </c>
      <c r="D30" s="89" t="s">
        <v>156</v>
      </c>
      <c r="E30" s="217" t="s">
        <v>518</v>
      </c>
      <c r="F30" s="88">
        <v>4800</v>
      </c>
      <c r="G30" s="64">
        <v>24</v>
      </c>
      <c r="H30" s="64" t="s">
        <v>406</v>
      </c>
      <c r="I30" s="228" t="s">
        <v>507</v>
      </c>
      <c r="J30" s="228">
        <v>46063</v>
      </c>
      <c r="K30" s="229" t="s">
        <v>553</v>
      </c>
      <c r="L30" s="230">
        <v>89216700606</v>
      </c>
      <c r="M30" s="53" t="s">
        <v>552</v>
      </c>
      <c r="N30" s="149"/>
      <c r="O30" s="57"/>
      <c r="P30" s="57"/>
      <c r="Q30" s="88">
        <v>4800</v>
      </c>
      <c r="R30" s="53" t="s">
        <v>422</v>
      </c>
      <c r="S30" s="90">
        <v>85500</v>
      </c>
      <c r="T30" s="61">
        <f t="shared" si="1"/>
        <v>410400</v>
      </c>
    </row>
    <row r="31" spans="1:20" s="63" customFormat="1" ht="13.5" customHeight="1" x14ac:dyDescent="0.25">
      <c r="A31" s="64" t="s">
        <v>470</v>
      </c>
      <c r="B31" s="57" t="s">
        <v>416</v>
      </c>
      <c r="C31" s="57" t="s">
        <v>405</v>
      </c>
      <c r="D31" s="89" t="s">
        <v>156</v>
      </c>
      <c r="E31" s="217" t="s">
        <v>519</v>
      </c>
      <c r="F31" s="88">
        <v>7200</v>
      </c>
      <c r="G31" s="64">
        <v>36</v>
      </c>
      <c r="H31" s="64" t="s">
        <v>406</v>
      </c>
      <c r="I31" s="228" t="s">
        <v>507</v>
      </c>
      <c r="J31" s="228">
        <v>46063</v>
      </c>
      <c r="K31" s="229" t="s">
        <v>553</v>
      </c>
      <c r="L31" s="230">
        <v>89216700606</v>
      </c>
      <c r="M31" s="53" t="s">
        <v>552</v>
      </c>
      <c r="N31" s="149"/>
      <c r="O31" s="57"/>
      <c r="P31" s="57"/>
      <c r="Q31" s="88">
        <v>7200</v>
      </c>
      <c r="R31" s="53" t="s">
        <v>422</v>
      </c>
      <c r="S31" s="90">
        <v>85500</v>
      </c>
      <c r="T31" s="61">
        <f t="shared" si="1"/>
        <v>615600</v>
      </c>
    </row>
    <row r="32" spans="1:20" s="63" customFormat="1" ht="13.5" customHeight="1" x14ac:dyDescent="0.25">
      <c r="A32" s="64" t="s">
        <v>470</v>
      </c>
      <c r="B32" s="57" t="s">
        <v>416</v>
      </c>
      <c r="C32" s="57" t="s">
        <v>405</v>
      </c>
      <c r="D32" s="89" t="s">
        <v>156</v>
      </c>
      <c r="E32" s="217" t="s">
        <v>543</v>
      </c>
      <c r="F32" s="88">
        <v>4800</v>
      </c>
      <c r="G32" s="64">
        <v>24</v>
      </c>
      <c r="H32" s="64" t="s">
        <v>406</v>
      </c>
      <c r="I32" s="228" t="s">
        <v>507</v>
      </c>
      <c r="J32" s="228">
        <v>46063</v>
      </c>
      <c r="K32" s="229" t="s">
        <v>553</v>
      </c>
      <c r="L32" s="230">
        <v>89216700606</v>
      </c>
      <c r="M32" s="53" t="s">
        <v>552</v>
      </c>
      <c r="N32" s="149"/>
      <c r="O32" s="57"/>
      <c r="P32" s="57"/>
      <c r="Q32" s="88">
        <v>4800</v>
      </c>
      <c r="R32" s="53" t="s">
        <v>422</v>
      </c>
      <c r="S32" s="90">
        <v>85500</v>
      </c>
      <c r="T32" s="61">
        <f t="shared" si="1"/>
        <v>410400</v>
      </c>
    </row>
    <row r="33" spans="1:20" s="63" customFormat="1" ht="13.5" customHeight="1" x14ac:dyDescent="0.25">
      <c r="A33" s="64" t="s">
        <v>426</v>
      </c>
      <c r="B33" s="57" t="s">
        <v>496</v>
      </c>
      <c r="C33" s="57" t="s">
        <v>398</v>
      </c>
      <c r="D33" s="10" t="s">
        <v>349</v>
      </c>
      <c r="E33" s="138" t="s">
        <v>647</v>
      </c>
      <c r="F33" s="57">
        <v>20000</v>
      </c>
      <c r="G33" s="64">
        <v>800</v>
      </c>
      <c r="H33" s="64" t="s">
        <v>399</v>
      </c>
      <c r="I33" s="55" t="s">
        <v>507</v>
      </c>
      <c r="J33" s="55">
        <v>46065</v>
      </c>
      <c r="K33" s="53" t="s">
        <v>567</v>
      </c>
      <c r="L33" s="226">
        <v>89212974613</v>
      </c>
      <c r="M33" s="53" t="s">
        <v>566</v>
      </c>
      <c r="N33" s="149"/>
      <c r="O33" s="57">
        <v>20000</v>
      </c>
      <c r="P33" s="57"/>
      <c r="Q33" s="57"/>
      <c r="R33" s="53" t="s">
        <v>422</v>
      </c>
      <c r="S33" s="90">
        <v>43500</v>
      </c>
      <c r="T33" s="61">
        <f t="shared" ref="T33:T57" si="2">S33*F33/1000</f>
        <v>870000</v>
      </c>
    </row>
    <row r="34" spans="1:20" s="63" customFormat="1" ht="13.5" customHeight="1" x14ac:dyDescent="0.25">
      <c r="A34" s="64" t="s">
        <v>437</v>
      </c>
      <c r="B34" s="57" t="s">
        <v>580</v>
      </c>
      <c r="C34" s="57" t="s">
        <v>563</v>
      </c>
      <c r="D34" s="10" t="s">
        <v>166</v>
      </c>
      <c r="E34" s="56" t="s">
        <v>564</v>
      </c>
      <c r="F34" s="57">
        <v>2000</v>
      </c>
      <c r="G34" s="64">
        <v>10</v>
      </c>
      <c r="H34" s="260" t="s">
        <v>459</v>
      </c>
      <c r="I34" s="64" t="s">
        <v>507</v>
      </c>
      <c r="J34" s="55">
        <v>46066</v>
      </c>
      <c r="K34" s="148" t="s">
        <v>581</v>
      </c>
      <c r="L34" s="161">
        <v>89398007409</v>
      </c>
      <c r="M34" s="53" t="s">
        <v>582</v>
      </c>
      <c r="N34" s="149"/>
      <c r="O34" s="57"/>
      <c r="P34" s="57"/>
      <c r="Q34" s="57">
        <v>2000</v>
      </c>
      <c r="R34" s="53" t="s">
        <v>422</v>
      </c>
      <c r="S34" s="90">
        <v>111000</v>
      </c>
      <c r="T34" s="61">
        <f>S34*F34/1000</f>
        <v>222000</v>
      </c>
    </row>
    <row r="35" spans="1:20" s="63" customFormat="1" ht="13.5" customHeight="1" x14ac:dyDescent="0.25">
      <c r="A35" s="64" t="s">
        <v>429</v>
      </c>
      <c r="B35" s="57" t="s">
        <v>497</v>
      </c>
      <c r="C35" s="57" t="s">
        <v>398</v>
      </c>
      <c r="D35" s="10" t="s">
        <v>349</v>
      </c>
      <c r="E35" s="138" t="s">
        <v>543</v>
      </c>
      <c r="F35" s="57">
        <v>20000</v>
      </c>
      <c r="G35" s="64">
        <v>800</v>
      </c>
      <c r="H35" s="64" t="s">
        <v>399</v>
      </c>
      <c r="I35" s="55" t="s">
        <v>507</v>
      </c>
      <c r="J35" s="55">
        <v>46069</v>
      </c>
      <c r="K35" s="53" t="s">
        <v>577</v>
      </c>
      <c r="L35" s="226">
        <v>89827655793</v>
      </c>
      <c r="M35" s="53" t="s">
        <v>480</v>
      </c>
      <c r="N35" s="149"/>
      <c r="O35" s="57">
        <v>20000</v>
      </c>
      <c r="P35" s="57"/>
      <c r="Q35" s="57"/>
      <c r="R35" s="53" t="s">
        <v>422</v>
      </c>
      <c r="S35" s="90">
        <v>43500</v>
      </c>
      <c r="T35" s="61">
        <f>S35*F35/1000</f>
        <v>870000</v>
      </c>
    </row>
    <row r="36" spans="1:20" s="63" customFormat="1" ht="13.5" customHeight="1" x14ac:dyDescent="0.25">
      <c r="A36" s="64" t="s">
        <v>461</v>
      </c>
      <c r="B36" s="57" t="s">
        <v>498</v>
      </c>
      <c r="C36" s="57" t="s">
        <v>398</v>
      </c>
      <c r="D36" s="10" t="s">
        <v>349</v>
      </c>
      <c r="E36" s="138" t="s">
        <v>570</v>
      </c>
      <c r="F36" s="57">
        <v>20000</v>
      </c>
      <c r="G36" s="64">
        <v>800</v>
      </c>
      <c r="H36" s="64" t="s">
        <v>399</v>
      </c>
      <c r="I36" s="55" t="s">
        <v>507</v>
      </c>
      <c r="J36" s="55">
        <v>46069</v>
      </c>
      <c r="K36" s="53" t="s">
        <v>506</v>
      </c>
      <c r="L36" s="226">
        <v>89923370709</v>
      </c>
      <c r="M36" s="53" t="s">
        <v>505</v>
      </c>
      <c r="N36" s="149"/>
      <c r="O36" s="57">
        <v>20000</v>
      </c>
      <c r="P36" s="57"/>
      <c r="Q36" s="57"/>
      <c r="R36" s="53" t="s">
        <v>422</v>
      </c>
      <c r="S36" s="90">
        <v>43500</v>
      </c>
      <c r="T36" s="61">
        <f>S36*F36/1000</f>
        <v>870000</v>
      </c>
    </row>
    <row r="37" spans="1:20" s="63" customFormat="1" ht="13.5" customHeight="1" x14ac:dyDescent="0.25">
      <c r="A37" s="64" t="s">
        <v>429</v>
      </c>
      <c r="B37" s="57" t="s">
        <v>558</v>
      </c>
      <c r="C37" s="57" t="s">
        <v>318</v>
      </c>
      <c r="D37" s="89" t="s">
        <v>296</v>
      </c>
      <c r="E37" s="56" t="s">
        <v>575</v>
      </c>
      <c r="F37" s="88">
        <v>12000</v>
      </c>
      <c r="G37" s="64">
        <v>60</v>
      </c>
      <c r="H37" s="64" t="s">
        <v>559</v>
      </c>
      <c r="I37" s="64" t="s">
        <v>507</v>
      </c>
      <c r="J37" s="55">
        <v>46069</v>
      </c>
      <c r="K37" s="224" t="s">
        <v>431</v>
      </c>
      <c r="L37" s="224">
        <v>89129296888</v>
      </c>
      <c r="M37" s="225" t="s">
        <v>430</v>
      </c>
      <c r="N37" s="137"/>
      <c r="O37" s="88"/>
      <c r="P37" s="88"/>
      <c r="Q37" s="88">
        <v>12000</v>
      </c>
      <c r="R37" s="53" t="s">
        <v>422</v>
      </c>
      <c r="S37" s="90">
        <v>122000</v>
      </c>
      <c r="T37" s="61">
        <f t="shared" si="2"/>
        <v>1464000</v>
      </c>
    </row>
    <row r="38" spans="1:20" s="63" customFormat="1" ht="13.5" customHeight="1" x14ac:dyDescent="0.25">
      <c r="A38" s="64" t="s">
        <v>429</v>
      </c>
      <c r="B38" s="57" t="s">
        <v>558</v>
      </c>
      <c r="C38" s="57" t="s">
        <v>318</v>
      </c>
      <c r="D38" s="89" t="s">
        <v>335</v>
      </c>
      <c r="E38" s="56" t="s">
        <v>574</v>
      </c>
      <c r="F38" s="88">
        <v>2880</v>
      </c>
      <c r="G38" s="64">
        <v>160</v>
      </c>
      <c r="H38" s="64" t="s">
        <v>559</v>
      </c>
      <c r="I38" s="64" t="s">
        <v>507</v>
      </c>
      <c r="J38" s="55">
        <v>46069</v>
      </c>
      <c r="K38" s="224" t="s">
        <v>431</v>
      </c>
      <c r="L38" s="224">
        <v>89129296888</v>
      </c>
      <c r="M38" s="225" t="s">
        <v>430</v>
      </c>
      <c r="N38" s="137"/>
      <c r="O38" s="88"/>
      <c r="P38" s="88">
        <v>2880</v>
      </c>
      <c r="Q38" s="88"/>
      <c r="R38" s="53" t="s">
        <v>422</v>
      </c>
      <c r="S38" s="90">
        <v>220000</v>
      </c>
      <c r="T38" s="61">
        <f t="shared" si="2"/>
        <v>633600</v>
      </c>
    </row>
    <row r="39" spans="1:20" s="63" customFormat="1" ht="13.5" customHeight="1" x14ac:dyDescent="0.25">
      <c r="A39" s="64" t="s">
        <v>429</v>
      </c>
      <c r="B39" s="57" t="s">
        <v>558</v>
      </c>
      <c r="C39" s="57" t="s">
        <v>318</v>
      </c>
      <c r="D39" s="89" t="s">
        <v>170</v>
      </c>
      <c r="E39" s="56" t="s">
        <v>575</v>
      </c>
      <c r="F39" s="88">
        <v>2400</v>
      </c>
      <c r="G39" s="64">
        <v>12</v>
      </c>
      <c r="H39" s="64" t="s">
        <v>559</v>
      </c>
      <c r="I39" s="64" t="s">
        <v>507</v>
      </c>
      <c r="J39" s="55">
        <v>46069</v>
      </c>
      <c r="K39" s="219" t="s">
        <v>431</v>
      </c>
      <c r="L39" s="224">
        <v>89129296888</v>
      </c>
      <c r="M39" s="225" t="s">
        <v>430</v>
      </c>
      <c r="N39" s="137"/>
      <c r="O39" s="88"/>
      <c r="P39" s="88"/>
      <c r="Q39" s="88">
        <v>2400</v>
      </c>
      <c r="R39" s="53" t="s">
        <v>422</v>
      </c>
      <c r="S39" s="90">
        <v>157000</v>
      </c>
      <c r="T39" s="61">
        <f t="shared" si="2"/>
        <v>376800</v>
      </c>
    </row>
    <row r="40" spans="1:20" s="63" customFormat="1" ht="13.5" customHeight="1" x14ac:dyDescent="0.25">
      <c r="A40" s="64" t="s">
        <v>471</v>
      </c>
      <c r="B40" s="57" t="s">
        <v>526</v>
      </c>
      <c r="C40" s="57" t="s">
        <v>352</v>
      </c>
      <c r="D40" s="89" t="s">
        <v>222</v>
      </c>
      <c r="E40" s="56" t="s">
        <v>334</v>
      </c>
      <c r="F40" s="88">
        <v>10000</v>
      </c>
      <c r="G40" s="64">
        <v>400</v>
      </c>
      <c r="H40" s="64" t="s">
        <v>315</v>
      </c>
      <c r="I40" s="64" t="s">
        <v>507</v>
      </c>
      <c r="J40" s="55">
        <v>46070</v>
      </c>
      <c r="K40" s="267" t="s">
        <v>578</v>
      </c>
      <c r="L40" s="151">
        <v>89273333787</v>
      </c>
      <c r="M40" s="62" t="s">
        <v>579</v>
      </c>
      <c r="N40" s="137"/>
      <c r="O40" s="88">
        <v>10000</v>
      </c>
      <c r="P40" s="88"/>
      <c r="Q40" s="57"/>
      <c r="R40" s="53" t="s">
        <v>422</v>
      </c>
      <c r="S40" s="90">
        <v>44500</v>
      </c>
      <c r="T40" s="61">
        <f t="shared" si="2"/>
        <v>445000</v>
      </c>
    </row>
    <row r="41" spans="1:20" s="63" customFormat="1" ht="13.5" customHeight="1" x14ac:dyDescent="0.25">
      <c r="A41" s="64" t="s">
        <v>471</v>
      </c>
      <c r="B41" s="57" t="s">
        <v>526</v>
      </c>
      <c r="C41" s="57" t="s">
        <v>352</v>
      </c>
      <c r="D41" s="89" t="s">
        <v>219</v>
      </c>
      <c r="E41" s="56" t="s">
        <v>404</v>
      </c>
      <c r="F41" s="88">
        <v>10000</v>
      </c>
      <c r="G41" s="64">
        <v>400</v>
      </c>
      <c r="H41" s="64" t="s">
        <v>315</v>
      </c>
      <c r="I41" s="64" t="s">
        <v>507</v>
      </c>
      <c r="J41" s="55">
        <v>46070</v>
      </c>
      <c r="K41" s="267" t="s">
        <v>578</v>
      </c>
      <c r="L41" s="151">
        <v>89273333787</v>
      </c>
      <c r="M41" s="62" t="s">
        <v>579</v>
      </c>
      <c r="N41" s="246"/>
      <c r="O41" s="88"/>
      <c r="P41" s="88">
        <v>10000</v>
      </c>
      <c r="Q41" s="57"/>
      <c r="R41" s="53" t="s">
        <v>422</v>
      </c>
      <c r="S41" s="90">
        <v>250000</v>
      </c>
      <c r="T41" s="61">
        <f t="shared" si="2"/>
        <v>2500000</v>
      </c>
    </row>
    <row r="42" spans="1:20" s="63" customFormat="1" ht="13.5" customHeight="1" x14ac:dyDescent="0.25">
      <c r="A42" s="64" t="s">
        <v>588</v>
      </c>
      <c r="B42" s="57" t="s">
        <v>499</v>
      </c>
      <c r="C42" s="57" t="s">
        <v>398</v>
      </c>
      <c r="D42" s="10" t="s">
        <v>349</v>
      </c>
      <c r="E42" s="138" t="s">
        <v>357</v>
      </c>
      <c r="F42" s="57">
        <v>20000</v>
      </c>
      <c r="G42" s="64">
        <v>800</v>
      </c>
      <c r="H42" s="64" t="s">
        <v>399</v>
      </c>
      <c r="I42" s="55" t="s">
        <v>507</v>
      </c>
      <c r="J42" s="55">
        <v>46070</v>
      </c>
      <c r="K42" s="53" t="s">
        <v>589</v>
      </c>
      <c r="L42" s="226">
        <v>89195966929</v>
      </c>
      <c r="M42" s="53" t="s">
        <v>590</v>
      </c>
      <c r="N42" s="149"/>
      <c r="O42" s="57">
        <v>20000</v>
      </c>
      <c r="P42" s="57"/>
      <c r="Q42" s="57"/>
      <c r="R42" s="53" t="s">
        <v>422</v>
      </c>
      <c r="S42" s="90">
        <v>43500</v>
      </c>
      <c r="T42" s="61">
        <f t="shared" si="2"/>
        <v>870000</v>
      </c>
    </row>
    <row r="43" spans="1:20" s="63" customFormat="1" ht="13.5" customHeight="1" x14ac:dyDescent="0.25">
      <c r="A43" s="64" t="s">
        <v>461</v>
      </c>
      <c r="B43" s="57" t="s">
        <v>500</v>
      </c>
      <c r="C43" s="57" t="s">
        <v>398</v>
      </c>
      <c r="D43" s="10" t="s">
        <v>349</v>
      </c>
      <c r="E43" s="138" t="s">
        <v>363</v>
      </c>
      <c r="F43" s="57">
        <v>20000</v>
      </c>
      <c r="G43" s="64">
        <v>800</v>
      </c>
      <c r="H43" s="64" t="s">
        <v>399</v>
      </c>
      <c r="I43" s="55" t="s">
        <v>507</v>
      </c>
      <c r="J43" s="55">
        <v>46070</v>
      </c>
      <c r="K43" s="53" t="s">
        <v>591</v>
      </c>
      <c r="L43" s="226">
        <v>89127084822</v>
      </c>
      <c r="M43" s="53" t="s">
        <v>592</v>
      </c>
      <c r="N43" s="149"/>
      <c r="O43" s="57">
        <v>20000</v>
      </c>
      <c r="P43" s="57"/>
      <c r="Q43" s="57"/>
      <c r="R43" s="53" t="s">
        <v>422</v>
      </c>
      <c r="S43" s="90">
        <v>43500</v>
      </c>
      <c r="T43" s="61">
        <f t="shared" si="2"/>
        <v>870000</v>
      </c>
    </row>
    <row r="44" spans="1:20" s="63" customFormat="1" ht="13.5" customHeight="1" x14ac:dyDescent="0.25">
      <c r="A44" s="64" t="s">
        <v>471</v>
      </c>
      <c r="B44" s="57" t="s">
        <v>565</v>
      </c>
      <c r="C44" s="57" t="s">
        <v>398</v>
      </c>
      <c r="D44" s="10" t="s">
        <v>349</v>
      </c>
      <c r="E44" s="138" t="s">
        <v>585</v>
      </c>
      <c r="F44" s="57">
        <v>20000</v>
      </c>
      <c r="G44" s="64">
        <v>800</v>
      </c>
      <c r="H44" s="64" t="s">
        <v>399</v>
      </c>
      <c r="I44" s="55" t="s">
        <v>507</v>
      </c>
      <c r="J44" s="55">
        <v>46071</v>
      </c>
      <c r="K44" s="53" t="s">
        <v>594</v>
      </c>
      <c r="L44" s="226">
        <v>89197105004</v>
      </c>
      <c r="M44" s="53" t="s">
        <v>593</v>
      </c>
      <c r="N44" s="149"/>
      <c r="O44" s="57">
        <v>20000</v>
      </c>
      <c r="P44" s="57"/>
      <c r="Q44" s="57"/>
      <c r="R44" s="53" t="s">
        <v>422</v>
      </c>
      <c r="S44" s="90">
        <v>43500</v>
      </c>
      <c r="T44" s="61">
        <f>S44*F44/1000</f>
        <v>870000</v>
      </c>
    </row>
    <row r="45" spans="1:20" s="63" customFormat="1" ht="13.5" customHeight="1" x14ac:dyDescent="0.25">
      <c r="A45" s="64" t="s">
        <v>470</v>
      </c>
      <c r="B45" s="57" t="s">
        <v>536</v>
      </c>
      <c r="C45" s="57" t="s">
        <v>352</v>
      </c>
      <c r="D45" s="89" t="s">
        <v>222</v>
      </c>
      <c r="E45" s="56" t="s">
        <v>334</v>
      </c>
      <c r="F45" s="88">
        <v>15000</v>
      </c>
      <c r="G45" s="64">
        <v>600</v>
      </c>
      <c r="H45" s="64" t="s">
        <v>164</v>
      </c>
      <c r="I45" s="64" t="s">
        <v>507</v>
      </c>
      <c r="J45" s="55">
        <v>46071</v>
      </c>
      <c r="K45" s="268" t="s">
        <v>463</v>
      </c>
      <c r="L45" s="151">
        <v>89116825992</v>
      </c>
      <c r="M45" s="62" t="s">
        <v>462</v>
      </c>
      <c r="N45" s="137"/>
      <c r="O45" s="88">
        <v>15000</v>
      </c>
      <c r="P45" s="88"/>
      <c r="Q45" s="57"/>
      <c r="R45" s="53" t="s">
        <v>422</v>
      </c>
      <c r="S45" s="90">
        <v>44500</v>
      </c>
      <c r="T45" s="61">
        <f t="shared" si="2"/>
        <v>667500</v>
      </c>
    </row>
    <row r="46" spans="1:20" s="63" customFormat="1" ht="13.5" customHeight="1" x14ac:dyDescent="0.25">
      <c r="A46" s="64" t="s">
        <v>470</v>
      </c>
      <c r="B46" s="57" t="s">
        <v>536</v>
      </c>
      <c r="C46" s="57" t="s">
        <v>352</v>
      </c>
      <c r="D46" s="89" t="s">
        <v>219</v>
      </c>
      <c r="E46" s="56" t="s">
        <v>404</v>
      </c>
      <c r="F46" s="88">
        <v>5000</v>
      </c>
      <c r="G46" s="64">
        <v>200</v>
      </c>
      <c r="H46" s="64" t="s">
        <v>164</v>
      </c>
      <c r="I46" s="64" t="s">
        <v>507</v>
      </c>
      <c r="J46" s="55">
        <v>46071</v>
      </c>
      <c r="K46" s="268" t="s">
        <v>463</v>
      </c>
      <c r="L46" s="151">
        <v>89116825992</v>
      </c>
      <c r="M46" s="62" t="s">
        <v>462</v>
      </c>
      <c r="N46" s="246"/>
      <c r="O46" s="88"/>
      <c r="P46" s="88">
        <v>5000</v>
      </c>
      <c r="Q46" s="57"/>
      <c r="R46" s="53" t="s">
        <v>422</v>
      </c>
      <c r="S46" s="90">
        <v>250000</v>
      </c>
      <c r="T46" s="61">
        <f t="shared" si="2"/>
        <v>1250000</v>
      </c>
    </row>
    <row r="47" spans="1:20" s="63" customFormat="1" ht="13.5" customHeight="1" x14ac:dyDescent="0.25">
      <c r="A47" s="64" t="s">
        <v>437</v>
      </c>
      <c r="B47" s="57" t="s">
        <v>599</v>
      </c>
      <c r="C47" s="57" t="s">
        <v>595</v>
      </c>
      <c r="D47" s="10" t="s">
        <v>259</v>
      </c>
      <c r="E47" s="56" t="s">
        <v>585</v>
      </c>
      <c r="F47" s="57">
        <v>1000</v>
      </c>
      <c r="G47" s="64">
        <v>5</v>
      </c>
      <c r="H47" s="64" t="s">
        <v>437</v>
      </c>
      <c r="I47" s="64" t="s">
        <v>328</v>
      </c>
      <c r="J47" s="55">
        <v>46072</v>
      </c>
      <c r="K47" s="148" t="s">
        <v>632</v>
      </c>
      <c r="L47" s="161"/>
      <c r="M47" s="53" t="s">
        <v>633</v>
      </c>
      <c r="N47" s="149"/>
      <c r="O47" s="57"/>
      <c r="P47" s="57"/>
      <c r="Q47" s="57">
        <v>1000</v>
      </c>
      <c r="R47" s="53" t="s">
        <v>422</v>
      </c>
      <c r="S47" s="90">
        <v>235000</v>
      </c>
      <c r="T47" s="61">
        <f>S47*F47/1000</f>
        <v>235000</v>
      </c>
    </row>
    <row r="48" spans="1:20" s="63" customFormat="1" ht="13.5" customHeight="1" x14ac:dyDescent="0.25">
      <c r="A48" s="64" t="s">
        <v>540</v>
      </c>
      <c r="B48" s="57" t="s">
        <v>583</v>
      </c>
      <c r="C48" s="57" t="s">
        <v>316</v>
      </c>
      <c r="D48" s="10" t="s">
        <v>222</v>
      </c>
      <c r="E48" s="56" t="s">
        <v>466</v>
      </c>
      <c r="F48" s="88">
        <v>10000</v>
      </c>
      <c r="G48" s="64">
        <v>400</v>
      </c>
      <c r="H48" s="64" t="s">
        <v>479</v>
      </c>
      <c r="I48" s="64" t="s">
        <v>507</v>
      </c>
      <c r="J48" s="55">
        <v>46073</v>
      </c>
      <c r="K48" s="258" t="s">
        <v>542</v>
      </c>
      <c r="L48" s="151">
        <v>89115800204</v>
      </c>
      <c r="M48" s="62" t="s">
        <v>541</v>
      </c>
      <c r="N48" s="137"/>
      <c r="O48" s="88">
        <v>10000</v>
      </c>
      <c r="P48" s="88"/>
      <c r="Q48" s="88"/>
      <c r="R48" s="53" t="s">
        <v>422</v>
      </c>
      <c r="S48" s="90">
        <v>44500</v>
      </c>
      <c r="T48" s="61">
        <f t="shared" si="2"/>
        <v>445000</v>
      </c>
    </row>
    <row r="49" spans="1:20" s="63" customFormat="1" ht="13.5" customHeight="1" x14ac:dyDescent="0.25">
      <c r="A49" s="64" t="s">
        <v>540</v>
      </c>
      <c r="B49" s="57" t="s">
        <v>583</v>
      </c>
      <c r="C49" s="57" t="s">
        <v>316</v>
      </c>
      <c r="D49" s="10" t="s">
        <v>166</v>
      </c>
      <c r="E49" s="56" t="s">
        <v>584</v>
      </c>
      <c r="F49" s="57">
        <v>9600</v>
      </c>
      <c r="G49" s="64">
        <v>48</v>
      </c>
      <c r="H49" s="64" t="s">
        <v>467</v>
      </c>
      <c r="I49" s="64" t="s">
        <v>507</v>
      </c>
      <c r="J49" s="55">
        <v>46073</v>
      </c>
      <c r="K49" s="258" t="s">
        <v>542</v>
      </c>
      <c r="L49" s="151">
        <v>89115800204</v>
      </c>
      <c r="M49" s="62" t="s">
        <v>541</v>
      </c>
      <c r="N49" s="149"/>
      <c r="O49" s="57"/>
      <c r="P49" s="57"/>
      <c r="Q49" s="57">
        <v>9600</v>
      </c>
      <c r="R49" s="53" t="s">
        <v>422</v>
      </c>
      <c r="S49" s="90">
        <v>85000</v>
      </c>
      <c r="T49" s="61">
        <f t="shared" si="2"/>
        <v>816000</v>
      </c>
    </row>
    <row r="50" spans="1:20" s="63" customFormat="1" ht="13.5" customHeight="1" x14ac:dyDescent="0.25">
      <c r="A50" s="64" t="s">
        <v>429</v>
      </c>
      <c r="B50" s="57" t="s">
        <v>537</v>
      </c>
      <c r="C50" s="57" t="s">
        <v>352</v>
      </c>
      <c r="D50" s="89" t="s">
        <v>222</v>
      </c>
      <c r="E50" s="56" t="s">
        <v>334</v>
      </c>
      <c r="F50" s="88">
        <v>20000</v>
      </c>
      <c r="G50" s="64">
        <v>800</v>
      </c>
      <c r="H50" s="64" t="s">
        <v>164</v>
      </c>
      <c r="I50" s="64" t="s">
        <v>507</v>
      </c>
      <c r="J50" s="55">
        <v>46077</v>
      </c>
      <c r="K50" s="151" t="s">
        <v>610</v>
      </c>
      <c r="L50" s="151">
        <v>89090041850</v>
      </c>
      <c r="M50" s="62" t="s">
        <v>609</v>
      </c>
      <c r="N50" s="137"/>
      <c r="O50" s="88">
        <v>20000</v>
      </c>
      <c r="P50" s="88"/>
      <c r="Q50" s="57"/>
      <c r="R50" s="53" t="s">
        <v>422</v>
      </c>
      <c r="S50" s="90">
        <v>44500</v>
      </c>
      <c r="T50" s="61">
        <f>S50*F50/1000</f>
        <v>890000</v>
      </c>
    </row>
    <row r="51" spans="1:20" s="63" customFormat="1" ht="13.5" customHeight="1" x14ac:dyDescent="0.25">
      <c r="A51" s="64" t="s">
        <v>429</v>
      </c>
      <c r="B51" s="57" t="s">
        <v>527</v>
      </c>
      <c r="C51" s="57" t="s">
        <v>352</v>
      </c>
      <c r="D51" s="89" t="s">
        <v>222</v>
      </c>
      <c r="E51" s="56" t="s">
        <v>334</v>
      </c>
      <c r="F51" s="88">
        <v>20000</v>
      </c>
      <c r="G51" s="64">
        <v>800</v>
      </c>
      <c r="H51" s="64" t="s">
        <v>315</v>
      </c>
      <c r="I51" s="64" t="s">
        <v>507</v>
      </c>
      <c r="J51" s="55">
        <v>46077</v>
      </c>
      <c r="K51" s="269" t="s">
        <v>613</v>
      </c>
      <c r="L51" s="151" t="s">
        <v>612</v>
      </c>
      <c r="M51" s="62" t="s">
        <v>611</v>
      </c>
      <c r="N51" s="137"/>
      <c r="O51" s="88">
        <v>20000</v>
      </c>
      <c r="P51" s="88"/>
      <c r="Q51" s="57"/>
      <c r="R51" s="53" t="s">
        <v>422</v>
      </c>
      <c r="S51" s="90">
        <v>44500</v>
      </c>
      <c r="T51" s="61">
        <f>S51*F51/1000</f>
        <v>890000</v>
      </c>
    </row>
    <row r="52" spans="1:20" s="63" customFormat="1" ht="13.5" customHeight="1" x14ac:dyDescent="0.25">
      <c r="A52" s="64" t="s">
        <v>429</v>
      </c>
      <c r="B52" s="57" t="s">
        <v>576</v>
      </c>
      <c r="C52" s="57" t="s">
        <v>318</v>
      </c>
      <c r="D52" s="89" t="s">
        <v>296</v>
      </c>
      <c r="E52" s="56" t="s">
        <v>348</v>
      </c>
      <c r="F52" s="88">
        <v>12800</v>
      </c>
      <c r="G52" s="64">
        <v>64</v>
      </c>
      <c r="H52" s="64" t="s">
        <v>319</v>
      </c>
      <c r="I52" s="64" t="s">
        <v>507</v>
      </c>
      <c r="J52" s="55">
        <v>46077</v>
      </c>
      <c r="K52" s="224" t="s">
        <v>608</v>
      </c>
      <c r="L52" s="224">
        <v>89297116272</v>
      </c>
      <c r="M52" s="225" t="s">
        <v>607</v>
      </c>
      <c r="N52" s="137"/>
      <c r="O52" s="88"/>
      <c r="P52" s="88"/>
      <c r="Q52" s="88">
        <v>12800</v>
      </c>
      <c r="R52" s="53" t="s">
        <v>422</v>
      </c>
      <c r="S52" s="90">
        <v>122000</v>
      </c>
      <c r="T52" s="61">
        <f t="shared" si="2"/>
        <v>1561600</v>
      </c>
    </row>
    <row r="53" spans="1:20" s="63" customFormat="1" ht="13.5" customHeight="1" x14ac:dyDescent="0.25">
      <c r="A53" s="64" t="s">
        <v>429</v>
      </c>
      <c r="B53" s="57" t="s">
        <v>576</v>
      </c>
      <c r="C53" s="57" t="s">
        <v>318</v>
      </c>
      <c r="D53" s="89" t="s">
        <v>335</v>
      </c>
      <c r="E53" s="56" t="s">
        <v>587</v>
      </c>
      <c r="F53" s="88">
        <v>2160</v>
      </c>
      <c r="G53" s="64">
        <v>120</v>
      </c>
      <c r="H53" s="64" t="s">
        <v>319</v>
      </c>
      <c r="I53" s="64" t="s">
        <v>507</v>
      </c>
      <c r="J53" s="55">
        <v>46077</v>
      </c>
      <c r="K53" s="224" t="s">
        <v>608</v>
      </c>
      <c r="L53" s="224">
        <v>89297116272</v>
      </c>
      <c r="M53" s="225" t="s">
        <v>607</v>
      </c>
      <c r="N53" s="137"/>
      <c r="O53" s="88"/>
      <c r="P53" s="88">
        <v>2160</v>
      </c>
      <c r="Q53" s="88"/>
      <c r="R53" s="53" t="s">
        <v>422</v>
      </c>
      <c r="S53" s="90">
        <v>220000</v>
      </c>
      <c r="T53" s="61">
        <f t="shared" si="2"/>
        <v>475200</v>
      </c>
    </row>
    <row r="54" spans="1:20" s="63" customFormat="1" ht="13.5" customHeight="1" x14ac:dyDescent="0.25">
      <c r="A54" s="64" t="s">
        <v>429</v>
      </c>
      <c r="B54" s="57" t="s">
        <v>576</v>
      </c>
      <c r="C54" s="57" t="s">
        <v>318</v>
      </c>
      <c r="D54" s="89" t="s">
        <v>170</v>
      </c>
      <c r="E54" s="56" t="s">
        <v>586</v>
      </c>
      <c r="F54" s="88">
        <v>2400</v>
      </c>
      <c r="G54" s="64">
        <v>12</v>
      </c>
      <c r="H54" s="64" t="s">
        <v>319</v>
      </c>
      <c r="I54" s="64" t="s">
        <v>507</v>
      </c>
      <c r="J54" s="55">
        <v>46077</v>
      </c>
      <c r="K54" s="224" t="s">
        <v>608</v>
      </c>
      <c r="L54" s="224">
        <v>89297116272</v>
      </c>
      <c r="M54" s="225" t="s">
        <v>607</v>
      </c>
      <c r="N54" s="137"/>
      <c r="O54" s="88"/>
      <c r="P54" s="88"/>
      <c r="Q54" s="88">
        <v>2400</v>
      </c>
      <c r="R54" s="53" t="s">
        <v>422</v>
      </c>
      <c r="S54" s="90">
        <v>157000</v>
      </c>
      <c r="T54" s="61">
        <f t="shared" si="2"/>
        <v>376800</v>
      </c>
    </row>
    <row r="55" spans="1:20" s="63" customFormat="1" ht="13.5" customHeight="1" x14ac:dyDescent="0.25">
      <c r="A55" s="64" t="s">
        <v>437</v>
      </c>
      <c r="B55" s="57" t="s">
        <v>438</v>
      </c>
      <c r="C55" s="57" t="s">
        <v>439</v>
      </c>
      <c r="D55" s="10" t="s">
        <v>166</v>
      </c>
      <c r="E55" s="56" t="s">
        <v>440</v>
      </c>
      <c r="F55" s="57">
        <v>1200</v>
      </c>
      <c r="G55" s="64">
        <v>6</v>
      </c>
      <c r="H55" s="260" t="s">
        <v>459</v>
      </c>
      <c r="I55" s="64" t="s">
        <v>507</v>
      </c>
      <c r="J55" s="55">
        <v>46080</v>
      </c>
      <c r="K55" s="148" t="s">
        <v>634</v>
      </c>
      <c r="L55" s="161">
        <v>89509632458</v>
      </c>
      <c r="M55" s="53" t="s">
        <v>635</v>
      </c>
      <c r="N55" s="149"/>
      <c r="O55" s="57"/>
      <c r="P55" s="57"/>
      <c r="Q55" s="57">
        <v>1200</v>
      </c>
      <c r="R55" s="53" t="s">
        <v>422</v>
      </c>
      <c r="S55" s="90">
        <v>89900</v>
      </c>
      <c r="T55" s="61">
        <f t="shared" si="2"/>
        <v>107880</v>
      </c>
    </row>
    <row r="56" spans="1:20" s="63" customFormat="1" ht="13.5" customHeight="1" x14ac:dyDescent="0.25">
      <c r="A56" s="64" t="s">
        <v>437</v>
      </c>
      <c r="B56" s="57" t="s">
        <v>438</v>
      </c>
      <c r="C56" s="57" t="s">
        <v>439</v>
      </c>
      <c r="D56" s="10" t="s">
        <v>166</v>
      </c>
      <c r="E56" s="56" t="s">
        <v>441</v>
      </c>
      <c r="F56" s="57">
        <v>5200</v>
      </c>
      <c r="G56" s="64">
        <v>26</v>
      </c>
      <c r="H56" s="260" t="s">
        <v>459</v>
      </c>
      <c r="I56" s="64" t="s">
        <v>507</v>
      </c>
      <c r="J56" s="55">
        <v>46080</v>
      </c>
      <c r="K56" s="148" t="s">
        <v>634</v>
      </c>
      <c r="L56" s="161">
        <v>89509632458</v>
      </c>
      <c r="M56" s="53" t="s">
        <v>635</v>
      </c>
      <c r="N56" s="149"/>
      <c r="O56" s="57"/>
      <c r="P56" s="57"/>
      <c r="Q56" s="57">
        <v>5200</v>
      </c>
      <c r="R56" s="53" t="s">
        <v>422</v>
      </c>
      <c r="S56" s="90">
        <v>89900</v>
      </c>
      <c r="T56" s="61">
        <f t="shared" si="2"/>
        <v>467480</v>
      </c>
    </row>
    <row r="57" spans="1:20" s="63" customFormat="1" ht="13.5" customHeight="1" x14ac:dyDescent="0.25">
      <c r="A57" s="64" t="s">
        <v>429</v>
      </c>
      <c r="B57" s="57" t="s">
        <v>554</v>
      </c>
      <c r="C57" s="57" t="s">
        <v>316</v>
      </c>
      <c r="D57" s="10" t="s">
        <v>222</v>
      </c>
      <c r="E57" s="56" t="s">
        <v>585</v>
      </c>
      <c r="F57" s="88">
        <v>20000</v>
      </c>
      <c r="G57" s="64">
        <v>800</v>
      </c>
      <c r="H57" s="64" t="s">
        <v>467</v>
      </c>
      <c r="I57" s="64" t="s">
        <v>507</v>
      </c>
      <c r="J57" s="55">
        <v>46080</v>
      </c>
      <c r="K57" s="271" t="s">
        <v>637</v>
      </c>
      <c r="L57" s="151">
        <v>89134212454</v>
      </c>
      <c r="M57" s="62" t="s">
        <v>636</v>
      </c>
      <c r="N57" s="137"/>
      <c r="O57" s="88">
        <v>20000</v>
      </c>
      <c r="P57" s="88"/>
      <c r="Q57" s="88"/>
      <c r="R57" s="53" t="s">
        <v>422</v>
      </c>
      <c r="S57" s="90">
        <v>44500</v>
      </c>
      <c r="T57" s="61">
        <f t="shared" si="2"/>
        <v>890000</v>
      </c>
    </row>
    <row r="58" spans="1:20" ht="21" customHeight="1" x14ac:dyDescent="0.3">
      <c r="A58" s="190"/>
      <c r="B58" s="191"/>
      <c r="C58" s="191"/>
      <c r="D58" s="192"/>
      <c r="E58" s="193"/>
      <c r="F58" s="191"/>
      <c r="G58" s="190"/>
      <c r="H58" s="190"/>
      <c r="I58" s="190"/>
      <c r="J58" s="194"/>
      <c r="K58" s="190"/>
      <c r="L58" s="195"/>
      <c r="M58" s="191"/>
      <c r="N58" s="191"/>
      <c r="O58" s="191"/>
      <c r="P58" s="191"/>
      <c r="Q58" s="191"/>
      <c r="R58" s="191"/>
      <c r="S58" s="196"/>
      <c r="T58" s="196">
        <f>SUM(T5:T57)</f>
        <v>39591660</v>
      </c>
    </row>
    <row r="59" spans="1:20" ht="21" customHeight="1" x14ac:dyDescent="0.3">
      <c r="A59" s="136" t="s">
        <v>14</v>
      </c>
      <c r="B59" s="95">
        <f>SUM($F$5:$F$58)/1000</f>
        <v>519.64</v>
      </c>
      <c r="C59" s="54" t="s">
        <v>13</v>
      </c>
    </row>
    <row r="60" spans="1:20" ht="23.25" customHeight="1" x14ac:dyDescent="0.3">
      <c r="A60" s="101" t="s">
        <v>15</v>
      </c>
      <c r="B60" s="96">
        <f>$B$61+$B$62+$B$63</f>
        <v>519.64</v>
      </c>
      <c r="C60" s="1" t="s">
        <v>13</v>
      </c>
      <c r="E60" s="198"/>
      <c r="F60" s="135" t="s">
        <v>304</v>
      </c>
      <c r="G60" s="135"/>
    </row>
    <row r="61" spans="1:20" ht="23.25" customHeight="1" x14ac:dyDescent="0.3">
      <c r="A61" s="102" t="s">
        <v>16</v>
      </c>
      <c r="B61" s="94">
        <f>SUM(O5:O58)/1000</f>
        <v>325</v>
      </c>
      <c r="C61" s="2" t="s">
        <v>13</v>
      </c>
      <c r="D61" s="145"/>
      <c r="E61" s="146"/>
      <c r="F61" s="135" t="s">
        <v>303</v>
      </c>
      <c r="G61" s="135"/>
    </row>
    <row r="62" spans="1:20" ht="23.25" customHeight="1" x14ac:dyDescent="0.3">
      <c r="A62" s="102" t="s">
        <v>152</v>
      </c>
      <c r="B62" s="94">
        <f>SUM(P5:P58)/1000</f>
        <v>34.04</v>
      </c>
      <c r="C62" s="2" t="s">
        <v>13</v>
      </c>
      <c r="E62" s="141"/>
      <c r="F62" s="135" t="s">
        <v>302</v>
      </c>
      <c r="G62" s="135"/>
    </row>
    <row r="63" spans="1:20" ht="23.25" customHeight="1" x14ac:dyDescent="0.3">
      <c r="A63" s="102" t="s">
        <v>23</v>
      </c>
      <c r="B63" s="94">
        <f>SUM(Q5:Q58)/1000</f>
        <v>160.6</v>
      </c>
      <c r="C63" s="2" t="s">
        <v>13</v>
      </c>
      <c r="E63" s="142"/>
      <c r="F63" s="135" t="s">
        <v>307</v>
      </c>
    </row>
    <row r="64" spans="1:20" ht="23.25" customHeight="1" thickBot="1" x14ac:dyDescent="0.35">
      <c r="A64" s="103" t="s">
        <v>19</v>
      </c>
      <c r="B64" s="97">
        <f>$B$59-$B$60</f>
        <v>0</v>
      </c>
      <c r="C64" s="3" t="s">
        <v>13</v>
      </c>
      <c r="E64" s="165"/>
      <c r="F64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64" xr:uid="{00000000-0009-0000-0000-000002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54" type="noConversion"/>
  <pageMargins left="0.7" right="0.7" top="0.75" bottom="0.75" header="0.3" footer="0.3"/>
  <pageSetup paperSize="9" scale="2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справочник!$E$2:$E$182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2"/>
  <sheetViews>
    <sheetView zoomScale="70" zoomScaleNormal="70" zoomScaleSheetLayoutView="70" workbookViewId="0">
      <pane ySplit="3" topLeftCell="A4" activePane="bottomLeft" state="frozen"/>
      <selection pane="bottomLeft" activeCell="D31" sqref="D31"/>
    </sheetView>
  </sheetViews>
  <sheetFormatPr defaultRowHeight="15" x14ac:dyDescent="0.25"/>
  <cols>
    <col min="1" max="1" width="18" style="104" customWidth="1"/>
    <col min="2" max="2" width="19.85546875" customWidth="1"/>
    <col min="3" max="3" width="17" customWidth="1"/>
    <col min="4" max="4" width="41" customWidth="1"/>
    <col min="5" max="5" width="15.5703125" style="140" customWidth="1"/>
    <col min="6" max="6" width="13" bestFit="1" customWidth="1"/>
    <col min="7" max="7" width="15.5703125" customWidth="1"/>
    <col min="8" max="8" width="22.42578125" customWidth="1"/>
    <col min="9" max="9" width="24.28515625" customWidth="1"/>
    <col min="10" max="10" width="20.28515625" customWidth="1"/>
    <col min="11" max="11" width="25.140625" customWidth="1"/>
    <col min="12" max="12" width="24.7109375" customWidth="1"/>
    <col min="13" max="13" width="32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46023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0" t="s">
        <v>158</v>
      </c>
      <c r="B2" s="432" t="s">
        <v>17</v>
      </c>
      <c r="C2" s="434" t="s">
        <v>155</v>
      </c>
      <c r="D2" s="436" t="s">
        <v>4</v>
      </c>
      <c r="E2" s="438" t="s">
        <v>5</v>
      </c>
      <c r="F2" s="428" t="s">
        <v>0</v>
      </c>
      <c r="G2" s="429"/>
      <c r="H2" s="441" t="s">
        <v>2</v>
      </c>
      <c r="I2" s="443" t="s">
        <v>3</v>
      </c>
      <c r="J2" s="445" t="s">
        <v>6</v>
      </c>
      <c r="K2" s="447" t="s">
        <v>7</v>
      </c>
      <c r="L2" s="448"/>
      <c r="M2" s="449"/>
      <c r="N2" s="99" t="s">
        <v>9</v>
      </c>
      <c r="O2" s="450" t="s">
        <v>11</v>
      </c>
      <c r="P2" s="451"/>
      <c r="Q2" s="452"/>
      <c r="R2" s="453" t="s">
        <v>150</v>
      </c>
      <c r="S2" s="440" t="s">
        <v>160</v>
      </c>
      <c r="T2" s="91"/>
    </row>
    <row r="3" spans="1:20" x14ac:dyDescent="0.25">
      <c r="A3" s="431"/>
      <c r="B3" s="433"/>
      <c r="C3" s="435"/>
      <c r="D3" s="437"/>
      <c r="E3" s="439"/>
      <c r="F3" s="130" t="s">
        <v>1</v>
      </c>
      <c r="G3" s="130" t="s">
        <v>154</v>
      </c>
      <c r="H3" s="442"/>
      <c r="I3" s="444"/>
      <c r="J3" s="446"/>
      <c r="K3" s="206" t="s">
        <v>8</v>
      </c>
      <c r="L3" s="206" t="s">
        <v>20</v>
      </c>
      <c r="M3" s="206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54"/>
      <c r="S3" s="440"/>
      <c r="T3" s="134" t="s">
        <v>161</v>
      </c>
    </row>
    <row r="4" spans="1:20" x14ac:dyDescent="0.25">
      <c r="A4" s="236"/>
      <c r="B4" s="237"/>
      <c r="C4" s="239"/>
      <c r="D4" s="240"/>
      <c r="E4" s="241"/>
      <c r="F4" s="130"/>
      <c r="G4" s="130"/>
      <c r="H4" s="232"/>
      <c r="I4" s="233"/>
      <c r="J4" s="234"/>
      <c r="K4" s="238"/>
      <c r="L4" s="238"/>
      <c r="M4" s="238"/>
      <c r="N4" s="131"/>
      <c r="O4" s="132"/>
      <c r="P4" s="132"/>
      <c r="Q4" s="133"/>
      <c r="R4" s="235"/>
      <c r="S4" s="242"/>
      <c r="T4" s="134"/>
    </row>
    <row r="5" spans="1:20" s="63" customFormat="1" ht="13.5" customHeight="1" x14ac:dyDescent="0.25">
      <c r="A5" s="64" t="s">
        <v>387</v>
      </c>
      <c r="B5" s="57" t="s">
        <v>373</v>
      </c>
      <c r="C5" s="57" t="s">
        <v>352</v>
      </c>
      <c r="D5" s="89" t="s">
        <v>222</v>
      </c>
      <c r="E5" s="56" t="s">
        <v>334</v>
      </c>
      <c r="F5" s="88">
        <v>20000</v>
      </c>
      <c r="G5" s="64">
        <v>800</v>
      </c>
      <c r="H5" s="64" t="s">
        <v>164</v>
      </c>
      <c r="I5" s="64" t="s">
        <v>425</v>
      </c>
      <c r="J5" s="55">
        <v>46034</v>
      </c>
      <c r="K5" s="223" t="s">
        <v>389</v>
      </c>
      <c r="L5" s="151">
        <v>89991681050</v>
      </c>
      <c r="M5" s="62" t="s">
        <v>391</v>
      </c>
      <c r="N5" s="137"/>
      <c r="O5" s="88">
        <v>20000</v>
      </c>
      <c r="P5" s="88"/>
      <c r="Q5" s="57"/>
      <c r="R5" s="53" t="s">
        <v>422</v>
      </c>
      <c r="S5" s="90">
        <v>44500</v>
      </c>
      <c r="T5" s="61">
        <f t="shared" ref="T5:T12" si="0">S5*F5/1000</f>
        <v>890000</v>
      </c>
    </row>
    <row r="6" spans="1:20" s="63" customFormat="1" ht="13.5" customHeight="1" x14ac:dyDescent="0.25">
      <c r="A6" s="64" t="s">
        <v>387</v>
      </c>
      <c r="B6" s="57" t="s">
        <v>374</v>
      </c>
      <c r="C6" s="57" t="s">
        <v>352</v>
      </c>
      <c r="D6" s="89" t="s">
        <v>222</v>
      </c>
      <c r="E6" s="56" t="s">
        <v>334</v>
      </c>
      <c r="F6" s="88">
        <v>20000</v>
      </c>
      <c r="G6" s="64">
        <v>800</v>
      </c>
      <c r="H6" s="64" t="s">
        <v>164</v>
      </c>
      <c r="I6" s="64" t="s">
        <v>425</v>
      </c>
      <c r="J6" s="55">
        <v>46034</v>
      </c>
      <c r="K6" s="223" t="s">
        <v>393</v>
      </c>
      <c r="L6" s="151">
        <v>89214819561</v>
      </c>
      <c r="M6" s="62" t="s">
        <v>394</v>
      </c>
      <c r="N6" s="137"/>
      <c r="O6" s="88">
        <v>20000</v>
      </c>
      <c r="P6" s="88"/>
      <c r="Q6" s="57"/>
      <c r="R6" s="53" t="s">
        <v>422</v>
      </c>
      <c r="S6" s="90">
        <v>44500</v>
      </c>
      <c r="T6" s="61">
        <f t="shared" si="0"/>
        <v>890000</v>
      </c>
    </row>
    <row r="7" spans="1:20" s="63" customFormat="1" ht="13.5" customHeight="1" x14ac:dyDescent="0.25">
      <c r="A7" s="64" t="s">
        <v>387</v>
      </c>
      <c r="B7" s="57" t="s">
        <v>375</v>
      </c>
      <c r="C7" s="57" t="s">
        <v>352</v>
      </c>
      <c r="D7" s="89" t="s">
        <v>222</v>
      </c>
      <c r="E7" s="56" t="s">
        <v>334</v>
      </c>
      <c r="F7" s="88">
        <v>20000</v>
      </c>
      <c r="G7" s="64">
        <v>800</v>
      </c>
      <c r="H7" s="64" t="s">
        <v>315</v>
      </c>
      <c r="I7" s="64" t="s">
        <v>425</v>
      </c>
      <c r="J7" s="55">
        <v>46034</v>
      </c>
      <c r="K7" s="223" t="s">
        <v>390</v>
      </c>
      <c r="L7" s="151">
        <v>89116853405</v>
      </c>
      <c r="M7" s="62" t="s">
        <v>392</v>
      </c>
      <c r="N7" s="137"/>
      <c r="O7" s="88">
        <v>20000</v>
      </c>
      <c r="P7" s="88"/>
      <c r="Q7" s="57"/>
      <c r="R7" s="53" t="s">
        <v>422</v>
      </c>
      <c r="S7" s="90">
        <v>44500</v>
      </c>
      <c r="T7" s="61">
        <f t="shared" si="0"/>
        <v>890000</v>
      </c>
    </row>
    <row r="8" spans="1:20" s="63" customFormat="1" ht="13.5" customHeight="1" x14ac:dyDescent="0.25">
      <c r="A8" s="64" t="s">
        <v>387</v>
      </c>
      <c r="B8" s="57" t="s">
        <v>385</v>
      </c>
      <c r="C8" s="57" t="s">
        <v>318</v>
      </c>
      <c r="D8" s="89" t="s">
        <v>296</v>
      </c>
      <c r="E8" s="56" t="s">
        <v>348</v>
      </c>
      <c r="F8" s="88">
        <v>17600</v>
      </c>
      <c r="G8" s="64">
        <v>88</v>
      </c>
      <c r="H8" s="64" t="s">
        <v>319</v>
      </c>
      <c r="I8" s="64" t="s">
        <v>425</v>
      </c>
      <c r="J8" s="55">
        <v>46035</v>
      </c>
      <c r="K8" s="224" t="s">
        <v>397</v>
      </c>
      <c r="L8" s="224">
        <v>89116853272</v>
      </c>
      <c r="M8" s="225" t="s">
        <v>396</v>
      </c>
      <c r="N8" s="137"/>
      <c r="O8" s="88"/>
      <c r="P8" s="88"/>
      <c r="Q8" s="88">
        <v>17600</v>
      </c>
      <c r="R8" s="53" t="s">
        <v>422</v>
      </c>
      <c r="S8" s="90">
        <v>128000</v>
      </c>
      <c r="T8" s="61">
        <f t="shared" si="0"/>
        <v>2252800</v>
      </c>
    </row>
    <row r="9" spans="1:20" s="63" customFormat="1" ht="13.5" customHeight="1" x14ac:dyDescent="0.25">
      <c r="A9" s="64" t="s">
        <v>325</v>
      </c>
      <c r="B9" s="57" t="s">
        <v>365</v>
      </c>
      <c r="C9" s="57" t="s">
        <v>323</v>
      </c>
      <c r="D9" s="89" t="s">
        <v>156</v>
      </c>
      <c r="E9" s="217" t="s">
        <v>378</v>
      </c>
      <c r="F9" s="88">
        <v>800</v>
      </c>
      <c r="G9" s="64">
        <v>4</v>
      </c>
      <c r="H9" s="64" t="s">
        <v>324</v>
      </c>
      <c r="I9" s="64" t="s">
        <v>425</v>
      </c>
      <c r="J9" s="55">
        <v>46037</v>
      </c>
      <c r="K9" s="218" t="s">
        <v>418</v>
      </c>
      <c r="L9" s="219">
        <v>89773804045</v>
      </c>
      <c r="M9" s="53" t="s">
        <v>417</v>
      </c>
      <c r="N9" s="220"/>
      <c r="O9" s="88"/>
      <c r="P9" s="57"/>
      <c r="Q9" s="88">
        <v>800</v>
      </c>
      <c r="R9" s="53" t="s">
        <v>422</v>
      </c>
      <c r="S9" s="90">
        <v>82000</v>
      </c>
      <c r="T9" s="61">
        <f t="shared" si="0"/>
        <v>65600</v>
      </c>
    </row>
    <row r="10" spans="1:20" s="63" customFormat="1" ht="13.5" customHeight="1" x14ac:dyDescent="0.25">
      <c r="A10" s="64" t="s">
        <v>325</v>
      </c>
      <c r="B10" s="57" t="s">
        <v>365</v>
      </c>
      <c r="C10" s="57" t="s">
        <v>323</v>
      </c>
      <c r="D10" s="89" t="s">
        <v>156</v>
      </c>
      <c r="E10" s="217" t="s">
        <v>379</v>
      </c>
      <c r="F10" s="88">
        <v>6400</v>
      </c>
      <c r="G10" s="64">
        <v>32</v>
      </c>
      <c r="H10" s="64" t="s">
        <v>324</v>
      </c>
      <c r="I10" s="64" t="s">
        <v>425</v>
      </c>
      <c r="J10" s="55">
        <v>46037</v>
      </c>
      <c r="K10" s="218" t="s">
        <v>418</v>
      </c>
      <c r="L10" s="219">
        <v>89773804045</v>
      </c>
      <c r="M10" s="53" t="s">
        <v>417</v>
      </c>
      <c r="N10" s="220"/>
      <c r="O10" s="88"/>
      <c r="P10" s="57"/>
      <c r="Q10" s="88">
        <v>6400</v>
      </c>
      <c r="R10" s="53" t="s">
        <v>422</v>
      </c>
      <c r="S10" s="90">
        <v>82000</v>
      </c>
      <c r="T10" s="61">
        <f t="shared" si="0"/>
        <v>524800</v>
      </c>
    </row>
    <row r="11" spans="1:20" s="63" customFormat="1" ht="13.5" customHeight="1" x14ac:dyDescent="0.25">
      <c r="A11" s="64" t="s">
        <v>325</v>
      </c>
      <c r="B11" s="57" t="s">
        <v>365</v>
      </c>
      <c r="C11" s="57" t="s">
        <v>323</v>
      </c>
      <c r="D11" s="89" t="s">
        <v>156</v>
      </c>
      <c r="E11" s="217" t="s">
        <v>380</v>
      </c>
      <c r="F11" s="88">
        <v>7200</v>
      </c>
      <c r="G11" s="64">
        <v>36</v>
      </c>
      <c r="H11" s="64" t="s">
        <v>324</v>
      </c>
      <c r="I11" s="64" t="s">
        <v>425</v>
      </c>
      <c r="J11" s="55">
        <v>46037</v>
      </c>
      <c r="K11" s="218" t="s">
        <v>418</v>
      </c>
      <c r="L11" s="219">
        <v>89773804045</v>
      </c>
      <c r="M11" s="53" t="s">
        <v>417</v>
      </c>
      <c r="N11" s="220"/>
      <c r="O11" s="88"/>
      <c r="P11" s="57"/>
      <c r="Q11" s="88">
        <v>7200</v>
      </c>
      <c r="R11" s="53" t="s">
        <v>422</v>
      </c>
      <c r="S11" s="90">
        <v>82000</v>
      </c>
      <c r="T11" s="61">
        <f t="shared" si="0"/>
        <v>590400</v>
      </c>
    </row>
    <row r="12" spans="1:20" s="63" customFormat="1" ht="13.5" customHeight="1" x14ac:dyDescent="0.25">
      <c r="A12" s="64" t="s">
        <v>325</v>
      </c>
      <c r="B12" s="57" t="s">
        <v>365</v>
      </c>
      <c r="C12" s="57" t="s">
        <v>323</v>
      </c>
      <c r="D12" s="89" t="s">
        <v>156</v>
      </c>
      <c r="E12" s="217" t="s">
        <v>395</v>
      </c>
      <c r="F12" s="88">
        <v>3200</v>
      </c>
      <c r="G12" s="64">
        <v>16</v>
      </c>
      <c r="H12" s="64" t="s">
        <v>324</v>
      </c>
      <c r="I12" s="64" t="s">
        <v>425</v>
      </c>
      <c r="J12" s="55">
        <v>46037</v>
      </c>
      <c r="K12" s="218" t="s">
        <v>418</v>
      </c>
      <c r="L12" s="219">
        <v>89773804045</v>
      </c>
      <c r="M12" s="53" t="s">
        <v>417</v>
      </c>
      <c r="N12" s="220"/>
      <c r="O12" s="88"/>
      <c r="P12" s="57"/>
      <c r="Q12" s="88">
        <v>3200</v>
      </c>
      <c r="R12" s="53" t="s">
        <v>422</v>
      </c>
      <c r="S12" s="90">
        <v>82000</v>
      </c>
      <c r="T12" s="61">
        <f t="shared" si="0"/>
        <v>262400</v>
      </c>
    </row>
    <row r="13" spans="1:20" s="63" customFormat="1" ht="13.5" customHeight="1" x14ac:dyDescent="0.25">
      <c r="A13" s="64" t="s">
        <v>325</v>
      </c>
      <c r="B13" s="57" t="s">
        <v>366</v>
      </c>
      <c r="C13" s="57" t="s">
        <v>323</v>
      </c>
      <c r="D13" s="89" t="s">
        <v>156</v>
      </c>
      <c r="E13" s="217" t="s">
        <v>370</v>
      </c>
      <c r="F13" s="88">
        <v>2400</v>
      </c>
      <c r="G13" s="64">
        <v>12</v>
      </c>
      <c r="H13" s="64" t="s">
        <v>324</v>
      </c>
      <c r="I13" s="64" t="s">
        <v>425</v>
      </c>
      <c r="J13" s="55">
        <v>46038</v>
      </c>
      <c r="K13" s="218" t="s">
        <v>420</v>
      </c>
      <c r="L13" s="219" t="s">
        <v>421</v>
      </c>
      <c r="M13" s="53" t="s">
        <v>419</v>
      </c>
      <c r="N13" s="220"/>
      <c r="O13" s="88"/>
      <c r="P13" s="57"/>
      <c r="Q13" s="88">
        <v>2400</v>
      </c>
      <c r="R13" s="53" t="s">
        <v>422</v>
      </c>
      <c r="S13" s="90">
        <v>82000</v>
      </c>
      <c r="T13" s="61">
        <f t="shared" ref="T13:T44" si="1">S13*F13/1000</f>
        <v>196800</v>
      </c>
    </row>
    <row r="14" spans="1:20" s="63" customFormat="1" ht="13.5" customHeight="1" x14ac:dyDescent="0.25">
      <c r="A14" s="64" t="s">
        <v>325</v>
      </c>
      <c r="B14" s="57" t="s">
        <v>366</v>
      </c>
      <c r="C14" s="57" t="s">
        <v>323</v>
      </c>
      <c r="D14" s="89" t="s">
        <v>156</v>
      </c>
      <c r="E14" s="217" t="s">
        <v>371</v>
      </c>
      <c r="F14" s="88">
        <v>2400</v>
      </c>
      <c r="G14" s="64">
        <v>12</v>
      </c>
      <c r="H14" s="64" t="s">
        <v>324</v>
      </c>
      <c r="I14" s="64" t="s">
        <v>425</v>
      </c>
      <c r="J14" s="55">
        <v>46038</v>
      </c>
      <c r="K14" s="218" t="s">
        <v>420</v>
      </c>
      <c r="L14" s="219" t="s">
        <v>421</v>
      </c>
      <c r="M14" s="53" t="s">
        <v>419</v>
      </c>
      <c r="N14" s="220"/>
      <c r="O14" s="88"/>
      <c r="P14" s="57"/>
      <c r="Q14" s="88">
        <v>2400</v>
      </c>
      <c r="R14" s="53" t="s">
        <v>422</v>
      </c>
      <c r="S14" s="90">
        <v>82000</v>
      </c>
      <c r="T14" s="61">
        <f t="shared" si="1"/>
        <v>196800</v>
      </c>
    </row>
    <row r="15" spans="1:20" s="63" customFormat="1" ht="13.5" customHeight="1" x14ac:dyDescent="0.25">
      <c r="A15" s="64" t="s">
        <v>325</v>
      </c>
      <c r="B15" s="57" t="s">
        <v>366</v>
      </c>
      <c r="C15" s="57" t="s">
        <v>323</v>
      </c>
      <c r="D15" s="89" t="s">
        <v>156</v>
      </c>
      <c r="E15" s="217" t="s">
        <v>377</v>
      </c>
      <c r="F15" s="88">
        <v>6400</v>
      </c>
      <c r="G15" s="64">
        <v>32</v>
      </c>
      <c r="H15" s="64" t="s">
        <v>324</v>
      </c>
      <c r="I15" s="64" t="s">
        <v>425</v>
      </c>
      <c r="J15" s="55">
        <v>46038</v>
      </c>
      <c r="K15" s="218" t="s">
        <v>420</v>
      </c>
      <c r="L15" s="219" t="s">
        <v>421</v>
      </c>
      <c r="M15" s="53" t="s">
        <v>419</v>
      </c>
      <c r="N15" s="220"/>
      <c r="O15" s="88"/>
      <c r="P15" s="57"/>
      <c r="Q15" s="88">
        <v>6400</v>
      </c>
      <c r="R15" s="53" t="s">
        <v>422</v>
      </c>
      <c r="S15" s="90">
        <v>82000</v>
      </c>
      <c r="T15" s="61">
        <f t="shared" si="1"/>
        <v>524800</v>
      </c>
    </row>
    <row r="16" spans="1:20" s="63" customFormat="1" ht="13.5" customHeight="1" x14ac:dyDescent="0.25">
      <c r="A16" s="64" t="s">
        <v>325</v>
      </c>
      <c r="B16" s="57" t="s">
        <v>366</v>
      </c>
      <c r="C16" s="57" t="s">
        <v>323</v>
      </c>
      <c r="D16" s="89" t="s">
        <v>156</v>
      </c>
      <c r="E16" s="217" t="s">
        <v>378</v>
      </c>
      <c r="F16" s="88">
        <v>6400</v>
      </c>
      <c r="G16" s="64">
        <v>32</v>
      </c>
      <c r="H16" s="64" t="s">
        <v>324</v>
      </c>
      <c r="I16" s="64" t="s">
        <v>425</v>
      </c>
      <c r="J16" s="55">
        <v>46038</v>
      </c>
      <c r="K16" s="218" t="s">
        <v>420</v>
      </c>
      <c r="L16" s="219" t="s">
        <v>421</v>
      </c>
      <c r="M16" s="53" t="s">
        <v>419</v>
      </c>
      <c r="N16" s="220"/>
      <c r="O16" s="88"/>
      <c r="P16" s="57"/>
      <c r="Q16" s="88">
        <v>6400</v>
      </c>
      <c r="R16" s="53" t="s">
        <v>422</v>
      </c>
      <c r="S16" s="90">
        <v>82000</v>
      </c>
      <c r="T16" s="61">
        <f t="shared" si="1"/>
        <v>524800</v>
      </c>
    </row>
    <row r="17" spans="1:20" s="63" customFormat="1" ht="13.5" customHeight="1" x14ac:dyDescent="0.25">
      <c r="A17" s="64" t="s">
        <v>426</v>
      </c>
      <c r="B17" s="57" t="s">
        <v>385</v>
      </c>
      <c r="C17" s="57" t="s">
        <v>318</v>
      </c>
      <c r="D17" s="89" t="s">
        <v>222</v>
      </c>
      <c r="E17" s="56" t="s">
        <v>386</v>
      </c>
      <c r="F17" s="88">
        <v>20000</v>
      </c>
      <c r="G17" s="64">
        <v>800</v>
      </c>
      <c r="H17" s="64" t="s">
        <v>319</v>
      </c>
      <c r="I17" s="64" t="s">
        <v>425</v>
      </c>
      <c r="J17" s="55">
        <v>46041</v>
      </c>
      <c r="K17" s="224" t="s">
        <v>428</v>
      </c>
      <c r="L17" s="224">
        <v>89991686190</v>
      </c>
      <c r="M17" s="225" t="s">
        <v>427</v>
      </c>
      <c r="N17" s="137"/>
      <c r="O17" s="88">
        <v>20000</v>
      </c>
      <c r="P17" s="88"/>
      <c r="Q17" s="88"/>
      <c r="R17" s="53" t="s">
        <v>422</v>
      </c>
      <c r="S17" s="90">
        <v>44300</v>
      </c>
      <c r="T17" s="61">
        <f t="shared" si="1"/>
        <v>886000</v>
      </c>
    </row>
    <row r="18" spans="1:20" s="63" customFormat="1" ht="13.5" customHeight="1" x14ac:dyDescent="0.25">
      <c r="A18" s="64" t="s">
        <v>429</v>
      </c>
      <c r="B18" s="57" t="s">
        <v>423</v>
      </c>
      <c r="C18" s="57" t="s">
        <v>398</v>
      </c>
      <c r="D18" s="10" t="s">
        <v>349</v>
      </c>
      <c r="E18" s="56" t="s">
        <v>400</v>
      </c>
      <c r="F18" s="57">
        <v>20000</v>
      </c>
      <c r="G18" s="64">
        <v>800</v>
      </c>
      <c r="H18" s="64" t="s">
        <v>399</v>
      </c>
      <c r="I18" s="55" t="s">
        <v>425</v>
      </c>
      <c r="J18" s="55">
        <v>46041</v>
      </c>
      <c r="K18" s="53" t="s">
        <v>431</v>
      </c>
      <c r="L18" s="226">
        <v>89129296888</v>
      </c>
      <c r="M18" s="53" t="s">
        <v>430</v>
      </c>
      <c r="N18" s="149"/>
      <c r="O18" s="57">
        <v>20000</v>
      </c>
      <c r="P18" s="57"/>
      <c r="Q18" s="57"/>
      <c r="R18" s="53" t="s">
        <v>422</v>
      </c>
      <c r="S18" s="90">
        <v>43500</v>
      </c>
      <c r="T18" s="61">
        <f t="shared" si="1"/>
        <v>870000</v>
      </c>
    </row>
    <row r="19" spans="1:20" s="63" customFormat="1" ht="13.5" customHeight="1" x14ac:dyDescent="0.25">
      <c r="A19" s="64" t="s">
        <v>456</v>
      </c>
      <c r="B19" s="57" t="s">
        <v>424</v>
      </c>
      <c r="C19" s="57" t="s">
        <v>398</v>
      </c>
      <c r="D19" s="10" t="s">
        <v>349</v>
      </c>
      <c r="E19" s="56" t="s">
        <v>401</v>
      </c>
      <c r="F19" s="57">
        <v>20000</v>
      </c>
      <c r="G19" s="64">
        <v>800</v>
      </c>
      <c r="H19" s="64" t="s">
        <v>399</v>
      </c>
      <c r="I19" s="55" t="s">
        <v>425</v>
      </c>
      <c r="J19" s="55">
        <v>46048</v>
      </c>
      <c r="K19" s="53" t="s">
        <v>458</v>
      </c>
      <c r="L19" s="226">
        <v>89197101726</v>
      </c>
      <c r="M19" s="53" t="s">
        <v>457</v>
      </c>
      <c r="N19" s="149"/>
      <c r="O19" s="57">
        <v>20000</v>
      </c>
      <c r="P19" s="57"/>
      <c r="Q19" s="57"/>
      <c r="R19" s="53" t="s">
        <v>422</v>
      </c>
      <c r="S19" s="90">
        <v>43500</v>
      </c>
      <c r="T19" s="61">
        <f>S19*F19/1000</f>
        <v>870000</v>
      </c>
    </row>
    <row r="20" spans="1:20" s="63" customFormat="1" ht="13.5" customHeight="1" x14ac:dyDescent="0.25">
      <c r="A20" s="64" t="s">
        <v>473</v>
      </c>
      <c r="B20" s="57" t="s">
        <v>407</v>
      </c>
      <c r="C20" s="57" t="s">
        <v>405</v>
      </c>
      <c r="D20" s="89" t="s">
        <v>166</v>
      </c>
      <c r="E20" s="217" t="s">
        <v>432</v>
      </c>
      <c r="F20" s="88">
        <v>8800</v>
      </c>
      <c r="G20" s="64">
        <v>44</v>
      </c>
      <c r="H20" s="64" t="s">
        <v>406</v>
      </c>
      <c r="I20" s="228" t="s">
        <v>425</v>
      </c>
      <c r="J20" s="228">
        <v>46049</v>
      </c>
      <c r="K20" s="229" t="s">
        <v>476</v>
      </c>
      <c r="L20" s="230">
        <v>89125770562</v>
      </c>
      <c r="M20" s="53" t="s">
        <v>475</v>
      </c>
      <c r="N20" s="149"/>
      <c r="O20" s="57"/>
      <c r="P20" s="57"/>
      <c r="Q20" s="88">
        <v>8800</v>
      </c>
      <c r="R20" s="53" t="s">
        <v>422</v>
      </c>
      <c r="S20" s="90">
        <v>94500</v>
      </c>
      <c r="T20" s="61">
        <f t="shared" si="1"/>
        <v>831600</v>
      </c>
    </row>
    <row r="21" spans="1:20" s="63" customFormat="1" ht="13.5" customHeight="1" x14ac:dyDescent="0.25">
      <c r="A21" s="64" t="s">
        <v>473</v>
      </c>
      <c r="B21" s="57" t="s">
        <v>407</v>
      </c>
      <c r="C21" s="57" t="s">
        <v>405</v>
      </c>
      <c r="D21" s="89" t="s">
        <v>166</v>
      </c>
      <c r="E21" s="217" t="s">
        <v>434</v>
      </c>
      <c r="F21" s="88">
        <v>8800</v>
      </c>
      <c r="G21" s="64">
        <v>44</v>
      </c>
      <c r="H21" s="64" t="s">
        <v>406</v>
      </c>
      <c r="I21" s="228" t="s">
        <v>425</v>
      </c>
      <c r="J21" s="228">
        <v>46049</v>
      </c>
      <c r="K21" s="229" t="s">
        <v>476</v>
      </c>
      <c r="L21" s="230">
        <v>89125770562</v>
      </c>
      <c r="M21" s="53" t="s">
        <v>475</v>
      </c>
      <c r="N21" s="149"/>
      <c r="O21" s="57"/>
      <c r="P21" s="57"/>
      <c r="Q21" s="88">
        <v>8800</v>
      </c>
      <c r="R21" s="53" t="s">
        <v>422</v>
      </c>
      <c r="S21" s="90">
        <v>94500</v>
      </c>
      <c r="T21" s="61">
        <f t="shared" si="1"/>
        <v>831600</v>
      </c>
    </row>
    <row r="22" spans="1:20" s="63" customFormat="1" ht="13.5" customHeight="1" x14ac:dyDescent="0.25">
      <c r="A22" s="64" t="s">
        <v>429</v>
      </c>
      <c r="B22" s="57" t="s">
        <v>402</v>
      </c>
      <c r="C22" s="57" t="s">
        <v>352</v>
      </c>
      <c r="D22" s="89" t="s">
        <v>222</v>
      </c>
      <c r="E22" s="56" t="s">
        <v>334</v>
      </c>
      <c r="F22" s="88">
        <v>20000</v>
      </c>
      <c r="G22" s="64">
        <v>800</v>
      </c>
      <c r="H22" s="64" t="s">
        <v>164</v>
      </c>
      <c r="I22" s="55" t="s">
        <v>425</v>
      </c>
      <c r="J22" s="55">
        <v>46050</v>
      </c>
      <c r="K22" s="227" t="s">
        <v>478</v>
      </c>
      <c r="L22" s="151">
        <v>89126616900</v>
      </c>
      <c r="M22" s="62" t="s">
        <v>477</v>
      </c>
      <c r="N22" s="137"/>
      <c r="O22" s="88">
        <v>20000</v>
      </c>
      <c r="P22" s="88"/>
      <c r="Q22" s="57"/>
      <c r="R22" s="53" t="s">
        <v>422</v>
      </c>
      <c r="S22" s="90">
        <v>44500</v>
      </c>
      <c r="T22" s="61">
        <f>S22*F22/1000</f>
        <v>890000</v>
      </c>
    </row>
    <row r="23" spans="1:20" s="63" customFormat="1" ht="13.5" customHeight="1" x14ac:dyDescent="0.25">
      <c r="A23" s="64" t="s">
        <v>461</v>
      </c>
      <c r="B23" s="57" t="s">
        <v>408</v>
      </c>
      <c r="C23" s="57" t="s">
        <v>405</v>
      </c>
      <c r="D23" s="89" t="s">
        <v>156</v>
      </c>
      <c r="E23" s="217" t="s">
        <v>400</v>
      </c>
      <c r="F23" s="88">
        <v>6400</v>
      </c>
      <c r="G23" s="64">
        <v>32</v>
      </c>
      <c r="H23" s="64" t="s">
        <v>406</v>
      </c>
      <c r="I23" s="228" t="s">
        <v>425</v>
      </c>
      <c r="J23" s="228">
        <v>46051</v>
      </c>
      <c r="K23" s="229" t="s">
        <v>469</v>
      </c>
      <c r="L23" s="230">
        <v>89235219222</v>
      </c>
      <c r="M23" s="53" t="s">
        <v>468</v>
      </c>
      <c r="N23" s="149"/>
      <c r="O23" s="57"/>
      <c r="P23" s="57"/>
      <c r="Q23" s="88">
        <v>6400</v>
      </c>
      <c r="R23" s="53" t="s">
        <v>422</v>
      </c>
      <c r="S23" s="90">
        <v>85500</v>
      </c>
      <c r="T23" s="61">
        <f>S23*F23/1000</f>
        <v>547200</v>
      </c>
    </row>
    <row r="24" spans="1:20" s="63" customFormat="1" ht="13.5" customHeight="1" x14ac:dyDescent="0.25">
      <c r="A24" s="64" t="s">
        <v>461</v>
      </c>
      <c r="B24" s="57" t="s">
        <v>408</v>
      </c>
      <c r="C24" s="57" t="s">
        <v>405</v>
      </c>
      <c r="D24" s="89" t="s">
        <v>156</v>
      </c>
      <c r="E24" s="217" t="s">
        <v>401</v>
      </c>
      <c r="F24" s="88">
        <v>7200</v>
      </c>
      <c r="G24" s="64">
        <v>36</v>
      </c>
      <c r="H24" s="64" t="s">
        <v>406</v>
      </c>
      <c r="I24" s="228" t="s">
        <v>425</v>
      </c>
      <c r="J24" s="228">
        <v>46051</v>
      </c>
      <c r="K24" s="229" t="s">
        <v>469</v>
      </c>
      <c r="L24" s="230">
        <v>89235219222</v>
      </c>
      <c r="M24" s="53" t="s">
        <v>468</v>
      </c>
      <c r="N24" s="149"/>
      <c r="O24" s="57"/>
      <c r="P24" s="57"/>
      <c r="Q24" s="88">
        <v>7200</v>
      </c>
      <c r="R24" s="53" t="s">
        <v>422</v>
      </c>
      <c r="S24" s="90">
        <v>85500</v>
      </c>
      <c r="T24" s="61">
        <f>S24*F24/1000</f>
        <v>615600</v>
      </c>
    </row>
    <row r="25" spans="1:20" s="63" customFormat="1" ht="13.5" customHeight="1" x14ac:dyDescent="0.25">
      <c r="A25" s="64" t="s">
        <v>461</v>
      </c>
      <c r="B25" s="57" t="s">
        <v>408</v>
      </c>
      <c r="C25" s="57" t="s">
        <v>405</v>
      </c>
      <c r="D25" s="89" t="s">
        <v>156</v>
      </c>
      <c r="E25" s="217" t="s">
        <v>432</v>
      </c>
      <c r="F25" s="88">
        <v>4000</v>
      </c>
      <c r="G25" s="64">
        <v>20</v>
      </c>
      <c r="H25" s="64" t="s">
        <v>406</v>
      </c>
      <c r="I25" s="228" t="s">
        <v>425</v>
      </c>
      <c r="J25" s="228">
        <v>46051</v>
      </c>
      <c r="K25" s="229" t="s">
        <v>469</v>
      </c>
      <c r="L25" s="230">
        <v>89235219222</v>
      </c>
      <c r="M25" s="53" t="s">
        <v>468</v>
      </c>
      <c r="N25" s="149"/>
      <c r="O25" s="57"/>
      <c r="P25" s="57"/>
      <c r="Q25" s="88">
        <v>4000</v>
      </c>
      <c r="R25" s="53" t="s">
        <v>422</v>
      </c>
      <c r="S25" s="90">
        <v>85500</v>
      </c>
      <c r="T25" s="61">
        <f>S25*F25/1000</f>
        <v>342000</v>
      </c>
    </row>
    <row r="26" spans="1:20" s="63" customFormat="1" ht="13.5" customHeight="1" x14ac:dyDescent="0.25">
      <c r="A26" s="64" t="s">
        <v>470</v>
      </c>
      <c r="B26" s="57" t="s">
        <v>409</v>
      </c>
      <c r="C26" s="57" t="s">
        <v>405</v>
      </c>
      <c r="D26" s="89" t="s">
        <v>156</v>
      </c>
      <c r="E26" s="217" t="s">
        <v>432</v>
      </c>
      <c r="F26" s="88">
        <v>2400</v>
      </c>
      <c r="G26" s="64">
        <v>12</v>
      </c>
      <c r="H26" s="64" t="s">
        <v>406</v>
      </c>
      <c r="I26" s="228" t="s">
        <v>425</v>
      </c>
      <c r="J26" s="228">
        <v>46051</v>
      </c>
      <c r="K26" s="229" t="s">
        <v>463</v>
      </c>
      <c r="L26" s="230">
        <v>89116825992</v>
      </c>
      <c r="M26" s="53" t="s">
        <v>462</v>
      </c>
      <c r="N26" s="149"/>
      <c r="O26" s="57"/>
      <c r="P26" s="57"/>
      <c r="Q26" s="88">
        <v>2400</v>
      </c>
      <c r="R26" s="53" t="s">
        <v>422</v>
      </c>
      <c r="S26" s="90">
        <v>85500</v>
      </c>
      <c r="T26" s="61">
        <f t="shared" si="1"/>
        <v>205200</v>
      </c>
    </row>
    <row r="27" spans="1:20" s="63" customFormat="1" ht="13.5" customHeight="1" x14ac:dyDescent="0.25">
      <c r="A27" s="64" t="s">
        <v>470</v>
      </c>
      <c r="B27" s="57" t="s">
        <v>409</v>
      </c>
      <c r="C27" s="57" t="s">
        <v>405</v>
      </c>
      <c r="D27" s="89" t="s">
        <v>156</v>
      </c>
      <c r="E27" s="217" t="s">
        <v>433</v>
      </c>
      <c r="F27" s="88">
        <v>8000</v>
      </c>
      <c r="G27" s="64">
        <v>40</v>
      </c>
      <c r="H27" s="64" t="s">
        <v>406</v>
      </c>
      <c r="I27" s="228" t="s">
        <v>425</v>
      </c>
      <c r="J27" s="228">
        <v>46051</v>
      </c>
      <c r="K27" s="229" t="s">
        <v>463</v>
      </c>
      <c r="L27" s="230">
        <v>89116825992</v>
      </c>
      <c r="M27" s="53" t="s">
        <v>462</v>
      </c>
      <c r="N27" s="149"/>
      <c r="O27" s="57"/>
      <c r="P27" s="57"/>
      <c r="Q27" s="88">
        <v>8000</v>
      </c>
      <c r="R27" s="53" t="s">
        <v>422</v>
      </c>
      <c r="S27" s="90">
        <v>85500</v>
      </c>
      <c r="T27" s="61">
        <f t="shared" si="1"/>
        <v>684000</v>
      </c>
    </row>
    <row r="28" spans="1:20" s="63" customFormat="1" ht="13.5" customHeight="1" x14ac:dyDescent="0.25">
      <c r="A28" s="64" t="s">
        <v>470</v>
      </c>
      <c r="B28" s="57" t="s">
        <v>409</v>
      </c>
      <c r="C28" s="57" t="s">
        <v>405</v>
      </c>
      <c r="D28" s="89" t="s">
        <v>156</v>
      </c>
      <c r="E28" s="217" t="s">
        <v>434</v>
      </c>
      <c r="F28" s="88">
        <v>6400</v>
      </c>
      <c r="G28" s="64">
        <v>32</v>
      </c>
      <c r="H28" s="64" t="s">
        <v>406</v>
      </c>
      <c r="I28" s="228" t="s">
        <v>425</v>
      </c>
      <c r="J28" s="228">
        <v>46051</v>
      </c>
      <c r="K28" s="229" t="s">
        <v>463</v>
      </c>
      <c r="L28" s="230">
        <v>89116825992</v>
      </c>
      <c r="M28" s="53" t="s">
        <v>462</v>
      </c>
      <c r="N28" s="149"/>
      <c r="O28" s="57"/>
      <c r="P28" s="57"/>
      <c r="Q28" s="88">
        <v>6400</v>
      </c>
      <c r="R28" s="53" t="s">
        <v>422</v>
      </c>
      <c r="S28" s="90">
        <v>85500</v>
      </c>
      <c r="T28" s="61">
        <f t="shared" si="1"/>
        <v>547200</v>
      </c>
    </row>
    <row r="29" spans="1:20" s="63" customFormat="1" ht="13.5" customHeight="1" x14ac:dyDescent="0.25">
      <c r="A29" s="64" t="s">
        <v>470</v>
      </c>
      <c r="B29" s="57" t="s">
        <v>409</v>
      </c>
      <c r="C29" s="57" t="s">
        <v>405</v>
      </c>
      <c r="D29" s="89" t="s">
        <v>156</v>
      </c>
      <c r="E29" s="217" t="s">
        <v>435</v>
      </c>
      <c r="F29" s="88">
        <v>800</v>
      </c>
      <c r="G29" s="64">
        <v>4</v>
      </c>
      <c r="H29" s="64" t="s">
        <v>406</v>
      </c>
      <c r="I29" s="228" t="s">
        <v>425</v>
      </c>
      <c r="J29" s="228">
        <v>46051</v>
      </c>
      <c r="K29" s="229" t="s">
        <v>463</v>
      </c>
      <c r="L29" s="230">
        <v>89116825992</v>
      </c>
      <c r="M29" s="53" t="s">
        <v>462</v>
      </c>
      <c r="N29" s="149"/>
      <c r="O29" s="57"/>
      <c r="P29" s="57"/>
      <c r="Q29" s="88">
        <v>800</v>
      </c>
      <c r="R29" s="53" t="s">
        <v>422</v>
      </c>
      <c r="S29" s="90">
        <v>85500</v>
      </c>
      <c r="T29" s="61">
        <f t="shared" si="1"/>
        <v>68400</v>
      </c>
    </row>
    <row r="30" spans="1:20" s="63" customFormat="1" ht="13.5" customHeight="1" x14ac:dyDescent="0.25">
      <c r="A30" s="64" t="s">
        <v>471</v>
      </c>
      <c r="B30" s="57" t="s">
        <v>410</v>
      </c>
      <c r="C30" s="57" t="s">
        <v>405</v>
      </c>
      <c r="D30" s="89" t="s">
        <v>156</v>
      </c>
      <c r="E30" s="217" t="s">
        <v>435</v>
      </c>
      <c r="F30" s="88">
        <v>6400</v>
      </c>
      <c r="G30" s="64">
        <v>32</v>
      </c>
      <c r="H30" s="64" t="s">
        <v>406</v>
      </c>
      <c r="I30" s="228" t="s">
        <v>425</v>
      </c>
      <c r="J30" s="228">
        <v>46051</v>
      </c>
      <c r="K30" s="229" t="s">
        <v>474</v>
      </c>
      <c r="L30" s="230">
        <v>89624401330</v>
      </c>
      <c r="M30" s="53" t="s">
        <v>472</v>
      </c>
      <c r="N30" s="149"/>
      <c r="O30" s="57"/>
      <c r="P30" s="57"/>
      <c r="Q30" s="88">
        <v>6400</v>
      </c>
      <c r="R30" s="53" t="s">
        <v>422</v>
      </c>
      <c r="S30" s="90">
        <v>85500</v>
      </c>
      <c r="T30" s="61">
        <f t="shared" si="1"/>
        <v>547200</v>
      </c>
    </row>
    <row r="31" spans="1:20" s="63" customFormat="1" ht="13.5" customHeight="1" x14ac:dyDescent="0.25">
      <c r="A31" s="64" t="s">
        <v>471</v>
      </c>
      <c r="B31" s="57" t="s">
        <v>410</v>
      </c>
      <c r="C31" s="57" t="s">
        <v>405</v>
      </c>
      <c r="D31" s="89" t="s">
        <v>156</v>
      </c>
      <c r="E31" s="217" t="s">
        <v>436</v>
      </c>
      <c r="F31" s="88">
        <v>7200</v>
      </c>
      <c r="G31" s="64">
        <v>36</v>
      </c>
      <c r="H31" s="64" t="s">
        <v>406</v>
      </c>
      <c r="I31" s="228" t="s">
        <v>425</v>
      </c>
      <c r="J31" s="228">
        <v>46051</v>
      </c>
      <c r="K31" s="229" t="s">
        <v>474</v>
      </c>
      <c r="L31" s="230">
        <v>89624401330</v>
      </c>
      <c r="M31" s="53" t="s">
        <v>472</v>
      </c>
      <c r="N31" s="149"/>
      <c r="O31" s="57"/>
      <c r="P31" s="57"/>
      <c r="Q31" s="88">
        <v>7200</v>
      </c>
      <c r="R31" s="53" t="s">
        <v>422</v>
      </c>
      <c r="S31" s="90">
        <v>85500</v>
      </c>
      <c r="T31" s="61">
        <f t="shared" si="1"/>
        <v>615600</v>
      </c>
    </row>
    <row r="32" spans="1:20" s="63" customFormat="1" ht="12.75" customHeight="1" x14ac:dyDescent="0.25">
      <c r="A32" s="64" t="s">
        <v>471</v>
      </c>
      <c r="B32" s="57" t="s">
        <v>410</v>
      </c>
      <c r="C32" s="57" t="s">
        <v>405</v>
      </c>
      <c r="D32" s="89" t="s">
        <v>156</v>
      </c>
      <c r="E32" s="217" t="s">
        <v>453</v>
      </c>
      <c r="F32" s="88">
        <v>4000</v>
      </c>
      <c r="G32" s="64">
        <v>20</v>
      </c>
      <c r="H32" s="64" t="s">
        <v>406</v>
      </c>
      <c r="I32" s="228" t="s">
        <v>425</v>
      </c>
      <c r="J32" s="228">
        <v>46051</v>
      </c>
      <c r="K32" s="229" t="s">
        <v>474</v>
      </c>
      <c r="L32" s="230">
        <v>89624401330</v>
      </c>
      <c r="M32" s="53" t="s">
        <v>472</v>
      </c>
      <c r="N32" s="149"/>
      <c r="O32" s="57"/>
      <c r="P32" s="57"/>
      <c r="Q32" s="88">
        <v>4000</v>
      </c>
      <c r="R32" s="53" t="s">
        <v>422</v>
      </c>
      <c r="S32" s="90">
        <v>85500</v>
      </c>
      <c r="T32" s="61">
        <f t="shared" si="1"/>
        <v>342000</v>
      </c>
    </row>
    <row r="33" spans="1:20" s="63" customFormat="1" ht="13.5" customHeight="1" x14ac:dyDescent="0.25">
      <c r="A33" s="64" t="s">
        <v>461</v>
      </c>
      <c r="B33" s="57" t="s">
        <v>443</v>
      </c>
      <c r="C33" s="57" t="s">
        <v>316</v>
      </c>
      <c r="D33" s="10" t="s">
        <v>281</v>
      </c>
      <c r="E33" s="56" t="s">
        <v>442</v>
      </c>
      <c r="F33" s="88">
        <v>6400</v>
      </c>
      <c r="G33" s="64">
        <v>32</v>
      </c>
      <c r="H33" s="64" t="s">
        <v>444</v>
      </c>
      <c r="I33" s="64" t="s">
        <v>425</v>
      </c>
      <c r="J33" s="55">
        <v>46051</v>
      </c>
      <c r="K33" s="243" t="s">
        <v>484</v>
      </c>
      <c r="L33" s="151">
        <v>89877134071</v>
      </c>
      <c r="M33" s="62" t="s">
        <v>483</v>
      </c>
      <c r="N33" s="137"/>
      <c r="O33" s="88"/>
      <c r="P33" s="88"/>
      <c r="Q33" s="88">
        <v>6400</v>
      </c>
      <c r="R33" s="53" t="s">
        <v>422</v>
      </c>
      <c r="S33" s="90">
        <v>127000</v>
      </c>
      <c r="T33" s="61">
        <f>S33*F33/1000</f>
        <v>812800</v>
      </c>
    </row>
    <row r="34" spans="1:20" s="63" customFormat="1" ht="13.5" customHeight="1" x14ac:dyDescent="0.25">
      <c r="A34" s="64" t="s">
        <v>461</v>
      </c>
      <c r="B34" s="57" t="s">
        <v>443</v>
      </c>
      <c r="C34" s="57" t="s">
        <v>316</v>
      </c>
      <c r="D34" s="10" t="s">
        <v>272</v>
      </c>
      <c r="E34" s="56" t="s">
        <v>445</v>
      </c>
      <c r="F34" s="88">
        <v>6400</v>
      </c>
      <c r="G34" s="64">
        <v>32</v>
      </c>
      <c r="H34" s="64" t="s">
        <v>444</v>
      </c>
      <c r="I34" s="64" t="s">
        <v>425</v>
      </c>
      <c r="J34" s="55">
        <v>46051</v>
      </c>
      <c r="K34" s="243" t="s">
        <v>484</v>
      </c>
      <c r="L34" s="151">
        <v>89877134071</v>
      </c>
      <c r="M34" s="62" t="s">
        <v>483</v>
      </c>
      <c r="N34" s="137"/>
      <c r="O34" s="88"/>
      <c r="P34" s="88"/>
      <c r="Q34" s="88">
        <v>6400</v>
      </c>
      <c r="R34" s="53" t="s">
        <v>422</v>
      </c>
      <c r="S34" s="90">
        <v>97000</v>
      </c>
      <c r="T34" s="61">
        <f>S34*F34/1000</f>
        <v>620800</v>
      </c>
    </row>
    <row r="35" spans="1:20" s="63" customFormat="1" ht="13.5" customHeight="1" x14ac:dyDescent="0.25">
      <c r="A35" s="64" t="s">
        <v>461</v>
      </c>
      <c r="B35" s="57" t="s">
        <v>443</v>
      </c>
      <c r="C35" s="57" t="s">
        <v>316</v>
      </c>
      <c r="D35" s="10" t="s">
        <v>226</v>
      </c>
      <c r="E35" s="56" t="s">
        <v>446</v>
      </c>
      <c r="F35" s="88">
        <v>2000</v>
      </c>
      <c r="G35" s="64">
        <v>80</v>
      </c>
      <c r="H35" s="64" t="s">
        <v>444</v>
      </c>
      <c r="I35" s="64" t="s">
        <v>425</v>
      </c>
      <c r="J35" s="55">
        <v>46051</v>
      </c>
      <c r="K35" s="243" t="s">
        <v>484</v>
      </c>
      <c r="L35" s="151">
        <v>89877134071</v>
      </c>
      <c r="M35" s="62" t="s">
        <v>483</v>
      </c>
      <c r="N35" s="137"/>
      <c r="O35" s="88"/>
      <c r="P35" s="88">
        <v>2000</v>
      </c>
      <c r="Q35" s="88"/>
      <c r="R35" s="53" t="s">
        <v>422</v>
      </c>
      <c r="S35" s="90">
        <v>250000</v>
      </c>
      <c r="T35" s="61">
        <f>S35*F35/1000</f>
        <v>500000</v>
      </c>
    </row>
    <row r="36" spans="1:20" s="63" customFormat="1" ht="13.5" customHeight="1" x14ac:dyDescent="0.25">
      <c r="A36" s="64" t="s">
        <v>461</v>
      </c>
      <c r="B36" s="57" t="s">
        <v>443</v>
      </c>
      <c r="C36" s="57" t="s">
        <v>316</v>
      </c>
      <c r="D36" s="10" t="s">
        <v>222</v>
      </c>
      <c r="E36" s="56" t="s">
        <v>447</v>
      </c>
      <c r="F36" s="88">
        <v>4000</v>
      </c>
      <c r="G36" s="64">
        <v>160</v>
      </c>
      <c r="H36" s="64" t="s">
        <v>444</v>
      </c>
      <c r="I36" s="64" t="s">
        <v>425</v>
      </c>
      <c r="J36" s="55">
        <v>46051</v>
      </c>
      <c r="K36" s="243" t="s">
        <v>484</v>
      </c>
      <c r="L36" s="151">
        <v>89877134071</v>
      </c>
      <c r="M36" s="62" t="s">
        <v>483</v>
      </c>
      <c r="N36" s="137"/>
      <c r="O36" s="88">
        <v>4000</v>
      </c>
      <c r="P36" s="88"/>
      <c r="Q36" s="88"/>
      <c r="R36" s="53" t="s">
        <v>422</v>
      </c>
      <c r="S36" s="90">
        <v>44500</v>
      </c>
      <c r="T36" s="61">
        <f>S36*F36/1000</f>
        <v>178000</v>
      </c>
    </row>
    <row r="37" spans="1:20" s="63" customFormat="1" ht="13.5" customHeight="1" x14ac:dyDescent="0.25">
      <c r="A37" s="64" t="s">
        <v>461</v>
      </c>
      <c r="B37" s="57" t="s">
        <v>448</v>
      </c>
      <c r="C37" s="57" t="s">
        <v>316</v>
      </c>
      <c r="D37" s="10" t="s">
        <v>232</v>
      </c>
      <c r="E37" s="56" t="s">
        <v>449</v>
      </c>
      <c r="F37" s="88">
        <v>3000</v>
      </c>
      <c r="G37" s="64">
        <v>150</v>
      </c>
      <c r="H37" s="64" t="s">
        <v>479</v>
      </c>
      <c r="I37" s="64" t="s">
        <v>425</v>
      </c>
      <c r="J37" s="55">
        <v>46052</v>
      </c>
      <c r="K37" s="243" t="s">
        <v>481</v>
      </c>
      <c r="L37" s="151">
        <v>89827655793</v>
      </c>
      <c r="M37" s="62" t="s">
        <v>480</v>
      </c>
      <c r="N37" s="137"/>
      <c r="O37" s="88"/>
      <c r="P37" s="88">
        <v>3000</v>
      </c>
      <c r="Q37" s="88"/>
      <c r="R37" s="53" t="s">
        <v>422</v>
      </c>
      <c r="S37" s="90">
        <v>270000</v>
      </c>
      <c r="T37" s="61">
        <f t="shared" si="1"/>
        <v>810000</v>
      </c>
    </row>
    <row r="38" spans="1:20" s="63" customFormat="1" ht="13.5" customHeight="1" x14ac:dyDescent="0.25">
      <c r="A38" s="64" t="s">
        <v>461</v>
      </c>
      <c r="B38" s="57" t="s">
        <v>448</v>
      </c>
      <c r="C38" s="57" t="s">
        <v>316</v>
      </c>
      <c r="D38" s="10" t="s">
        <v>264</v>
      </c>
      <c r="E38" s="56" t="s">
        <v>450</v>
      </c>
      <c r="F38" s="88">
        <v>2160</v>
      </c>
      <c r="G38" s="64">
        <v>12</v>
      </c>
      <c r="H38" s="64" t="s">
        <v>479</v>
      </c>
      <c r="I38" s="64" t="s">
        <v>425</v>
      </c>
      <c r="J38" s="55">
        <v>46052</v>
      </c>
      <c r="K38" s="243" t="s">
        <v>481</v>
      </c>
      <c r="L38" s="151">
        <v>89827655793</v>
      </c>
      <c r="M38" s="62" t="s">
        <v>480</v>
      </c>
      <c r="N38" s="137"/>
      <c r="O38" s="88"/>
      <c r="P38" s="88"/>
      <c r="Q38" s="88">
        <v>2160</v>
      </c>
      <c r="R38" s="53" t="s">
        <v>422</v>
      </c>
      <c r="S38" s="90">
        <v>310000</v>
      </c>
      <c r="T38" s="61">
        <f t="shared" si="1"/>
        <v>669600</v>
      </c>
    </row>
    <row r="39" spans="1:20" s="63" customFormat="1" ht="13.5" customHeight="1" x14ac:dyDescent="0.25">
      <c r="A39" s="64" t="s">
        <v>461</v>
      </c>
      <c r="B39" s="57" t="s">
        <v>448</v>
      </c>
      <c r="C39" s="57" t="s">
        <v>316</v>
      </c>
      <c r="D39" s="10" t="s">
        <v>213</v>
      </c>
      <c r="E39" s="56" t="s">
        <v>451</v>
      </c>
      <c r="F39" s="88">
        <v>3000</v>
      </c>
      <c r="G39" s="64">
        <v>120</v>
      </c>
      <c r="H39" s="64" t="s">
        <v>479</v>
      </c>
      <c r="I39" s="64" t="s">
        <v>425</v>
      </c>
      <c r="J39" s="55">
        <v>46052</v>
      </c>
      <c r="K39" s="243" t="s">
        <v>481</v>
      </c>
      <c r="L39" s="151">
        <v>89827655793</v>
      </c>
      <c r="M39" s="62" t="s">
        <v>480</v>
      </c>
      <c r="N39" s="137"/>
      <c r="O39" s="88"/>
      <c r="P39" s="88">
        <v>3000</v>
      </c>
      <c r="Q39" s="88"/>
      <c r="R39" s="53" t="s">
        <v>422</v>
      </c>
      <c r="S39" s="90">
        <v>70000</v>
      </c>
      <c r="T39" s="61">
        <f t="shared" si="1"/>
        <v>210000</v>
      </c>
    </row>
    <row r="40" spans="1:20" s="63" customFormat="1" ht="13.5" customHeight="1" x14ac:dyDescent="0.25">
      <c r="A40" s="64" t="s">
        <v>461</v>
      </c>
      <c r="B40" s="57" t="s">
        <v>448</v>
      </c>
      <c r="C40" s="57" t="s">
        <v>316</v>
      </c>
      <c r="D40" s="10" t="s">
        <v>296</v>
      </c>
      <c r="E40" s="56" t="s">
        <v>452</v>
      </c>
      <c r="F40" s="88">
        <v>5600</v>
      </c>
      <c r="G40" s="64">
        <v>28</v>
      </c>
      <c r="H40" s="64" t="s">
        <v>479</v>
      </c>
      <c r="I40" s="64" t="s">
        <v>425</v>
      </c>
      <c r="J40" s="55">
        <v>46052</v>
      </c>
      <c r="K40" s="243" t="s">
        <v>481</v>
      </c>
      <c r="L40" s="151">
        <v>89827655793</v>
      </c>
      <c r="M40" s="62" t="s">
        <v>480</v>
      </c>
      <c r="N40" s="137"/>
      <c r="O40" s="88"/>
      <c r="P40" s="88"/>
      <c r="Q40" s="88">
        <v>5600</v>
      </c>
      <c r="R40" s="53" t="s">
        <v>422</v>
      </c>
      <c r="S40" s="90">
        <v>135000</v>
      </c>
      <c r="T40" s="61">
        <f t="shared" si="1"/>
        <v>756000</v>
      </c>
    </row>
    <row r="41" spans="1:20" s="63" customFormat="1" ht="13.5" customHeight="1" x14ac:dyDescent="0.25">
      <c r="A41" s="64" t="s">
        <v>461</v>
      </c>
      <c r="B41" s="57" t="s">
        <v>448</v>
      </c>
      <c r="C41" s="57" t="s">
        <v>316</v>
      </c>
      <c r="D41" s="10" t="s">
        <v>222</v>
      </c>
      <c r="E41" s="56" t="s">
        <v>447</v>
      </c>
      <c r="F41" s="88">
        <v>6000</v>
      </c>
      <c r="G41" s="64">
        <v>240</v>
      </c>
      <c r="H41" s="64" t="s">
        <v>479</v>
      </c>
      <c r="I41" s="64" t="s">
        <v>425</v>
      </c>
      <c r="J41" s="55">
        <v>46052</v>
      </c>
      <c r="K41" s="243" t="s">
        <v>481</v>
      </c>
      <c r="L41" s="151">
        <v>89827655793</v>
      </c>
      <c r="M41" s="62" t="s">
        <v>480</v>
      </c>
      <c r="N41" s="137"/>
      <c r="O41" s="88">
        <v>6000</v>
      </c>
      <c r="P41" s="88"/>
      <c r="Q41" s="88"/>
      <c r="R41" s="53" t="s">
        <v>422</v>
      </c>
      <c r="S41" s="90">
        <v>44500</v>
      </c>
      <c r="T41" s="61">
        <f>S41*F41/1000</f>
        <v>267000</v>
      </c>
    </row>
    <row r="42" spans="1:20" s="63" customFormat="1" ht="13.5" customHeight="1" x14ac:dyDescent="0.25">
      <c r="A42" s="64" t="s">
        <v>482</v>
      </c>
      <c r="B42" s="57" t="s">
        <v>411</v>
      </c>
      <c r="C42" s="57" t="s">
        <v>405</v>
      </c>
      <c r="D42" s="89" t="s">
        <v>166</v>
      </c>
      <c r="E42" s="217" t="s">
        <v>436</v>
      </c>
      <c r="F42" s="88">
        <v>8800</v>
      </c>
      <c r="G42" s="64">
        <v>44</v>
      </c>
      <c r="H42" s="64" t="s">
        <v>406</v>
      </c>
      <c r="I42" s="64" t="s">
        <v>425</v>
      </c>
      <c r="J42" s="228">
        <v>46052</v>
      </c>
      <c r="K42" s="229" t="s">
        <v>485</v>
      </c>
      <c r="L42" s="230">
        <v>89195966929</v>
      </c>
      <c r="M42" s="53" t="s">
        <v>486</v>
      </c>
      <c r="N42" s="149"/>
      <c r="O42" s="57"/>
      <c r="P42" s="57"/>
      <c r="Q42" s="88">
        <f>F42</f>
        <v>8800</v>
      </c>
      <c r="R42" s="53" t="s">
        <v>422</v>
      </c>
      <c r="S42" s="90">
        <v>94500</v>
      </c>
      <c r="T42" s="61">
        <f t="shared" si="1"/>
        <v>831600</v>
      </c>
    </row>
    <row r="43" spans="1:20" s="63" customFormat="1" ht="13.5" customHeight="1" x14ac:dyDescent="0.25">
      <c r="A43" s="64" t="s">
        <v>482</v>
      </c>
      <c r="B43" s="57" t="s">
        <v>411</v>
      </c>
      <c r="C43" s="57" t="s">
        <v>405</v>
      </c>
      <c r="D43" s="89" t="s">
        <v>166</v>
      </c>
      <c r="E43" s="217" t="s">
        <v>454</v>
      </c>
      <c r="F43" s="88">
        <v>8000</v>
      </c>
      <c r="G43" s="64">
        <v>40</v>
      </c>
      <c r="H43" s="64" t="s">
        <v>406</v>
      </c>
      <c r="I43" s="64" t="s">
        <v>425</v>
      </c>
      <c r="J43" s="228">
        <v>46052</v>
      </c>
      <c r="K43" s="229" t="s">
        <v>485</v>
      </c>
      <c r="L43" s="230">
        <v>89195966929</v>
      </c>
      <c r="M43" s="53" t="s">
        <v>486</v>
      </c>
      <c r="N43" s="149"/>
      <c r="O43" s="57"/>
      <c r="P43" s="57"/>
      <c r="Q43" s="88">
        <f>F43</f>
        <v>8000</v>
      </c>
      <c r="R43" s="53" t="s">
        <v>422</v>
      </c>
      <c r="S43" s="90">
        <v>94500</v>
      </c>
      <c r="T43" s="61">
        <f t="shared" si="1"/>
        <v>756000</v>
      </c>
    </row>
    <row r="44" spans="1:20" s="63" customFormat="1" ht="13.5" customHeight="1" x14ac:dyDescent="0.25">
      <c r="A44" s="64" t="s">
        <v>482</v>
      </c>
      <c r="B44" s="57" t="s">
        <v>411</v>
      </c>
      <c r="C44" s="57" t="s">
        <v>405</v>
      </c>
      <c r="D44" s="89" t="s">
        <v>166</v>
      </c>
      <c r="E44" s="217" t="s">
        <v>455</v>
      </c>
      <c r="F44" s="88">
        <v>800</v>
      </c>
      <c r="G44" s="64">
        <v>4</v>
      </c>
      <c r="H44" s="64" t="s">
        <v>406</v>
      </c>
      <c r="I44" s="64" t="s">
        <v>425</v>
      </c>
      <c r="J44" s="228">
        <v>46052</v>
      </c>
      <c r="K44" s="229" t="s">
        <v>485</v>
      </c>
      <c r="L44" s="230">
        <v>89195966929</v>
      </c>
      <c r="M44" s="53" t="s">
        <v>486</v>
      </c>
      <c r="N44" s="149"/>
      <c r="O44" s="57"/>
      <c r="P44" s="57"/>
      <c r="Q44" s="88">
        <f>F44</f>
        <v>800</v>
      </c>
      <c r="R44" s="53" t="s">
        <v>422</v>
      </c>
      <c r="S44" s="90">
        <v>94500</v>
      </c>
      <c r="T44" s="61">
        <f t="shared" si="1"/>
        <v>75600</v>
      </c>
    </row>
    <row r="45" spans="1:20" s="63" customFormat="1" ht="13.5" customHeight="1" x14ac:dyDescent="0.25">
      <c r="A45" s="64" t="s">
        <v>429</v>
      </c>
      <c r="B45" s="57" t="s">
        <v>403</v>
      </c>
      <c r="C45" s="57" t="s">
        <v>352</v>
      </c>
      <c r="D45" s="89" t="s">
        <v>222</v>
      </c>
      <c r="E45" s="56" t="s">
        <v>334</v>
      </c>
      <c r="F45" s="88">
        <v>10000</v>
      </c>
      <c r="G45" s="64">
        <v>400</v>
      </c>
      <c r="H45" s="64" t="s">
        <v>164</v>
      </c>
      <c r="I45" s="64" t="s">
        <v>425</v>
      </c>
      <c r="J45" s="55">
        <v>46052</v>
      </c>
      <c r="K45" s="244" t="s">
        <v>488</v>
      </c>
      <c r="L45" s="151">
        <v>89502587842</v>
      </c>
      <c r="M45" s="62" t="s">
        <v>487</v>
      </c>
      <c r="N45" s="137"/>
      <c r="O45" s="88">
        <f>F45</f>
        <v>10000</v>
      </c>
      <c r="P45" s="88"/>
      <c r="Q45" s="57"/>
      <c r="R45" s="53" t="s">
        <v>422</v>
      </c>
      <c r="S45" s="90">
        <v>44500</v>
      </c>
      <c r="T45" s="61">
        <f>S45*F45/1000</f>
        <v>445000</v>
      </c>
    </row>
    <row r="46" spans="1:20" s="63" customFormat="1" ht="13.5" customHeight="1" x14ac:dyDescent="0.25">
      <c r="A46" s="64" t="s">
        <v>429</v>
      </c>
      <c r="B46" s="57" t="s">
        <v>403</v>
      </c>
      <c r="C46" s="57" t="s">
        <v>352</v>
      </c>
      <c r="D46" s="89" t="s">
        <v>219</v>
      </c>
      <c r="E46" s="56" t="s">
        <v>404</v>
      </c>
      <c r="F46" s="88">
        <v>10000</v>
      </c>
      <c r="G46" s="64">
        <v>400</v>
      </c>
      <c r="H46" s="64" t="s">
        <v>164</v>
      </c>
      <c r="I46" s="64" t="s">
        <v>425</v>
      </c>
      <c r="J46" s="55">
        <v>46052</v>
      </c>
      <c r="K46" s="245" t="s">
        <v>488</v>
      </c>
      <c r="L46" s="151">
        <v>89502587842</v>
      </c>
      <c r="M46" s="62" t="s">
        <v>487</v>
      </c>
      <c r="N46" s="246"/>
      <c r="O46" s="88"/>
      <c r="P46" s="88">
        <f>F46</f>
        <v>10000</v>
      </c>
      <c r="Q46" s="57"/>
      <c r="R46" s="53" t="s">
        <v>422</v>
      </c>
      <c r="S46" s="90">
        <v>250000</v>
      </c>
      <c r="T46" s="61">
        <f>S46*F46/1000</f>
        <v>2500000</v>
      </c>
    </row>
    <row r="47" spans="1:20" ht="21" customHeight="1" x14ac:dyDescent="0.3">
      <c r="A47" s="136" t="s">
        <v>14</v>
      </c>
      <c r="B47" s="95">
        <f>SUM($F$5:$F$46)/1000</f>
        <v>339.36</v>
      </c>
      <c r="C47" s="54" t="s">
        <v>13</v>
      </c>
      <c r="T47" s="296">
        <f>SUM(T5:T46)</f>
        <v>26935200</v>
      </c>
    </row>
    <row r="48" spans="1:20" ht="23.25" customHeight="1" x14ac:dyDescent="0.3">
      <c r="A48" s="101" t="s">
        <v>15</v>
      </c>
      <c r="B48" s="96">
        <f>$B$49+$B$50+$B$51</f>
        <v>339.36</v>
      </c>
      <c r="C48" s="1" t="s">
        <v>13</v>
      </c>
      <c r="E48" s="198"/>
      <c r="F48" s="135" t="s">
        <v>304</v>
      </c>
      <c r="G48" s="135"/>
    </row>
    <row r="49" spans="1:7" ht="23.25" customHeight="1" x14ac:dyDescent="0.3">
      <c r="A49" s="102" t="s">
        <v>16</v>
      </c>
      <c r="B49" s="94">
        <f>SUM(O5:O46)/1000</f>
        <v>160</v>
      </c>
      <c r="C49" s="2" t="s">
        <v>13</v>
      </c>
      <c r="D49" s="145"/>
      <c r="E49" s="146"/>
      <c r="F49" s="135" t="s">
        <v>303</v>
      </c>
      <c r="G49" s="135"/>
    </row>
    <row r="50" spans="1:7" ht="23.25" customHeight="1" x14ac:dyDescent="0.3">
      <c r="A50" s="102" t="s">
        <v>152</v>
      </c>
      <c r="B50" s="94">
        <f>SUM(P5:P46)/1000</f>
        <v>18</v>
      </c>
      <c r="C50" s="2" t="s">
        <v>13</v>
      </c>
      <c r="E50" s="141"/>
      <c r="F50" s="135" t="s">
        <v>302</v>
      </c>
      <c r="G50" s="135"/>
    </row>
    <row r="51" spans="1:7" ht="23.25" customHeight="1" x14ac:dyDescent="0.3">
      <c r="A51" s="102" t="s">
        <v>23</v>
      </c>
      <c r="B51" s="94">
        <f>SUM(Q5:Q46)/1000</f>
        <v>161.36000000000001</v>
      </c>
      <c r="C51" s="2" t="s">
        <v>13</v>
      </c>
      <c r="E51" s="142"/>
      <c r="F51" s="135" t="s">
        <v>307</v>
      </c>
    </row>
    <row r="52" spans="1:7" ht="23.25" customHeight="1" thickBot="1" x14ac:dyDescent="0.35">
      <c r="A52" s="103" t="s">
        <v>19</v>
      </c>
      <c r="B52" s="97">
        <f>$B$47-$B$48</f>
        <v>0</v>
      </c>
      <c r="C52" s="3" t="s">
        <v>13</v>
      </c>
      <c r="E52" s="165"/>
      <c r="F52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52" xr:uid="{00000000-0009-0000-0000-000003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54" type="noConversion"/>
  <dataValidations count="3">
    <dataValidation type="list" allowBlank="1" showInputMessage="1" showErrorMessage="1" sqref="D17 D8" xr:uid="{00000000-0002-0000-0300-000000000000}">
      <formula1>$E$2:$E$54</formula1>
    </dataValidation>
    <dataValidation type="list" allowBlank="1" showInputMessage="1" showErrorMessage="1" sqref="D17 D47:D1048576 D8" xr:uid="{00000000-0002-0000-0300-000001000000}">
      <formula1>$E$2:$E$179</formula1>
    </dataValidation>
    <dataValidation type="list" allowBlank="1" showInputMessage="1" showErrorMessage="1" sqref="D26:D46" xr:uid="{00000000-0002-0000-0300-000002000000}">
      <formula1>$E$2:$E$191</formula1>
    </dataValidation>
  </dataValidations>
  <pageMargins left="0.7" right="0.7" top="0.75" bottom="0.75" header="0.3" footer="0.3"/>
  <pageSetup paperSize="9" scale="2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'C:\Users\user\YandexDisk\ЗАКАЗЫ общая\[ЗАКАЗЫ 2025.xlsx]справочник'!#REF!</xm:f>
          </x14:formula1>
          <xm:sqref>D42:D44 D23:D32 D20:D21</xm:sqref>
        </x14:dataValidation>
        <x14:dataValidation type="list" allowBlank="1" showInputMessage="1" showErrorMessage="1" xr:uid="{00000000-0002-0000-0300-000003000000}">
          <x14:formula1>
            <xm:f>справочник!$E$2:$E$180</xm:f>
          </x14:formula1>
          <xm:sqref>D1:D4</xm:sqref>
        </x14:dataValidation>
        <x14:dataValidation type="list" allowBlank="1" showInputMessage="1" showErrorMessage="1" xr:uid="{00000000-0002-0000-0300-000004000000}">
          <x14:formula1>
            <xm:f>справочник!$E$2:$E$193</xm:f>
          </x14:formula1>
          <xm:sqref>D5:D22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8">
    <tabColor theme="5" tint="0.39997558519241921"/>
  </sheetPr>
  <dimension ref="A1:H184"/>
  <sheetViews>
    <sheetView topLeftCell="A102" workbookViewId="0">
      <selection activeCell="E114" sqref="E114"/>
    </sheetView>
  </sheetViews>
  <sheetFormatPr defaultRowHeight="15" x14ac:dyDescent="0.25"/>
  <cols>
    <col min="1" max="1" width="17.42578125" style="13" customWidth="1"/>
    <col min="2" max="2" width="19.140625" style="13" bestFit="1" customWidth="1"/>
    <col min="3" max="3" width="18.28515625" style="13" customWidth="1"/>
    <col min="5" max="5" width="60.85546875" bestFit="1" customWidth="1"/>
  </cols>
  <sheetData>
    <row r="1" spans="1:6" ht="15.75" x14ac:dyDescent="0.25">
      <c r="E1" s="105" t="s">
        <v>207</v>
      </c>
    </row>
    <row r="2" spans="1:6" ht="15.75" x14ac:dyDescent="0.25">
      <c r="A2" s="13" t="s">
        <v>79</v>
      </c>
      <c r="B2" s="13" t="s">
        <v>80</v>
      </c>
      <c r="C2" s="13" t="s">
        <v>81</v>
      </c>
      <c r="E2" s="107" t="s">
        <v>208</v>
      </c>
    </row>
    <row r="3" spans="1:6" ht="15.75" x14ac:dyDescent="0.25">
      <c r="E3" s="107" t="s">
        <v>349</v>
      </c>
    </row>
    <row r="4" spans="1:6" ht="15.75" x14ac:dyDescent="0.25">
      <c r="A4" s="6" t="s">
        <v>108</v>
      </c>
      <c r="B4" s="6" t="s">
        <v>73</v>
      </c>
      <c r="C4" s="11">
        <v>89626347052</v>
      </c>
      <c r="E4" s="107" t="s">
        <v>210</v>
      </c>
      <c r="F4" s="106"/>
    </row>
    <row r="5" spans="1:6" ht="15" customHeight="1" x14ac:dyDescent="0.25">
      <c r="A5" s="17" t="s">
        <v>122</v>
      </c>
      <c r="B5" s="14" t="s">
        <v>43</v>
      </c>
      <c r="C5" s="4"/>
      <c r="E5" s="107" t="s">
        <v>212</v>
      </c>
      <c r="F5" s="108"/>
    </row>
    <row r="6" spans="1:6" ht="15" customHeight="1" x14ac:dyDescent="0.25">
      <c r="A6" s="17"/>
      <c r="B6" s="14"/>
      <c r="C6" s="57"/>
      <c r="E6" s="107" t="s">
        <v>214</v>
      </c>
      <c r="F6" s="108"/>
    </row>
    <row r="7" spans="1:6" ht="15" customHeight="1" x14ac:dyDescent="0.25">
      <c r="A7" s="6" t="s">
        <v>123</v>
      </c>
      <c r="B7" s="6" t="s">
        <v>52</v>
      </c>
      <c r="C7" s="6">
        <v>89611891048</v>
      </c>
      <c r="E7" s="107" t="s">
        <v>216</v>
      </c>
      <c r="F7" s="108"/>
    </row>
    <row r="8" spans="1:6" ht="15" customHeight="1" x14ac:dyDescent="0.25">
      <c r="A8" s="6" t="s">
        <v>120</v>
      </c>
      <c r="B8" s="6" t="s">
        <v>99</v>
      </c>
      <c r="C8" s="6">
        <v>89822583038</v>
      </c>
      <c r="E8" s="107" t="s">
        <v>218</v>
      </c>
      <c r="F8" s="108"/>
    </row>
    <row r="9" spans="1:6" ht="15" customHeight="1" x14ac:dyDescent="0.25">
      <c r="A9" s="6"/>
      <c r="B9" s="6"/>
      <c r="C9" s="6"/>
      <c r="E9" s="107" t="s">
        <v>220</v>
      </c>
      <c r="F9" s="108"/>
    </row>
    <row r="10" spans="1:6" ht="15" customHeight="1" x14ac:dyDescent="0.25">
      <c r="A10" s="6" t="s">
        <v>92</v>
      </c>
      <c r="B10" s="6" t="s">
        <v>44</v>
      </c>
      <c r="C10" s="6">
        <v>89126876877</v>
      </c>
      <c r="E10" s="107" t="s">
        <v>222</v>
      </c>
      <c r="F10" s="108"/>
    </row>
    <row r="11" spans="1:6" ht="15" customHeight="1" x14ac:dyDescent="0.25">
      <c r="A11" s="6" t="s">
        <v>121</v>
      </c>
      <c r="B11" s="6" t="s">
        <v>58</v>
      </c>
      <c r="C11" s="6">
        <v>89279885591</v>
      </c>
      <c r="E11" s="107" t="s">
        <v>224</v>
      </c>
      <c r="F11" s="108"/>
    </row>
    <row r="12" spans="1:6" ht="15" customHeight="1" x14ac:dyDescent="0.25">
      <c r="A12" s="14" t="s">
        <v>84</v>
      </c>
      <c r="B12" s="14" t="s">
        <v>41</v>
      </c>
      <c r="C12" s="14">
        <v>89172998065</v>
      </c>
      <c r="E12" s="107" t="s">
        <v>309</v>
      </c>
      <c r="F12" s="108"/>
    </row>
    <row r="13" spans="1:6" ht="15" customHeight="1" x14ac:dyDescent="0.25">
      <c r="A13" s="14"/>
      <c r="B13" s="14"/>
      <c r="C13" s="14"/>
      <c r="E13" s="107" t="s">
        <v>350</v>
      </c>
      <c r="F13" s="108"/>
    </row>
    <row r="14" spans="1:6" ht="15" customHeight="1" x14ac:dyDescent="0.25">
      <c r="A14" s="14"/>
      <c r="B14" s="14"/>
      <c r="C14" s="14"/>
      <c r="E14" s="107" t="s">
        <v>290</v>
      </c>
      <c r="F14" s="108"/>
    </row>
    <row r="15" spans="1:6" ht="15" customHeight="1" x14ac:dyDescent="0.25">
      <c r="A15" s="14"/>
      <c r="B15" s="14"/>
      <c r="C15" s="14"/>
      <c r="E15" s="107" t="s">
        <v>293</v>
      </c>
      <c r="F15" s="108"/>
    </row>
    <row r="16" spans="1:6" ht="15" customHeight="1" x14ac:dyDescent="0.25">
      <c r="A16" s="6" t="s">
        <v>93</v>
      </c>
      <c r="B16" s="6" t="s">
        <v>45</v>
      </c>
      <c r="C16" s="9">
        <v>89126661600</v>
      </c>
      <c r="E16" s="107" t="s">
        <v>227</v>
      </c>
      <c r="F16" s="108"/>
    </row>
    <row r="17" spans="1:8" ht="15" customHeight="1" x14ac:dyDescent="0.25">
      <c r="A17" s="8" t="s">
        <v>24</v>
      </c>
      <c r="B17" s="7" t="s">
        <v>25</v>
      </c>
      <c r="C17" s="5">
        <v>89824504395</v>
      </c>
      <c r="E17" s="107" t="s">
        <v>229</v>
      </c>
      <c r="F17" s="108"/>
      <c r="H17" s="13"/>
    </row>
    <row r="18" spans="1:8" ht="15" customHeight="1" x14ac:dyDescent="0.25">
      <c r="A18" s="6" t="s">
        <v>91</v>
      </c>
      <c r="B18" s="6" t="s">
        <v>39</v>
      </c>
      <c r="C18" s="6">
        <v>89194660828</v>
      </c>
      <c r="E18" s="107" t="s">
        <v>231</v>
      </c>
      <c r="F18" s="108"/>
    </row>
    <row r="19" spans="1:8" ht="15" customHeight="1" x14ac:dyDescent="0.25">
      <c r="A19" s="64"/>
      <c r="B19" s="64"/>
      <c r="C19" s="64"/>
      <c r="E19" s="107" t="s">
        <v>233</v>
      </c>
      <c r="F19" s="108"/>
    </row>
    <row r="20" spans="1:8" ht="15" customHeight="1" x14ac:dyDescent="0.25">
      <c r="A20" s="6" t="s">
        <v>65</v>
      </c>
      <c r="B20" s="6" t="s">
        <v>64</v>
      </c>
      <c r="C20" s="11">
        <v>89012010372</v>
      </c>
      <c r="E20" s="107" t="s">
        <v>235</v>
      </c>
      <c r="F20" s="108"/>
    </row>
    <row r="21" spans="1:8" ht="15" customHeight="1" x14ac:dyDescent="0.25">
      <c r="A21" s="6" t="s">
        <v>71</v>
      </c>
      <c r="B21" s="6" t="s">
        <v>69</v>
      </c>
      <c r="C21" s="11"/>
      <c r="E21" s="107" t="s">
        <v>237</v>
      </c>
      <c r="F21" s="108"/>
    </row>
    <row r="22" spans="1:8" ht="15" customHeight="1" x14ac:dyDescent="0.25">
      <c r="A22" s="6" t="s">
        <v>110</v>
      </c>
      <c r="B22" s="6" t="s">
        <v>76</v>
      </c>
      <c r="C22" s="11"/>
      <c r="E22" s="107" t="s">
        <v>239</v>
      </c>
      <c r="F22" s="108"/>
    </row>
    <row r="23" spans="1:8" ht="15" customHeight="1" x14ac:dyDescent="0.25">
      <c r="A23" s="6"/>
      <c r="B23" s="6"/>
      <c r="C23" s="11"/>
      <c r="E23" s="107" t="s">
        <v>241</v>
      </c>
      <c r="F23" s="108"/>
    </row>
    <row r="24" spans="1:8" ht="15" customHeight="1" x14ac:dyDescent="0.25">
      <c r="A24" s="6"/>
      <c r="B24" s="6"/>
      <c r="C24" s="11"/>
      <c r="E24" s="107" t="s">
        <v>243</v>
      </c>
      <c r="F24" s="108"/>
    </row>
    <row r="25" spans="1:8" ht="15" customHeight="1" x14ac:dyDescent="0.25">
      <c r="A25" s="6"/>
      <c r="B25" s="6"/>
      <c r="C25" s="11"/>
      <c r="E25" s="107" t="s">
        <v>244</v>
      </c>
      <c r="F25" s="108"/>
    </row>
    <row r="26" spans="1:8" ht="15" customHeight="1" x14ac:dyDescent="0.25">
      <c r="A26" s="6"/>
      <c r="B26" s="6"/>
      <c r="C26" s="11"/>
      <c r="E26" s="107" t="s">
        <v>245</v>
      </c>
      <c r="F26" s="108"/>
    </row>
    <row r="27" spans="1:8" ht="15" customHeight="1" x14ac:dyDescent="0.25">
      <c r="A27" s="6" t="s">
        <v>124</v>
      </c>
      <c r="B27" s="6" t="s">
        <v>51</v>
      </c>
      <c r="C27" s="6">
        <v>89128724099</v>
      </c>
      <c r="E27" s="107" t="s">
        <v>246</v>
      </c>
      <c r="F27" s="108"/>
    </row>
    <row r="28" spans="1:8" ht="15" customHeight="1" x14ac:dyDescent="0.25">
      <c r="A28" s="6" t="s">
        <v>89</v>
      </c>
      <c r="B28" s="6" t="s">
        <v>36</v>
      </c>
      <c r="C28" s="4">
        <v>89536879872</v>
      </c>
      <c r="E28" s="107" t="s">
        <v>247</v>
      </c>
      <c r="F28" s="108"/>
    </row>
    <row r="29" spans="1:8" ht="15" customHeight="1" x14ac:dyDescent="0.25">
      <c r="A29" s="6" t="s">
        <v>95</v>
      </c>
      <c r="B29" s="12" t="s">
        <v>48</v>
      </c>
      <c r="C29" s="6">
        <v>89107215115</v>
      </c>
      <c r="E29" s="107" t="s">
        <v>312</v>
      </c>
      <c r="F29" s="108"/>
    </row>
    <row r="30" spans="1:8" ht="15" customHeight="1" x14ac:dyDescent="0.25">
      <c r="A30" s="6" t="s">
        <v>125</v>
      </c>
      <c r="B30" s="12" t="s">
        <v>61</v>
      </c>
      <c r="C30" s="11">
        <v>89107215115</v>
      </c>
      <c r="E30" s="107" t="s">
        <v>310</v>
      </c>
      <c r="F30" s="108"/>
    </row>
    <row r="31" spans="1:8" ht="15" customHeight="1" x14ac:dyDescent="0.25">
      <c r="A31" s="18" t="s">
        <v>100</v>
      </c>
      <c r="B31" s="6" t="s">
        <v>53</v>
      </c>
      <c r="C31" s="6">
        <v>89278017746</v>
      </c>
      <c r="E31" s="107"/>
      <c r="F31" s="108"/>
    </row>
    <row r="32" spans="1:8" ht="15" customHeight="1" x14ac:dyDescent="0.25">
      <c r="A32" s="12" t="s">
        <v>127</v>
      </c>
      <c r="B32" s="12" t="s">
        <v>46</v>
      </c>
      <c r="C32" s="12">
        <v>89093602509</v>
      </c>
      <c r="E32" s="107"/>
      <c r="F32" s="108"/>
    </row>
    <row r="33" spans="1:6" ht="15" customHeight="1" x14ac:dyDescent="0.25">
      <c r="A33" s="14" t="s">
        <v>83</v>
      </c>
      <c r="B33" s="14" t="s">
        <v>42</v>
      </c>
      <c r="C33" s="14">
        <v>89156522978</v>
      </c>
      <c r="E33" s="107" t="s">
        <v>209</v>
      </c>
      <c r="F33" s="108"/>
    </row>
    <row r="34" spans="1:6" ht="15" customHeight="1" x14ac:dyDescent="0.25">
      <c r="A34" s="14"/>
      <c r="B34" s="14"/>
      <c r="C34" s="14"/>
      <c r="E34" s="107" t="s">
        <v>211</v>
      </c>
      <c r="F34" s="108"/>
    </row>
    <row r="35" spans="1:6" ht="15" customHeight="1" x14ac:dyDescent="0.25">
      <c r="A35" s="14"/>
      <c r="B35" s="14"/>
      <c r="C35" s="14"/>
      <c r="E35" s="107" t="s">
        <v>313</v>
      </c>
      <c r="F35" s="108"/>
    </row>
    <row r="36" spans="1:6" ht="15" customHeight="1" x14ac:dyDescent="0.25">
      <c r="A36" s="6" t="s">
        <v>27</v>
      </c>
      <c r="B36" s="6" t="s">
        <v>28</v>
      </c>
      <c r="C36" s="6">
        <v>89194653759</v>
      </c>
      <c r="E36" s="107" t="s">
        <v>213</v>
      </c>
      <c r="F36" s="108"/>
    </row>
    <row r="37" spans="1:6" ht="15" customHeight="1" x14ac:dyDescent="0.25">
      <c r="A37" s="6"/>
      <c r="B37" s="6"/>
      <c r="C37" s="6"/>
      <c r="E37" s="107" t="s">
        <v>215</v>
      </c>
      <c r="F37" s="108"/>
    </row>
    <row r="38" spans="1:6" ht="15" customHeight="1" x14ac:dyDescent="0.25">
      <c r="A38" s="6" t="s">
        <v>106</v>
      </c>
      <c r="B38" s="6" t="s">
        <v>70</v>
      </c>
      <c r="C38" s="14" t="s">
        <v>117</v>
      </c>
      <c r="E38" s="107" t="s">
        <v>217</v>
      </c>
      <c r="F38" s="108"/>
    </row>
    <row r="39" spans="1:6" ht="15" customHeight="1" x14ac:dyDescent="0.25">
      <c r="A39" s="64"/>
      <c r="B39" s="64"/>
      <c r="C39" s="14"/>
      <c r="E39" s="107" t="s">
        <v>331</v>
      </c>
      <c r="F39" s="108"/>
    </row>
    <row r="40" spans="1:6" ht="15" customHeight="1" x14ac:dyDescent="0.25">
      <c r="A40" s="6" t="s">
        <v>113</v>
      </c>
      <c r="B40" s="6" t="s">
        <v>78</v>
      </c>
      <c r="C40" s="15">
        <v>89053743019</v>
      </c>
      <c r="E40" s="107" t="s">
        <v>219</v>
      </c>
      <c r="F40" s="108"/>
    </row>
    <row r="41" spans="1:6" ht="15" customHeight="1" x14ac:dyDescent="0.25">
      <c r="A41" s="6" t="s">
        <v>62</v>
      </c>
      <c r="B41" s="6" t="s">
        <v>66</v>
      </c>
      <c r="C41" s="11">
        <v>89632743668</v>
      </c>
      <c r="E41" s="107" t="s">
        <v>221</v>
      </c>
      <c r="F41" s="108"/>
    </row>
    <row r="42" spans="1:6" ht="15" customHeight="1" x14ac:dyDescent="0.25">
      <c r="A42" s="6" t="s">
        <v>96</v>
      </c>
      <c r="B42" s="6" t="s">
        <v>49</v>
      </c>
      <c r="C42" s="6">
        <v>89536720630</v>
      </c>
      <c r="E42" s="107" t="s">
        <v>223</v>
      </c>
      <c r="F42" s="108"/>
    </row>
    <row r="43" spans="1:6" ht="15" customHeight="1" x14ac:dyDescent="0.25">
      <c r="A43" s="6" t="s">
        <v>107</v>
      </c>
      <c r="B43" s="6" t="s">
        <v>72</v>
      </c>
      <c r="C43" s="11">
        <v>89033399868</v>
      </c>
      <c r="E43" s="107" t="s">
        <v>225</v>
      </c>
      <c r="F43" s="108"/>
    </row>
    <row r="44" spans="1:6" ht="15" customHeight="1" x14ac:dyDescent="0.25">
      <c r="A44" s="6" t="s">
        <v>109</v>
      </c>
      <c r="B44" s="6" t="s">
        <v>74</v>
      </c>
      <c r="C44" s="14" t="s">
        <v>118</v>
      </c>
      <c r="E44" s="107" t="s">
        <v>226</v>
      </c>
      <c r="F44" s="108"/>
    </row>
    <row r="45" spans="1:6" ht="15" customHeight="1" x14ac:dyDescent="0.25">
      <c r="A45" s="64"/>
      <c r="B45" s="64"/>
      <c r="C45" s="14"/>
      <c r="E45" s="107" t="s">
        <v>279</v>
      </c>
      <c r="F45" s="108"/>
    </row>
    <row r="46" spans="1:6" ht="15" customHeight="1" x14ac:dyDescent="0.25">
      <c r="A46" s="64"/>
      <c r="B46" s="64"/>
      <c r="C46" s="14"/>
      <c r="E46" s="107" t="s">
        <v>228</v>
      </c>
      <c r="F46" s="108"/>
    </row>
    <row r="47" spans="1:6" ht="15" customHeight="1" x14ac:dyDescent="0.25">
      <c r="A47" s="64"/>
      <c r="B47" s="64"/>
      <c r="C47" s="14"/>
      <c r="E47" s="107" t="s">
        <v>372</v>
      </c>
      <c r="F47" s="108"/>
    </row>
    <row r="48" spans="1:6" ht="15" customHeight="1" x14ac:dyDescent="0.25">
      <c r="A48" s="64"/>
      <c r="B48" s="64"/>
      <c r="C48" s="14"/>
      <c r="E48" s="109" t="s">
        <v>230</v>
      </c>
      <c r="F48" s="108"/>
    </row>
    <row r="49" spans="1:6" ht="15" customHeight="1" x14ac:dyDescent="0.25">
      <c r="A49" s="64"/>
      <c r="B49" s="64"/>
      <c r="C49" s="14"/>
      <c r="E49" s="109" t="s">
        <v>335</v>
      </c>
      <c r="F49" s="108"/>
    </row>
    <row r="50" spans="1:6" ht="15" customHeight="1" x14ac:dyDescent="0.25">
      <c r="A50" s="64"/>
      <c r="B50" s="64"/>
      <c r="C50" s="14"/>
      <c r="E50" s="109" t="s">
        <v>232</v>
      </c>
      <c r="F50" s="108"/>
    </row>
    <row r="51" spans="1:6" ht="15" customHeight="1" x14ac:dyDescent="0.25">
      <c r="A51" s="64"/>
      <c r="B51" s="64"/>
      <c r="C51" s="14"/>
      <c r="E51" s="109" t="s">
        <v>369</v>
      </c>
      <c r="F51" s="108"/>
    </row>
    <row r="52" spans="1:6" ht="15" customHeight="1" x14ac:dyDescent="0.25">
      <c r="A52" s="6" t="s">
        <v>368</v>
      </c>
      <c r="B52" s="6" t="s">
        <v>37</v>
      </c>
      <c r="C52" s="6">
        <v>89221219379</v>
      </c>
      <c r="E52" s="109" t="s">
        <v>234</v>
      </c>
      <c r="F52" s="108"/>
    </row>
    <row r="53" spans="1:6" ht="15" customHeight="1" x14ac:dyDescent="0.25">
      <c r="A53" s="6" t="s">
        <v>35</v>
      </c>
      <c r="B53" s="6" t="s">
        <v>34</v>
      </c>
      <c r="C53" s="6">
        <v>89676349833</v>
      </c>
      <c r="E53" s="109" t="s">
        <v>236</v>
      </c>
      <c r="F53" s="108"/>
    </row>
    <row r="54" spans="1:6" ht="15" customHeight="1" x14ac:dyDescent="0.25">
      <c r="A54" s="6" t="s">
        <v>68</v>
      </c>
      <c r="B54" s="6" t="s">
        <v>67</v>
      </c>
      <c r="C54" s="11">
        <v>89115091687</v>
      </c>
      <c r="E54" s="109" t="s">
        <v>238</v>
      </c>
      <c r="F54" s="108"/>
    </row>
    <row r="55" spans="1:6" ht="15" customHeight="1" x14ac:dyDescent="0.25">
      <c r="A55" s="64"/>
      <c r="B55" s="64"/>
      <c r="C55" s="11"/>
      <c r="E55" s="110" t="s">
        <v>240</v>
      </c>
      <c r="F55" s="108"/>
    </row>
    <row r="56" spans="1:6" ht="15" customHeight="1" x14ac:dyDescent="0.25">
      <c r="A56" s="64"/>
      <c r="B56" s="64"/>
      <c r="C56" s="11"/>
      <c r="E56" s="107" t="s">
        <v>242</v>
      </c>
      <c r="F56" s="108"/>
    </row>
    <row r="57" spans="1:6" ht="15" customHeight="1" x14ac:dyDescent="0.25">
      <c r="A57" s="64"/>
      <c r="B57" s="64"/>
      <c r="C57" s="11"/>
      <c r="E57" s="107" t="s">
        <v>248</v>
      </c>
      <c r="F57" s="108"/>
    </row>
    <row r="58" spans="1:6" ht="15" customHeight="1" x14ac:dyDescent="0.25">
      <c r="A58" s="64"/>
      <c r="B58" s="64"/>
      <c r="C58" s="11"/>
      <c r="E58" s="107" t="s">
        <v>336</v>
      </c>
      <c r="F58" s="108"/>
    </row>
    <row r="59" spans="1:6" ht="15" customHeight="1" x14ac:dyDescent="0.25">
      <c r="A59" s="6" t="s">
        <v>88</v>
      </c>
      <c r="B59" s="6" t="s">
        <v>38</v>
      </c>
      <c r="C59" s="6" t="s">
        <v>90</v>
      </c>
      <c r="E59" s="107" t="s">
        <v>249</v>
      </c>
      <c r="F59" s="108"/>
    </row>
    <row r="60" spans="1:6" ht="15" customHeight="1" x14ac:dyDescent="0.25">
      <c r="A60" s="14" t="s">
        <v>82</v>
      </c>
      <c r="B60" s="14" t="s">
        <v>40</v>
      </c>
      <c r="C60" s="14">
        <v>89128288445</v>
      </c>
      <c r="E60" s="107" t="s">
        <v>250</v>
      </c>
      <c r="F60" s="108"/>
    </row>
    <row r="61" spans="1:6" ht="15" customHeight="1" x14ac:dyDescent="0.25">
      <c r="A61" s="14"/>
      <c r="B61" s="14"/>
      <c r="C61" s="14"/>
      <c r="E61" s="110" t="s">
        <v>251</v>
      </c>
      <c r="F61" s="108"/>
    </row>
    <row r="62" spans="1:6" ht="15" customHeight="1" x14ac:dyDescent="0.25">
      <c r="A62" s="14"/>
      <c r="B62" s="14"/>
      <c r="C62" s="14"/>
      <c r="E62" s="110" t="s">
        <v>282</v>
      </c>
      <c r="F62" s="108"/>
    </row>
    <row r="63" spans="1:6" ht="15" customHeight="1" x14ac:dyDescent="0.25">
      <c r="A63" s="14"/>
      <c r="B63" s="14"/>
      <c r="C63" s="14"/>
      <c r="E63" s="110" t="s">
        <v>283</v>
      </c>
      <c r="F63" s="108"/>
    </row>
    <row r="64" spans="1:6" ht="15" customHeight="1" x14ac:dyDescent="0.25">
      <c r="A64" s="6" t="s">
        <v>97</v>
      </c>
      <c r="B64" s="6" t="s">
        <v>56</v>
      </c>
      <c r="C64" s="6">
        <v>89211322060</v>
      </c>
      <c r="E64" s="110" t="s">
        <v>322</v>
      </c>
      <c r="F64" s="108"/>
    </row>
    <row r="65" spans="1:6" ht="15" customHeight="1" x14ac:dyDescent="0.25">
      <c r="A65" s="64"/>
      <c r="B65" s="64"/>
      <c r="C65" s="64"/>
      <c r="E65" s="110" t="s">
        <v>321</v>
      </c>
      <c r="F65" s="108"/>
    </row>
    <row r="66" spans="1:6" ht="15" customHeight="1" x14ac:dyDescent="0.25">
      <c r="A66" s="64"/>
      <c r="B66" s="64"/>
      <c r="C66" s="64"/>
      <c r="E66" s="110" t="s">
        <v>320</v>
      </c>
      <c r="F66" s="108"/>
    </row>
    <row r="67" spans="1:6" ht="15" customHeight="1" x14ac:dyDescent="0.25">
      <c r="A67" s="64"/>
      <c r="B67" s="64"/>
      <c r="C67" s="64"/>
      <c r="F67" s="108"/>
    </row>
    <row r="68" spans="1:6" ht="15" customHeight="1" x14ac:dyDescent="0.25">
      <c r="A68" s="6" t="s">
        <v>54</v>
      </c>
      <c r="B68" s="6" t="s">
        <v>55</v>
      </c>
      <c r="C68" s="6">
        <v>89221937415</v>
      </c>
      <c r="E68" s="107" t="s">
        <v>159</v>
      </c>
      <c r="F68" s="108"/>
    </row>
    <row r="69" spans="1:6" ht="15" customHeight="1" x14ac:dyDescent="0.25">
      <c r="A69" s="14" t="s">
        <v>32</v>
      </c>
      <c r="B69" s="14" t="s">
        <v>33</v>
      </c>
      <c r="C69" s="14">
        <v>89824528695</v>
      </c>
      <c r="E69" s="110" t="s">
        <v>295</v>
      </c>
      <c r="F69" s="108"/>
    </row>
    <row r="70" spans="1:6" ht="15" customHeight="1" x14ac:dyDescent="0.25">
      <c r="A70" s="6" t="s">
        <v>104</v>
      </c>
      <c r="B70" s="6" t="s">
        <v>50</v>
      </c>
      <c r="C70" s="6">
        <v>89292379910</v>
      </c>
      <c r="E70" s="110" t="s">
        <v>196</v>
      </c>
      <c r="F70" s="108"/>
    </row>
    <row r="71" spans="1:6" ht="15" customHeight="1" x14ac:dyDescent="0.25">
      <c r="A71" s="6" t="s">
        <v>86</v>
      </c>
      <c r="B71" s="6" t="s">
        <v>29</v>
      </c>
      <c r="C71" s="6">
        <v>79096232390</v>
      </c>
      <c r="E71" s="110" t="s">
        <v>205</v>
      </c>
      <c r="F71" s="108"/>
    </row>
    <row r="72" spans="1:6" ht="15" customHeight="1" x14ac:dyDescent="0.25">
      <c r="A72" s="6" t="s">
        <v>87</v>
      </c>
      <c r="B72" s="6" t="s">
        <v>30</v>
      </c>
      <c r="C72" s="6">
        <v>89102494949</v>
      </c>
      <c r="E72" s="107" t="s">
        <v>177</v>
      </c>
      <c r="F72" s="108"/>
    </row>
    <row r="73" spans="1:6" ht="15" customHeight="1" x14ac:dyDescent="0.25">
      <c r="A73" s="6" t="s">
        <v>105</v>
      </c>
      <c r="B73" s="6" t="s">
        <v>63</v>
      </c>
      <c r="C73" s="14" t="s">
        <v>116</v>
      </c>
      <c r="E73" s="107" t="s">
        <v>157</v>
      </c>
      <c r="F73" s="108"/>
    </row>
    <row r="74" spans="1:6" ht="15" customHeight="1" x14ac:dyDescent="0.25">
      <c r="A74" s="6"/>
      <c r="B74" s="6"/>
      <c r="C74" s="14"/>
      <c r="E74" s="107" t="s">
        <v>156</v>
      </c>
      <c r="F74" s="108"/>
    </row>
    <row r="75" spans="1:6" ht="15" customHeight="1" x14ac:dyDescent="0.25">
      <c r="A75" s="64"/>
      <c r="B75" s="64"/>
      <c r="C75" s="14"/>
      <c r="E75" s="107" t="s">
        <v>287</v>
      </c>
      <c r="F75" s="108"/>
    </row>
    <row r="76" spans="1:6" ht="15" customHeight="1" x14ac:dyDescent="0.25">
      <c r="A76" s="64"/>
      <c r="B76" s="64"/>
      <c r="C76" s="14"/>
      <c r="E76" s="107" t="s">
        <v>329</v>
      </c>
      <c r="F76" s="108"/>
    </row>
    <row r="77" spans="1:6" ht="15" customHeight="1" x14ac:dyDescent="0.25">
      <c r="A77" s="6"/>
      <c r="B77" s="6"/>
      <c r="C77" s="14"/>
      <c r="E77" s="107" t="s">
        <v>200</v>
      </c>
      <c r="F77" s="108"/>
    </row>
    <row r="78" spans="1:6" ht="15" customHeight="1" x14ac:dyDescent="0.25">
      <c r="A78" s="64"/>
      <c r="B78" s="64"/>
      <c r="C78" s="14"/>
      <c r="E78" s="107" t="s">
        <v>515</v>
      </c>
      <c r="F78" s="108"/>
    </row>
    <row r="79" spans="1:6" ht="15" customHeight="1" x14ac:dyDescent="0.25">
      <c r="A79" s="6" t="s">
        <v>114</v>
      </c>
      <c r="B79" s="6" t="s">
        <v>115</v>
      </c>
      <c r="C79" s="16">
        <v>89053743966</v>
      </c>
      <c r="E79" s="107" t="s">
        <v>185</v>
      </c>
      <c r="F79" s="108"/>
    </row>
    <row r="80" spans="1:6" ht="15" customHeight="1" x14ac:dyDescent="0.25">
      <c r="A80" s="14" t="s">
        <v>102</v>
      </c>
      <c r="B80" s="17" t="s">
        <v>128</v>
      </c>
      <c r="C80" s="11">
        <v>79047988895</v>
      </c>
      <c r="E80" s="107" t="s">
        <v>186</v>
      </c>
      <c r="F80" s="108"/>
    </row>
    <row r="81" spans="1:6" ht="15" customHeight="1" x14ac:dyDescent="0.25">
      <c r="A81" s="6" t="s">
        <v>103</v>
      </c>
      <c r="B81" s="6" t="s">
        <v>60</v>
      </c>
      <c r="C81" s="11">
        <v>89501689423</v>
      </c>
      <c r="E81" s="107" t="s">
        <v>252</v>
      </c>
      <c r="F81" s="108"/>
    </row>
    <row r="82" spans="1:6" ht="15" customHeight="1" x14ac:dyDescent="0.25">
      <c r="A82" s="6" t="s">
        <v>85</v>
      </c>
      <c r="B82" s="6" t="s">
        <v>31</v>
      </c>
      <c r="C82" s="6">
        <v>79375721271</v>
      </c>
      <c r="E82" s="107" t="s">
        <v>197</v>
      </c>
      <c r="F82" s="108"/>
    </row>
    <row r="83" spans="1:6" ht="15" customHeight="1" x14ac:dyDescent="0.25">
      <c r="A83" s="6" t="s">
        <v>111</v>
      </c>
      <c r="B83" s="6" t="s">
        <v>75</v>
      </c>
      <c r="C83" s="15" t="s">
        <v>119</v>
      </c>
      <c r="E83" s="107" t="s">
        <v>204</v>
      </c>
      <c r="F83" s="108"/>
    </row>
    <row r="84" spans="1:6" ht="15" customHeight="1" x14ac:dyDescent="0.25">
      <c r="A84" s="6" t="s">
        <v>112</v>
      </c>
      <c r="B84" s="6" t="s">
        <v>77</v>
      </c>
      <c r="C84" s="16">
        <v>89120559741</v>
      </c>
      <c r="E84" s="107" t="s">
        <v>176</v>
      </c>
      <c r="F84" s="108"/>
    </row>
    <row r="85" spans="1:6" ht="15" customHeight="1" x14ac:dyDescent="0.25">
      <c r="A85" s="64"/>
      <c r="B85" s="64"/>
      <c r="C85" s="16"/>
      <c r="E85" s="107" t="s">
        <v>165</v>
      </c>
      <c r="F85" s="108"/>
    </row>
    <row r="86" spans="1:6" ht="15" customHeight="1" x14ac:dyDescent="0.25">
      <c r="A86" s="6" t="s">
        <v>101</v>
      </c>
      <c r="B86" s="6" t="s">
        <v>59</v>
      </c>
      <c r="C86" s="6">
        <v>89065103353</v>
      </c>
      <c r="E86" s="107" t="s">
        <v>166</v>
      </c>
      <c r="F86" s="108"/>
    </row>
    <row r="87" spans="1:6" ht="15" customHeight="1" x14ac:dyDescent="0.25">
      <c r="A87" s="64"/>
      <c r="B87" s="64"/>
      <c r="C87" s="64"/>
      <c r="E87" s="107" t="s">
        <v>346</v>
      </c>
      <c r="F87" s="108"/>
    </row>
    <row r="88" spans="1:6" ht="15" customHeight="1" x14ac:dyDescent="0.25">
      <c r="A88" s="64"/>
      <c r="B88" s="64"/>
      <c r="C88" s="64"/>
      <c r="E88" s="107" t="s">
        <v>795</v>
      </c>
      <c r="F88" s="108"/>
    </row>
    <row r="89" spans="1:6" ht="15" customHeight="1" x14ac:dyDescent="0.25">
      <c r="A89" s="64"/>
      <c r="B89" s="64"/>
      <c r="C89" s="64"/>
      <c r="E89" s="107" t="s">
        <v>337</v>
      </c>
      <c r="F89" s="108"/>
    </row>
    <row r="90" spans="1:6" ht="15" customHeight="1" x14ac:dyDescent="0.25">
      <c r="A90" s="6" t="s">
        <v>98</v>
      </c>
      <c r="B90" s="6" t="s">
        <v>126</v>
      </c>
      <c r="C90" s="6" t="s">
        <v>57</v>
      </c>
      <c r="E90" s="107" t="s">
        <v>300</v>
      </c>
      <c r="F90" s="108"/>
    </row>
    <row r="91" spans="1:6" ht="15" customHeight="1" x14ac:dyDescent="0.25">
      <c r="A91" s="6" t="s">
        <v>94</v>
      </c>
      <c r="B91" s="6" t="s">
        <v>47</v>
      </c>
      <c r="C91" s="6">
        <v>89806514693</v>
      </c>
      <c r="E91" s="107" t="s">
        <v>311</v>
      </c>
      <c r="F91" s="108"/>
    </row>
    <row r="92" spans="1:6" ht="15" customHeight="1" x14ac:dyDescent="0.25">
      <c r="A92" s="93"/>
      <c r="B92" s="93"/>
      <c r="C92" s="93"/>
      <c r="E92" s="107" t="s">
        <v>253</v>
      </c>
      <c r="F92" s="108"/>
    </row>
    <row r="93" spans="1:6" ht="15" customHeight="1" x14ac:dyDescent="0.25">
      <c r="A93" s="93"/>
      <c r="B93" s="93"/>
      <c r="C93" s="93"/>
      <c r="E93" s="107" t="s">
        <v>344</v>
      </c>
      <c r="F93" s="108"/>
    </row>
    <row r="94" spans="1:6" ht="15" customHeight="1" x14ac:dyDescent="0.25">
      <c r="A94" s="93"/>
      <c r="B94" s="93"/>
      <c r="C94" s="93"/>
      <c r="E94" s="107" t="s">
        <v>187</v>
      </c>
      <c r="F94" s="108"/>
    </row>
    <row r="95" spans="1:6" ht="15" customHeight="1" x14ac:dyDescent="0.25">
      <c r="A95" s="93"/>
      <c r="B95" s="93"/>
      <c r="C95" s="93"/>
      <c r="E95" s="107" t="s">
        <v>188</v>
      </c>
      <c r="F95" s="108"/>
    </row>
    <row r="96" spans="1:6" ht="15" customHeight="1" x14ac:dyDescent="0.25">
      <c r="E96" s="107" t="s">
        <v>189</v>
      </c>
      <c r="F96" s="108"/>
    </row>
    <row r="97" spans="5:6" ht="15" customHeight="1" x14ac:dyDescent="0.25">
      <c r="E97" s="107" t="s">
        <v>296</v>
      </c>
      <c r="F97" s="108"/>
    </row>
    <row r="98" spans="5:6" ht="15" customHeight="1" x14ac:dyDescent="0.25">
      <c r="E98" s="107" t="s">
        <v>190</v>
      </c>
      <c r="F98" s="108"/>
    </row>
    <row r="99" spans="5:6" ht="15" customHeight="1" x14ac:dyDescent="0.25">
      <c r="E99" s="107" t="s">
        <v>184</v>
      </c>
      <c r="F99" s="112"/>
    </row>
    <row r="100" spans="5:6" ht="15" customHeight="1" x14ac:dyDescent="0.25">
      <c r="E100" s="107" t="s">
        <v>203</v>
      </c>
      <c r="F100" s="114"/>
    </row>
    <row r="101" spans="5:6" ht="15" customHeight="1" x14ac:dyDescent="0.25">
      <c r="E101" s="107" t="s">
        <v>171</v>
      </c>
      <c r="F101" s="114"/>
    </row>
    <row r="102" spans="5:6" ht="15" customHeight="1" x14ac:dyDescent="0.25">
      <c r="E102" s="107" t="s">
        <v>180</v>
      </c>
      <c r="F102" s="114"/>
    </row>
    <row r="103" spans="5:6" ht="15" customHeight="1" x14ac:dyDescent="0.25">
      <c r="E103" s="107" t="s">
        <v>286</v>
      </c>
    </row>
    <row r="104" spans="5:6" ht="15" customHeight="1" x14ac:dyDescent="0.25">
      <c r="E104" s="107" t="s">
        <v>298</v>
      </c>
    </row>
    <row r="105" spans="5:6" ht="15" customHeight="1" x14ac:dyDescent="0.25">
      <c r="E105" s="107" t="s">
        <v>345</v>
      </c>
    </row>
    <row r="106" spans="5:6" ht="15" customHeight="1" x14ac:dyDescent="0.25">
      <c r="E106" s="109" t="s">
        <v>756</v>
      </c>
    </row>
    <row r="107" spans="5:6" ht="15" customHeight="1" x14ac:dyDescent="0.25">
      <c r="E107" s="107" t="s">
        <v>254</v>
      </c>
    </row>
    <row r="108" spans="5:6" ht="15" customHeight="1" x14ac:dyDescent="0.25">
      <c r="E108" s="107" t="s">
        <v>255</v>
      </c>
    </row>
    <row r="109" spans="5:6" ht="15" customHeight="1" x14ac:dyDescent="0.25">
      <c r="E109" s="107" t="s">
        <v>277</v>
      </c>
    </row>
    <row r="110" spans="5:6" ht="15" customHeight="1" x14ac:dyDescent="0.25">
      <c r="E110" s="107" t="s">
        <v>280</v>
      </c>
    </row>
    <row r="111" spans="5:6" ht="15" customHeight="1" x14ac:dyDescent="0.25">
      <c r="E111" s="107" t="s">
        <v>301</v>
      </c>
    </row>
    <row r="112" spans="5:6" ht="15" customHeight="1" x14ac:dyDescent="0.25">
      <c r="E112" s="107" t="s">
        <v>314</v>
      </c>
    </row>
    <row r="113" spans="5:5" ht="15" customHeight="1" x14ac:dyDescent="0.25">
      <c r="E113" s="107" t="s">
        <v>191</v>
      </c>
    </row>
    <row r="114" spans="5:5" ht="15" customHeight="1" x14ac:dyDescent="0.25">
      <c r="E114" s="107" t="s">
        <v>192</v>
      </c>
    </row>
    <row r="115" spans="5:5" ht="15" customHeight="1" x14ac:dyDescent="0.25">
      <c r="E115" s="107" t="s">
        <v>167</v>
      </c>
    </row>
    <row r="116" spans="5:5" ht="15" customHeight="1" x14ac:dyDescent="0.25">
      <c r="E116" s="107" t="s">
        <v>168</v>
      </c>
    </row>
    <row r="117" spans="5:5" ht="15" customHeight="1" x14ac:dyDescent="0.25">
      <c r="E117" s="107" t="s">
        <v>193</v>
      </c>
    </row>
    <row r="118" spans="5:5" ht="15" customHeight="1" x14ac:dyDescent="0.25">
      <c r="E118" s="107" t="s">
        <v>194</v>
      </c>
    </row>
    <row r="119" spans="5:5" ht="15" customHeight="1" x14ac:dyDescent="0.25">
      <c r="E119" s="107" t="s">
        <v>327</v>
      </c>
    </row>
    <row r="120" spans="5:5" ht="15" customHeight="1" x14ac:dyDescent="0.25">
      <c r="E120" s="107" t="s">
        <v>256</v>
      </c>
    </row>
    <row r="121" spans="5:5" ht="15" customHeight="1" x14ac:dyDescent="0.25">
      <c r="E121" s="107" t="s">
        <v>257</v>
      </c>
    </row>
    <row r="122" spans="5:5" ht="15" customHeight="1" x14ac:dyDescent="0.25">
      <c r="E122" s="107" t="s">
        <v>178</v>
      </c>
    </row>
    <row r="123" spans="5:5" ht="15" customHeight="1" x14ac:dyDescent="0.25">
      <c r="E123" s="107" t="s">
        <v>258</v>
      </c>
    </row>
    <row r="124" spans="5:5" ht="15" customHeight="1" x14ac:dyDescent="0.25">
      <c r="E124" s="107" t="s">
        <v>259</v>
      </c>
    </row>
    <row r="125" spans="5:5" ht="15" customHeight="1" x14ac:dyDescent="0.25">
      <c r="E125" s="107" t="s">
        <v>206</v>
      </c>
    </row>
    <row r="126" spans="5:5" ht="15" customHeight="1" x14ac:dyDescent="0.25">
      <c r="E126" s="107" t="s">
        <v>260</v>
      </c>
    </row>
    <row r="127" spans="5:5" ht="15" customHeight="1" x14ac:dyDescent="0.25">
      <c r="E127" s="107" t="s">
        <v>183</v>
      </c>
    </row>
    <row r="128" spans="5:5" ht="15" customHeight="1" x14ac:dyDescent="0.25">
      <c r="E128" s="107" t="s">
        <v>201</v>
      </c>
    </row>
    <row r="129" spans="5:5" ht="15" customHeight="1" x14ac:dyDescent="0.25">
      <c r="E129" s="107" t="s">
        <v>291</v>
      </c>
    </row>
    <row r="130" spans="5:5" ht="15" customHeight="1" x14ac:dyDescent="0.25">
      <c r="E130" s="107" t="s">
        <v>297</v>
      </c>
    </row>
    <row r="131" spans="5:5" ht="15" customHeight="1" x14ac:dyDescent="0.25">
      <c r="E131" s="107" t="s">
        <v>338</v>
      </c>
    </row>
    <row r="132" spans="5:5" ht="15" customHeight="1" x14ac:dyDescent="0.25">
      <c r="E132" s="107" t="s">
        <v>261</v>
      </c>
    </row>
    <row r="133" spans="5:5" ht="15" customHeight="1" x14ac:dyDescent="0.25">
      <c r="E133" s="107" t="s">
        <v>308</v>
      </c>
    </row>
    <row r="134" spans="5:5" ht="15" customHeight="1" x14ac:dyDescent="0.25">
      <c r="E134" s="107" t="s">
        <v>276</v>
      </c>
    </row>
    <row r="135" spans="5:5" ht="15" customHeight="1" x14ac:dyDescent="0.25">
      <c r="E135" s="107" t="s">
        <v>278</v>
      </c>
    </row>
    <row r="136" spans="5:5" ht="15" customHeight="1" x14ac:dyDescent="0.25">
      <c r="E136" s="111" t="s">
        <v>262</v>
      </c>
    </row>
    <row r="137" spans="5:5" ht="15" customHeight="1" x14ac:dyDescent="0.25">
      <c r="E137" s="111" t="s">
        <v>263</v>
      </c>
    </row>
    <row r="138" spans="5:5" ht="15" customHeight="1" x14ac:dyDescent="0.25">
      <c r="E138" s="111" t="s">
        <v>162</v>
      </c>
    </row>
    <row r="139" spans="5:5" ht="15" customHeight="1" x14ac:dyDescent="0.25">
      <c r="E139" s="111" t="s">
        <v>181</v>
      </c>
    </row>
    <row r="140" spans="5:5" ht="15" customHeight="1" x14ac:dyDescent="0.25">
      <c r="E140" s="111" t="s">
        <v>292</v>
      </c>
    </row>
    <row r="141" spans="5:5" ht="15" customHeight="1" x14ac:dyDescent="0.25">
      <c r="E141" s="113" t="s">
        <v>169</v>
      </c>
    </row>
    <row r="142" spans="5:5" ht="15" customHeight="1" x14ac:dyDescent="0.25">
      <c r="E142" s="107" t="s">
        <v>170</v>
      </c>
    </row>
    <row r="143" spans="5:5" ht="15" customHeight="1" x14ac:dyDescent="0.25">
      <c r="E143" s="109" t="s">
        <v>172</v>
      </c>
    </row>
    <row r="144" spans="5:5" ht="15" customHeight="1" x14ac:dyDescent="0.25">
      <c r="E144" s="109" t="s">
        <v>182</v>
      </c>
    </row>
    <row r="145" spans="5:5" ht="15" customHeight="1" x14ac:dyDescent="0.25">
      <c r="E145" s="109" t="s">
        <v>264</v>
      </c>
    </row>
    <row r="146" spans="5:5" ht="15" customHeight="1" x14ac:dyDescent="0.25">
      <c r="E146" s="109" t="s">
        <v>274</v>
      </c>
    </row>
    <row r="147" spans="5:5" ht="15" customHeight="1" x14ac:dyDescent="0.25">
      <c r="E147" s="109" t="s">
        <v>285</v>
      </c>
    </row>
    <row r="148" spans="5:5" ht="15" customHeight="1" x14ac:dyDescent="0.25">
      <c r="E148" s="109" t="s">
        <v>265</v>
      </c>
    </row>
    <row r="149" spans="5:5" ht="15" customHeight="1" x14ac:dyDescent="0.25">
      <c r="E149" s="109" t="s">
        <v>275</v>
      </c>
    </row>
    <row r="150" spans="5:5" ht="15" customHeight="1" x14ac:dyDescent="0.25">
      <c r="E150" s="109" t="s">
        <v>195</v>
      </c>
    </row>
    <row r="151" spans="5:5" ht="15" customHeight="1" x14ac:dyDescent="0.25">
      <c r="E151" s="109" t="s">
        <v>284</v>
      </c>
    </row>
    <row r="152" spans="5:5" ht="15" customHeight="1" x14ac:dyDescent="0.25">
      <c r="E152" s="109" t="s">
        <v>179</v>
      </c>
    </row>
    <row r="153" spans="5:5" ht="15" customHeight="1" x14ac:dyDescent="0.25">
      <c r="E153" s="109" t="s">
        <v>266</v>
      </c>
    </row>
    <row r="154" spans="5:5" ht="15" customHeight="1" x14ac:dyDescent="0.25">
      <c r="E154" s="109" t="s">
        <v>267</v>
      </c>
    </row>
    <row r="155" spans="5:5" ht="15.75" x14ac:dyDescent="0.25">
      <c r="E155" s="109" t="s">
        <v>272</v>
      </c>
    </row>
    <row r="156" spans="5:5" ht="15.75" x14ac:dyDescent="0.25">
      <c r="E156" s="109" t="s">
        <v>268</v>
      </c>
    </row>
    <row r="157" spans="5:5" ht="15.75" x14ac:dyDescent="0.25">
      <c r="E157" s="109" t="s">
        <v>273</v>
      </c>
    </row>
    <row r="158" spans="5:5" ht="15.75" x14ac:dyDescent="0.25">
      <c r="E158" s="109" t="s">
        <v>269</v>
      </c>
    </row>
    <row r="159" spans="5:5" ht="15.6" customHeight="1" x14ac:dyDescent="0.25">
      <c r="E159" s="109" t="s">
        <v>270</v>
      </c>
    </row>
    <row r="160" spans="5:5" ht="15.75" x14ac:dyDescent="0.25">
      <c r="E160" s="109" t="s">
        <v>299</v>
      </c>
    </row>
    <row r="161" spans="5:5" ht="15.75" x14ac:dyDescent="0.25">
      <c r="E161" s="110" t="s">
        <v>198</v>
      </c>
    </row>
    <row r="162" spans="5:5" ht="15.75" x14ac:dyDescent="0.25">
      <c r="E162" s="115" t="s">
        <v>271</v>
      </c>
    </row>
    <row r="163" spans="5:5" ht="15.75" x14ac:dyDescent="0.25">
      <c r="E163" s="115" t="s">
        <v>202</v>
      </c>
    </row>
    <row r="164" spans="5:5" ht="15.75" x14ac:dyDescent="0.25">
      <c r="E164" s="115" t="s">
        <v>281</v>
      </c>
    </row>
    <row r="165" spans="5:5" ht="15.75" x14ac:dyDescent="0.25">
      <c r="E165" s="115" t="s">
        <v>175</v>
      </c>
    </row>
    <row r="166" spans="5:5" ht="15.75" x14ac:dyDescent="0.25">
      <c r="E166" s="110" t="s">
        <v>173</v>
      </c>
    </row>
    <row r="167" spans="5:5" ht="15.75" x14ac:dyDescent="0.25">
      <c r="E167" s="109" t="s">
        <v>174</v>
      </c>
    </row>
    <row r="168" spans="5:5" ht="15.75" x14ac:dyDescent="0.25">
      <c r="E168" s="110" t="s">
        <v>199</v>
      </c>
    </row>
    <row r="169" spans="5:5" ht="15.75" x14ac:dyDescent="0.25">
      <c r="E169" s="110" t="s">
        <v>288</v>
      </c>
    </row>
    <row r="170" spans="5:5" ht="15.75" x14ac:dyDescent="0.25">
      <c r="E170" s="110" t="s">
        <v>289</v>
      </c>
    </row>
    <row r="171" spans="5:5" ht="15.75" x14ac:dyDescent="0.25">
      <c r="E171" s="110" t="s">
        <v>294</v>
      </c>
    </row>
    <row r="172" spans="5:5" ht="15.75" x14ac:dyDescent="0.25">
      <c r="E172" s="110" t="s">
        <v>306</v>
      </c>
    </row>
    <row r="173" spans="5:5" ht="15.75" x14ac:dyDescent="0.25">
      <c r="E173" s="110" t="s">
        <v>305</v>
      </c>
    </row>
    <row r="174" spans="5:5" x14ac:dyDescent="0.25">
      <c r="E174" s="147" t="s">
        <v>326</v>
      </c>
    </row>
    <row r="175" spans="5:5" x14ac:dyDescent="0.25">
      <c r="E175" s="147" t="s">
        <v>330</v>
      </c>
    </row>
    <row r="176" spans="5:5" x14ac:dyDescent="0.25">
      <c r="E176" s="150" t="s">
        <v>339</v>
      </c>
    </row>
    <row r="177" spans="5:5" x14ac:dyDescent="0.25">
      <c r="E177" s="150" t="s">
        <v>340</v>
      </c>
    </row>
    <row r="178" spans="5:5" x14ac:dyDescent="0.25">
      <c r="E178" s="150" t="s">
        <v>341</v>
      </c>
    </row>
    <row r="179" spans="5:5" x14ac:dyDescent="0.25">
      <c r="E179" s="150" t="s">
        <v>342</v>
      </c>
    </row>
    <row r="180" spans="5:5" x14ac:dyDescent="0.25">
      <c r="E180" s="147" t="s">
        <v>598</v>
      </c>
    </row>
    <row r="181" spans="5:5" x14ac:dyDescent="0.25">
      <c r="E181" s="147" t="s">
        <v>362</v>
      </c>
    </row>
    <row r="182" spans="5:5" x14ac:dyDescent="0.25">
      <c r="E182" s="147" t="s">
        <v>376</v>
      </c>
    </row>
    <row r="183" spans="5:5" x14ac:dyDescent="0.25">
      <c r="E183" s="147" t="s">
        <v>789</v>
      </c>
    </row>
    <row r="184" spans="5:5" ht="15.75" x14ac:dyDescent="0.25">
      <c r="E184" s="107"/>
    </row>
  </sheetData>
  <sortState xmlns:xlrd2="http://schemas.microsoft.com/office/spreadsheetml/2017/richdata2" ref="A4:C54">
    <sortCondition ref="B4:B54"/>
  </sortState>
  <dataValidations count="1">
    <dataValidation type="list" allowBlank="1" showInputMessage="1" showErrorMessage="1" sqref="E183" xr:uid="{00000000-0002-0000-0400-000000000000}">
      <formula1>$E$2:$E$184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/>
  <dimension ref="B1:AI26"/>
  <sheetViews>
    <sheetView zoomScale="80" zoomScaleNormal="80" workbookViewId="0">
      <selection activeCell="D3" sqref="D3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43617</v>
      </c>
      <c r="E1" s="21">
        <v>43618</v>
      </c>
      <c r="F1" s="21">
        <v>43619</v>
      </c>
      <c r="G1" s="21">
        <v>43620</v>
      </c>
      <c r="H1" s="21">
        <v>43621</v>
      </c>
      <c r="I1" s="21">
        <v>43622</v>
      </c>
      <c r="J1" s="21">
        <v>43623</v>
      </c>
      <c r="K1" s="21">
        <v>43624</v>
      </c>
      <c r="L1" s="21">
        <v>43625</v>
      </c>
      <c r="M1" s="21">
        <v>43626</v>
      </c>
      <c r="N1" s="21">
        <v>43627</v>
      </c>
      <c r="O1" s="21">
        <v>43628</v>
      </c>
      <c r="P1" s="21">
        <v>43629</v>
      </c>
      <c r="Q1" s="21">
        <v>43630</v>
      </c>
      <c r="R1" s="21">
        <v>43631</v>
      </c>
      <c r="S1" s="21">
        <v>43632</v>
      </c>
      <c r="T1" s="21">
        <v>43633</v>
      </c>
      <c r="U1" s="21">
        <v>43634</v>
      </c>
      <c r="V1" s="21">
        <v>43635</v>
      </c>
      <c r="W1" s="21">
        <v>43636</v>
      </c>
      <c r="X1" s="21">
        <v>43637</v>
      </c>
      <c r="Y1" s="21">
        <v>43638</v>
      </c>
      <c r="Z1" s="21">
        <v>43639</v>
      </c>
      <c r="AA1" s="21">
        <v>43640</v>
      </c>
      <c r="AB1" s="21">
        <v>43641</v>
      </c>
      <c r="AC1" s="21">
        <v>43642</v>
      </c>
      <c r="AD1" s="21">
        <v>43643</v>
      </c>
      <c r="AE1" s="21">
        <v>43644</v>
      </c>
      <c r="AF1" s="21">
        <v>43645</v>
      </c>
      <c r="AG1" s="21">
        <v>43646</v>
      </c>
      <c r="AH1" s="21" t="s">
        <v>149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129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 t="shared" ref="AI3:AI10" si="0">SUM(D3:AH3)</f>
        <v>#REF!</v>
      </c>
    </row>
    <row r="4" spans="2:35" ht="15.75" x14ac:dyDescent="0.25">
      <c r="B4" s="35" t="s">
        <v>130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si="0"/>
        <v>#REF!</v>
      </c>
    </row>
    <row r="5" spans="2:35" ht="15.75" x14ac:dyDescent="0.25">
      <c r="B5" s="35" t="s">
        <v>131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132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133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18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134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135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26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 t="shared" ref="AI12:AI26" si="1">SUM(D12:AH12)</f>
        <v>#REF!</v>
      </c>
    </row>
    <row r="13" spans="2:35" ht="15.75" x14ac:dyDescent="0.25">
      <c r="B13" s="27" t="s">
        <v>21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si="1"/>
        <v>#REF!</v>
      </c>
    </row>
    <row r="14" spans="2:35" ht="15.75" x14ac:dyDescent="0.25">
      <c r="B14" s="29" t="s">
        <v>136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137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138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139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140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141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142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143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144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145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146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147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148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5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/>
  <dimension ref="B1:AI26"/>
  <sheetViews>
    <sheetView topLeftCell="A25" zoomScale="80" zoomScaleNormal="80" workbookViewId="0">
      <selection activeCell="B28" sqref="B28:AJ54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43586</v>
      </c>
      <c r="E1" s="21">
        <v>43587</v>
      </c>
      <c r="F1" s="21">
        <v>43588</v>
      </c>
      <c r="G1" s="21">
        <v>43589</v>
      </c>
      <c r="H1" s="21">
        <v>43590</v>
      </c>
      <c r="I1" s="21">
        <v>43591</v>
      </c>
      <c r="J1" s="21">
        <v>43592</v>
      </c>
      <c r="K1" s="21">
        <v>43593</v>
      </c>
      <c r="L1" s="21">
        <v>43594</v>
      </c>
      <c r="M1" s="21">
        <v>43595</v>
      </c>
      <c r="N1" s="21">
        <v>43596</v>
      </c>
      <c r="O1" s="21">
        <v>43597</v>
      </c>
      <c r="P1" s="21">
        <v>43598</v>
      </c>
      <c r="Q1" s="21">
        <v>43599</v>
      </c>
      <c r="R1" s="21">
        <v>43600</v>
      </c>
      <c r="S1" s="21">
        <v>43601</v>
      </c>
      <c r="T1" s="21">
        <v>43602</v>
      </c>
      <c r="U1" s="21">
        <v>43603</v>
      </c>
      <c r="V1" s="21">
        <v>43604</v>
      </c>
      <c r="W1" s="21">
        <v>43605</v>
      </c>
      <c r="X1" s="21">
        <v>43606</v>
      </c>
      <c r="Y1" s="21">
        <v>43607</v>
      </c>
      <c r="Z1" s="21">
        <v>43608</v>
      </c>
      <c r="AA1" s="21">
        <v>43609</v>
      </c>
      <c r="AB1" s="21">
        <v>43610</v>
      </c>
      <c r="AC1" s="21">
        <v>43611</v>
      </c>
      <c r="AD1" s="21">
        <v>43612</v>
      </c>
      <c r="AE1" s="21">
        <v>43613</v>
      </c>
      <c r="AF1" s="21">
        <v>43614</v>
      </c>
      <c r="AG1" s="21">
        <v>43615</v>
      </c>
      <c r="AH1" s="21">
        <v>43616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129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>SUM(D3:AH3)</f>
        <v>#REF!</v>
      </c>
    </row>
    <row r="4" spans="2:35" ht="15.75" x14ac:dyDescent="0.25">
      <c r="B4" s="35" t="s">
        <v>130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ref="AI4:AI10" si="0">SUM(D4:AH4)</f>
        <v>#REF!</v>
      </c>
    </row>
    <row r="5" spans="2:35" ht="15.75" x14ac:dyDescent="0.25">
      <c r="B5" s="35" t="s">
        <v>131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132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133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18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134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135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26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>SUM(D12:AH12)</f>
        <v>#REF!</v>
      </c>
    </row>
    <row r="13" spans="2:35" ht="15.75" x14ac:dyDescent="0.25">
      <c r="B13" s="27" t="s">
        <v>21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ref="AI13:AI26" si="1">SUM(D13:AH13)</f>
        <v>#REF!</v>
      </c>
    </row>
    <row r="14" spans="2:35" ht="15.75" x14ac:dyDescent="0.25">
      <c r="B14" s="29" t="s">
        <v>136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137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138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139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140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141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142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143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144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145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146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147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148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6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242"/>
  <sheetViews>
    <sheetView showZeros="0" topLeftCell="A76" zoomScale="70" zoomScaleNormal="70" workbookViewId="0">
      <selection activeCell="B180" sqref="B180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46113</v>
      </c>
      <c r="C1" s="67"/>
      <c r="D1" s="68">
        <f>B1</f>
        <v>46113</v>
      </c>
      <c r="E1" s="68">
        <f>D1+1</f>
        <v>46114</v>
      </c>
      <c r="F1" s="68">
        <f t="shared" ref="F1:AH1" si="0">E1+1</f>
        <v>46115</v>
      </c>
      <c r="G1" s="68">
        <f t="shared" si="0"/>
        <v>46116</v>
      </c>
      <c r="H1" s="68">
        <f t="shared" si="0"/>
        <v>46117</v>
      </c>
      <c r="I1" s="68">
        <f t="shared" si="0"/>
        <v>46118</v>
      </c>
      <c r="J1" s="68">
        <f t="shared" si="0"/>
        <v>46119</v>
      </c>
      <c r="K1" s="68">
        <f t="shared" si="0"/>
        <v>46120</v>
      </c>
      <c r="L1" s="68">
        <f t="shared" si="0"/>
        <v>46121</v>
      </c>
      <c r="M1" s="68">
        <f t="shared" si="0"/>
        <v>46122</v>
      </c>
      <c r="N1" s="68">
        <f t="shared" si="0"/>
        <v>46123</v>
      </c>
      <c r="O1" s="68">
        <f t="shared" si="0"/>
        <v>46124</v>
      </c>
      <c r="P1" s="68">
        <f t="shared" si="0"/>
        <v>46125</v>
      </c>
      <c r="Q1" s="68">
        <f t="shared" si="0"/>
        <v>46126</v>
      </c>
      <c r="R1" s="68">
        <f t="shared" si="0"/>
        <v>46127</v>
      </c>
      <c r="S1" s="68">
        <f t="shared" si="0"/>
        <v>46128</v>
      </c>
      <c r="T1" s="68">
        <f t="shared" si="0"/>
        <v>46129</v>
      </c>
      <c r="U1" s="68">
        <f t="shared" si="0"/>
        <v>46130</v>
      </c>
      <c r="V1" s="68">
        <f t="shared" si="0"/>
        <v>46131</v>
      </c>
      <c r="W1" s="68">
        <f t="shared" si="0"/>
        <v>46132</v>
      </c>
      <c r="X1" s="68">
        <f t="shared" si="0"/>
        <v>46133</v>
      </c>
      <c r="Y1" s="68">
        <f t="shared" si="0"/>
        <v>46134</v>
      </c>
      <c r="Z1" s="68">
        <f t="shared" si="0"/>
        <v>46135</v>
      </c>
      <c r="AA1" s="68">
        <f t="shared" si="0"/>
        <v>46136</v>
      </c>
      <c r="AB1" s="68">
        <f t="shared" si="0"/>
        <v>46137</v>
      </c>
      <c r="AC1" s="68">
        <f t="shared" si="0"/>
        <v>46138</v>
      </c>
      <c r="AD1" s="68">
        <f t="shared" si="0"/>
        <v>46139</v>
      </c>
      <c r="AE1" s="68">
        <f t="shared" si="0"/>
        <v>46140</v>
      </c>
      <c r="AF1" s="68">
        <f t="shared" si="0"/>
        <v>46141</v>
      </c>
      <c r="AG1" s="68">
        <f t="shared" si="0"/>
        <v>46142</v>
      </c>
      <c r="AH1" s="68">
        <f t="shared" si="0"/>
        <v>46143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SUMIFS('апрель 2026'!$G$2:$G$2719,'апрель 2026'!$D$2:$D$2719,$B3,'апрель 2026'!$J$2:$J$2719,D$1)</f>
        <v>0</v>
      </c>
      <c r="E3" s="75">
        <f>SUMIFS('апрель 2026'!$G$2:$G$2719,'апрель 2026'!$D$2:$D$2719,$B3,'апрель 2026'!$J$2:$J$2719,E$1)</f>
        <v>0</v>
      </c>
      <c r="F3" s="75">
        <f>SUMIFS('апрель 2026'!$G$2:$G$2719,'апрель 2026'!$D$2:$D$2719,$B3,'апрель 2026'!$J$2:$J$2719,F$1)</f>
        <v>0</v>
      </c>
      <c r="G3" s="75">
        <f>SUMIFS('апрель 2026'!$G$2:$G$2719,'апрель 2026'!$D$2:$D$2719,$B3,'апрель 2026'!$J$2:$J$2719,G$1)</f>
        <v>0</v>
      </c>
      <c r="H3" s="75">
        <f>SUMIFS('апрель 2026'!$G$2:$G$2719,'апрель 2026'!$D$2:$D$2719,$B3,'апрель 2026'!$J$2:$J$2719,H$1)</f>
        <v>0</v>
      </c>
      <c r="I3" s="75">
        <f>SUMIFS('апрель 2026'!$G$2:$G$2719,'апрель 2026'!$D$2:$D$2719,$B3,'апрель 2026'!$J$2:$J$2719,I$1)</f>
        <v>0</v>
      </c>
      <c r="J3" s="75">
        <f>SUMIFS('апрель 2026'!$G$2:$G$2719,'апрель 2026'!$D$2:$D$2719,$B3,'апрель 2026'!$J$2:$J$2719,J$1)</f>
        <v>0</v>
      </c>
      <c r="K3" s="75">
        <f>SUMIFS('апрель 2026'!$G$2:$G$2719,'апрель 2026'!$D$2:$D$2719,$B3,'апрель 2026'!$J$2:$J$2719,K$1)</f>
        <v>0</v>
      </c>
      <c r="L3" s="75">
        <f>SUMIFS('апрель 2026'!$G$2:$G$2719,'апрель 2026'!$D$2:$D$2719,$B3,'апрель 2026'!$J$2:$J$2719,L$1)</f>
        <v>0</v>
      </c>
      <c r="M3" s="75">
        <f>SUMIFS('апрель 2026'!$G$2:$G$2719,'апрель 2026'!$D$2:$D$2719,$B3,'апрель 2026'!$J$2:$J$2719,M$1)</f>
        <v>0</v>
      </c>
      <c r="N3" s="75">
        <f>SUMIFS('апрель 2026'!$G$2:$G$2719,'апрель 2026'!$D$2:$D$2719,$B3,'апрель 2026'!$J$2:$J$2719,N$1)</f>
        <v>0</v>
      </c>
      <c r="O3" s="75">
        <f>SUMIFS('апрель 2026'!$G$2:$G$2719,'апрель 2026'!$D$2:$D$2719,$B3,'апрель 2026'!$J$2:$J$2719,O$1)</f>
        <v>0</v>
      </c>
      <c r="P3" s="75">
        <f>SUMIFS('апрель 2026'!$G$2:$G$2719,'апрель 2026'!$D$2:$D$2719,$B3,'апрель 2026'!$J$2:$J$2719,P$1)</f>
        <v>0</v>
      </c>
      <c r="Q3" s="75">
        <f>SUMIFS('апрель 2026'!$G$2:$G$2719,'апрель 2026'!$D$2:$D$2719,$B3,'апрель 2026'!$J$2:$J$2719,Q$1)</f>
        <v>0</v>
      </c>
      <c r="R3" s="75">
        <f>SUMIFS('апрель 2026'!$G$2:$G$2719,'апрель 2026'!$D$2:$D$2719,$B3,'апрель 2026'!$J$2:$J$2719,R$1)</f>
        <v>0</v>
      </c>
      <c r="S3" s="75">
        <f>SUMIFS('апрель 2026'!$G$2:$G$2719,'апрель 2026'!$D$2:$D$2719,$B3,'апрель 2026'!$J$2:$J$2719,S$1)</f>
        <v>0</v>
      </c>
      <c r="T3" s="75">
        <f>SUMIFS('апрель 2026'!$G$2:$G$2719,'апрель 2026'!$D$2:$D$2719,$B3,'апрель 2026'!$J$2:$J$2719,T$1)</f>
        <v>0</v>
      </c>
      <c r="U3" s="75">
        <f>SUMIFS('апрель 2026'!$G$2:$G$2719,'апрель 2026'!$D$2:$D$2719,$B3,'апрель 2026'!$J$2:$J$2719,U$1)</f>
        <v>0</v>
      </c>
      <c r="V3" s="75">
        <f>SUMIFS('апрель 2026'!$G$2:$G$2719,'апрель 2026'!$D$2:$D$2719,$B3,'апрель 2026'!$J$2:$J$2719,V$1)</f>
        <v>0</v>
      </c>
      <c r="W3" s="75">
        <f>SUMIFS('апрель 2026'!$G$2:$G$2719,'апрель 2026'!$D$2:$D$2719,$B3,'апрель 2026'!$J$2:$J$2719,W$1)</f>
        <v>0</v>
      </c>
      <c r="X3" s="75">
        <f>SUMIFS('апрель 2026'!$G$2:$G$2719,'апрель 2026'!$D$2:$D$2719,$B3,'апрель 2026'!$J$2:$J$2719,X$1)</f>
        <v>0</v>
      </c>
      <c r="Y3" s="75">
        <f>SUMIFS('апрель 2026'!$G$2:$G$2719,'апрель 2026'!$D$2:$D$2719,$B3,'апрель 2026'!$J$2:$J$2719,Y$1)</f>
        <v>0</v>
      </c>
      <c r="Z3" s="75">
        <f>SUMIFS('апрель 2026'!$G$2:$G$2719,'апрель 2026'!$D$2:$D$2719,$B3,'апрель 2026'!$J$2:$J$2719,Z$1)</f>
        <v>0</v>
      </c>
      <c r="AA3" s="75">
        <f>SUMIFS('апрель 2026'!$G$2:$G$2719,'апрель 2026'!$D$2:$D$2719,$B3,'апрель 2026'!$J$2:$J$2719,AA$1)</f>
        <v>0</v>
      </c>
      <c r="AB3" s="75">
        <f>SUMIFS('апрель 2026'!$G$2:$G$2719,'апрель 2026'!$D$2:$D$2719,$B3,'апрель 2026'!$J$2:$J$2719,AB$1)</f>
        <v>0</v>
      </c>
      <c r="AC3" s="75">
        <f>SUMIFS('апрель 2026'!$G$2:$G$2719,'апрель 2026'!$D$2:$D$2719,$B3,'апрель 2026'!$J$2:$J$2719,AC$1)</f>
        <v>0</v>
      </c>
      <c r="AD3" s="75">
        <f>SUMIFS('апрель 2026'!$G$2:$G$2719,'апрель 2026'!$D$2:$D$2719,$B3,'апрель 2026'!$J$2:$J$2719,AD$1)</f>
        <v>0</v>
      </c>
      <c r="AE3" s="75">
        <f>SUMIFS('апрель 2026'!$G$2:$G$2719,'апрель 2026'!$D$2:$D$2719,$B3,'апрель 2026'!$J$2:$J$2719,AE$1)</f>
        <v>0</v>
      </c>
      <c r="AF3" s="75">
        <f>SUMIFS('апрель 2026'!$G$2:$G$2719,'апрель 2026'!$D$2:$D$2719,$B3,'апрель 2026'!$J$2:$J$2719,AF$1)</f>
        <v>0</v>
      </c>
      <c r="AG3" s="75">
        <f>SUMIFS('апрель 2026'!$G$2:$G$2719,'апрель 2026'!$D$2:$D$2719,$B3,'апрель 2026'!$J$2:$J$2719,AG$1)</f>
        <v>0</v>
      </c>
      <c r="AH3" s="75">
        <f>SUMIFS('апрель 2026'!$G$2:$G$2719,'апрель 2026'!$D$2:$D$2719,$B3,'апрель 2026'!$J$2:$J$2719,AH$1)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SUMIFS('апрель 2026'!$G$2:$G$2719,'апрель 2026'!$D$2:$D$2719,$B4,'апрель 2026'!$J$2:$J$2719,D$1)</f>
        <v>0</v>
      </c>
      <c r="E4" s="75">
        <f>SUMIFS('апрель 2026'!$G$2:$G$2719,'апрель 2026'!$D$2:$D$2719,$B4,'апрель 2026'!$J$2:$J$2719,E$1)</f>
        <v>0</v>
      </c>
      <c r="F4" s="75">
        <f>SUMIFS('апрель 2026'!$G$2:$G$2719,'апрель 2026'!$D$2:$D$2719,$B4,'апрель 2026'!$J$2:$J$2719,F$1)</f>
        <v>0</v>
      </c>
      <c r="G4" s="75">
        <f>SUMIFS('апрель 2026'!$G$2:$G$2719,'апрель 2026'!$D$2:$D$2719,$B4,'апрель 2026'!$J$2:$J$2719,G$1)</f>
        <v>0</v>
      </c>
      <c r="H4" s="75">
        <f>SUMIFS('апрель 2026'!$G$2:$G$2719,'апрель 2026'!$D$2:$D$2719,$B4,'апрель 2026'!$J$2:$J$2719,H$1)</f>
        <v>0</v>
      </c>
      <c r="I4" s="75">
        <f>SUMIFS('апрель 2026'!$G$2:$G$2719,'апрель 2026'!$D$2:$D$2719,$B4,'апрель 2026'!$J$2:$J$2719,I$1)</f>
        <v>0</v>
      </c>
      <c r="J4" s="75">
        <f>SUMIFS('апрель 2026'!$G$2:$G$2719,'апрель 2026'!$D$2:$D$2719,$B4,'апрель 2026'!$J$2:$J$2719,J$1)</f>
        <v>0</v>
      </c>
      <c r="K4" s="75">
        <f>SUMIFS('апрель 2026'!$G$2:$G$2719,'апрель 2026'!$D$2:$D$2719,$B4,'апрель 2026'!$J$2:$J$2719,K$1)</f>
        <v>0</v>
      </c>
      <c r="L4" s="75">
        <f>SUMIFS('апрель 2026'!$G$2:$G$2719,'апрель 2026'!$D$2:$D$2719,$B4,'апрель 2026'!$J$2:$J$2719,L$1)</f>
        <v>0</v>
      </c>
      <c r="M4" s="75">
        <f>SUMIFS('апрель 2026'!$G$2:$G$2719,'апрель 2026'!$D$2:$D$2719,$B4,'апрель 2026'!$J$2:$J$2719,M$1)</f>
        <v>0</v>
      </c>
      <c r="N4" s="75">
        <f>SUMIFS('апрель 2026'!$G$2:$G$2719,'апрель 2026'!$D$2:$D$2719,$B4,'апрель 2026'!$J$2:$J$2719,N$1)</f>
        <v>0</v>
      </c>
      <c r="O4" s="75">
        <f>SUMIFS('апрель 2026'!$G$2:$G$2719,'апрель 2026'!$D$2:$D$2719,$B4,'апрель 2026'!$J$2:$J$2719,O$1)</f>
        <v>0</v>
      </c>
      <c r="P4" s="75">
        <f>SUMIFS('апрель 2026'!$G$2:$G$2719,'апрель 2026'!$D$2:$D$2719,$B4,'апрель 2026'!$J$2:$J$2719,P$1)</f>
        <v>800</v>
      </c>
      <c r="Q4" s="75">
        <f>SUMIFS('апрель 2026'!$G$2:$G$2719,'апрель 2026'!$D$2:$D$2719,$B4,'апрель 2026'!$J$2:$J$2719,Q$1)</f>
        <v>0</v>
      </c>
      <c r="R4" s="75">
        <f>SUMIFS('апрель 2026'!$G$2:$G$2719,'апрель 2026'!$D$2:$D$2719,$B4,'апрель 2026'!$J$2:$J$2719,R$1)</f>
        <v>0</v>
      </c>
      <c r="S4" s="75">
        <f>SUMIFS('апрель 2026'!$G$2:$G$2719,'апрель 2026'!$D$2:$D$2719,$B4,'апрель 2026'!$J$2:$J$2719,S$1)</f>
        <v>0</v>
      </c>
      <c r="T4" s="75">
        <f>SUMIFS('апрель 2026'!$G$2:$G$2719,'апрель 2026'!$D$2:$D$2719,$B4,'апрель 2026'!$J$2:$J$2719,T$1)</f>
        <v>0</v>
      </c>
      <c r="U4" s="75">
        <f>SUMIFS('апрель 2026'!$G$2:$G$2719,'апрель 2026'!$D$2:$D$2719,$B4,'апрель 2026'!$J$2:$J$2719,U$1)</f>
        <v>0</v>
      </c>
      <c r="V4" s="75">
        <f>SUMIFS('апрель 2026'!$G$2:$G$2719,'апрель 2026'!$D$2:$D$2719,$B4,'апрель 2026'!$J$2:$J$2719,V$1)</f>
        <v>0</v>
      </c>
      <c r="W4" s="75">
        <f>SUMIFS('апрель 2026'!$G$2:$G$2719,'апрель 2026'!$D$2:$D$2719,$B4,'апрель 2026'!$J$2:$J$2719,W$1)</f>
        <v>0</v>
      </c>
      <c r="X4" s="75">
        <f>SUMIFS('апрель 2026'!$G$2:$G$2719,'апрель 2026'!$D$2:$D$2719,$B4,'апрель 2026'!$J$2:$J$2719,X$1)</f>
        <v>0</v>
      </c>
      <c r="Y4" s="75">
        <f>SUMIFS('апрель 2026'!$G$2:$G$2719,'апрель 2026'!$D$2:$D$2719,$B4,'апрель 2026'!$J$2:$J$2719,Y$1)</f>
        <v>0</v>
      </c>
      <c r="Z4" s="75">
        <f>SUMIFS('апрель 2026'!$G$2:$G$2719,'апрель 2026'!$D$2:$D$2719,$B4,'апрель 2026'!$J$2:$J$2719,Z$1)</f>
        <v>0</v>
      </c>
      <c r="AA4" s="75">
        <f>SUMIFS('апрель 2026'!$G$2:$G$2719,'апрель 2026'!$D$2:$D$2719,$B4,'апрель 2026'!$J$2:$J$2719,AA$1)</f>
        <v>0</v>
      </c>
      <c r="AB4" s="75">
        <f>SUMIFS('апрель 2026'!$G$2:$G$2719,'апрель 2026'!$D$2:$D$2719,$B4,'апрель 2026'!$J$2:$J$2719,AB$1)</f>
        <v>0</v>
      </c>
      <c r="AC4" s="75">
        <f>SUMIFS('апрель 2026'!$G$2:$G$2719,'апрель 2026'!$D$2:$D$2719,$B4,'апрель 2026'!$J$2:$J$2719,AC$1)</f>
        <v>0</v>
      </c>
      <c r="AD4" s="75">
        <f>SUMIFS('апрель 2026'!$G$2:$G$2719,'апрель 2026'!$D$2:$D$2719,$B4,'апрель 2026'!$J$2:$J$2719,AD$1)</f>
        <v>0</v>
      </c>
      <c r="AE4" s="75">
        <f>SUMIFS('апрель 2026'!$G$2:$G$2719,'апрель 2026'!$D$2:$D$2719,$B4,'апрель 2026'!$J$2:$J$2719,AE$1)</f>
        <v>0</v>
      </c>
      <c r="AF4" s="75">
        <f>SUMIFS('апрель 2026'!$G$2:$G$2719,'апрель 2026'!$D$2:$D$2719,$B4,'апрель 2026'!$J$2:$J$2719,AF$1)</f>
        <v>0</v>
      </c>
      <c r="AG4" s="75">
        <f>SUMIFS('апрель 2026'!$G$2:$G$2719,'апрель 2026'!$D$2:$D$2719,$B4,'апрель 2026'!$J$2:$J$2719,AG$1)</f>
        <v>0</v>
      </c>
      <c r="AH4" s="75">
        <f>SUMIFS('апрель 2026'!$G$2:$G$2719,'апрель 2026'!$D$2:$D$2719,$B4,'апрель 2026'!$J$2:$J$2719,AH$1)</f>
        <v>0</v>
      </c>
      <c r="AI4" s="164">
        <f t="shared" si="1"/>
        <v>800</v>
      </c>
    </row>
    <row r="5" spans="2:35" ht="15" customHeight="1" x14ac:dyDescent="0.25">
      <c r="B5" s="76" t="s">
        <v>210</v>
      </c>
      <c r="C5" s="77">
        <v>25</v>
      </c>
      <c r="D5" s="75">
        <f>SUMIFS('апрель 2026'!$G$2:$G$2719,'апрель 2026'!$D$2:$D$2719,$B5,'апрель 2026'!$J$2:$J$2719,D$1)</f>
        <v>0</v>
      </c>
      <c r="E5" s="75">
        <f>SUMIFS('апрель 2026'!$G$2:$G$2719,'апрель 2026'!$D$2:$D$2719,$B5,'апрель 2026'!$J$2:$J$2719,E$1)</f>
        <v>0</v>
      </c>
      <c r="F5" s="75">
        <f>SUMIFS('апрель 2026'!$G$2:$G$2719,'апрель 2026'!$D$2:$D$2719,$B5,'апрель 2026'!$J$2:$J$2719,F$1)</f>
        <v>0</v>
      </c>
      <c r="G5" s="75">
        <f>SUMIFS('апрель 2026'!$G$2:$G$2719,'апрель 2026'!$D$2:$D$2719,$B5,'апрель 2026'!$J$2:$J$2719,G$1)</f>
        <v>0</v>
      </c>
      <c r="H5" s="75">
        <f>SUMIFS('апрель 2026'!$G$2:$G$2719,'апрель 2026'!$D$2:$D$2719,$B5,'апрель 2026'!$J$2:$J$2719,H$1)</f>
        <v>0</v>
      </c>
      <c r="I5" s="75">
        <f>SUMIFS('апрель 2026'!$G$2:$G$2719,'апрель 2026'!$D$2:$D$2719,$B5,'апрель 2026'!$J$2:$J$2719,I$1)</f>
        <v>0</v>
      </c>
      <c r="J5" s="75">
        <f>SUMIFS('апрель 2026'!$G$2:$G$2719,'апрель 2026'!$D$2:$D$2719,$B5,'апрель 2026'!$J$2:$J$2719,J$1)</f>
        <v>0</v>
      </c>
      <c r="K5" s="75">
        <f>SUMIFS('апрель 2026'!$G$2:$G$2719,'апрель 2026'!$D$2:$D$2719,$B5,'апрель 2026'!$J$2:$J$2719,K$1)</f>
        <v>0</v>
      </c>
      <c r="L5" s="75">
        <f>SUMIFS('апрель 2026'!$G$2:$G$2719,'апрель 2026'!$D$2:$D$2719,$B5,'апрель 2026'!$J$2:$J$2719,L$1)</f>
        <v>0</v>
      </c>
      <c r="M5" s="75">
        <f>SUMIFS('апрель 2026'!$G$2:$G$2719,'апрель 2026'!$D$2:$D$2719,$B5,'апрель 2026'!$J$2:$J$2719,M$1)</f>
        <v>0</v>
      </c>
      <c r="N5" s="75">
        <f>SUMIFS('апрель 2026'!$G$2:$G$2719,'апрель 2026'!$D$2:$D$2719,$B5,'апрель 2026'!$J$2:$J$2719,N$1)</f>
        <v>0</v>
      </c>
      <c r="O5" s="75">
        <f>SUMIFS('апрель 2026'!$G$2:$G$2719,'апрель 2026'!$D$2:$D$2719,$B5,'апрель 2026'!$J$2:$J$2719,O$1)</f>
        <v>0</v>
      </c>
      <c r="P5" s="75">
        <f>SUMIFS('апрель 2026'!$G$2:$G$2719,'апрель 2026'!$D$2:$D$2719,$B5,'апрель 2026'!$J$2:$J$2719,P$1)</f>
        <v>0</v>
      </c>
      <c r="Q5" s="75">
        <f>SUMIFS('апрель 2026'!$G$2:$G$2719,'апрель 2026'!$D$2:$D$2719,$B5,'апрель 2026'!$J$2:$J$2719,Q$1)</f>
        <v>0</v>
      </c>
      <c r="R5" s="75">
        <f>SUMIFS('апрель 2026'!$G$2:$G$2719,'апрель 2026'!$D$2:$D$2719,$B5,'апрель 2026'!$J$2:$J$2719,R$1)</f>
        <v>0</v>
      </c>
      <c r="S5" s="75">
        <f>SUMIFS('апрель 2026'!$G$2:$G$2719,'апрель 2026'!$D$2:$D$2719,$B5,'апрель 2026'!$J$2:$J$2719,S$1)</f>
        <v>0</v>
      </c>
      <c r="T5" s="75">
        <f>SUMIFS('апрель 2026'!$G$2:$G$2719,'апрель 2026'!$D$2:$D$2719,$B5,'апрель 2026'!$J$2:$J$2719,T$1)</f>
        <v>0</v>
      </c>
      <c r="U5" s="75">
        <f>SUMIFS('апрель 2026'!$G$2:$G$2719,'апрель 2026'!$D$2:$D$2719,$B5,'апрель 2026'!$J$2:$J$2719,U$1)</f>
        <v>0</v>
      </c>
      <c r="V5" s="75">
        <f>SUMIFS('апрель 2026'!$G$2:$G$2719,'апрель 2026'!$D$2:$D$2719,$B5,'апрель 2026'!$J$2:$J$2719,V$1)</f>
        <v>0</v>
      </c>
      <c r="W5" s="75">
        <f>SUMIFS('апрель 2026'!$G$2:$G$2719,'апрель 2026'!$D$2:$D$2719,$B5,'апрель 2026'!$J$2:$J$2719,W$1)</f>
        <v>0</v>
      </c>
      <c r="X5" s="75">
        <f>SUMIFS('апрель 2026'!$G$2:$G$2719,'апрель 2026'!$D$2:$D$2719,$B5,'апрель 2026'!$J$2:$J$2719,X$1)</f>
        <v>0</v>
      </c>
      <c r="Y5" s="75">
        <f>SUMIFS('апрель 2026'!$G$2:$G$2719,'апрель 2026'!$D$2:$D$2719,$B5,'апрель 2026'!$J$2:$J$2719,Y$1)</f>
        <v>0</v>
      </c>
      <c r="Z5" s="75">
        <f>SUMIFS('апрель 2026'!$G$2:$G$2719,'апрель 2026'!$D$2:$D$2719,$B5,'апрель 2026'!$J$2:$J$2719,Z$1)</f>
        <v>0</v>
      </c>
      <c r="AA5" s="75">
        <f>SUMIFS('апрель 2026'!$G$2:$G$2719,'апрель 2026'!$D$2:$D$2719,$B5,'апрель 2026'!$J$2:$J$2719,AA$1)</f>
        <v>0</v>
      </c>
      <c r="AB5" s="75">
        <f>SUMIFS('апрель 2026'!$G$2:$G$2719,'апрель 2026'!$D$2:$D$2719,$B5,'апрель 2026'!$J$2:$J$2719,AB$1)</f>
        <v>0</v>
      </c>
      <c r="AC5" s="75">
        <f>SUMIFS('апрель 2026'!$G$2:$G$2719,'апрель 2026'!$D$2:$D$2719,$B5,'апрель 2026'!$J$2:$J$2719,AC$1)</f>
        <v>0</v>
      </c>
      <c r="AD5" s="75">
        <f>SUMIFS('апрель 2026'!$G$2:$G$2719,'апрель 2026'!$D$2:$D$2719,$B5,'апрель 2026'!$J$2:$J$2719,AD$1)</f>
        <v>0</v>
      </c>
      <c r="AE5" s="75">
        <f>SUMIFS('апрель 2026'!$G$2:$G$2719,'апрель 2026'!$D$2:$D$2719,$B5,'апрель 2026'!$J$2:$J$2719,AE$1)</f>
        <v>0</v>
      </c>
      <c r="AF5" s="75">
        <f>SUMIFS('апрель 2026'!$G$2:$G$2719,'апрель 2026'!$D$2:$D$2719,$B5,'апрель 2026'!$J$2:$J$2719,AF$1)</f>
        <v>0</v>
      </c>
      <c r="AG5" s="75">
        <f>SUMIFS('апрель 2026'!$G$2:$G$2719,'апрель 2026'!$D$2:$D$2719,$B5,'апрель 2026'!$J$2:$J$2719,AG$1)</f>
        <v>0</v>
      </c>
      <c r="AH5" s="75">
        <f>SUMIFS('апрель 2026'!$G$2:$G$2719,'апрель 2026'!$D$2:$D$2719,$B5,'апрель 2026'!$J$2:$J$2719,AH$1)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SUMIFS('апрель 2026'!$G$2:$G$2719,'апрель 2026'!$D$2:$D$2719,$B6,'апрель 2026'!$J$2:$J$2719,D$1)</f>
        <v>0</v>
      </c>
      <c r="E6" s="75">
        <f>SUMIFS('апрель 2026'!$G$2:$G$2719,'апрель 2026'!$D$2:$D$2719,$B6,'апрель 2026'!$J$2:$J$2719,E$1)</f>
        <v>0</v>
      </c>
      <c r="F6" s="75">
        <f>SUMIFS('апрель 2026'!$G$2:$G$2719,'апрель 2026'!$D$2:$D$2719,$B6,'апрель 2026'!$J$2:$J$2719,F$1)</f>
        <v>0</v>
      </c>
      <c r="G6" s="75">
        <f>SUMIFS('апрель 2026'!$G$2:$G$2719,'апрель 2026'!$D$2:$D$2719,$B6,'апрель 2026'!$J$2:$J$2719,G$1)</f>
        <v>0</v>
      </c>
      <c r="H6" s="75">
        <f>SUMIFS('апрель 2026'!$G$2:$G$2719,'апрель 2026'!$D$2:$D$2719,$B6,'апрель 2026'!$J$2:$J$2719,H$1)</f>
        <v>0</v>
      </c>
      <c r="I6" s="75">
        <f>SUMIFS('апрель 2026'!$G$2:$G$2719,'апрель 2026'!$D$2:$D$2719,$B6,'апрель 2026'!$J$2:$J$2719,I$1)</f>
        <v>0</v>
      </c>
      <c r="J6" s="75">
        <f>SUMIFS('апрель 2026'!$G$2:$G$2719,'апрель 2026'!$D$2:$D$2719,$B6,'апрель 2026'!$J$2:$J$2719,J$1)</f>
        <v>0</v>
      </c>
      <c r="K6" s="75">
        <f>SUMIFS('апрель 2026'!$G$2:$G$2719,'апрель 2026'!$D$2:$D$2719,$B6,'апрель 2026'!$J$2:$J$2719,K$1)</f>
        <v>0</v>
      </c>
      <c r="L6" s="75">
        <f>SUMIFS('апрель 2026'!$G$2:$G$2719,'апрель 2026'!$D$2:$D$2719,$B6,'апрель 2026'!$J$2:$J$2719,L$1)</f>
        <v>0</v>
      </c>
      <c r="M6" s="75">
        <f>SUMIFS('апрель 2026'!$G$2:$G$2719,'апрель 2026'!$D$2:$D$2719,$B6,'апрель 2026'!$J$2:$J$2719,M$1)</f>
        <v>0</v>
      </c>
      <c r="N6" s="75">
        <f>SUMIFS('апрель 2026'!$G$2:$G$2719,'апрель 2026'!$D$2:$D$2719,$B6,'апрель 2026'!$J$2:$J$2719,N$1)</f>
        <v>0</v>
      </c>
      <c r="O6" s="75">
        <f>SUMIFS('апрель 2026'!$G$2:$G$2719,'апрель 2026'!$D$2:$D$2719,$B6,'апрель 2026'!$J$2:$J$2719,O$1)</f>
        <v>0</v>
      </c>
      <c r="P6" s="75">
        <f>SUMIFS('апрель 2026'!$G$2:$G$2719,'апрель 2026'!$D$2:$D$2719,$B6,'апрель 2026'!$J$2:$J$2719,P$1)</f>
        <v>0</v>
      </c>
      <c r="Q6" s="75">
        <f>SUMIFS('апрель 2026'!$G$2:$G$2719,'апрель 2026'!$D$2:$D$2719,$B6,'апрель 2026'!$J$2:$J$2719,Q$1)</f>
        <v>0</v>
      </c>
      <c r="R6" s="75">
        <f>SUMIFS('апрель 2026'!$G$2:$G$2719,'апрель 2026'!$D$2:$D$2719,$B6,'апрель 2026'!$J$2:$J$2719,R$1)</f>
        <v>0</v>
      </c>
      <c r="S6" s="75">
        <f>SUMIFS('апрель 2026'!$G$2:$G$2719,'апрель 2026'!$D$2:$D$2719,$B6,'апрель 2026'!$J$2:$J$2719,S$1)</f>
        <v>0</v>
      </c>
      <c r="T6" s="75">
        <f>SUMIFS('апрель 2026'!$G$2:$G$2719,'апрель 2026'!$D$2:$D$2719,$B6,'апрель 2026'!$J$2:$J$2719,T$1)</f>
        <v>0</v>
      </c>
      <c r="U6" s="75">
        <f>SUMIFS('апрель 2026'!$G$2:$G$2719,'апрель 2026'!$D$2:$D$2719,$B6,'апрель 2026'!$J$2:$J$2719,U$1)</f>
        <v>0</v>
      </c>
      <c r="V6" s="75">
        <f>SUMIFS('апрель 2026'!$G$2:$G$2719,'апрель 2026'!$D$2:$D$2719,$B6,'апрель 2026'!$J$2:$J$2719,V$1)</f>
        <v>0</v>
      </c>
      <c r="W6" s="75">
        <f>SUMIFS('апрель 2026'!$G$2:$G$2719,'апрель 2026'!$D$2:$D$2719,$B6,'апрель 2026'!$J$2:$J$2719,W$1)</f>
        <v>0</v>
      </c>
      <c r="X6" s="75">
        <f>SUMIFS('апрель 2026'!$G$2:$G$2719,'апрель 2026'!$D$2:$D$2719,$B6,'апрель 2026'!$J$2:$J$2719,X$1)</f>
        <v>0</v>
      </c>
      <c r="Y6" s="75">
        <f>SUMIFS('апрель 2026'!$G$2:$G$2719,'апрель 2026'!$D$2:$D$2719,$B6,'апрель 2026'!$J$2:$J$2719,Y$1)</f>
        <v>0</v>
      </c>
      <c r="Z6" s="75">
        <f>SUMIFS('апрель 2026'!$G$2:$G$2719,'апрель 2026'!$D$2:$D$2719,$B6,'апрель 2026'!$J$2:$J$2719,Z$1)</f>
        <v>0</v>
      </c>
      <c r="AA6" s="75">
        <f>SUMIFS('апрель 2026'!$G$2:$G$2719,'апрель 2026'!$D$2:$D$2719,$B6,'апрель 2026'!$J$2:$J$2719,AA$1)</f>
        <v>0</v>
      </c>
      <c r="AB6" s="75">
        <f>SUMIFS('апрель 2026'!$G$2:$G$2719,'апрель 2026'!$D$2:$D$2719,$B6,'апрель 2026'!$J$2:$J$2719,AB$1)</f>
        <v>0</v>
      </c>
      <c r="AC6" s="75">
        <f>SUMIFS('апрель 2026'!$G$2:$G$2719,'апрель 2026'!$D$2:$D$2719,$B6,'апрель 2026'!$J$2:$J$2719,AC$1)</f>
        <v>0</v>
      </c>
      <c r="AD6" s="75">
        <f>SUMIFS('апрель 2026'!$G$2:$G$2719,'апрель 2026'!$D$2:$D$2719,$B6,'апрель 2026'!$J$2:$J$2719,AD$1)</f>
        <v>0</v>
      </c>
      <c r="AE6" s="75">
        <f>SUMIFS('апрель 2026'!$G$2:$G$2719,'апрель 2026'!$D$2:$D$2719,$B6,'апрель 2026'!$J$2:$J$2719,AE$1)</f>
        <v>0</v>
      </c>
      <c r="AF6" s="75">
        <f>SUMIFS('апрель 2026'!$G$2:$G$2719,'апрель 2026'!$D$2:$D$2719,$B6,'апрель 2026'!$J$2:$J$2719,AF$1)</f>
        <v>0</v>
      </c>
      <c r="AG6" s="75">
        <f>SUMIFS('апрель 2026'!$G$2:$G$2719,'апрель 2026'!$D$2:$D$2719,$B6,'апрель 2026'!$J$2:$J$2719,AG$1)</f>
        <v>0</v>
      </c>
      <c r="AH6" s="75">
        <f>SUMIFS('апрель 2026'!$G$2:$G$2719,'апрель 2026'!$D$2:$D$2719,$B6,'апрель 2026'!$J$2:$J$2719,AH$1)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SUMIFS('апрель 2026'!$G$2:$G$2719,'апрель 2026'!$D$2:$D$2719,$B7,'апрель 2026'!$J$2:$J$2719,D$1)</f>
        <v>0</v>
      </c>
      <c r="E7" s="75">
        <f>SUMIFS('апрель 2026'!$G$2:$G$2719,'апрель 2026'!$D$2:$D$2719,$B7,'апрель 2026'!$J$2:$J$2719,E$1)</f>
        <v>0</v>
      </c>
      <c r="F7" s="75">
        <f>SUMIFS('апрель 2026'!$G$2:$G$2719,'апрель 2026'!$D$2:$D$2719,$B7,'апрель 2026'!$J$2:$J$2719,F$1)</f>
        <v>0</v>
      </c>
      <c r="G7" s="75">
        <f>SUMIFS('апрель 2026'!$G$2:$G$2719,'апрель 2026'!$D$2:$D$2719,$B7,'апрель 2026'!$J$2:$J$2719,G$1)</f>
        <v>0</v>
      </c>
      <c r="H7" s="75">
        <f>SUMIFS('апрель 2026'!$G$2:$G$2719,'апрель 2026'!$D$2:$D$2719,$B7,'апрель 2026'!$J$2:$J$2719,H$1)</f>
        <v>0</v>
      </c>
      <c r="I7" s="75">
        <f>SUMIFS('апрель 2026'!$G$2:$G$2719,'апрель 2026'!$D$2:$D$2719,$B7,'апрель 2026'!$J$2:$J$2719,I$1)</f>
        <v>0</v>
      </c>
      <c r="J7" s="75">
        <f>SUMIFS('апрель 2026'!$G$2:$G$2719,'апрель 2026'!$D$2:$D$2719,$B7,'апрель 2026'!$J$2:$J$2719,J$1)</f>
        <v>0</v>
      </c>
      <c r="K7" s="75">
        <f>SUMIFS('апрель 2026'!$G$2:$G$2719,'апрель 2026'!$D$2:$D$2719,$B7,'апрель 2026'!$J$2:$J$2719,K$1)</f>
        <v>0</v>
      </c>
      <c r="L7" s="75">
        <f>SUMIFS('апрель 2026'!$G$2:$G$2719,'апрель 2026'!$D$2:$D$2719,$B7,'апрель 2026'!$J$2:$J$2719,L$1)</f>
        <v>0</v>
      </c>
      <c r="M7" s="75">
        <f>SUMIFS('апрель 2026'!$G$2:$G$2719,'апрель 2026'!$D$2:$D$2719,$B7,'апрель 2026'!$J$2:$J$2719,M$1)</f>
        <v>0</v>
      </c>
      <c r="N7" s="75">
        <f>SUMIFS('апрель 2026'!$G$2:$G$2719,'апрель 2026'!$D$2:$D$2719,$B7,'апрель 2026'!$J$2:$J$2719,N$1)</f>
        <v>0</v>
      </c>
      <c r="O7" s="75">
        <f>SUMIFS('апрель 2026'!$G$2:$G$2719,'апрель 2026'!$D$2:$D$2719,$B7,'апрель 2026'!$J$2:$J$2719,O$1)</f>
        <v>0</v>
      </c>
      <c r="P7" s="75">
        <f>SUMIFS('апрель 2026'!$G$2:$G$2719,'апрель 2026'!$D$2:$D$2719,$B7,'апрель 2026'!$J$2:$J$2719,P$1)</f>
        <v>0</v>
      </c>
      <c r="Q7" s="75">
        <f>SUMIFS('апрель 2026'!$G$2:$G$2719,'апрель 2026'!$D$2:$D$2719,$B7,'апрель 2026'!$J$2:$J$2719,Q$1)</f>
        <v>0</v>
      </c>
      <c r="R7" s="75">
        <f>SUMIFS('апрель 2026'!$G$2:$G$2719,'апрель 2026'!$D$2:$D$2719,$B7,'апрель 2026'!$J$2:$J$2719,R$1)</f>
        <v>0</v>
      </c>
      <c r="S7" s="75">
        <f>SUMIFS('апрель 2026'!$G$2:$G$2719,'апрель 2026'!$D$2:$D$2719,$B7,'апрель 2026'!$J$2:$J$2719,S$1)</f>
        <v>0</v>
      </c>
      <c r="T7" s="75">
        <f>SUMIFS('апрель 2026'!$G$2:$G$2719,'апрель 2026'!$D$2:$D$2719,$B7,'апрель 2026'!$J$2:$J$2719,T$1)</f>
        <v>0</v>
      </c>
      <c r="U7" s="75">
        <f>SUMIFS('апрель 2026'!$G$2:$G$2719,'апрель 2026'!$D$2:$D$2719,$B7,'апрель 2026'!$J$2:$J$2719,U$1)</f>
        <v>0</v>
      </c>
      <c r="V7" s="75">
        <f>SUMIFS('апрель 2026'!$G$2:$G$2719,'апрель 2026'!$D$2:$D$2719,$B7,'апрель 2026'!$J$2:$J$2719,V$1)</f>
        <v>0</v>
      </c>
      <c r="W7" s="75">
        <f>SUMIFS('апрель 2026'!$G$2:$G$2719,'апрель 2026'!$D$2:$D$2719,$B7,'апрель 2026'!$J$2:$J$2719,W$1)</f>
        <v>0</v>
      </c>
      <c r="X7" s="75">
        <f>SUMIFS('апрель 2026'!$G$2:$G$2719,'апрель 2026'!$D$2:$D$2719,$B7,'апрель 2026'!$J$2:$J$2719,X$1)</f>
        <v>0</v>
      </c>
      <c r="Y7" s="75">
        <f>SUMIFS('апрель 2026'!$G$2:$G$2719,'апрель 2026'!$D$2:$D$2719,$B7,'апрель 2026'!$J$2:$J$2719,Y$1)</f>
        <v>0</v>
      </c>
      <c r="Z7" s="75">
        <f>SUMIFS('апрель 2026'!$G$2:$G$2719,'апрель 2026'!$D$2:$D$2719,$B7,'апрель 2026'!$J$2:$J$2719,Z$1)</f>
        <v>0</v>
      </c>
      <c r="AA7" s="75">
        <f>SUMIFS('апрель 2026'!$G$2:$G$2719,'апрель 2026'!$D$2:$D$2719,$B7,'апрель 2026'!$J$2:$J$2719,AA$1)</f>
        <v>0</v>
      </c>
      <c r="AB7" s="75">
        <f>SUMIFS('апрель 2026'!$G$2:$G$2719,'апрель 2026'!$D$2:$D$2719,$B7,'апрель 2026'!$J$2:$J$2719,AB$1)</f>
        <v>0</v>
      </c>
      <c r="AC7" s="75">
        <f>SUMIFS('апрель 2026'!$G$2:$G$2719,'апрель 2026'!$D$2:$D$2719,$B7,'апрель 2026'!$J$2:$J$2719,AC$1)</f>
        <v>0</v>
      </c>
      <c r="AD7" s="75">
        <f>SUMIFS('апрель 2026'!$G$2:$G$2719,'апрель 2026'!$D$2:$D$2719,$B7,'апрель 2026'!$J$2:$J$2719,AD$1)</f>
        <v>0</v>
      </c>
      <c r="AE7" s="75">
        <f>SUMIFS('апрель 2026'!$G$2:$G$2719,'апрель 2026'!$D$2:$D$2719,$B7,'апрель 2026'!$J$2:$J$2719,AE$1)</f>
        <v>0</v>
      </c>
      <c r="AF7" s="75">
        <f>SUMIFS('апрель 2026'!$G$2:$G$2719,'апрель 2026'!$D$2:$D$2719,$B7,'апрель 2026'!$J$2:$J$2719,AF$1)</f>
        <v>0</v>
      </c>
      <c r="AG7" s="75">
        <f>SUMIFS('апрель 2026'!$G$2:$G$2719,'апрель 2026'!$D$2:$D$2719,$B7,'апрель 2026'!$J$2:$J$2719,AG$1)</f>
        <v>0</v>
      </c>
      <c r="AH7" s="75">
        <f>SUMIFS('апрель 2026'!$G$2:$G$2719,'апрель 2026'!$D$2:$D$2719,$B7,'апрель 2026'!$J$2:$J$2719,AH$1)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SUMIFS('апрель 2026'!$G$2:$G$2719,'апрель 2026'!$D$2:$D$2719,$B8,'апрель 2026'!$J$2:$J$2719,D$1)</f>
        <v>0</v>
      </c>
      <c r="E8" s="75">
        <f>SUMIFS('апрель 2026'!$G$2:$G$2719,'апрель 2026'!$D$2:$D$2719,$B8,'апрель 2026'!$J$2:$J$2719,E$1)</f>
        <v>0</v>
      </c>
      <c r="F8" s="75">
        <f>SUMIFS('апрель 2026'!$G$2:$G$2719,'апрель 2026'!$D$2:$D$2719,$B8,'апрель 2026'!$J$2:$J$2719,F$1)</f>
        <v>0</v>
      </c>
      <c r="G8" s="75">
        <f>SUMIFS('апрель 2026'!$G$2:$G$2719,'апрель 2026'!$D$2:$D$2719,$B8,'апрель 2026'!$J$2:$J$2719,G$1)</f>
        <v>0</v>
      </c>
      <c r="H8" s="75">
        <f>SUMIFS('апрель 2026'!$G$2:$G$2719,'апрель 2026'!$D$2:$D$2719,$B8,'апрель 2026'!$J$2:$J$2719,H$1)</f>
        <v>0</v>
      </c>
      <c r="I8" s="75">
        <f>SUMIFS('апрель 2026'!$G$2:$G$2719,'апрель 2026'!$D$2:$D$2719,$B8,'апрель 2026'!$J$2:$J$2719,I$1)</f>
        <v>0</v>
      </c>
      <c r="J8" s="75">
        <f>SUMIFS('апрель 2026'!$G$2:$G$2719,'апрель 2026'!$D$2:$D$2719,$B8,'апрель 2026'!$J$2:$J$2719,J$1)</f>
        <v>0</v>
      </c>
      <c r="K8" s="75">
        <f>SUMIFS('апрель 2026'!$G$2:$G$2719,'апрель 2026'!$D$2:$D$2719,$B8,'апрель 2026'!$J$2:$J$2719,K$1)</f>
        <v>0</v>
      </c>
      <c r="L8" s="75">
        <f>SUMIFS('апрель 2026'!$G$2:$G$2719,'апрель 2026'!$D$2:$D$2719,$B8,'апрель 2026'!$J$2:$J$2719,L$1)</f>
        <v>0</v>
      </c>
      <c r="M8" s="75">
        <f>SUMIFS('апрель 2026'!$G$2:$G$2719,'апрель 2026'!$D$2:$D$2719,$B8,'апрель 2026'!$J$2:$J$2719,M$1)</f>
        <v>0</v>
      </c>
      <c r="N8" s="75">
        <f>SUMIFS('апрель 2026'!$G$2:$G$2719,'апрель 2026'!$D$2:$D$2719,$B8,'апрель 2026'!$J$2:$J$2719,N$1)</f>
        <v>0</v>
      </c>
      <c r="O8" s="75">
        <f>SUMIFS('апрель 2026'!$G$2:$G$2719,'апрель 2026'!$D$2:$D$2719,$B8,'апрель 2026'!$J$2:$J$2719,O$1)</f>
        <v>0</v>
      </c>
      <c r="P8" s="75">
        <f>SUMIFS('апрель 2026'!$G$2:$G$2719,'апрель 2026'!$D$2:$D$2719,$B8,'апрель 2026'!$J$2:$J$2719,P$1)</f>
        <v>0</v>
      </c>
      <c r="Q8" s="75">
        <f>SUMIFS('апрель 2026'!$G$2:$G$2719,'апрель 2026'!$D$2:$D$2719,$B8,'апрель 2026'!$J$2:$J$2719,Q$1)</f>
        <v>0</v>
      </c>
      <c r="R8" s="75">
        <f>SUMIFS('апрель 2026'!$G$2:$G$2719,'апрель 2026'!$D$2:$D$2719,$B8,'апрель 2026'!$J$2:$J$2719,R$1)</f>
        <v>0</v>
      </c>
      <c r="S8" s="75">
        <f>SUMIFS('апрель 2026'!$G$2:$G$2719,'апрель 2026'!$D$2:$D$2719,$B8,'апрель 2026'!$J$2:$J$2719,S$1)</f>
        <v>0</v>
      </c>
      <c r="T8" s="75">
        <f>SUMIFS('апрель 2026'!$G$2:$G$2719,'апрель 2026'!$D$2:$D$2719,$B8,'апрель 2026'!$J$2:$J$2719,T$1)</f>
        <v>0</v>
      </c>
      <c r="U8" s="75">
        <f>SUMIFS('апрель 2026'!$G$2:$G$2719,'апрель 2026'!$D$2:$D$2719,$B8,'апрель 2026'!$J$2:$J$2719,U$1)</f>
        <v>0</v>
      </c>
      <c r="V8" s="75">
        <f>SUMIFS('апрель 2026'!$G$2:$G$2719,'апрель 2026'!$D$2:$D$2719,$B8,'апрель 2026'!$J$2:$J$2719,V$1)</f>
        <v>0</v>
      </c>
      <c r="W8" s="75">
        <f>SUMIFS('апрель 2026'!$G$2:$G$2719,'апрель 2026'!$D$2:$D$2719,$B8,'апрель 2026'!$J$2:$J$2719,W$1)</f>
        <v>0</v>
      </c>
      <c r="X8" s="75">
        <f>SUMIFS('апрель 2026'!$G$2:$G$2719,'апрель 2026'!$D$2:$D$2719,$B8,'апрель 2026'!$J$2:$J$2719,X$1)</f>
        <v>0</v>
      </c>
      <c r="Y8" s="75">
        <f>SUMIFS('апрель 2026'!$G$2:$G$2719,'апрель 2026'!$D$2:$D$2719,$B8,'апрель 2026'!$J$2:$J$2719,Y$1)</f>
        <v>0</v>
      </c>
      <c r="Z8" s="75">
        <f>SUMIFS('апрель 2026'!$G$2:$G$2719,'апрель 2026'!$D$2:$D$2719,$B8,'апрель 2026'!$J$2:$J$2719,Z$1)</f>
        <v>0</v>
      </c>
      <c r="AA8" s="75">
        <f>SUMIFS('апрель 2026'!$G$2:$G$2719,'апрель 2026'!$D$2:$D$2719,$B8,'апрель 2026'!$J$2:$J$2719,AA$1)</f>
        <v>0</v>
      </c>
      <c r="AB8" s="75">
        <f>SUMIFS('апрель 2026'!$G$2:$G$2719,'апрель 2026'!$D$2:$D$2719,$B8,'апрель 2026'!$J$2:$J$2719,AB$1)</f>
        <v>0</v>
      </c>
      <c r="AC8" s="75">
        <f>SUMIFS('апрель 2026'!$G$2:$G$2719,'апрель 2026'!$D$2:$D$2719,$B8,'апрель 2026'!$J$2:$J$2719,AC$1)</f>
        <v>0</v>
      </c>
      <c r="AD8" s="75">
        <f>SUMIFS('апрель 2026'!$G$2:$G$2719,'апрель 2026'!$D$2:$D$2719,$B8,'апрель 2026'!$J$2:$J$2719,AD$1)</f>
        <v>0</v>
      </c>
      <c r="AE8" s="75">
        <f>SUMIFS('апрель 2026'!$G$2:$G$2719,'апрель 2026'!$D$2:$D$2719,$B8,'апрель 2026'!$J$2:$J$2719,AE$1)</f>
        <v>0</v>
      </c>
      <c r="AF8" s="75">
        <f>SUMIFS('апрель 2026'!$G$2:$G$2719,'апрель 2026'!$D$2:$D$2719,$B8,'апрель 2026'!$J$2:$J$2719,AF$1)</f>
        <v>0</v>
      </c>
      <c r="AG8" s="75">
        <f>SUMIFS('апрель 2026'!$G$2:$G$2719,'апрель 2026'!$D$2:$D$2719,$B8,'апрель 2026'!$J$2:$J$2719,AG$1)</f>
        <v>0</v>
      </c>
      <c r="AH8" s="75">
        <f>SUMIFS('апрель 2026'!$G$2:$G$2719,'апрель 2026'!$D$2:$D$2719,$B8,'апрель 2026'!$J$2:$J$2719,AH$1)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SUMIFS('апрель 2026'!$G$2:$G$2719,'апрель 2026'!$D$2:$D$2719,$B9,'апрель 2026'!$J$2:$J$2719,D$1)</f>
        <v>0</v>
      </c>
      <c r="E9" s="75">
        <f>SUMIFS('апрель 2026'!$G$2:$G$2719,'апрель 2026'!$D$2:$D$2719,$B9,'апрель 2026'!$J$2:$J$2719,E$1)</f>
        <v>0</v>
      </c>
      <c r="F9" s="75">
        <f>SUMIFS('апрель 2026'!$G$2:$G$2719,'апрель 2026'!$D$2:$D$2719,$B9,'апрель 2026'!$J$2:$J$2719,F$1)</f>
        <v>0</v>
      </c>
      <c r="G9" s="75">
        <f>SUMIFS('апрель 2026'!$G$2:$G$2719,'апрель 2026'!$D$2:$D$2719,$B9,'апрель 2026'!$J$2:$J$2719,G$1)</f>
        <v>0</v>
      </c>
      <c r="H9" s="75">
        <f>SUMIFS('апрель 2026'!$G$2:$G$2719,'апрель 2026'!$D$2:$D$2719,$B9,'апрель 2026'!$J$2:$J$2719,H$1)</f>
        <v>0</v>
      </c>
      <c r="I9" s="75">
        <f>SUMIFS('апрель 2026'!$G$2:$G$2719,'апрель 2026'!$D$2:$D$2719,$B9,'апрель 2026'!$J$2:$J$2719,I$1)</f>
        <v>0</v>
      </c>
      <c r="J9" s="75">
        <f>SUMIFS('апрель 2026'!$G$2:$G$2719,'апрель 2026'!$D$2:$D$2719,$B9,'апрель 2026'!$J$2:$J$2719,J$1)</f>
        <v>0</v>
      </c>
      <c r="K9" s="75">
        <f>SUMIFS('апрель 2026'!$G$2:$G$2719,'апрель 2026'!$D$2:$D$2719,$B9,'апрель 2026'!$J$2:$J$2719,K$1)</f>
        <v>0</v>
      </c>
      <c r="L9" s="75">
        <f>SUMIFS('апрель 2026'!$G$2:$G$2719,'апрель 2026'!$D$2:$D$2719,$B9,'апрель 2026'!$J$2:$J$2719,L$1)</f>
        <v>0</v>
      </c>
      <c r="M9" s="75">
        <f>SUMIFS('апрель 2026'!$G$2:$G$2719,'апрель 2026'!$D$2:$D$2719,$B9,'апрель 2026'!$J$2:$J$2719,M$1)</f>
        <v>0</v>
      </c>
      <c r="N9" s="75">
        <f>SUMIFS('апрель 2026'!$G$2:$G$2719,'апрель 2026'!$D$2:$D$2719,$B9,'апрель 2026'!$J$2:$J$2719,N$1)</f>
        <v>0</v>
      </c>
      <c r="O9" s="75">
        <f>SUMIFS('апрель 2026'!$G$2:$G$2719,'апрель 2026'!$D$2:$D$2719,$B9,'апрель 2026'!$J$2:$J$2719,O$1)</f>
        <v>0</v>
      </c>
      <c r="P9" s="75">
        <f>SUMIFS('апрель 2026'!$G$2:$G$2719,'апрель 2026'!$D$2:$D$2719,$B9,'апрель 2026'!$J$2:$J$2719,P$1)</f>
        <v>0</v>
      </c>
      <c r="Q9" s="75">
        <f>SUMIFS('апрель 2026'!$G$2:$G$2719,'апрель 2026'!$D$2:$D$2719,$B9,'апрель 2026'!$J$2:$J$2719,Q$1)</f>
        <v>0</v>
      </c>
      <c r="R9" s="75">
        <f>SUMIFS('апрель 2026'!$G$2:$G$2719,'апрель 2026'!$D$2:$D$2719,$B9,'апрель 2026'!$J$2:$J$2719,R$1)</f>
        <v>0</v>
      </c>
      <c r="S9" s="75">
        <f>SUMIFS('апрель 2026'!$G$2:$G$2719,'апрель 2026'!$D$2:$D$2719,$B9,'апрель 2026'!$J$2:$J$2719,S$1)</f>
        <v>0</v>
      </c>
      <c r="T9" s="75">
        <f>SUMIFS('апрель 2026'!$G$2:$G$2719,'апрель 2026'!$D$2:$D$2719,$B9,'апрель 2026'!$J$2:$J$2719,T$1)</f>
        <v>0</v>
      </c>
      <c r="U9" s="75">
        <f>SUMIFS('апрель 2026'!$G$2:$G$2719,'апрель 2026'!$D$2:$D$2719,$B9,'апрель 2026'!$J$2:$J$2719,U$1)</f>
        <v>0</v>
      </c>
      <c r="V9" s="75">
        <f>SUMIFS('апрель 2026'!$G$2:$G$2719,'апрель 2026'!$D$2:$D$2719,$B9,'апрель 2026'!$J$2:$J$2719,V$1)</f>
        <v>0</v>
      </c>
      <c r="W9" s="75">
        <f>SUMIFS('апрель 2026'!$G$2:$G$2719,'апрель 2026'!$D$2:$D$2719,$B9,'апрель 2026'!$J$2:$J$2719,W$1)</f>
        <v>0</v>
      </c>
      <c r="X9" s="75">
        <f>SUMIFS('апрель 2026'!$G$2:$G$2719,'апрель 2026'!$D$2:$D$2719,$B9,'апрель 2026'!$J$2:$J$2719,X$1)</f>
        <v>0</v>
      </c>
      <c r="Y9" s="75">
        <f>SUMIFS('апрель 2026'!$G$2:$G$2719,'апрель 2026'!$D$2:$D$2719,$B9,'апрель 2026'!$J$2:$J$2719,Y$1)</f>
        <v>0</v>
      </c>
      <c r="Z9" s="75">
        <f>SUMIFS('апрель 2026'!$G$2:$G$2719,'апрель 2026'!$D$2:$D$2719,$B9,'апрель 2026'!$J$2:$J$2719,Z$1)</f>
        <v>0</v>
      </c>
      <c r="AA9" s="75">
        <f>SUMIFS('апрель 2026'!$G$2:$G$2719,'апрель 2026'!$D$2:$D$2719,$B9,'апрель 2026'!$J$2:$J$2719,AA$1)</f>
        <v>0</v>
      </c>
      <c r="AB9" s="75">
        <f>SUMIFS('апрель 2026'!$G$2:$G$2719,'апрель 2026'!$D$2:$D$2719,$B9,'апрель 2026'!$J$2:$J$2719,AB$1)</f>
        <v>0</v>
      </c>
      <c r="AC9" s="75">
        <f>SUMIFS('апрель 2026'!$G$2:$G$2719,'апрель 2026'!$D$2:$D$2719,$B9,'апрель 2026'!$J$2:$J$2719,AC$1)</f>
        <v>0</v>
      </c>
      <c r="AD9" s="75">
        <f>SUMIFS('апрель 2026'!$G$2:$G$2719,'апрель 2026'!$D$2:$D$2719,$B9,'апрель 2026'!$J$2:$J$2719,AD$1)</f>
        <v>0</v>
      </c>
      <c r="AE9" s="75">
        <f>SUMIFS('апрель 2026'!$G$2:$G$2719,'апрель 2026'!$D$2:$D$2719,$B9,'апрель 2026'!$J$2:$J$2719,AE$1)</f>
        <v>0</v>
      </c>
      <c r="AF9" s="75">
        <f>SUMIFS('апрель 2026'!$G$2:$G$2719,'апрель 2026'!$D$2:$D$2719,$B9,'апрель 2026'!$J$2:$J$2719,AF$1)</f>
        <v>0</v>
      </c>
      <c r="AG9" s="75">
        <f>SUMIFS('апрель 2026'!$G$2:$G$2719,'апрель 2026'!$D$2:$D$2719,$B9,'апрель 2026'!$J$2:$J$2719,AG$1)</f>
        <v>0</v>
      </c>
      <c r="AH9" s="75">
        <f>SUMIFS('апрель 2026'!$G$2:$G$2719,'апрель 2026'!$D$2:$D$2719,$B9,'апрель 2026'!$J$2:$J$2719,AH$1)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SUMIFS('апрель 2026'!$G$2:$G$2719,'апрель 2026'!$D$2:$D$2719,$B10,'апрель 2026'!$J$2:$J$2719,D$1)</f>
        <v>0</v>
      </c>
      <c r="E10" s="75">
        <f>SUMIFS('апрель 2026'!$G$2:$G$2719,'апрель 2026'!$D$2:$D$2719,$B10,'апрель 2026'!$J$2:$J$2719,E$1)</f>
        <v>0</v>
      </c>
      <c r="F10" s="75">
        <f>SUMIFS('апрель 2026'!$G$2:$G$2719,'апрель 2026'!$D$2:$D$2719,$B10,'апрель 2026'!$J$2:$J$2719,F$1)</f>
        <v>0</v>
      </c>
      <c r="G10" s="75">
        <f>SUMIFS('апрель 2026'!$G$2:$G$2719,'апрель 2026'!$D$2:$D$2719,$B10,'апрель 2026'!$J$2:$J$2719,G$1)</f>
        <v>0</v>
      </c>
      <c r="H10" s="75">
        <f>SUMIFS('апрель 2026'!$G$2:$G$2719,'апрель 2026'!$D$2:$D$2719,$B10,'апрель 2026'!$J$2:$J$2719,H$1)</f>
        <v>0</v>
      </c>
      <c r="I10" s="75">
        <f>SUMIFS('апрель 2026'!$G$2:$G$2719,'апрель 2026'!$D$2:$D$2719,$B10,'апрель 2026'!$J$2:$J$2719,I$1)</f>
        <v>0</v>
      </c>
      <c r="J10" s="75">
        <f>SUMIFS('апрель 2026'!$G$2:$G$2719,'апрель 2026'!$D$2:$D$2719,$B10,'апрель 2026'!$J$2:$J$2719,J$1)</f>
        <v>0</v>
      </c>
      <c r="K10" s="75">
        <f>SUMIFS('апрель 2026'!$G$2:$G$2719,'апрель 2026'!$D$2:$D$2719,$B10,'апрель 2026'!$J$2:$J$2719,K$1)</f>
        <v>0</v>
      </c>
      <c r="L10" s="75">
        <f>SUMIFS('апрель 2026'!$G$2:$G$2719,'апрель 2026'!$D$2:$D$2719,$B10,'апрель 2026'!$J$2:$J$2719,L$1)</f>
        <v>0</v>
      </c>
      <c r="M10" s="75">
        <f>SUMIFS('апрель 2026'!$G$2:$G$2719,'апрель 2026'!$D$2:$D$2719,$B10,'апрель 2026'!$J$2:$J$2719,M$1)</f>
        <v>0</v>
      </c>
      <c r="N10" s="75">
        <f>SUMIFS('апрель 2026'!$G$2:$G$2719,'апрель 2026'!$D$2:$D$2719,$B10,'апрель 2026'!$J$2:$J$2719,N$1)</f>
        <v>0</v>
      </c>
      <c r="O10" s="75">
        <f>SUMIFS('апрель 2026'!$G$2:$G$2719,'апрель 2026'!$D$2:$D$2719,$B10,'апрель 2026'!$J$2:$J$2719,O$1)</f>
        <v>0</v>
      </c>
      <c r="P10" s="75">
        <f>SUMIFS('апрель 2026'!$G$2:$G$2719,'апрель 2026'!$D$2:$D$2719,$B10,'апрель 2026'!$J$2:$J$2719,P$1)</f>
        <v>0</v>
      </c>
      <c r="Q10" s="75">
        <f>SUMIFS('апрель 2026'!$G$2:$G$2719,'апрель 2026'!$D$2:$D$2719,$B10,'апрель 2026'!$J$2:$J$2719,Q$1)</f>
        <v>0</v>
      </c>
      <c r="R10" s="75">
        <f>SUMIFS('апрель 2026'!$G$2:$G$2719,'апрель 2026'!$D$2:$D$2719,$B10,'апрель 2026'!$J$2:$J$2719,R$1)</f>
        <v>0</v>
      </c>
      <c r="S10" s="75">
        <f>SUMIFS('апрель 2026'!$G$2:$G$2719,'апрель 2026'!$D$2:$D$2719,$B10,'апрель 2026'!$J$2:$J$2719,S$1)</f>
        <v>0</v>
      </c>
      <c r="T10" s="75">
        <f>SUMIFS('апрель 2026'!$G$2:$G$2719,'апрель 2026'!$D$2:$D$2719,$B10,'апрель 2026'!$J$2:$J$2719,T$1)</f>
        <v>0</v>
      </c>
      <c r="U10" s="75">
        <f>SUMIFS('апрель 2026'!$G$2:$G$2719,'апрель 2026'!$D$2:$D$2719,$B10,'апрель 2026'!$J$2:$J$2719,U$1)</f>
        <v>0</v>
      </c>
      <c r="V10" s="75">
        <f>SUMIFS('апрель 2026'!$G$2:$G$2719,'апрель 2026'!$D$2:$D$2719,$B10,'апрель 2026'!$J$2:$J$2719,V$1)</f>
        <v>0</v>
      </c>
      <c r="W10" s="75">
        <f>SUMIFS('апрель 2026'!$G$2:$G$2719,'апрель 2026'!$D$2:$D$2719,$B10,'апрель 2026'!$J$2:$J$2719,W$1)</f>
        <v>0</v>
      </c>
      <c r="X10" s="75">
        <f>SUMIFS('апрель 2026'!$G$2:$G$2719,'апрель 2026'!$D$2:$D$2719,$B10,'апрель 2026'!$J$2:$J$2719,X$1)</f>
        <v>0</v>
      </c>
      <c r="Y10" s="75">
        <f>SUMIFS('апрель 2026'!$G$2:$G$2719,'апрель 2026'!$D$2:$D$2719,$B10,'апрель 2026'!$J$2:$J$2719,Y$1)</f>
        <v>0</v>
      </c>
      <c r="Z10" s="75">
        <f>SUMIFS('апрель 2026'!$G$2:$G$2719,'апрель 2026'!$D$2:$D$2719,$B10,'апрель 2026'!$J$2:$J$2719,Z$1)</f>
        <v>0</v>
      </c>
      <c r="AA10" s="75">
        <f>SUMIFS('апрель 2026'!$G$2:$G$2719,'апрель 2026'!$D$2:$D$2719,$B10,'апрель 2026'!$J$2:$J$2719,AA$1)</f>
        <v>0</v>
      </c>
      <c r="AB10" s="75">
        <f>SUMIFS('апрель 2026'!$G$2:$G$2719,'апрель 2026'!$D$2:$D$2719,$B10,'апрель 2026'!$J$2:$J$2719,AB$1)</f>
        <v>0</v>
      </c>
      <c r="AC10" s="75">
        <f>SUMIFS('апрель 2026'!$G$2:$G$2719,'апрель 2026'!$D$2:$D$2719,$B10,'апрель 2026'!$J$2:$J$2719,AC$1)</f>
        <v>0</v>
      </c>
      <c r="AD10" s="75">
        <f>SUMIFS('апрель 2026'!$G$2:$G$2719,'апрель 2026'!$D$2:$D$2719,$B10,'апрель 2026'!$J$2:$J$2719,AD$1)</f>
        <v>0</v>
      </c>
      <c r="AE10" s="75">
        <f>SUMIFS('апрель 2026'!$G$2:$G$2719,'апрель 2026'!$D$2:$D$2719,$B10,'апрель 2026'!$J$2:$J$2719,AE$1)</f>
        <v>0</v>
      </c>
      <c r="AF10" s="75">
        <f>SUMIFS('апрель 2026'!$G$2:$G$2719,'апрель 2026'!$D$2:$D$2719,$B10,'апрель 2026'!$J$2:$J$2719,AF$1)</f>
        <v>0</v>
      </c>
      <c r="AG10" s="75">
        <f>SUMIFS('апрель 2026'!$G$2:$G$2719,'апрель 2026'!$D$2:$D$2719,$B10,'апрель 2026'!$J$2:$J$2719,AG$1)</f>
        <v>0</v>
      </c>
      <c r="AH10" s="75">
        <f>SUMIFS('апрель 2026'!$G$2:$G$2719,'апрель 2026'!$D$2:$D$2719,$B10,'апрель 2026'!$J$2:$J$2719,AH$1)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SUMIFS('апрель 2026'!$G$2:$G$2719,'апрель 2026'!$D$2:$D$2719,$B11,'апрель 2026'!$J$2:$J$2719,D$1)</f>
        <v>0</v>
      </c>
      <c r="E11" s="75">
        <f>SUMIFS('апрель 2026'!$G$2:$G$2719,'апрель 2026'!$D$2:$D$2719,$B11,'апрель 2026'!$J$2:$J$2719,E$1)</f>
        <v>800</v>
      </c>
      <c r="F11" s="75">
        <f>SUMIFS('апрель 2026'!$G$2:$G$2719,'апрель 2026'!$D$2:$D$2719,$B11,'апрель 2026'!$J$2:$J$2719,F$1)</f>
        <v>0</v>
      </c>
      <c r="G11" s="75">
        <f>SUMIFS('апрель 2026'!$G$2:$G$2719,'апрель 2026'!$D$2:$D$2719,$B11,'апрель 2026'!$J$2:$J$2719,G$1)</f>
        <v>0</v>
      </c>
      <c r="H11" s="75">
        <f>SUMIFS('апрель 2026'!$G$2:$G$2719,'апрель 2026'!$D$2:$D$2719,$B11,'апрель 2026'!$J$2:$J$2719,H$1)</f>
        <v>0</v>
      </c>
      <c r="I11" s="75">
        <f>SUMIFS('апрель 2026'!$G$2:$G$2719,'апрель 2026'!$D$2:$D$2719,$B11,'апрель 2026'!$J$2:$J$2719,I$1)</f>
        <v>800</v>
      </c>
      <c r="J11" s="75">
        <f>SUMIFS('апрель 2026'!$G$2:$G$2719,'апрель 2026'!$D$2:$D$2719,$B11,'апрель 2026'!$J$2:$J$2719,J$1)</f>
        <v>0</v>
      </c>
      <c r="K11" s="75">
        <f>SUMIFS('апрель 2026'!$G$2:$G$2719,'апрель 2026'!$D$2:$D$2719,$B11,'апрель 2026'!$J$2:$J$2719,K$1)</f>
        <v>0</v>
      </c>
      <c r="L11" s="75">
        <f>SUMIFS('апрель 2026'!$G$2:$G$2719,'апрель 2026'!$D$2:$D$2719,$B11,'апрель 2026'!$J$2:$J$2719,L$1)</f>
        <v>0</v>
      </c>
      <c r="M11" s="75">
        <f>SUMIFS('апрель 2026'!$G$2:$G$2719,'апрель 2026'!$D$2:$D$2719,$B11,'апрель 2026'!$J$2:$J$2719,M$1)</f>
        <v>800</v>
      </c>
      <c r="N11" s="75">
        <f>SUMIFS('апрель 2026'!$G$2:$G$2719,'апрель 2026'!$D$2:$D$2719,$B11,'апрель 2026'!$J$2:$J$2719,N$1)</f>
        <v>0</v>
      </c>
      <c r="O11" s="75">
        <f>SUMIFS('апрель 2026'!$G$2:$G$2719,'апрель 2026'!$D$2:$D$2719,$B11,'апрель 2026'!$J$2:$J$2719,O$1)</f>
        <v>0</v>
      </c>
      <c r="P11" s="75">
        <f>SUMIFS('апрель 2026'!$G$2:$G$2719,'апрель 2026'!$D$2:$D$2719,$B11,'апрель 2026'!$J$2:$J$2719,P$1)</f>
        <v>0</v>
      </c>
      <c r="Q11" s="75">
        <f>SUMIFS('апрель 2026'!$G$2:$G$2719,'апрель 2026'!$D$2:$D$2719,$B11,'апрель 2026'!$J$2:$J$2719,Q$1)</f>
        <v>0</v>
      </c>
      <c r="R11" s="75">
        <f>SUMIFS('апрель 2026'!$G$2:$G$2719,'апрель 2026'!$D$2:$D$2719,$B11,'апрель 2026'!$J$2:$J$2719,R$1)</f>
        <v>0</v>
      </c>
      <c r="S11" s="75">
        <f>SUMIFS('апрель 2026'!$G$2:$G$2719,'апрель 2026'!$D$2:$D$2719,$B11,'апрель 2026'!$J$2:$J$2719,S$1)</f>
        <v>0</v>
      </c>
      <c r="T11" s="75">
        <f>SUMIFS('апрель 2026'!$G$2:$G$2719,'апрель 2026'!$D$2:$D$2719,$B11,'апрель 2026'!$J$2:$J$2719,T$1)</f>
        <v>520</v>
      </c>
      <c r="U11" s="75">
        <f>SUMIFS('апрель 2026'!$G$2:$G$2719,'апрель 2026'!$D$2:$D$2719,$B11,'апрель 2026'!$J$2:$J$2719,U$1)</f>
        <v>0</v>
      </c>
      <c r="V11" s="75">
        <f>SUMIFS('апрель 2026'!$G$2:$G$2719,'апрель 2026'!$D$2:$D$2719,$B11,'апрель 2026'!$J$2:$J$2719,V$1)</f>
        <v>0</v>
      </c>
      <c r="W11" s="75">
        <f>SUMIFS('апрель 2026'!$G$2:$G$2719,'апрель 2026'!$D$2:$D$2719,$B11,'апрель 2026'!$J$2:$J$2719,W$1)</f>
        <v>400</v>
      </c>
      <c r="X11" s="75">
        <f>SUMIFS('апрель 2026'!$G$2:$G$2719,'апрель 2026'!$D$2:$D$2719,$B11,'апрель 2026'!$J$2:$J$2719,X$1)</f>
        <v>0</v>
      </c>
      <c r="Y11" s="75">
        <f>SUMIFS('апрель 2026'!$G$2:$G$2719,'апрель 2026'!$D$2:$D$2719,$B11,'апрель 2026'!$J$2:$J$2719,Y$1)</f>
        <v>0</v>
      </c>
      <c r="Z11" s="75">
        <f>SUMIFS('апрель 2026'!$G$2:$G$2719,'апрель 2026'!$D$2:$D$2719,$B11,'апрель 2026'!$J$2:$J$2719,Z$1)</f>
        <v>0</v>
      </c>
      <c r="AA11" s="75">
        <f>SUMIFS('апрель 2026'!$G$2:$G$2719,'апрель 2026'!$D$2:$D$2719,$B11,'апрель 2026'!$J$2:$J$2719,AA$1)</f>
        <v>0</v>
      </c>
      <c r="AB11" s="75">
        <f>SUMIFS('апрель 2026'!$G$2:$G$2719,'апрель 2026'!$D$2:$D$2719,$B11,'апрель 2026'!$J$2:$J$2719,AB$1)</f>
        <v>0</v>
      </c>
      <c r="AC11" s="75">
        <f>SUMIFS('апрель 2026'!$G$2:$G$2719,'апрель 2026'!$D$2:$D$2719,$B11,'апрель 2026'!$J$2:$J$2719,AC$1)</f>
        <v>0</v>
      </c>
      <c r="AD11" s="75">
        <f>SUMIFS('апрель 2026'!$G$2:$G$2719,'апрель 2026'!$D$2:$D$2719,$B11,'апрель 2026'!$J$2:$J$2719,AD$1)</f>
        <v>0</v>
      </c>
      <c r="AE11" s="75">
        <f>SUMIFS('апрель 2026'!$G$2:$G$2719,'апрель 2026'!$D$2:$D$2719,$B11,'апрель 2026'!$J$2:$J$2719,AE$1)</f>
        <v>0</v>
      </c>
      <c r="AF11" s="75">
        <f>SUMIFS('апрель 2026'!$G$2:$G$2719,'апрель 2026'!$D$2:$D$2719,$B11,'апрель 2026'!$J$2:$J$2719,AF$1)</f>
        <v>0</v>
      </c>
      <c r="AG11" s="75">
        <f>SUMIFS('апрель 2026'!$G$2:$G$2719,'апрель 2026'!$D$2:$D$2719,$B11,'апрель 2026'!$J$2:$J$2719,AG$1)</f>
        <v>0</v>
      </c>
      <c r="AH11" s="75">
        <f>SUMIFS('апрель 2026'!$G$2:$G$2719,'апрель 2026'!$D$2:$D$2719,$B11,'апрель 2026'!$J$2:$J$2719,AH$1)</f>
        <v>0</v>
      </c>
      <c r="AI11" s="20">
        <f t="shared" si="1"/>
        <v>3320</v>
      </c>
    </row>
    <row r="12" spans="2:35" ht="15" customHeight="1" x14ac:dyDescent="0.25">
      <c r="B12" s="79" t="s">
        <v>224</v>
      </c>
      <c r="C12" s="80">
        <v>22.68</v>
      </c>
      <c r="D12" s="75">
        <f>SUMIFS('апрель 2026'!$G$2:$G$2719,'апрель 2026'!$D$2:$D$2719,$B12,'апрель 2026'!$J$2:$J$2719,D$1)</f>
        <v>0</v>
      </c>
      <c r="E12" s="75">
        <f>SUMIFS('апрель 2026'!$G$2:$G$2719,'апрель 2026'!$D$2:$D$2719,$B12,'апрель 2026'!$J$2:$J$2719,E$1)</f>
        <v>0</v>
      </c>
      <c r="F12" s="75">
        <f>SUMIFS('апрель 2026'!$G$2:$G$2719,'апрель 2026'!$D$2:$D$2719,$B12,'апрель 2026'!$J$2:$J$2719,F$1)</f>
        <v>0</v>
      </c>
      <c r="G12" s="75">
        <f>SUMIFS('апрель 2026'!$G$2:$G$2719,'апрель 2026'!$D$2:$D$2719,$B12,'апрель 2026'!$J$2:$J$2719,G$1)</f>
        <v>0</v>
      </c>
      <c r="H12" s="75">
        <f>SUMIFS('апрель 2026'!$G$2:$G$2719,'апрель 2026'!$D$2:$D$2719,$B12,'апрель 2026'!$J$2:$J$2719,H$1)</f>
        <v>0</v>
      </c>
      <c r="I12" s="75">
        <f>SUMIFS('апрель 2026'!$G$2:$G$2719,'апрель 2026'!$D$2:$D$2719,$B12,'апрель 2026'!$J$2:$J$2719,I$1)</f>
        <v>0</v>
      </c>
      <c r="J12" s="75">
        <f>SUMIFS('апрель 2026'!$G$2:$G$2719,'апрель 2026'!$D$2:$D$2719,$B12,'апрель 2026'!$J$2:$J$2719,J$1)</f>
        <v>0</v>
      </c>
      <c r="K12" s="75">
        <f>SUMIFS('апрель 2026'!$G$2:$G$2719,'апрель 2026'!$D$2:$D$2719,$B12,'апрель 2026'!$J$2:$J$2719,K$1)</f>
        <v>0</v>
      </c>
      <c r="L12" s="75">
        <f>SUMIFS('апрель 2026'!$G$2:$G$2719,'апрель 2026'!$D$2:$D$2719,$B12,'апрель 2026'!$J$2:$J$2719,L$1)</f>
        <v>0</v>
      </c>
      <c r="M12" s="75">
        <f>SUMIFS('апрель 2026'!$G$2:$G$2719,'апрель 2026'!$D$2:$D$2719,$B12,'апрель 2026'!$J$2:$J$2719,M$1)</f>
        <v>0</v>
      </c>
      <c r="N12" s="75">
        <f>SUMIFS('апрель 2026'!$G$2:$G$2719,'апрель 2026'!$D$2:$D$2719,$B12,'апрель 2026'!$J$2:$J$2719,N$1)</f>
        <v>0</v>
      </c>
      <c r="O12" s="75">
        <f>SUMIFS('апрель 2026'!$G$2:$G$2719,'апрель 2026'!$D$2:$D$2719,$B12,'апрель 2026'!$J$2:$J$2719,O$1)</f>
        <v>0</v>
      </c>
      <c r="P12" s="75">
        <f>SUMIFS('апрель 2026'!$G$2:$G$2719,'апрель 2026'!$D$2:$D$2719,$B12,'апрель 2026'!$J$2:$J$2719,P$1)</f>
        <v>0</v>
      </c>
      <c r="Q12" s="75">
        <f>SUMIFS('апрель 2026'!$G$2:$G$2719,'апрель 2026'!$D$2:$D$2719,$B12,'апрель 2026'!$J$2:$J$2719,Q$1)</f>
        <v>0</v>
      </c>
      <c r="R12" s="75">
        <f>SUMIFS('апрель 2026'!$G$2:$G$2719,'апрель 2026'!$D$2:$D$2719,$B12,'апрель 2026'!$J$2:$J$2719,R$1)</f>
        <v>0</v>
      </c>
      <c r="S12" s="75">
        <f>SUMIFS('апрель 2026'!$G$2:$G$2719,'апрель 2026'!$D$2:$D$2719,$B12,'апрель 2026'!$J$2:$J$2719,S$1)</f>
        <v>0</v>
      </c>
      <c r="T12" s="75">
        <f>SUMIFS('апрель 2026'!$G$2:$G$2719,'апрель 2026'!$D$2:$D$2719,$B12,'апрель 2026'!$J$2:$J$2719,T$1)</f>
        <v>0</v>
      </c>
      <c r="U12" s="75">
        <f>SUMIFS('апрель 2026'!$G$2:$G$2719,'апрель 2026'!$D$2:$D$2719,$B12,'апрель 2026'!$J$2:$J$2719,U$1)</f>
        <v>0</v>
      </c>
      <c r="V12" s="75">
        <f>SUMIFS('апрель 2026'!$G$2:$G$2719,'апрель 2026'!$D$2:$D$2719,$B12,'апрель 2026'!$J$2:$J$2719,V$1)</f>
        <v>0</v>
      </c>
      <c r="W12" s="75">
        <f>SUMIFS('апрель 2026'!$G$2:$G$2719,'апрель 2026'!$D$2:$D$2719,$B12,'апрель 2026'!$J$2:$J$2719,W$1)</f>
        <v>0</v>
      </c>
      <c r="X12" s="75">
        <f>SUMIFS('апрель 2026'!$G$2:$G$2719,'апрель 2026'!$D$2:$D$2719,$B12,'апрель 2026'!$J$2:$J$2719,X$1)</f>
        <v>0</v>
      </c>
      <c r="Y12" s="75">
        <f>SUMIFS('апрель 2026'!$G$2:$G$2719,'апрель 2026'!$D$2:$D$2719,$B12,'апрель 2026'!$J$2:$J$2719,Y$1)</f>
        <v>0</v>
      </c>
      <c r="Z12" s="75">
        <f>SUMIFS('апрель 2026'!$G$2:$G$2719,'апрель 2026'!$D$2:$D$2719,$B12,'апрель 2026'!$J$2:$J$2719,Z$1)</f>
        <v>0</v>
      </c>
      <c r="AA12" s="75">
        <f>SUMIFS('апрель 2026'!$G$2:$G$2719,'апрель 2026'!$D$2:$D$2719,$B12,'апрель 2026'!$J$2:$J$2719,AA$1)</f>
        <v>0</v>
      </c>
      <c r="AB12" s="75">
        <f>SUMIFS('апрель 2026'!$G$2:$G$2719,'апрель 2026'!$D$2:$D$2719,$B12,'апрель 2026'!$J$2:$J$2719,AB$1)</f>
        <v>0</v>
      </c>
      <c r="AC12" s="75">
        <f>SUMIFS('апрель 2026'!$G$2:$G$2719,'апрель 2026'!$D$2:$D$2719,$B12,'апрель 2026'!$J$2:$J$2719,AC$1)</f>
        <v>0</v>
      </c>
      <c r="AD12" s="75">
        <f>SUMIFS('апрель 2026'!$G$2:$G$2719,'апрель 2026'!$D$2:$D$2719,$B12,'апрель 2026'!$J$2:$J$2719,AD$1)</f>
        <v>0</v>
      </c>
      <c r="AE12" s="75">
        <f>SUMIFS('апрель 2026'!$G$2:$G$2719,'апрель 2026'!$D$2:$D$2719,$B12,'апрель 2026'!$J$2:$J$2719,AE$1)</f>
        <v>0</v>
      </c>
      <c r="AF12" s="75">
        <f>SUMIFS('апрель 2026'!$G$2:$G$2719,'апрель 2026'!$D$2:$D$2719,$B12,'апрель 2026'!$J$2:$J$2719,AF$1)</f>
        <v>0</v>
      </c>
      <c r="AG12" s="75">
        <f>SUMIFS('апрель 2026'!$G$2:$G$2719,'апрель 2026'!$D$2:$D$2719,$B12,'апрель 2026'!$J$2:$J$2719,AG$1)</f>
        <v>0</v>
      </c>
      <c r="AH12" s="75">
        <f>SUMIFS('апрель 2026'!$G$2:$G$2719,'апрель 2026'!$D$2:$D$2719,$B12,'апрель 2026'!$J$2:$J$2719,AH$1)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SUMIFS('апрель 2026'!$G$2:$G$2719,'апрель 2026'!$D$2:$D$2719,$B13,'апрель 2026'!$J$2:$J$2719,D$1)</f>
        <v>0</v>
      </c>
      <c r="E13" s="75">
        <f>SUMIFS('апрель 2026'!$G$2:$G$2719,'апрель 2026'!$D$2:$D$2719,$B13,'апрель 2026'!$J$2:$J$2719,E$1)</f>
        <v>0</v>
      </c>
      <c r="F13" s="75">
        <f>SUMIFS('апрель 2026'!$G$2:$G$2719,'апрель 2026'!$D$2:$D$2719,$B13,'апрель 2026'!$J$2:$J$2719,F$1)</f>
        <v>0</v>
      </c>
      <c r="G13" s="75">
        <f>SUMIFS('апрель 2026'!$G$2:$G$2719,'апрель 2026'!$D$2:$D$2719,$B13,'апрель 2026'!$J$2:$J$2719,G$1)</f>
        <v>0</v>
      </c>
      <c r="H13" s="75">
        <f>SUMIFS('апрель 2026'!$G$2:$G$2719,'апрель 2026'!$D$2:$D$2719,$B13,'апрель 2026'!$J$2:$J$2719,H$1)</f>
        <v>0</v>
      </c>
      <c r="I13" s="75">
        <f>SUMIFS('апрель 2026'!$G$2:$G$2719,'апрель 2026'!$D$2:$D$2719,$B13,'апрель 2026'!$J$2:$J$2719,I$1)</f>
        <v>0</v>
      </c>
      <c r="J13" s="75">
        <f>SUMIFS('апрель 2026'!$G$2:$G$2719,'апрель 2026'!$D$2:$D$2719,$B13,'апрель 2026'!$J$2:$J$2719,J$1)</f>
        <v>0</v>
      </c>
      <c r="K13" s="75">
        <f>SUMIFS('апрель 2026'!$G$2:$G$2719,'апрель 2026'!$D$2:$D$2719,$B13,'апрель 2026'!$J$2:$J$2719,K$1)</f>
        <v>0</v>
      </c>
      <c r="L13" s="75">
        <f>SUMIFS('апрель 2026'!$G$2:$G$2719,'апрель 2026'!$D$2:$D$2719,$B13,'апрель 2026'!$J$2:$J$2719,L$1)</f>
        <v>0</v>
      </c>
      <c r="M13" s="75">
        <f>SUMIFS('апрель 2026'!$G$2:$G$2719,'апрель 2026'!$D$2:$D$2719,$B13,'апрель 2026'!$J$2:$J$2719,M$1)</f>
        <v>0</v>
      </c>
      <c r="N13" s="75">
        <f>SUMIFS('апрель 2026'!$G$2:$G$2719,'апрель 2026'!$D$2:$D$2719,$B13,'апрель 2026'!$J$2:$J$2719,N$1)</f>
        <v>0</v>
      </c>
      <c r="O13" s="75">
        <f>SUMIFS('апрель 2026'!$G$2:$G$2719,'апрель 2026'!$D$2:$D$2719,$B13,'апрель 2026'!$J$2:$J$2719,O$1)</f>
        <v>0</v>
      </c>
      <c r="P13" s="75">
        <f>SUMIFS('апрель 2026'!$G$2:$G$2719,'апрель 2026'!$D$2:$D$2719,$B13,'апрель 2026'!$J$2:$J$2719,P$1)</f>
        <v>0</v>
      </c>
      <c r="Q13" s="75">
        <f>SUMIFS('апрель 2026'!$G$2:$G$2719,'апрель 2026'!$D$2:$D$2719,$B13,'апрель 2026'!$J$2:$J$2719,Q$1)</f>
        <v>0</v>
      </c>
      <c r="R13" s="75">
        <f>SUMIFS('апрель 2026'!$G$2:$G$2719,'апрель 2026'!$D$2:$D$2719,$B13,'апрель 2026'!$J$2:$J$2719,R$1)</f>
        <v>0</v>
      </c>
      <c r="S13" s="75">
        <f>SUMIFS('апрель 2026'!$G$2:$G$2719,'апрель 2026'!$D$2:$D$2719,$B13,'апрель 2026'!$J$2:$J$2719,S$1)</f>
        <v>0</v>
      </c>
      <c r="T13" s="75">
        <f>SUMIFS('апрель 2026'!$G$2:$G$2719,'апрель 2026'!$D$2:$D$2719,$B13,'апрель 2026'!$J$2:$J$2719,T$1)</f>
        <v>0</v>
      </c>
      <c r="U13" s="75">
        <f>SUMIFS('апрель 2026'!$G$2:$G$2719,'апрель 2026'!$D$2:$D$2719,$B13,'апрель 2026'!$J$2:$J$2719,U$1)</f>
        <v>0</v>
      </c>
      <c r="V13" s="75">
        <f>SUMIFS('апрель 2026'!$G$2:$G$2719,'апрель 2026'!$D$2:$D$2719,$B13,'апрель 2026'!$J$2:$J$2719,V$1)</f>
        <v>0</v>
      </c>
      <c r="W13" s="75">
        <f>SUMIFS('апрель 2026'!$G$2:$G$2719,'апрель 2026'!$D$2:$D$2719,$B13,'апрель 2026'!$J$2:$J$2719,W$1)</f>
        <v>0</v>
      </c>
      <c r="X13" s="75">
        <f>SUMIFS('апрель 2026'!$G$2:$G$2719,'апрель 2026'!$D$2:$D$2719,$B13,'апрель 2026'!$J$2:$J$2719,X$1)</f>
        <v>0</v>
      </c>
      <c r="Y13" s="75">
        <f>SUMIFS('апрель 2026'!$G$2:$G$2719,'апрель 2026'!$D$2:$D$2719,$B13,'апрель 2026'!$J$2:$J$2719,Y$1)</f>
        <v>0</v>
      </c>
      <c r="Z13" s="75">
        <f>SUMIFS('апрель 2026'!$G$2:$G$2719,'апрель 2026'!$D$2:$D$2719,$B13,'апрель 2026'!$J$2:$J$2719,Z$1)</f>
        <v>0</v>
      </c>
      <c r="AA13" s="75">
        <f>SUMIFS('апрель 2026'!$G$2:$G$2719,'апрель 2026'!$D$2:$D$2719,$B13,'апрель 2026'!$J$2:$J$2719,AA$1)</f>
        <v>0</v>
      </c>
      <c r="AB13" s="75">
        <f>SUMIFS('апрель 2026'!$G$2:$G$2719,'апрель 2026'!$D$2:$D$2719,$B13,'апрель 2026'!$J$2:$J$2719,AB$1)</f>
        <v>0</v>
      </c>
      <c r="AC13" s="75">
        <f>SUMIFS('апрель 2026'!$G$2:$G$2719,'апрель 2026'!$D$2:$D$2719,$B13,'апрель 2026'!$J$2:$J$2719,AC$1)</f>
        <v>0</v>
      </c>
      <c r="AD13" s="75">
        <f>SUMIFS('апрель 2026'!$G$2:$G$2719,'апрель 2026'!$D$2:$D$2719,$B13,'апрель 2026'!$J$2:$J$2719,AD$1)</f>
        <v>0</v>
      </c>
      <c r="AE13" s="75">
        <f>SUMIFS('апрель 2026'!$G$2:$G$2719,'апрель 2026'!$D$2:$D$2719,$B13,'апрель 2026'!$J$2:$J$2719,AE$1)</f>
        <v>0</v>
      </c>
      <c r="AF13" s="75">
        <f>SUMIFS('апрель 2026'!$G$2:$G$2719,'апрель 2026'!$D$2:$D$2719,$B13,'апрель 2026'!$J$2:$J$2719,AF$1)</f>
        <v>0</v>
      </c>
      <c r="AG13" s="75">
        <f>SUMIFS('апрель 2026'!$G$2:$G$2719,'апрель 2026'!$D$2:$D$2719,$B13,'апрель 2026'!$J$2:$J$2719,AG$1)</f>
        <v>0</v>
      </c>
      <c r="AH13" s="75">
        <f>SUMIFS('апрель 2026'!$G$2:$G$2719,'апрель 2026'!$D$2:$D$2719,$B13,'апрель 2026'!$J$2:$J$2719,AH$1)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SUMIFS('апрель 2026'!$G$2:$G$2719,'апрель 2026'!$D$2:$D$2719,$B14,'апрель 2026'!$J$2:$J$2719,D$1)</f>
        <v>0</v>
      </c>
      <c r="E14" s="75">
        <f>SUMIFS('апрель 2026'!$G$2:$G$2719,'апрель 2026'!$D$2:$D$2719,$B14,'апрель 2026'!$J$2:$J$2719,E$1)</f>
        <v>0</v>
      </c>
      <c r="F14" s="75">
        <f>SUMIFS('апрель 2026'!$G$2:$G$2719,'апрель 2026'!$D$2:$D$2719,$B14,'апрель 2026'!$J$2:$J$2719,F$1)</f>
        <v>0</v>
      </c>
      <c r="G14" s="75">
        <f>SUMIFS('апрель 2026'!$G$2:$G$2719,'апрель 2026'!$D$2:$D$2719,$B14,'апрель 2026'!$J$2:$J$2719,G$1)</f>
        <v>0</v>
      </c>
      <c r="H14" s="75">
        <f>SUMIFS('апрель 2026'!$G$2:$G$2719,'апрель 2026'!$D$2:$D$2719,$B14,'апрель 2026'!$J$2:$J$2719,H$1)</f>
        <v>0</v>
      </c>
      <c r="I14" s="75">
        <f>SUMIFS('апрель 2026'!$G$2:$G$2719,'апрель 2026'!$D$2:$D$2719,$B14,'апрель 2026'!$J$2:$J$2719,I$1)</f>
        <v>0</v>
      </c>
      <c r="J14" s="75">
        <f>SUMIFS('апрель 2026'!$G$2:$G$2719,'апрель 2026'!$D$2:$D$2719,$B14,'апрель 2026'!$J$2:$J$2719,J$1)</f>
        <v>0</v>
      </c>
      <c r="K14" s="75">
        <f>SUMIFS('апрель 2026'!$G$2:$G$2719,'апрель 2026'!$D$2:$D$2719,$B14,'апрель 2026'!$J$2:$J$2719,K$1)</f>
        <v>0</v>
      </c>
      <c r="L14" s="75">
        <f>SUMIFS('апрель 2026'!$G$2:$G$2719,'апрель 2026'!$D$2:$D$2719,$B14,'апрель 2026'!$J$2:$J$2719,L$1)</f>
        <v>0</v>
      </c>
      <c r="M14" s="75">
        <f>SUMIFS('апрель 2026'!$G$2:$G$2719,'апрель 2026'!$D$2:$D$2719,$B14,'апрель 2026'!$J$2:$J$2719,M$1)</f>
        <v>0</v>
      </c>
      <c r="N14" s="75">
        <f>SUMIFS('апрель 2026'!$G$2:$G$2719,'апрель 2026'!$D$2:$D$2719,$B14,'апрель 2026'!$J$2:$J$2719,N$1)</f>
        <v>0</v>
      </c>
      <c r="O14" s="75">
        <f>SUMIFS('апрель 2026'!$G$2:$G$2719,'апрель 2026'!$D$2:$D$2719,$B14,'апрель 2026'!$J$2:$J$2719,O$1)</f>
        <v>0</v>
      </c>
      <c r="P14" s="75">
        <f>SUMIFS('апрель 2026'!$G$2:$G$2719,'апрель 2026'!$D$2:$D$2719,$B14,'апрель 2026'!$J$2:$J$2719,P$1)</f>
        <v>0</v>
      </c>
      <c r="Q14" s="75">
        <f>SUMIFS('апрель 2026'!$G$2:$G$2719,'апрель 2026'!$D$2:$D$2719,$B14,'апрель 2026'!$J$2:$J$2719,Q$1)</f>
        <v>0</v>
      </c>
      <c r="R14" s="75">
        <f>SUMIFS('апрель 2026'!$G$2:$G$2719,'апрель 2026'!$D$2:$D$2719,$B14,'апрель 2026'!$J$2:$J$2719,R$1)</f>
        <v>0</v>
      </c>
      <c r="S14" s="75">
        <f>SUMIFS('апрель 2026'!$G$2:$G$2719,'апрель 2026'!$D$2:$D$2719,$B14,'апрель 2026'!$J$2:$J$2719,S$1)</f>
        <v>0</v>
      </c>
      <c r="T14" s="75">
        <f>SUMIFS('апрель 2026'!$G$2:$G$2719,'апрель 2026'!$D$2:$D$2719,$B14,'апрель 2026'!$J$2:$J$2719,T$1)</f>
        <v>0</v>
      </c>
      <c r="U14" s="75">
        <f>SUMIFS('апрель 2026'!$G$2:$G$2719,'апрель 2026'!$D$2:$D$2719,$B14,'апрель 2026'!$J$2:$J$2719,U$1)</f>
        <v>0</v>
      </c>
      <c r="V14" s="75">
        <f>SUMIFS('апрель 2026'!$G$2:$G$2719,'апрель 2026'!$D$2:$D$2719,$B14,'апрель 2026'!$J$2:$J$2719,V$1)</f>
        <v>0</v>
      </c>
      <c r="W14" s="75">
        <f>SUMIFS('апрель 2026'!$G$2:$G$2719,'апрель 2026'!$D$2:$D$2719,$B14,'апрель 2026'!$J$2:$J$2719,W$1)</f>
        <v>0</v>
      </c>
      <c r="X14" s="75">
        <f>SUMIFS('апрель 2026'!$G$2:$G$2719,'апрель 2026'!$D$2:$D$2719,$B14,'апрель 2026'!$J$2:$J$2719,X$1)</f>
        <v>0</v>
      </c>
      <c r="Y14" s="75">
        <f>SUMIFS('апрель 2026'!$G$2:$G$2719,'апрель 2026'!$D$2:$D$2719,$B14,'апрель 2026'!$J$2:$J$2719,Y$1)</f>
        <v>0</v>
      </c>
      <c r="Z14" s="75">
        <f>SUMIFS('апрель 2026'!$G$2:$G$2719,'апрель 2026'!$D$2:$D$2719,$B14,'апрель 2026'!$J$2:$J$2719,Z$1)</f>
        <v>0</v>
      </c>
      <c r="AA14" s="75">
        <f>SUMIFS('апрель 2026'!$G$2:$G$2719,'апрель 2026'!$D$2:$D$2719,$B14,'апрель 2026'!$J$2:$J$2719,AA$1)</f>
        <v>0</v>
      </c>
      <c r="AB14" s="75">
        <f>SUMIFS('апрель 2026'!$G$2:$G$2719,'апрель 2026'!$D$2:$D$2719,$B14,'апрель 2026'!$J$2:$J$2719,AB$1)</f>
        <v>0</v>
      </c>
      <c r="AC14" s="75">
        <f>SUMIFS('апрель 2026'!$G$2:$G$2719,'апрель 2026'!$D$2:$D$2719,$B14,'апрель 2026'!$J$2:$J$2719,AC$1)</f>
        <v>0</v>
      </c>
      <c r="AD14" s="75">
        <f>SUMIFS('апрель 2026'!$G$2:$G$2719,'апрель 2026'!$D$2:$D$2719,$B14,'апрель 2026'!$J$2:$J$2719,AD$1)</f>
        <v>0</v>
      </c>
      <c r="AE14" s="75">
        <f>SUMIFS('апрель 2026'!$G$2:$G$2719,'апрель 2026'!$D$2:$D$2719,$B14,'апрель 2026'!$J$2:$J$2719,AE$1)</f>
        <v>0</v>
      </c>
      <c r="AF14" s="75">
        <f>SUMIFS('апрель 2026'!$G$2:$G$2719,'апрель 2026'!$D$2:$D$2719,$B14,'апрель 2026'!$J$2:$J$2719,AF$1)</f>
        <v>0</v>
      </c>
      <c r="AG14" s="75">
        <f>SUMIFS('апрель 2026'!$G$2:$G$2719,'апрель 2026'!$D$2:$D$2719,$B14,'апрель 2026'!$J$2:$J$2719,AG$1)</f>
        <v>0</v>
      </c>
      <c r="AH14" s="75">
        <f>SUMIFS('апрель 2026'!$G$2:$G$2719,'апрель 2026'!$D$2:$D$2719,$B14,'апрель 2026'!$J$2:$J$2719,AH$1)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SUMIFS('апрель 2026'!$G$2:$G$2719,'апрель 2026'!$D$2:$D$2719,$B15,'апрель 2026'!$J$2:$J$2719,D$1)</f>
        <v>0</v>
      </c>
      <c r="E15" s="75">
        <f>SUMIFS('апрель 2026'!$G$2:$G$2719,'апрель 2026'!$D$2:$D$2719,$B15,'апрель 2026'!$J$2:$J$2719,E$1)</f>
        <v>0</v>
      </c>
      <c r="F15" s="75">
        <f>SUMIFS('апрель 2026'!$G$2:$G$2719,'апрель 2026'!$D$2:$D$2719,$B15,'апрель 2026'!$J$2:$J$2719,F$1)</f>
        <v>0</v>
      </c>
      <c r="G15" s="75">
        <f>SUMIFS('апрель 2026'!$G$2:$G$2719,'апрель 2026'!$D$2:$D$2719,$B15,'апрель 2026'!$J$2:$J$2719,G$1)</f>
        <v>0</v>
      </c>
      <c r="H15" s="75">
        <f>SUMIFS('апрель 2026'!$G$2:$G$2719,'апрель 2026'!$D$2:$D$2719,$B15,'апрель 2026'!$J$2:$J$2719,H$1)</f>
        <v>0</v>
      </c>
      <c r="I15" s="75">
        <f>SUMIFS('апрель 2026'!$G$2:$G$2719,'апрель 2026'!$D$2:$D$2719,$B15,'апрель 2026'!$J$2:$J$2719,I$1)</f>
        <v>0</v>
      </c>
      <c r="J15" s="75">
        <f>SUMIFS('апрель 2026'!$G$2:$G$2719,'апрель 2026'!$D$2:$D$2719,$B15,'апрель 2026'!$J$2:$J$2719,J$1)</f>
        <v>0</v>
      </c>
      <c r="K15" s="75">
        <f>SUMIFS('апрель 2026'!$G$2:$G$2719,'апрель 2026'!$D$2:$D$2719,$B15,'апрель 2026'!$J$2:$J$2719,K$1)</f>
        <v>0</v>
      </c>
      <c r="L15" s="75">
        <f>SUMIFS('апрель 2026'!$G$2:$G$2719,'апрель 2026'!$D$2:$D$2719,$B15,'апрель 2026'!$J$2:$J$2719,L$1)</f>
        <v>0</v>
      </c>
      <c r="M15" s="75">
        <f>SUMIFS('апрель 2026'!$G$2:$G$2719,'апрель 2026'!$D$2:$D$2719,$B15,'апрель 2026'!$J$2:$J$2719,M$1)</f>
        <v>0</v>
      </c>
      <c r="N15" s="75">
        <f>SUMIFS('апрель 2026'!$G$2:$G$2719,'апрель 2026'!$D$2:$D$2719,$B15,'апрель 2026'!$J$2:$J$2719,N$1)</f>
        <v>0</v>
      </c>
      <c r="O15" s="75">
        <f>SUMIFS('апрель 2026'!$G$2:$G$2719,'апрель 2026'!$D$2:$D$2719,$B15,'апрель 2026'!$J$2:$J$2719,O$1)</f>
        <v>0</v>
      </c>
      <c r="P15" s="75">
        <f>SUMIFS('апрель 2026'!$G$2:$G$2719,'апрель 2026'!$D$2:$D$2719,$B15,'апрель 2026'!$J$2:$J$2719,P$1)</f>
        <v>0</v>
      </c>
      <c r="Q15" s="75">
        <f>SUMIFS('апрель 2026'!$G$2:$G$2719,'апрель 2026'!$D$2:$D$2719,$B15,'апрель 2026'!$J$2:$J$2719,Q$1)</f>
        <v>0</v>
      </c>
      <c r="R15" s="75">
        <f>SUMIFS('апрель 2026'!$G$2:$G$2719,'апрель 2026'!$D$2:$D$2719,$B15,'апрель 2026'!$J$2:$J$2719,R$1)</f>
        <v>0</v>
      </c>
      <c r="S15" s="75">
        <f>SUMIFS('апрель 2026'!$G$2:$G$2719,'апрель 2026'!$D$2:$D$2719,$B15,'апрель 2026'!$J$2:$J$2719,S$1)</f>
        <v>0</v>
      </c>
      <c r="T15" s="75">
        <f>SUMIFS('апрель 2026'!$G$2:$G$2719,'апрель 2026'!$D$2:$D$2719,$B15,'апрель 2026'!$J$2:$J$2719,T$1)</f>
        <v>0</v>
      </c>
      <c r="U15" s="75">
        <f>SUMIFS('апрель 2026'!$G$2:$G$2719,'апрель 2026'!$D$2:$D$2719,$B15,'апрель 2026'!$J$2:$J$2719,U$1)</f>
        <v>0</v>
      </c>
      <c r="V15" s="75">
        <f>SUMIFS('апрель 2026'!$G$2:$G$2719,'апрель 2026'!$D$2:$D$2719,$B15,'апрель 2026'!$J$2:$J$2719,V$1)</f>
        <v>0</v>
      </c>
      <c r="W15" s="75">
        <f>SUMIFS('апрель 2026'!$G$2:$G$2719,'апрель 2026'!$D$2:$D$2719,$B15,'апрель 2026'!$J$2:$J$2719,W$1)</f>
        <v>0</v>
      </c>
      <c r="X15" s="75">
        <f>SUMIFS('апрель 2026'!$G$2:$G$2719,'апрель 2026'!$D$2:$D$2719,$B15,'апрель 2026'!$J$2:$J$2719,X$1)</f>
        <v>0</v>
      </c>
      <c r="Y15" s="75">
        <f>SUMIFS('апрель 2026'!$G$2:$G$2719,'апрель 2026'!$D$2:$D$2719,$B15,'апрель 2026'!$J$2:$J$2719,Y$1)</f>
        <v>0</v>
      </c>
      <c r="Z15" s="75">
        <f>SUMIFS('апрель 2026'!$G$2:$G$2719,'апрель 2026'!$D$2:$D$2719,$B15,'апрель 2026'!$J$2:$J$2719,Z$1)</f>
        <v>0</v>
      </c>
      <c r="AA15" s="75">
        <f>SUMIFS('апрель 2026'!$G$2:$G$2719,'апрель 2026'!$D$2:$D$2719,$B15,'апрель 2026'!$J$2:$J$2719,AA$1)</f>
        <v>0</v>
      </c>
      <c r="AB15" s="75">
        <f>SUMIFS('апрель 2026'!$G$2:$G$2719,'апрель 2026'!$D$2:$D$2719,$B15,'апрель 2026'!$J$2:$J$2719,AB$1)</f>
        <v>0</v>
      </c>
      <c r="AC15" s="75">
        <f>SUMIFS('апрель 2026'!$G$2:$G$2719,'апрель 2026'!$D$2:$D$2719,$B15,'апрель 2026'!$J$2:$J$2719,AC$1)</f>
        <v>0</v>
      </c>
      <c r="AD15" s="75">
        <f>SUMIFS('апрель 2026'!$G$2:$G$2719,'апрель 2026'!$D$2:$D$2719,$B15,'апрель 2026'!$J$2:$J$2719,AD$1)</f>
        <v>0</v>
      </c>
      <c r="AE15" s="75">
        <f>SUMIFS('апрель 2026'!$G$2:$G$2719,'апрель 2026'!$D$2:$D$2719,$B15,'апрель 2026'!$J$2:$J$2719,AE$1)</f>
        <v>0</v>
      </c>
      <c r="AF15" s="75">
        <f>SUMIFS('апрель 2026'!$G$2:$G$2719,'апрель 2026'!$D$2:$D$2719,$B15,'апрель 2026'!$J$2:$J$2719,AF$1)</f>
        <v>0</v>
      </c>
      <c r="AG15" s="75">
        <f>SUMIFS('апрель 2026'!$G$2:$G$2719,'апрель 2026'!$D$2:$D$2719,$B15,'апрель 2026'!$J$2:$J$2719,AG$1)</f>
        <v>0</v>
      </c>
      <c r="AH15" s="75">
        <f>SUMIFS('апрель 2026'!$G$2:$G$2719,'апрель 2026'!$D$2:$D$2719,$B15,'апрель 2026'!$J$2:$J$2719,AH$1)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SUMIFS('апрель 2026'!$G$2:$G$2719,'апрель 2026'!$D$2:$D$2719,$B16,'апрель 2026'!$J$2:$J$2719,D$1)</f>
        <v>0</v>
      </c>
      <c r="E16" s="75">
        <f>SUMIFS('апрель 2026'!$G$2:$G$2719,'апрель 2026'!$D$2:$D$2719,$B16,'апрель 2026'!$J$2:$J$2719,E$1)</f>
        <v>0</v>
      </c>
      <c r="F16" s="75">
        <f>SUMIFS('апрель 2026'!$G$2:$G$2719,'апрель 2026'!$D$2:$D$2719,$B16,'апрель 2026'!$J$2:$J$2719,F$1)</f>
        <v>0</v>
      </c>
      <c r="G16" s="75">
        <f>SUMIFS('апрель 2026'!$G$2:$G$2719,'апрель 2026'!$D$2:$D$2719,$B16,'апрель 2026'!$J$2:$J$2719,G$1)</f>
        <v>0</v>
      </c>
      <c r="H16" s="75">
        <f>SUMIFS('апрель 2026'!$G$2:$G$2719,'апрель 2026'!$D$2:$D$2719,$B16,'апрель 2026'!$J$2:$J$2719,H$1)</f>
        <v>0</v>
      </c>
      <c r="I16" s="75">
        <f>SUMIFS('апрель 2026'!$G$2:$G$2719,'апрель 2026'!$D$2:$D$2719,$B16,'апрель 2026'!$J$2:$J$2719,I$1)</f>
        <v>0</v>
      </c>
      <c r="J16" s="75">
        <f>SUMIFS('апрель 2026'!$G$2:$G$2719,'апрель 2026'!$D$2:$D$2719,$B16,'апрель 2026'!$J$2:$J$2719,J$1)</f>
        <v>0</v>
      </c>
      <c r="K16" s="75">
        <f>SUMIFS('апрель 2026'!$G$2:$G$2719,'апрель 2026'!$D$2:$D$2719,$B16,'апрель 2026'!$J$2:$J$2719,K$1)</f>
        <v>0</v>
      </c>
      <c r="L16" s="75">
        <f>SUMIFS('апрель 2026'!$G$2:$G$2719,'апрель 2026'!$D$2:$D$2719,$B16,'апрель 2026'!$J$2:$J$2719,L$1)</f>
        <v>700</v>
      </c>
      <c r="M16" s="75">
        <f>SUMIFS('апрель 2026'!$G$2:$G$2719,'апрель 2026'!$D$2:$D$2719,$B16,'апрель 2026'!$J$2:$J$2719,M$1)</f>
        <v>0</v>
      </c>
      <c r="N16" s="75">
        <f>SUMIFS('апрель 2026'!$G$2:$G$2719,'апрель 2026'!$D$2:$D$2719,$B16,'апрель 2026'!$J$2:$J$2719,N$1)</f>
        <v>0</v>
      </c>
      <c r="O16" s="75">
        <f>SUMIFS('апрель 2026'!$G$2:$G$2719,'апрель 2026'!$D$2:$D$2719,$B16,'апрель 2026'!$J$2:$J$2719,O$1)</f>
        <v>0</v>
      </c>
      <c r="P16" s="75">
        <f>SUMIFS('апрель 2026'!$G$2:$G$2719,'апрель 2026'!$D$2:$D$2719,$B16,'апрель 2026'!$J$2:$J$2719,P$1)</f>
        <v>0</v>
      </c>
      <c r="Q16" s="75">
        <f>SUMIFS('апрель 2026'!$G$2:$G$2719,'апрель 2026'!$D$2:$D$2719,$B16,'апрель 2026'!$J$2:$J$2719,Q$1)</f>
        <v>0</v>
      </c>
      <c r="R16" s="75">
        <f>SUMIFS('апрель 2026'!$G$2:$G$2719,'апрель 2026'!$D$2:$D$2719,$B16,'апрель 2026'!$J$2:$J$2719,R$1)</f>
        <v>0</v>
      </c>
      <c r="S16" s="75">
        <f>SUMIFS('апрель 2026'!$G$2:$G$2719,'апрель 2026'!$D$2:$D$2719,$B16,'апрель 2026'!$J$2:$J$2719,S$1)</f>
        <v>0</v>
      </c>
      <c r="T16" s="75">
        <f>SUMIFS('апрель 2026'!$G$2:$G$2719,'апрель 2026'!$D$2:$D$2719,$B16,'апрель 2026'!$J$2:$J$2719,T$1)</f>
        <v>0</v>
      </c>
      <c r="U16" s="75">
        <f>SUMIFS('апрель 2026'!$G$2:$G$2719,'апрель 2026'!$D$2:$D$2719,$B16,'апрель 2026'!$J$2:$J$2719,U$1)</f>
        <v>0</v>
      </c>
      <c r="V16" s="75">
        <f>SUMIFS('апрель 2026'!$G$2:$G$2719,'апрель 2026'!$D$2:$D$2719,$B16,'апрель 2026'!$J$2:$J$2719,V$1)</f>
        <v>0</v>
      </c>
      <c r="W16" s="75">
        <f>SUMIFS('апрель 2026'!$G$2:$G$2719,'апрель 2026'!$D$2:$D$2719,$B16,'апрель 2026'!$J$2:$J$2719,W$1)</f>
        <v>0</v>
      </c>
      <c r="X16" s="75">
        <f>SUMIFS('апрель 2026'!$G$2:$G$2719,'апрель 2026'!$D$2:$D$2719,$B16,'апрель 2026'!$J$2:$J$2719,X$1)</f>
        <v>0</v>
      </c>
      <c r="Y16" s="75">
        <f>SUMIFS('апрель 2026'!$G$2:$G$2719,'апрель 2026'!$D$2:$D$2719,$B16,'апрель 2026'!$J$2:$J$2719,Y$1)</f>
        <v>0</v>
      </c>
      <c r="Z16" s="75">
        <f>SUMIFS('апрель 2026'!$G$2:$G$2719,'апрель 2026'!$D$2:$D$2719,$B16,'апрель 2026'!$J$2:$J$2719,Z$1)</f>
        <v>0</v>
      </c>
      <c r="AA16" s="75">
        <f>SUMIFS('апрель 2026'!$G$2:$G$2719,'апрель 2026'!$D$2:$D$2719,$B16,'апрель 2026'!$J$2:$J$2719,AA$1)</f>
        <v>0</v>
      </c>
      <c r="AB16" s="75">
        <f>SUMIFS('апрель 2026'!$G$2:$G$2719,'апрель 2026'!$D$2:$D$2719,$B16,'апрель 2026'!$J$2:$J$2719,AB$1)</f>
        <v>0</v>
      </c>
      <c r="AC16" s="75">
        <f>SUMIFS('апрель 2026'!$G$2:$G$2719,'апрель 2026'!$D$2:$D$2719,$B16,'апрель 2026'!$J$2:$J$2719,AC$1)</f>
        <v>0</v>
      </c>
      <c r="AD16" s="75">
        <f>SUMIFS('апрель 2026'!$G$2:$G$2719,'апрель 2026'!$D$2:$D$2719,$B16,'апрель 2026'!$J$2:$J$2719,AD$1)</f>
        <v>0</v>
      </c>
      <c r="AE16" s="75">
        <f>SUMIFS('апрель 2026'!$G$2:$G$2719,'апрель 2026'!$D$2:$D$2719,$B16,'апрель 2026'!$J$2:$J$2719,AE$1)</f>
        <v>0</v>
      </c>
      <c r="AF16" s="75">
        <f>SUMIFS('апрель 2026'!$G$2:$G$2719,'апрель 2026'!$D$2:$D$2719,$B16,'апрель 2026'!$J$2:$J$2719,AF$1)</f>
        <v>0</v>
      </c>
      <c r="AG16" s="75">
        <f>SUMIFS('апрель 2026'!$G$2:$G$2719,'апрель 2026'!$D$2:$D$2719,$B16,'апрель 2026'!$J$2:$J$2719,AG$1)</f>
        <v>0</v>
      </c>
      <c r="AH16" s="75">
        <f>SUMIFS('апрель 2026'!$G$2:$G$2719,'апрель 2026'!$D$2:$D$2719,$B16,'апрель 2026'!$J$2:$J$2719,AH$1)</f>
        <v>0</v>
      </c>
      <c r="AI16" s="20">
        <f t="shared" si="1"/>
        <v>700</v>
      </c>
    </row>
    <row r="17" spans="2:35" ht="15" customHeight="1" x14ac:dyDescent="0.25">
      <c r="B17" s="79" t="s">
        <v>227</v>
      </c>
      <c r="C17" s="80">
        <v>22.7</v>
      </c>
      <c r="D17" s="75">
        <f>SUMIFS('апрель 2026'!$G$2:$G$2719,'апрель 2026'!$D$2:$D$2719,$B17,'апрель 2026'!$J$2:$J$2719,D$1)</f>
        <v>0</v>
      </c>
      <c r="E17" s="75">
        <f>SUMIFS('апрель 2026'!$G$2:$G$2719,'апрель 2026'!$D$2:$D$2719,$B17,'апрель 2026'!$J$2:$J$2719,E$1)</f>
        <v>0</v>
      </c>
      <c r="F17" s="75">
        <f>SUMIFS('апрель 2026'!$G$2:$G$2719,'апрель 2026'!$D$2:$D$2719,$B17,'апрель 2026'!$J$2:$J$2719,F$1)</f>
        <v>0</v>
      </c>
      <c r="G17" s="75">
        <f>SUMIFS('апрель 2026'!$G$2:$G$2719,'апрель 2026'!$D$2:$D$2719,$B17,'апрель 2026'!$J$2:$J$2719,G$1)</f>
        <v>0</v>
      </c>
      <c r="H17" s="75">
        <f>SUMIFS('апрель 2026'!$G$2:$G$2719,'апрель 2026'!$D$2:$D$2719,$B17,'апрель 2026'!$J$2:$J$2719,H$1)</f>
        <v>0</v>
      </c>
      <c r="I17" s="75">
        <f>SUMIFS('апрель 2026'!$G$2:$G$2719,'апрель 2026'!$D$2:$D$2719,$B17,'апрель 2026'!$J$2:$J$2719,I$1)</f>
        <v>0</v>
      </c>
      <c r="J17" s="75">
        <f>SUMIFS('апрель 2026'!$G$2:$G$2719,'апрель 2026'!$D$2:$D$2719,$B17,'апрель 2026'!$J$2:$J$2719,J$1)</f>
        <v>0</v>
      </c>
      <c r="K17" s="75">
        <f>SUMIFS('апрель 2026'!$G$2:$G$2719,'апрель 2026'!$D$2:$D$2719,$B17,'апрель 2026'!$J$2:$J$2719,K$1)</f>
        <v>0</v>
      </c>
      <c r="L17" s="75">
        <f>SUMIFS('апрель 2026'!$G$2:$G$2719,'апрель 2026'!$D$2:$D$2719,$B17,'апрель 2026'!$J$2:$J$2719,L$1)</f>
        <v>0</v>
      </c>
      <c r="M17" s="75">
        <f>SUMIFS('апрель 2026'!$G$2:$G$2719,'апрель 2026'!$D$2:$D$2719,$B17,'апрель 2026'!$J$2:$J$2719,M$1)</f>
        <v>0</v>
      </c>
      <c r="N17" s="75">
        <f>SUMIFS('апрель 2026'!$G$2:$G$2719,'апрель 2026'!$D$2:$D$2719,$B17,'апрель 2026'!$J$2:$J$2719,N$1)</f>
        <v>0</v>
      </c>
      <c r="O17" s="75">
        <f>SUMIFS('апрель 2026'!$G$2:$G$2719,'апрель 2026'!$D$2:$D$2719,$B17,'апрель 2026'!$J$2:$J$2719,O$1)</f>
        <v>0</v>
      </c>
      <c r="P17" s="75">
        <f>SUMIFS('апрель 2026'!$G$2:$G$2719,'апрель 2026'!$D$2:$D$2719,$B17,'апрель 2026'!$J$2:$J$2719,P$1)</f>
        <v>0</v>
      </c>
      <c r="Q17" s="75">
        <f>SUMIFS('апрель 2026'!$G$2:$G$2719,'апрель 2026'!$D$2:$D$2719,$B17,'апрель 2026'!$J$2:$J$2719,Q$1)</f>
        <v>0</v>
      </c>
      <c r="R17" s="75">
        <f>SUMIFS('апрель 2026'!$G$2:$G$2719,'апрель 2026'!$D$2:$D$2719,$B17,'апрель 2026'!$J$2:$J$2719,R$1)</f>
        <v>0</v>
      </c>
      <c r="S17" s="75">
        <f>SUMIFS('апрель 2026'!$G$2:$G$2719,'апрель 2026'!$D$2:$D$2719,$B17,'апрель 2026'!$J$2:$J$2719,S$1)</f>
        <v>0</v>
      </c>
      <c r="T17" s="75">
        <f>SUMIFS('апрель 2026'!$G$2:$G$2719,'апрель 2026'!$D$2:$D$2719,$B17,'апрель 2026'!$J$2:$J$2719,T$1)</f>
        <v>0</v>
      </c>
      <c r="U17" s="75">
        <f>SUMIFS('апрель 2026'!$G$2:$G$2719,'апрель 2026'!$D$2:$D$2719,$B17,'апрель 2026'!$J$2:$J$2719,U$1)</f>
        <v>0</v>
      </c>
      <c r="V17" s="75">
        <f>SUMIFS('апрель 2026'!$G$2:$G$2719,'апрель 2026'!$D$2:$D$2719,$B17,'апрель 2026'!$J$2:$J$2719,V$1)</f>
        <v>0</v>
      </c>
      <c r="W17" s="75">
        <f>SUMIFS('апрель 2026'!$G$2:$G$2719,'апрель 2026'!$D$2:$D$2719,$B17,'апрель 2026'!$J$2:$J$2719,W$1)</f>
        <v>0</v>
      </c>
      <c r="X17" s="75">
        <f>SUMIFS('апрель 2026'!$G$2:$G$2719,'апрель 2026'!$D$2:$D$2719,$B17,'апрель 2026'!$J$2:$J$2719,X$1)</f>
        <v>0</v>
      </c>
      <c r="Y17" s="75">
        <f>SUMIFS('апрель 2026'!$G$2:$G$2719,'апрель 2026'!$D$2:$D$2719,$B17,'апрель 2026'!$J$2:$J$2719,Y$1)</f>
        <v>0</v>
      </c>
      <c r="Z17" s="75">
        <f>SUMIFS('апрель 2026'!$G$2:$G$2719,'апрель 2026'!$D$2:$D$2719,$B17,'апрель 2026'!$J$2:$J$2719,Z$1)</f>
        <v>0</v>
      </c>
      <c r="AA17" s="75">
        <f>SUMIFS('апрель 2026'!$G$2:$G$2719,'апрель 2026'!$D$2:$D$2719,$B17,'апрель 2026'!$J$2:$J$2719,AA$1)</f>
        <v>0</v>
      </c>
      <c r="AB17" s="75">
        <f>SUMIFS('апрель 2026'!$G$2:$G$2719,'апрель 2026'!$D$2:$D$2719,$B17,'апрель 2026'!$J$2:$J$2719,AB$1)</f>
        <v>0</v>
      </c>
      <c r="AC17" s="75">
        <f>SUMIFS('апрель 2026'!$G$2:$G$2719,'апрель 2026'!$D$2:$D$2719,$B17,'апрель 2026'!$J$2:$J$2719,AC$1)</f>
        <v>0</v>
      </c>
      <c r="AD17" s="75">
        <f>SUMIFS('апрель 2026'!$G$2:$G$2719,'апрель 2026'!$D$2:$D$2719,$B17,'апрель 2026'!$J$2:$J$2719,AD$1)</f>
        <v>0</v>
      </c>
      <c r="AE17" s="75">
        <f>SUMIFS('апрель 2026'!$G$2:$G$2719,'апрель 2026'!$D$2:$D$2719,$B17,'апрель 2026'!$J$2:$J$2719,AE$1)</f>
        <v>0</v>
      </c>
      <c r="AF17" s="75">
        <f>SUMIFS('апрель 2026'!$G$2:$G$2719,'апрель 2026'!$D$2:$D$2719,$B17,'апрель 2026'!$J$2:$J$2719,AF$1)</f>
        <v>0</v>
      </c>
      <c r="AG17" s="75">
        <f>SUMIFS('апрель 2026'!$G$2:$G$2719,'апрель 2026'!$D$2:$D$2719,$B17,'апрель 2026'!$J$2:$J$2719,AG$1)</f>
        <v>0</v>
      </c>
      <c r="AH17" s="75">
        <f>SUMIFS('апрель 2026'!$G$2:$G$2719,'апрель 2026'!$D$2:$D$2719,$B17,'апрель 2026'!$J$2:$J$2719,AH$1)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SUMIFS('апрель 2026'!$G$2:$G$2719,'апрель 2026'!$D$2:$D$2719,$B18,'апрель 2026'!$J$2:$J$2719,D$1)</f>
        <v>0</v>
      </c>
      <c r="E18" s="75">
        <f>SUMIFS('апрель 2026'!$G$2:$G$2719,'апрель 2026'!$D$2:$D$2719,$B18,'апрель 2026'!$J$2:$J$2719,E$1)</f>
        <v>0</v>
      </c>
      <c r="F18" s="75">
        <f>SUMIFS('апрель 2026'!$G$2:$G$2719,'апрель 2026'!$D$2:$D$2719,$B18,'апрель 2026'!$J$2:$J$2719,F$1)</f>
        <v>0</v>
      </c>
      <c r="G18" s="75">
        <f>SUMIFS('апрель 2026'!$G$2:$G$2719,'апрель 2026'!$D$2:$D$2719,$B18,'апрель 2026'!$J$2:$J$2719,G$1)</f>
        <v>0</v>
      </c>
      <c r="H18" s="75">
        <f>SUMIFS('апрель 2026'!$G$2:$G$2719,'апрель 2026'!$D$2:$D$2719,$B18,'апрель 2026'!$J$2:$J$2719,H$1)</f>
        <v>0</v>
      </c>
      <c r="I18" s="75">
        <f>SUMIFS('апрель 2026'!$G$2:$G$2719,'апрель 2026'!$D$2:$D$2719,$B18,'апрель 2026'!$J$2:$J$2719,I$1)</f>
        <v>0</v>
      </c>
      <c r="J18" s="75">
        <f>SUMIFS('апрель 2026'!$G$2:$G$2719,'апрель 2026'!$D$2:$D$2719,$B18,'апрель 2026'!$J$2:$J$2719,J$1)</f>
        <v>0</v>
      </c>
      <c r="K18" s="75">
        <f>SUMIFS('апрель 2026'!$G$2:$G$2719,'апрель 2026'!$D$2:$D$2719,$B18,'апрель 2026'!$J$2:$J$2719,K$1)</f>
        <v>0</v>
      </c>
      <c r="L18" s="75">
        <f>SUMIFS('апрель 2026'!$G$2:$G$2719,'апрель 2026'!$D$2:$D$2719,$B18,'апрель 2026'!$J$2:$J$2719,L$1)</f>
        <v>0</v>
      </c>
      <c r="M18" s="75">
        <f>SUMIFS('апрель 2026'!$G$2:$G$2719,'апрель 2026'!$D$2:$D$2719,$B18,'апрель 2026'!$J$2:$J$2719,M$1)</f>
        <v>0</v>
      </c>
      <c r="N18" s="75">
        <f>SUMIFS('апрель 2026'!$G$2:$G$2719,'апрель 2026'!$D$2:$D$2719,$B18,'апрель 2026'!$J$2:$J$2719,N$1)</f>
        <v>0</v>
      </c>
      <c r="O18" s="75">
        <f>SUMIFS('апрель 2026'!$G$2:$G$2719,'апрель 2026'!$D$2:$D$2719,$B18,'апрель 2026'!$J$2:$J$2719,O$1)</f>
        <v>0</v>
      </c>
      <c r="P18" s="75">
        <f>SUMIFS('апрель 2026'!$G$2:$G$2719,'апрель 2026'!$D$2:$D$2719,$B18,'апрель 2026'!$J$2:$J$2719,P$1)</f>
        <v>0</v>
      </c>
      <c r="Q18" s="75">
        <f>SUMIFS('апрель 2026'!$G$2:$G$2719,'апрель 2026'!$D$2:$D$2719,$B18,'апрель 2026'!$J$2:$J$2719,Q$1)</f>
        <v>0</v>
      </c>
      <c r="R18" s="75">
        <f>SUMIFS('апрель 2026'!$G$2:$G$2719,'апрель 2026'!$D$2:$D$2719,$B18,'апрель 2026'!$J$2:$J$2719,R$1)</f>
        <v>0</v>
      </c>
      <c r="S18" s="75">
        <f>SUMIFS('апрель 2026'!$G$2:$G$2719,'апрель 2026'!$D$2:$D$2719,$B18,'апрель 2026'!$J$2:$J$2719,S$1)</f>
        <v>0</v>
      </c>
      <c r="T18" s="75">
        <f>SUMIFS('апрель 2026'!$G$2:$G$2719,'апрель 2026'!$D$2:$D$2719,$B18,'апрель 2026'!$J$2:$J$2719,T$1)</f>
        <v>0</v>
      </c>
      <c r="U18" s="75">
        <f>SUMIFS('апрель 2026'!$G$2:$G$2719,'апрель 2026'!$D$2:$D$2719,$B18,'апрель 2026'!$J$2:$J$2719,U$1)</f>
        <v>0</v>
      </c>
      <c r="V18" s="75">
        <f>SUMIFS('апрель 2026'!$G$2:$G$2719,'апрель 2026'!$D$2:$D$2719,$B18,'апрель 2026'!$J$2:$J$2719,V$1)</f>
        <v>0</v>
      </c>
      <c r="W18" s="75">
        <f>SUMIFS('апрель 2026'!$G$2:$G$2719,'апрель 2026'!$D$2:$D$2719,$B18,'апрель 2026'!$J$2:$J$2719,W$1)</f>
        <v>0</v>
      </c>
      <c r="X18" s="75">
        <f>SUMIFS('апрель 2026'!$G$2:$G$2719,'апрель 2026'!$D$2:$D$2719,$B18,'апрель 2026'!$J$2:$J$2719,X$1)</f>
        <v>0</v>
      </c>
      <c r="Y18" s="75">
        <f>SUMIFS('апрель 2026'!$G$2:$G$2719,'апрель 2026'!$D$2:$D$2719,$B18,'апрель 2026'!$J$2:$J$2719,Y$1)</f>
        <v>0</v>
      </c>
      <c r="Z18" s="75">
        <f>SUMIFS('апрель 2026'!$G$2:$G$2719,'апрель 2026'!$D$2:$D$2719,$B18,'апрель 2026'!$J$2:$J$2719,Z$1)</f>
        <v>0</v>
      </c>
      <c r="AA18" s="75">
        <f>SUMIFS('апрель 2026'!$G$2:$G$2719,'апрель 2026'!$D$2:$D$2719,$B18,'апрель 2026'!$J$2:$J$2719,AA$1)</f>
        <v>0</v>
      </c>
      <c r="AB18" s="75">
        <f>SUMIFS('апрель 2026'!$G$2:$G$2719,'апрель 2026'!$D$2:$D$2719,$B18,'апрель 2026'!$J$2:$J$2719,AB$1)</f>
        <v>0</v>
      </c>
      <c r="AC18" s="75">
        <f>SUMIFS('апрель 2026'!$G$2:$G$2719,'апрель 2026'!$D$2:$D$2719,$B18,'апрель 2026'!$J$2:$J$2719,AC$1)</f>
        <v>0</v>
      </c>
      <c r="AD18" s="75">
        <f>SUMIFS('апрель 2026'!$G$2:$G$2719,'апрель 2026'!$D$2:$D$2719,$B18,'апрель 2026'!$J$2:$J$2719,AD$1)</f>
        <v>0</v>
      </c>
      <c r="AE18" s="75">
        <f>SUMIFS('апрель 2026'!$G$2:$G$2719,'апрель 2026'!$D$2:$D$2719,$B18,'апрель 2026'!$J$2:$J$2719,AE$1)</f>
        <v>0</v>
      </c>
      <c r="AF18" s="75">
        <f>SUMIFS('апрель 2026'!$G$2:$G$2719,'апрель 2026'!$D$2:$D$2719,$B18,'апрель 2026'!$J$2:$J$2719,AF$1)</f>
        <v>0</v>
      </c>
      <c r="AG18" s="75">
        <f>SUMIFS('апрель 2026'!$G$2:$G$2719,'апрель 2026'!$D$2:$D$2719,$B18,'апрель 2026'!$J$2:$J$2719,AG$1)</f>
        <v>0</v>
      </c>
      <c r="AH18" s="75">
        <f>SUMIFS('апрель 2026'!$G$2:$G$2719,'апрель 2026'!$D$2:$D$2719,$B18,'апрель 2026'!$J$2:$J$2719,AH$1)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SUMIFS('апрель 2026'!$G$2:$G$2719,'апрель 2026'!$D$2:$D$2719,$B19,'апрель 2026'!$J$2:$J$2719,D$1)</f>
        <v>0</v>
      </c>
      <c r="E19" s="75">
        <f>SUMIFS('апрель 2026'!$G$2:$G$2719,'апрель 2026'!$D$2:$D$2719,$B19,'апрель 2026'!$J$2:$J$2719,E$1)</f>
        <v>0</v>
      </c>
      <c r="F19" s="75">
        <f>SUMIFS('апрель 2026'!$G$2:$G$2719,'апрель 2026'!$D$2:$D$2719,$B19,'апрель 2026'!$J$2:$J$2719,F$1)</f>
        <v>0</v>
      </c>
      <c r="G19" s="75">
        <f>SUMIFS('апрель 2026'!$G$2:$G$2719,'апрель 2026'!$D$2:$D$2719,$B19,'апрель 2026'!$J$2:$J$2719,G$1)</f>
        <v>0</v>
      </c>
      <c r="H19" s="75">
        <f>SUMIFS('апрель 2026'!$G$2:$G$2719,'апрель 2026'!$D$2:$D$2719,$B19,'апрель 2026'!$J$2:$J$2719,H$1)</f>
        <v>0</v>
      </c>
      <c r="I19" s="75">
        <f>SUMIFS('апрель 2026'!$G$2:$G$2719,'апрель 2026'!$D$2:$D$2719,$B19,'апрель 2026'!$J$2:$J$2719,I$1)</f>
        <v>0</v>
      </c>
      <c r="J19" s="75">
        <f>SUMIFS('апрель 2026'!$G$2:$G$2719,'апрель 2026'!$D$2:$D$2719,$B19,'апрель 2026'!$J$2:$J$2719,J$1)</f>
        <v>0</v>
      </c>
      <c r="K19" s="75">
        <f>SUMIFS('апрель 2026'!$G$2:$G$2719,'апрель 2026'!$D$2:$D$2719,$B19,'апрель 2026'!$J$2:$J$2719,K$1)</f>
        <v>0</v>
      </c>
      <c r="L19" s="75">
        <f>SUMIFS('апрель 2026'!$G$2:$G$2719,'апрель 2026'!$D$2:$D$2719,$B19,'апрель 2026'!$J$2:$J$2719,L$1)</f>
        <v>0</v>
      </c>
      <c r="M19" s="75">
        <f>SUMIFS('апрель 2026'!$G$2:$G$2719,'апрель 2026'!$D$2:$D$2719,$B19,'апрель 2026'!$J$2:$J$2719,M$1)</f>
        <v>0</v>
      </c>
      <c r="N19" s="75">
        <f>SUMIFS('апрель 2026'!$G$2:$G$2719,'апрель 2026'!$D$2:$D$2719,$B19,'апрель 2026'!$J$2:$J$2719,N$1)</f>
        <v>0</v>
      </c>
      <c r="O19" s="75">
        <f>SUMIFS('апрель 2026'!$G$2:$G$2719,'апрель 2026'!$D$2:$D$2719,$B19,'апрель 2026'!$J$2:$J$2719,O$1)</f>
        <v>0</v>
      </c>
      <c r="P19" s="75">
        <f>SUMIFS('апрель 2026'!$G$2:$G$2719,'апрель 2026'!$D$2:$D$2719,$B19,'апрель 2026'!$J$2:$J$2719,P$1)</f>
        <v>0</v>
      </c>
      <c r="Q19" s="75">
        <f>SUMIFS('апрель 2026'!$G$2:$G$2719,'апрель 2026'!$D$2:$D$2719,$B19,'апрель 2026'!$J$2:$J$2719,Q$1)</f>
        <v>0</v>
      </c>
      <c r="R19" s="75">
        <f>SUMIFS('апрель 2026'!$G$2:$G$2719,'апрель 2026'!$D$2:$D$2719,$B19,'апрель 2026'!$J$2:$J$2719,R$1)</f>
        <v>0</v>
      </c>
      <c r="S19" s="75">
        <f>SUMIFS('апрель 2026'!$G$2:$G$2719,'апрель 2026'!$D$2:$D$2719,$B19,'апрель 2026'!$J$2:$J$2719,S$1)</f>
        <v>0</v>
      </c>
      <c r="T19" s="75">
        <f>SUMIFS('апрель 2026'!$G$2:$G$2719,'апрель 2026'!$D$2:$D$2719,$B19,'апрель 2026'!$J$2:$J$2719,T$1)</f>
        <v>0</v>
      </c>
      <c r="U19" s="75">
        <f>SUMIFS('апрель 2026'!$G$2:$G$2719,'апрель 2026'!$D$2:$D$2719,$B19,'апрель 2026'!$J$2:$J$2719,U$1)</f>
        <v>0</v>
      </c>
      <c r="V19" s="75">
        <f>SUMIFS('апрель 2026'!$G$2:$G$2719,'апрель 2026'!$D$2:$D$2719,$B19,'апрель 2026'!$J$2:$J$2719,V$1)</f>
        <v>0</v>
      </c>
      <c r="W19" s="75">
        <f>SUMIFS('апрель 2026'!$G$2:$G$2719,'апрель 2026'!$D$2:$D$2719,$B19,'апрель 2026'!$J$2:$J$2719,W$1)</f>
        <v>0</v>
      </c>
      <c r="X19" s="75">
        <f>SUMIFS('апрель 2026'!$G$2:$G$2719,'апрель 2026'!$D$2:$D$2719,$B19,'апрель 2026'!$J$2:$J$2719,X$1)</f>
        <v>0</v>
      </c>
      <c r="Y19" s="75">
        <f>SUMIFS('апрель 2026'!$G$2:$G$2719,'апрель 2026'!$D$2:$D$2719,$B19,'апрель 2026'!$J$2:$J$2719,Y$1)</f>
        <v>0</v>
      </c>
      <c r="Z19" s="75">
        <f>SUMIFS('апрель 2026'!$G$2:$G$2719,'апрель 2026'!$D$2:$D$2719,$B19,'апрель 2026'!$J$2:$J$2719,Z$1)</f>
        <v>0</v>
      </c>
      <c r="AA19" s="75">
        <f>SUMIFS('апрель 2026'!$G$2:$G$2719,'апрель 2026'!$D$2:$D$2719,$B19,'апрель 2026'!$J$2:$J$2719,AA$1)</f>
        <v>0</v>
      </c>
      <c r="AB19" s="75">
        <f>SUMIFS('апрель 2026'!$G$2:$G$2719,'апрель 2026'!$D$2:$D$2719,$B19,'апрель 2026'!$J$2:$J$2719,AB$1)</f>
        <v>0</v>
      </c>
      <c r="AC19" s="75">
        <f>SUMIFS('апрель 2026'!$G$2:$G$2719,'апрель 2026'!$D$2:$D$2719,$B19,'апрель 2026'!$J$2:$J$2719,AC$1)</f>
        <v>0</v>
      </c>
      <c r="AD19" s="75">
        <f>SUMIFS('апрель 2026'!$G$2:$G$2719,'апрель 2026'!$D$2:$D$2719,$B19,'апрель 2026'!$J$2:$J$2719,AD$1)</f>
        <v>0</v>
      </c>
      <c r="AE19" s="75">
        <f>SUMIFS('апрель 2026'!$G$2:$G$2719,'апрель 2026'!$D$2:$D$2719,$B19,'апрель 2026'!$J$2:$J$2719,AE$1)</f>
        <v>0</v>
      </c>
      <c r="AF19" s="75">
        <f>SUMIFS('апрель 2026'!$G$2:$G$2719,'апрель 2026'!$D$2:$D$2719,$B19,'апрель 2026'!$J$2:$J$2719,AF$1)</f>
        <v>0</v>
      </c>
      <c r="AG19" s="75">
        <f>SUMIFS('апрель 2026'!$G$2:$G$2719,'апрель 2026'!$D$2:$D$2719,$B19,'апрель 2026'!$J$2:$J$2719,AG$1)</f>
        <v>0</v>
      </c>
      <c r="AH19" s="75">
        <f>SUMIFS('апрель 2026'!$G$2:$G$2719,'апрель 2026'!$D$2:$D$2719,$B19,'апрель 2026'!$J$2:$J$2719,AH$1)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SUMIFS('апрель 2026'!$G$2:$G$2719,'апрель 2026'!$D$2:$D$2719,$B20,'апрель 2026'!$J$2:$J$2719,D$1)</f>
        <v>0</v>
      </c>
      <c r="E20" s="75">
        <f>SUMIFS('апрель 2026'!$G$2:$G$2719,'апрель 2026'!$D$2:$D$2719,$B20,'апрель 2026'!$J$2:$J$2719,E$1)</f>
        <v>0</v>
      </c>
      <c r="F20" s="75">
        <f>SUMIFS('апрель 2026'!$G$2:$G$2719,'апрель 2026'!$D$2:$D$2719,$B20,'апрель 2026'!$J$2:$J$2719,F$1)</f>
        <v>0</v>
      </c>
      <c r="G20" s="75">
        <f>SUMIFS('апрель 2026'!$G$2:$G$2719,'апрель 2026'!$D$2:$D$2719,$B20,'апрель 2026'!$J$2:$J$2719,G$1)</f>
        <v>0</v>
      </c>
      <c r="H20" s="75">
        <f>SUMIFS('апрель 2026'!$G$2:$G$2719,'апрель 2026'!$D$2:$D$2719,$B20,'апрель 2026'!$J$2:$J$2719,H$1)</f>
        <v>0</v>
      </c>
      <c r="I20" s="75">
        <f>SUMIFS('апрель 2026'!$G$2:$G$2719,'апрель 2026'!$D$2:$D$2719,$B20,'апрель 2026'!$J$2:$J$2719,I$1)</f>
        <v>0</v>
      </c>
      <c r="J20" s="75">
        <f>SUMIFS('апрель 2026'!$G$2:$G$2719,'апрель 2026'!$D$2:$D$2719,$B20,'апрель 2026'!$J$2:$J$2719,J$1)</f>
        <v>0</v>
      </c>
      <c r="K20" s="75">
        <f>SUMIFS('апрель 2026'!$G$2:$G$2719,'апрель 2026'!$D$2:$D$2719,$B20,'апрель 2026'!$J$2:$J$2719,K$1)</f>
        <v>0</v>
      </c>
      <c r="L20" s="75">
        <f>SUMIFS('апрель 2026'!$G$2:$G$2719,'апрель 2026'!$D$2:$D$2719,$B20,'апрель 2026'!$J$2:$J$2719,L$1)</f>
        <v>0</v>
      </c>
      <c r="M20" s="75">
        <f>SUMIFS('апрель 2026'!$G$2:$G$2719,'апрель 2026'!$D$2:$D$2719,$B20,'апрель 2026'!$J$2:$J$2719,M$1)</f>
        <v>0</v>
      </c>
      <c r="N20" s="75">
        <f>SUMIFS('апрель 2026'!$G$2:$G$2719,'апрель 2026'!$D$2:$D$2719,$B20,'апрель 2026'!$J$2:$J$2719,N$1)</f>
        <v>0</v>
      </c>
      <c r="O20" s="75">
        <f>SUMIFS('апрель 2026'!$G$2:$G$2719,'апрель 2026'!$D$2:$D$2719,$B20,'апрель 2026'!$J$2:$J$2719,O$1)</f>
        <v>0</v>
      </c>
      <c r="P20" s="75">
        <f>SUMIFS('апрель 2026'!$G$2:$G$2719,'апрель 2026'!$D$2:$D$2719,$B20,'апрель 2026'!$J$2:$J$2719,P$1)</f>
        <v>0</v>
      </c>
      <c r="Q20" s="75">
        <f>SUMIFS('апрель 2026'!$G$2:$G$2719,'апрель 2026'!$D$2:$D$2719,$B20,'апрель 2026'!$J$2:$J$2719,Q$1)</f>
        <v>0</v>
      </c>
      <c r="R20" s="75">
        <f>SUMIFS('апрель 2026'!$G$2:$G$2719,'апрель 2026'!$D$2:$D$2719,$B20,'апрель 2026'!$J$2:$J$2719,R$1)</f>
        <v>0</v>
      </c>
      <c r="S20" s="75">
        <f>SUMIFS('апрель 2026'!$G$2:$G$2719,'апрель 2026'!$D$2:$D$2719,$B20,'апрель 2026'!$J$2:$J$2719,S$1)</f>
        <v>0</v>
      </c>
      <c r="T20" s="75">
        <f>SUMIFS('апрель 2026'!$G$2:$G$2719,'апрель 2026'!$D$2:$D$2719,$B20,'апрель 2026'!$J$2:$J$2719,T$1)</f>
        <v>0</v>
      </c>
      <c r="U20" s="75">
        <f>SUMIFS('апрель 2026'!$G$2:$G$2719,'апрель 2026'!$D$2:$D$2719,$B20,'апрель 2026'!$J$2:$J$2719,U$1)</f>
        <v>0</v>
      </c>
      <c r="V20" s="75">
        <f>SUMIFS('апрель 2026'!$G$2:$G$2719,'апрель 2026'!$D$2:$D$2719,$B20,'апрель 2026'!$J$2:$J$2719,V$1)</f>
        <v>0</v>
      </c>
      <c r="W20" s="75">
        <f>SUMIFS('апрель 2026'!$G$2:$G$2719,'апрель 2026'!$D$2:$D$2719,$B20,'апрель 2026'!$J$2:$J$2719,W$1)</f>
        <v>0</v>
      </c>
      <c r="X20" s="75">
        <f>SUMIFS('апрель 2026'!$G$2:$G$2719,'апрель 2026'!$D$2:$D$2719,$B20,'апрель 2026'!$J$2:$J$2719,X$1)</f>
        <v>0</v>
      </c>
      <c r="Y20" s="75">
        <f>SUMIFS('апрель 2026'!$G$2:$G$2719,'апрель 2026'!$D$2:$D$2719,$B20,'апрель 2026'!$J$2:$J$2719,Y$1)</f>
        <v>0</v>
      </c>
      <c r="Z20" s="75">
        <f>SUMIFS('апрель 2026'!$G$2:$G$2719,'апрель 2026'!$D$2:$D$2719,$B20,'апрель 2026'!$J$2:$J$2719,Z$1)</f>
        <v>0</v>
      </c>
      <c r="AA20" s="75">
        <f>SUMIFS('апрель 2026'!$G$2:$G$2719,'апрель 2026'!$D$2:$D$2719,$B20,'апрель 2026'!$J$2:$J$2719,AA$1)</f>
        <v>0</v>
      </c>
      <c r="AB20" s="75">
        <f>SUMIFS('апрель 2026'!$G$2:$G$2719,'апрель 2026'!$D$2:$D$2719,$B20,'апрель 2026'!$J$2:$J$2719,AB$1)</f>
        <v>0</v>
      </c>
      <c r="AC20" s="75">
        <f>SUMIFS('апрель 2026'!$G$2:$G$2719,'апрель 2026'!$D$2:$D$2719,$B20,'апрель 2026'!$J$2:$J$2719,AC$1)</f>
        <v>0</v>
      </c>
      <c r="AD20" s="75">
        <f>SUMIFS('апрель 2026'!$G$2:$G$2719,'апрель 2026'!$D$2:$D$2719,$B20,'апрель 2026'!$J$2:$J$2719,AD$1)</f>
        <v>0</v>
      </c>
      <c r="AE20" s="75">
        <f>SUMIFS('апрель 2026'!$G$2:$G$2719,'апрель 2026'!$D$2:$D$2719,$B20,'апрель 2026'!$J$2:$J$2719,AE$1)</f>
        <v>0</v>
      </c>
      <c r="AF20" s="75">
        <f>SUMIFS('апрель 2026'!$G$2:$G$2719,'апрель 2026'!$D$2:$D$2719,$B20,'апрель 2026'!$J$2:$J$2719,AF$1)</f>
        <v>0</v>
      </c>
      <c r="AG20" s="75">
        <f>SUMIFS('апрель 2026'!$G$2:$G$2719,'апрель 2026'!$D$2:$D$2719,$B20,'апрель 2026'!$J$2:$J$2719,AG$1)</f>
        <v>0</v>
      </c>
      <c r="AH20" s="75">
        <f>SUMIFS('апрель 2026'!$G$2:$G$2719,'апрель 2026'!$D$2:$D$2719,$B20,'апрель 2026'!$J$2:$J$2719,AH$1)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SUMIFS('апрель 2026'!$G$2:$G$2719,'апрель 2026'!$D$2:$D$2719,$B21,'апрель 2026'!$J$2:$J$2719,D$1)</f>
        <v>0</v>
      </c>
      <c r="E21" s="75">
        <f>SUMIFS('апрель 2026'!$G$2:$G$2719,'апрель 2026'!$D$2:$D$2719,$B21,'апрель 2026'!$J$2:$J$2719,E$1)</f>
        <v>0</v>
      </c>
      <c r="F21" s="75">
        <f>SUMIFS('апрель 2026'!$G$2:$G$2719,'апрель 2026'!$D$2:$D$2719,$B21,'апрель 2026'!$J$2:$J$2719,F$1)</f>
        <v>0</v>
      </c>
      <c r="G21" s="75">
        <f>SUMIFS('апрель 2026'!$G$2:$G$2719,'апрель 2026'!$D$2:$D$2719,$B21,'апрель 2026'!$J$2:$J$2719,G$1)</f>
        <v>0</v>
      </c>
      <c r="H21" s="75">
        <f>SUMIFS('апрель 2026'!$G$2:$G$2719,'апрель 2026'!$D$2:$D$2719,$B21,'апрель 2026'!$J$2:$J$2719,H$1)</f>
        <v>0</v>
      </c>
      <c r="I21" s="75">
        <f>SUMIFS('апрель 2026'!$G$2:$G$2719,'апрель 2026'!$D$2:$D$2719,$B21,'апрель 2026'!$J$2:$J$2719,I$1)</f>
        <v>0</v>
      </c>
      <c r="J21" s="75">
        <f>SUMIFS('апрель 2026'!$G$2:$G$2719,'апрель 2026'!$D$2:$D$2719,$B21,'апрель 2026'!$J$2:$J$2719,J$1)</f>
        <v>0</v>
      </c>
      <c r="K21" s="75">
        <f>SUMIFS('апрель 2026'!$G$2:$G$2719,'апрель 2026'!$D$2:$D$2719,$B21,'апрель 2026'!$J$2:$J$2719,K$1)</f>
        <v>0</v>
      </c>
      <c r="L21" s="75">
        <f>SUMIFS('апрель 2026'!$G$2:$G$2719,'апрель 2026'!$D$2:$D$2719,$B21,'апрель 2026'!$J$2:$J$2719,L$1)</f>
        <v>0</v>
      </c>
      <c r="M21" s="75">
        <f>SUMIFS('апрель 2026'!$G$2:$G$2719,'апрель 2026'!$D$2:$D$2719,$B21,'апрель 2026'!$J$2:$J$2719,M$1)</f>
        <v>0</v>
      </c>
      <c r="N21" s="75">
        <f>SUMIFS('апрель 2026'!$G$2:$G$2719,'апрель 2026'!$D$2:$D$2719,$B21,'апрель 2026'!$J$2:$J$2719,N$1)</f>
        <v>0</v>
      </c>
      <c r="O21" s="75">
        <f>SUMIFS('апрель 2026'!$G$2:$G$2719,'апрель 2026'!$D$2:$D$2719,$B21,'апрель 2026'!$J$2:$J$2719,O$1)</f>
        <v>0</v>
      </c>
      <c r="P21" s="75">
        <f>SUMIFS('апрель 2026'!$G$2:$G$2719,'апрель 2026'!$D$2:$D$2719,$B21,'апрель 2026'!$J$2:$J$2719,P$1)</f>
        <v>0</v>
      </c>
      <c r="Q21" s="75">
        <f>SUMIFS('апрель 2026'!$G$2:$G$2719,'апрель 2026'!$D$2:$D$2719,$B21,'апрель 2026'!$J$2:$J$2719,Q$1)</f>
        <v>0</v>
      </c>
      <c r="R21" s="75">
        <f>SUMIFS('апрель 2026'!$G$2:$G$2719,'апрель 2026'!$D$2:$D$2719,$B21,'апрель 2026'!$J$2:$J$2719,R$1)</f>
        <v>0</v>
      </c>
      <c r="S21" s="75">
        <f>SUMIFS('апрель 2026'!$G$2:$G$2719,'апрель 2026'!$D$2:$D$2719,$B21,'апрель 2026'!$J$2:$J$2719,S$1)</f>
        <v>0</v>
      </c>
      <c r="T21" s="75">
        <f>SUMIFS('апрель 2026'!$G$2:$G$2719,'апрель 2026'!$D$2:$D$2719,$B21,'апрель 2026'!$J$2:$J$2719,T$1)</f>
        <v>0</v>
      </c>
      <c r="U21" s="75">
        <f>SUMIFS('апрель 2026'!$G$2:$G$2719,'апрель 2026'!$D$2:$D$2719,$B21,'апрель 2026'!$J$2:$J$2719,U$1)</f>
        <v>0</v>
      </c>
      <c r="V21" s="75">
        <f>SUMIFS('апрель 2026'!$G$2:$G$2719,'апрель 2026'!$D$2:$D$2719,$B21,'апрель 2026'!$J$2:$J$2719,V$1)</f>
        <v>0</v>
      </c>
      <c r="W21" s="75">
        <f>SUMIFS('апрель 2026'!$G$2:$G$2719,'апрель 2026'!$D$2:$D$2719,$B21,'апрель 2026'!$J$2:$J$2719,W$1)</f>
        <v>0</v>
      </c>
      <c r="X21" s="75">
        <f>SUMIFS('апрель 2026'!$G$2:$G$2719,'апрель 2026'!$D$2:$D$2719,$B21,'апрель 2026'!$J$2:$J$2719,X$1)</f>
        <v>0</v>
      </c>
      <c r="Y21" s="75">
        <f>SUMIFS('апрель 2026'!$G$2:$G$2719,'апрель 2026'!$D$2:$D$2719,$B21,'апрель 2026'!$J$2:$J$2719,Y$1)</f>
        <v>0</v>
      </c>
      <c r="Z21" s="75">
        <f>SUMIFS('апрель 2026'!$G$2:$G$2719,'апрель 2026'!$D$2:$D$2719,$B21,'апрель 2026'!$J$2:$J$2719,Z$1)</f>
        <v>0</v>
      </c>
      <c r="AA21" s="75">
        <f>SUMIFS('апрель 2026'!$G$2:$G$2719,'апрель 2026'!$D$2:$D$2719,$B21,'апрель 2026'!$J$2:$J$2719,AA$1)</f>
        <v>0</v>
      </c>
      <c r="AB21" s="75">
        <f>SUMIFS('апрель 2026'!$G$2:$G$2719,'апрель 2026'!$D$2:$D$2719,$B21,'апрель 2026'!$J$2:$J$2719,AB$1)</f>
        <v>0</v>
      </c>
      <c r="AC21" s="75">
        <f>SUMIFS('апрель 2026'!$G$2:$G$2719,'апрель 2026'!$D$2:$D$2719,$B21,'апрель 2026'!$J$2:$J$2719,AC$1)</f>
        <v>0</v>
      </c>
      <c r="AD21" s="75">
        <f>SUMIFS('апрель 2026'!$G$2:$G$2719,'апрель 2026'!$D$2:$D$2719,$B21,'апрель 2026'!$J$2:$J$2719,AD$1)</f>
        <v>0</v>
      </c>
      <c r="AE21" s="75">
        <f>SUMIFS('апрель 2026'!$G$2:$G$2719,'апрель 2026'!$D$2:$D$2719,$B21,'апрель 2026'!$J$2:$J$2719,AE$1)</f>
        <v>0</v>
      </c>
      <c r="AF21" s="75">
        <f>SUMIFS('апрель 2026'!$G$2:$G$2719,'апрель 2026'!$D$2:$D$2719,$B21,'апрель 2026'!$J$2:$J$2719,AF$1)</f>
        <v>0</v>
      </c>
      <c r="AG21" s="75">
        <f>SUMIFS('апрель 2026'!$G$2:$G$2719,'апрель 2026'!$D$2:$D$2719,$B21,'апрель 2026'!$J$2:$J$2719,AG$1)</f>
        <v>0</v>
      </c>
      <c r="AH21" s="75">
        <f>SUMIFS('апрель 2026'!$G$2:$G$2719,'апрель 2026'!$D$2:$D$2719,$B21,'апрель 2026'!$J$2:$J$2719,AH$1)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SUMIFS('апрель 2026'!$G$2:$G$2719,'апрель 2026'!$D$2:$D$2719,$B22,'апрель 2026'!$J$2:$J$2719,D$1)</f>
        <v>0</v>
      </c>
      <c r="E22" s="75">
        <f>SUMIFS('апрель 2026'!$G$2:$G$2719,'апрель 2026'!$D$2:$D$2719,$B22,'апрель 2026'!$J$2:$J$2719,E$1)</f>
        <v>0</v>
      </c>
      <c r="F22" s="75">
        <f>SUMIFS('апрель 2026'!$G$2:$G$2719,'апрель 2026'!$D$2:$D$2719,$B22,'апрель 2026'!$J$2:$J$2719,F$1)</f>
        <v>0</v>
      </c>
      <c r="G22" s="75">
        <f>SUMIFS('апрель 2026'!$G$2:$G$2719,'апрель 2026'!$D$2:$D$2719,$B22,'апрель 2026'!$J$2:$J$2719,G$1)</f>
        <v>0</v>
      </c>
      <c r="H22" s="75">
        <f>SUMIFS('апрель 2026'!$G$2:$G$2719,'апрель 2026'!$D$2:$D$2719,$B22,'апрель 2026'!$J$2:$J$2719,H$1)</f>
        <v>0</v>
      </c>
      <c r="I22" s="75">
        <f>SUMIFS('апрель 2026'!$G$2:$G$2719,'апрель 2026'!$D$2:$D$2719,$B22,'апрель 2026'!$J$2:$J$2719,I$1)</f>
        <v>0</v>
      </c>
      <c r="J22" s="75">
        <f>SUMIFS('апрель 2026'!$G$2:$G$2719,'апрель 2026'!$D$2:$D$2719,$B22,'апрель 2026'!$J$2:$J$2719,J$1)</f>
        <v>0</v>
      </c>
      <c r="K22" s="75">
        <f>SUMIFS('апрель 2026'!$G$2:$G$2719,'апрель 2026'!$D$2:$D$2719,$B22,'апрель 2026'!$J$2:$J$2719,K$1)</f>
        <v>0</v>
      </c>
      <c r="L22" s="75">
        <f>SUMIFS('апрель 2026'!$G$2:$G$2719,'апрель 2026'!$D$2:$D$2719,$B22,'апрель 2026'!$J$2:$J$2719,L$1)</f>
        <v>0</v>
      </c>
      <c r="M22" s="75">
        <f>SUMIFS('апрель 2026'!$G$2:$G$2719,'апрель 2026'!$D$2:$D$2719,$B22,'апрель 2026'!$J$2:$J$2719,M$1)</f>
        <v>0</v>
      </c>
      <c r="N22" s="75">
        <f>SUMIFS('апрель 2026'!$G$2:$G$2719,'апрель 2026'!$D$2:$D$2719,$B22,'апрель 2026'!$J$2:$J$2719,N$1)</f>
        <v>0</v>
      </c>
      <c r="O22" s="75">
        <f>SUMIFS('апрель 2026'!$G$2:$G$2719,'апрель 2026'!$D$2:$D$2719,$B22,'апрель 2026'!$J$2:$J$2719,O$1)</f>
        <v>0</v>
      </c>
      <c r="P22" s="75">
        <f>SUMIFS('апрель 2026'!$G$2:$G$2719,'апрель 2026'!$D$2:$D$2719,$B22,'апрель 2026'!$J$2:$J$2719,P$1)</f>
        <v>0</v>
      </c>
      <c r="Q22" s="75">
        <f>SUMIFS('апрель 2026'!$G$2:$G$2719,'апрель 2026'!$D$2:$D$2719,$B22,'апрель 2026'!$J$2:$J$2719,Q$1)</f>
        <v>0</v>
      </c>
      <c r="R22" s="75">
        <f>SUMIFS('апрель 2026'!$G$2:$G$2719,'апрель 2026'!$D$2:$D$2719,$B22,'апрель 2026'!$J$2:$J$2719,R$1)</f>
        <v>0</v>
      </c>
      <c r="S22" s="75">
        <f>SUMIFS('апрель 2026'!$G$2:$G$2719,'апрель 2026'!$D$2:$D$2719,$B22,'апрель 2026'!$J$2:$J$2719,S$1)</f>
        <v>0</v>
      </c>
      <c r="T22" s="75">
        <f>SUMIFS('апрель 2026'!$G$2:$G$2719,'апрель 2026'!$D$2:$D$2719,$B22,'апрель 2026'!$J$2:$J$2719,T$1)</f>
        <v>0</v>
      </c>
      <c r="U22" s="75">
        <f>SUMIFS('апрель 2026'!$G$2:$G$2719,'апрель 2026'!$D$2:$D$2719,$B22,'апрель 2026'!$J$2:$J$2719,U$1)</f>
        <v>0</v>
      </c>
      <c r="V22" s="75">
        <f>SUMIFS('апрель 2026'!$G$2:$G$2719,'апрель 2026'!$D$2:$D$2719,$B22,'апрель 2026'!$J$2:$J$2719,V$1)</f>
        <v>0</v>
      </c>
      <c r="W22" s="75">
        <f>SUMIFS('апрель 2026'!$G$2:$G$2719,'апрель 2026'!$D$2:$D$2719,$B22,'апрель 2026'!$J$2:$J$2719,W$1)</f>
        <v>0</v>
      </c>
      <c r="X22" s="75">
        <f>SUMIFS('апрель 2026'!$G$2:$G$2719,'апрель 2026'!$D$2:$D$2719,$B22,'апрель 2026'!$J$2:$J$2719,X$1)</f>
        <v>0</v>
      </c>
      <c r="Y22" s="75">
        <f>SUMIFS('апрель 2026'!$G$2:$G$2719,'апрель 2026'!$D$2:$D$2719,$B22,'апрель 2026'!$J$2:$J$2719,Y$1)</f>
        <v>0</v>
      </c>
      <c r="Z22" s="75">
        <f>SUMIFS('апрель 2026'!$G$2:$G$2719,'апрель 2026'!$D$2:$D$2719,$B22,'апрель 2026'!$J$2:$J$2719,Z$1)</f>
        <v>0</v>
      </c>
      <c r="AA22" s="75">
        <f>SUMIFS('апрель 2026'!$G$2:$G$2719,'апрель 2026'!$D$2:$D$2719,$B22,'апрель 2026'!$J$2:$J$2719,AA$1)</f>
        <v>0</v>
      </c>
      <c r="AB22" s="75">
        <f>SUMIFS('апрель 2026'!$G$2:$G$2719,'апрель 2026'!$D$2:$D$2719,$B22,'апрель 2026'!$J$2:$J$2719,AB$1)</f>
        <v>0</v>
      </c>
      <c r="AC22" s="75">
        <f>SUMIFS('апрель 2026'!$G$2:$G$2719,'апрель 2026'!$D$2:$D$2719,$B22,'апрель 2026'!$J$2:$J$2719,AC$1)</f>
        <v>0</v>
      </c>
      <c r="AD22" s="75">
        <f>SUMIFS('апрель 2026'!$G$2:$G$2719,'апрель 2026'!$D$2:$D$2719,$B22,'апрель 2026'!$J$2:$J$2719,AD$1)</f>
        <v>0</v>
      </c>
      <c r="AE22" s="75">
        <f>SUMIFS('апрель 2026'!$G$2:$G$2719,'апрель 2026'!$D$2:$D$2719,$B22,'апрель 2026'!$J$2:$J$2719,AE$1)</f>
        <v>0</v>
      </c>
      <c r="AF22" s="75">
        <f>SUMIFS('апрель 2026'!$G$2:$G$2719,'апрель 2026'!$D$2:$D$2719,$B22,'апрель 2026'!$J$2:$J$2719,AF$1)</f>
        <v>0</v>
      </c>
      <c r="AG22" s="75">
        <f>SUMIFS('апрель 2026'!$G$2:$G$2719,'апрель 2026'!$D$2:$D$2719,$B22,'апрель 2026'!$J$2:$J$2719,AG$1)</f>
        <v>0</v>
      </c>
      <c r="AH22" s="75">
        <f>SUMIFS('апрель 2026'!$G$2:$G$2719,'апрель 2026'!$D$2:$D$2719,$B22,'апрель 2026'!$J$2:$J$2719,AH$1)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SUMIFS('апрель 2026'!$G$2:$G$2719,'апрель 2026'!$D$2:$D$2719,$B23,'апрель 2026'!$J$2:$J$2719,D$1)</f>
        <v>0</v>
      </c>
      <c r="E23" s="75">
        <f>SUMIFS('апрель 2026'!$G$2:$G$2719,'апрель 2026'!$D$2:$D$2719,$B23,'апрель 2026'!$J$2:$J$2719,E$1)</f>
        <v>0</v>
      </c>
      <c r="F23" s="75">
        <f>SUMIFS('апрель 2026'!$G$2:$G$2719,'апрель 2026'!$D$2:$D$2719,$B23,'апрель 2026'!$J$2:$J$2719,F$1)</f>
        <v>0</v>
      </c>
      <c r="G23" s="75">
        <f>SUMIFS('апрель 2026'!$G$2:$G$2719,'апрель 2026'!$D$2:$D$2719,$B23,'апрель 2026'!$J$2:$J$2719,G$1)</f>
        <v>0</v>
      </c>
      <c r="H23" s="75">
        <f>SUMIFS('апрель 2026'!$G$2:$G$2719,'апрель 2026'!$D$2:$D$2719,$B23,'апрель 2026'!$J$2:$J$2719,H$1)</f>
        <v>0</v>
      </c>
      <c r="I23" s="75">
        <f>SUMIFS('апрель 2026'!$G$2:$G$2719,'апрель 2026'!$D$2:$D$2719,$B23,'апрель 2026'!$J$2:$J$2719,I$1)</f>
        <v>0</v>
      </c>
      <c r="J23" s="75">
        <f>SUMIFS('апрель 2026'!$G$2:$G$2719,'апрель 2026'!$D$2:$D$2719,$B23,'апрель 2026'!$J$2:$J$2719,J$1)</f>
        <v>0</v>
      </c>
      <c r="K23" s="75">
        <f>SUMIFS('апрель 2026'!$G$2:$G$2719,'апрель 2026'!$D$2:$D$2719,$B23,'апрель 2026'!$J$2:$J$2719,K$1)</f>
        <v>0</v>
      </c>
      <c r="L23" s="75">
        <f>SUMIFS('апрель 2026'!$G$2:$G$2719,'апрель 2026'!$D$2:$D$2719,$B23,'апрель 2026'!$J$2:$J$2719,L$1)</f>
        <v>0</v>
      </c>
      <c r="M23" s="75">
        <f>SUMIFS('апрель 2026'!$G$2:$G$2719,'апрель 2026'!$D$2:$D$2719,$B23,'апрель 2026'!$J$2:$J$2719,M$1)</f>
        <v>0</v>
      </c>
      <c r="N23" s="75">
        <f>SUMIFS('апрель 2026'!$G$2:$G$2719,'апрель 2026'!$D$2:$D$2719,$B23,'апрель 2026'!$J$2:$J$2719,N$1)</f>
        <v>0</v>
      </c>
      <c r="O23" s="75">
        <f>SUMIFS('апрель 2026'!$G$2:$G$2719,'апрель 2026'!$D$2:$D$2719,$B23,'апрель 2026'!$J$2:$J$2719,O$1)</f>
        <v>0</v>
      </c>
      <c r="P23" s="75">
        <f>SUMIFS('апрель 2026'!$G$2:$G$2719,'апрель 2026'!$D$2:$D$2719,$B23,'апрель 2026'!$J$2:$J$2719,P$1)</f>
        <v>0</v>
      </c>
      <c r="Q23" s="75">
        <f>SUMIFS('апрель 2026'!$G$2:$G$2719,'апрель 2026'!$D$2:$D$2719,$B23,'апрель 2026'!$J$2:$J$2719,Q$1)</f>
        <v>0</v>
      </c>
      <c r="R23" s="75">
        <f>SUMIFS('апрель 2026'!$G$2:$G$2719,'апрель 2026'!$D$2:$D$2719,$B23,'апрель 2026'!$J$2:$J$2719,R$1)</f>
        <v>0</v>
      </c>
      <c r="S23" s="75">
        <f>SUMIFS('апрель 2026'!$G$2:$G$2719,'апрель 2026'!$D$2:$D$2719,$B23,'апрель 2026'!$J$2:$J$2719,S$1)</f>
        <v>0</v>
      </c>
      <c r="T23" s="75">
        <f>SUMIFS('апрель 2026'!$G$2:$G$2719,'апрель 2026'!$D$2:$D$2719,$B23,'апрель 2026'!$J$2:$J$2719,T$1)</f>
        <v>0</v>
      </c>
      <c r="U23" s="75">
        <f>SUMIFS('апрель 2026'!$G$2:$G$2719,'апрель 2026'!$D$2:$D$2719,$B23,'апрель 2026'!$J$2:$J$2719,U$1)</f>
        <v>0</v>
      </c>
      <c r="V23" s="75">
        <f>SUMIFS('апрель 2026'!$G$2:$G$2719,'апрель 2026'!$D$2:$D$2719,$B23,'апрель 2026'!$J$2:$J$2719,V$1)</f>
        <v>0</v>
      </c>
      <c r="W23" s="75">
        <f>SUMIFS('апрель 2026'!$G$2:$G$2719,'апрель 2026'!$D$2:$D$2719,$B23,'апрель 2026'!$J$2:$J$2719,W$1)</f>
        <v>0</v>
      </c>
      <c r="X23" s="75">
        <f>SUMIFS('апрель 2026'!$G$2:$G$2719,'апрель 2026'!$D$2:$D$2719,$B23,'апрель 2026'!$J$2:$J$2719,X$1)</f>
        <v>0</v>
      </c>
      <c r="Y23" s="75">
        <f>SUMIFS('апрель 2026'!$G$2:$G$2719,'апрель 2026'!$D$2:$D$2719,$B23,'апрель 2026'!$J$2:$J$2719,Y$1)</f>
        <v>0</v>
      </c>
      <c r="Z23" s="75">
        <f>SUMIFS('апрель 2026'!$G$2:$G$2719,'апрель 2026'!$D$2:$D$2719,$B23,'апрель 2026'!$J$2:$J$2719,Z$1)</f>
        <v>0</v>
      </c>
      <c r="AA23" s="75">
        <f>SUMIFS('апрель 2026'!$G$2:$G$2719,'апрель 2026'!$D$2:$D$2719,$B23,'апрель 2026'!$J$2:$J$2719,AA$1)</f>
        <v>0</v>
      </c>
      <c r="AB23" s="75">
        <f>SUMIFS('апрель 2026'!$G$2:$G$2719,'апрель 2026'!$D$2:$D$2719,$B23,'апрель 2026'!$J$2:$J$2719,AB$1)</f>
        <v>0</v>
      </c>
      <c r="AC23" s="75">
        <f>SUMIFS('апрель 2026'!$G$2:$G$2719,'апрель 2026'!$D$2:$D$2719,$B23,'апрель 2026'!$J$2:$J$2719,AC$1)</f>
        <v>0</v>
      </c>
      <c r="AD23" s="75">
        <f>SUMIFS('апрель 2026'!$G$2:$G$2719,'апрель 2026'!$D$2:$D$2719,$B23,'апрель 2026'!$J$2:$J$2719,AD$1)</f>
        <v>0</v>
      </c>
      <c r="AE23" s="75">
        <f>SUMIFS('апрель 2026'!$G$2:$G$2719,'апрель 2026'!$D$2:$D$2719,$B23,'апрель 2026'!$J$2:$J$2719,AE$1)</f>
        <v>0</v>
      </c>
      <c r="AF23" s="75">
        <f>SUMIFS('апрель 2026'!$G$2:$G$2719,'апрель 2026'!$D$2:$D$2719,$B23,'апрель 2026'!$J$2:$J$2719,AF$1)</f>
        <v>0</v>
      </c>
      <c r="AG23" s="75">
        <f>SUMIFS('апрель 2026'!$G$2:$G$2719,'апрель 2026'!$D$2:$D$2719,$B23,'апрель 2026'!$J$2:$J$2719,AG$1)</f>
        <v>0</v>
      </c>
      <c r="AH23" s="75">
        <f>SUMIFS('апрель 2026'!$G$2:$G$2719,'апрель 2026'!$D$2:$D$2719,$B23,'апрель 2026'!$J$2:$J$2719,AH$1)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SUMIFS('апрель 2026'!$G$2:$G$2719,'апрель 2026'!$D$2:$D$2719,$B24,'апрель 2026'!$J$2:$J$2719,D$1)</f>
        <v>0</v>
      </c>
      <c r="E24" s="75">
        <f>SUMIFS('апрель 2026'!$G$2:$G$2719,'апрель 2026'!$D$2:$D$2719,$B24,'апрель 2026'!$J$2:$J$2719,E$1)</f>
        <v>0</v>
      </c>
      <c r="F24" s="75">
        <f>SUMIFS('апрель 2026'!$G$2:$G$2719,'апрель 2026'!$D$2:$D$2719,$B24,'апрель 2026'!$J$2:$J$2719,F$1)</f>
        <v>0</v>
      </c>
      <c r="G24" s="75">
        <f>SUMIFS('апрель 2026'!$G$2:$G$2719,'апрель 2026'!$D$2:$D$2719,$B24,'апрель 2026'!$J$2:$J$2719,G$1)</f>
        <v>0</v>
      </c>
      <c r="H24" s="75">
        <f>SUMIFS('апрель 2026'!$G$2:$G$2719,'апрель 2026'!$D$2:$D$2719,$B24,'апрель 2026'!$J$2:$J$2719,H$1)</f>
        <v>0</v>
      </c>
      <c r="I24" s="75">
        <f>SUMIFS('апрель 2026'!$G$2:$G$2719,'апрель 2026'!$D$2:$D$2719,$B24,'апрель 2026'!$J$2:$J$2719,I$1)</f>
        <v>0</v>
      </c>
      <c r="J24" s="75">
        <f>SUMIFS('апрель 2026'!$G$2:$G$2719,'апрель 2026'!$D$2:$D$2719,$B24,'апрель 2026'!$J$2:$J$2719,J$1)</f>
        <v>0</v>
      </c>
      <c r="K24" s="75">
        <f>SUMIFS('апрель 2026'!$G$2:$G$2719,'апрель 2026'!$D$2:$D$2719,$B24,'апрель 2026'!$J$2:$J$2719,K$1)</f>
        <v>0</v>
      </c>
      <c r="L24" s="75">
        <f>SUMIFS('апрель 2026'!$G$2:$G$2719,'апрель 2026'!$D$2:$D$2719,$B24,'апрель 2026'!$J$2:$J$2719,L$1)</f>
        <v>0</v>
      </c>
      <c r="M24" s="75">
        <f>SUMIFS('апрель 2026'!$G$2:$G$2719,'апрель 2026'!$D$2:$D$2719,$B24,'апрель 2026'!$J$2:$J$2719,M$1)</f>
        <v>0</v>
      </c>
      <c r="N24" s="75">
        <f>SUMIFS('апрель 2026'!$G$2:$G$2719,'апрель 2026'!$D$2:$D$2719,$B24,'апрель 2026'!$J$2:$J$2719,N$1)</f>
        <v>0</v>
      </c>
      <c r="O24" s="75">
        <f>SUMIFS('апрель 2026'!$G$2:$G$2719,'апрель 2026'!$D$2:$D$2719,$B24,'апрель 2026'!$J$2:$J$2719,O$1)</f>
        <v>0</v>
      </c>
      <c r="P24" s="75">
        <f>SUMIFS('апрель 2026'!$G$2:$G$2719,'апрель 2026'!$D$2:$D$2719,$B24,'апрель 2026'!$J$2:$J$2719,P$1)</f>
        <v>0</v>
      </c>
      <c r="Q24" s="75">
        <f>SUMIFS('апрель 2026'!$G$2:$G$2719,'апрель 2026'!$D$2:$D$2719,$B24,'апрель 2026'!$J$2:$J$2719,Q$1)</f>
        <v>0</v>
      </c>
      <c r="R24" s="75">
        <f>SUMIFS('апрель 2026'!$G$2:$G$2719,'апрель 2026'!$D$2:$D$2719,$B24,'апрель 2026'!$J$2:$J$2719,R$1)</f>
        <v>0</v>
      </c>
      <c r="S24" s="75">
        <f>SUMIFS('апрель 2026'!$G$2:$G$2719,'апрель 2026'!$D$2:$D$2719,$B24,'апрель 2026'!$J$2:$J$2719,S$1)</f>
        <v>0</v>
      </c>
      <c r="T24" s="75">
        <f>SUMIFS('апрель 2026'!$G$2:$G$2719,'апрель 2026'!$D$2:$D$2719,$B24,'апрель 2026'!$J$2:$J$2719,T$1)</f>
        <v>0</v>
      </c>
      <c r="U24" s="75">
        <f>SUMIFS('апрель 2026'!$G$2:$G$2719,'апрель 2026'!$D$2:$D$2719,$B24,'апрель 2026'!$J$2:$J$2719,U$1)</f>
        <v>0</v>
      </c>
      <c r="V24" s="75">
        <f>SUMIFS('апрель 2026'!$G$2:$G$2719,'апрель 2026'!$D$2:$D$2719,$B24,'апрель 2026'!$J$2:$J$2719,V$1)</f>
        <v>0</v>
      </c>
      <c r="W24" s="75">
        <f>SUMIFS('апрель 2026'!$G$2:$G$2719,'апрель 2026'!$D$2:$D$2719,$B24,'апрель 2026'!$J$2:$J$2719,W$1)</f>
        <v>0</v>
      </c>
      <c r="X24" s="75">
        <f>SUMIFS('апрель 2026'!$G$2:$G$2719,'апрель 2026'!$D$2:$D$2719,$B24,'апрель 2026'!$J$2:$J$2719,X$1)</f>
        <v>0</v>
      </c>
      <c r="Y24" s="75">
        <f>SUMIFS('апрель 2026'!$G$2:$G$2719,'апрель 2026'!$D$2:$D$2719,$B24,'апрель 2026'!$J$2:$J$2719,Y$1)</f>
        <v>0</v>
      </c>
      <c r="Z24" s="75">
        <f>SUMIFS('апрель 2026'!$G$2:$G$2719,'апрель 2026'!$D$2:$D$2719,$B24,'апрель 2026'!$J$2:$J$2719,Z$1)</f>
        <v>0</v>
      </c>
      <c r="AA24" s="75">
        <f>SUMIFS('апрель 2026'!$G$2:$G$2719,'апрель 2026'!$D$2:$D$2719,$B24,'апрель 2026'!$J$2:$J$2719,AA$1)</f>
        <v>0</v>
      </c>
      <c r="AB24" s="75">
        <f>SUMIFS('апрель 2026'!$G$2:$G$2719,'апрель 2026'!$D$2:$D$2719,$B24,'апрель 2026'!$J$2:$J$2719,AB$1)</f>
        <v>0</v>
      </c>
      <c r="AC24" s="75">
        <f>SUMIFS('апрель 2026'!$G$2:$G$2719,'апрель 2026'!$D$2:$D$2719,$B24,'апрель 2026'!$J$2:$J$2719,AC$1)</f>
        <v>0</v>
      </c>
      <c r="AD24" s="75">
        <f>SUMIFS('апрель 2026'!$G$2:$G$2719,'апрель 2026'!$D$2:$D$2719,$B24,'апрель 2026'!$J$2:$J$2719,AD$1)</f>
        <v>0</v>
      </c>
      <c r="AE24" s="75">
        <f>SUMIFS('апрель 2026'!$G$2:$G$2719,'апрель 2026'!$D$2:$D$2719,$B24,'апрель 2026'!$J$2:$J$2719,AE$1)</f>
        <v>0</v>
      </c>
      <c r="AF24" s="75">
        <f>SUMIFS('апрель 2026'!$G$2:$G$2719,'апрель 2026'!$D$2:$D$2719,$B24,'апрель 2026'!$J$2:$J$2719,AF$1)</f>
        <v>0</v>
      </c>
      <c r="AG24" s="75">
        <f>SUMIFS('апрель 2026'!$G$2:$G$2719,'апрель 2026'!$D$2:$D$2719,$B24,'апрель 2026'!$J$2:$J$2719,AG$1)</f>
        <v>0</v>
      </c>
      <c r="AH24" s="75">
        <f>SUMIFS('апрель 2026'!$G$2:$G$2719,'апрель 2026'!$D$2:$D$2719,$B24,'апрель 2026'!$J$2:$J$2719,AH$1)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SUMIFS('апрель 2026'!$G$2:$G$2719,'апрель 2026'!$D$2:$D$2719,$B25,'апрель 2026'!$J$2:$J$2719,D$1)</f>
        <v>0</v>
      </c>
      <c r="E25" s="75">
        <f>SUMIFS('апрель 2026'!$G$2:$G$2719,'апрель 2026'!$D$2:$D$2719,$B25,'апрель 2026'!$J$2:$J$2719,E$1)</f>
        <v>0</v>
      </c>
      <c r="F25" s="75">
        <f>SUMIFS('апрель 2026'!$G$2:$G$2719,'апрель 2026'!$D$2:$D$2719,$B25,'апрель 2026'!$J$2:$J$2719,F$1)</f>
        <v>0</v>
      </c>
      <c r="G25" s="75">
        <f>SUMIFS('апрель 2026'!$G$2:$G$2719,'апрель 2026'!$D$2:$D$2719,$B25,'апрель 2026'!$J$2:$J$2719,G$1)</f>
        <v>0</v>
      </c>
      <c r="H25" s="75">
        <f>SUMIFS('апрель 2026'!$G$2:$G$2719,'апрель 2026'!$D$2:$D$2719,$B25,'апрель 2026'!$J$2:$J$2719,H$1)</f>
        <v>0</v>
      </c>
      <c r="I25" s="75">
        <f>SUMIFS('апрель 2026'!$G$2:$G$2719,'апрель 2026'!$D$2:$D$2719,$B25,'апрель 2026'!$J$2:$J$2719,I$1)</f>
        <v>0</v>
      </c>
      <c r="J25" s="75">
        <f>SUMIFS('апрель 2026'!$G$2:$G$2719,'апрель 2026'!$D$2:$D$2719,$B25,'апрель 2026'!$J$2:$J$2719,J$1)</f>
        <v>0</v>
      </c>
      <c r="K25" s="75">
        <f>SUMIFS('апрель 2026'!$G$2:$G$2719,'апрель 2026'!$D$2:$D$2719,$B25,'апрель 2026'!$J$2:$J$2719,K$1)</f>
        <v>0</v>
      </c>
      <c r="L25" s="75">
        <f>SUMIFS('апрель 2026'!$G$2:$G$2719,'апрель 2026'!$D$2:$D$2719,$B25,'апрель 2026'!$J$2:$J$2719,L$1)</f>
        <v>0</v>
      </c>
      <c r="M25" s="75">
        <f>SUMIFS('апрель 2026'!$G$2:$G$2719,'апрель 2026'!$D$2:$D$2719,$B25,'апрель 2026'!$J$2:$J$2719,M$1)</f>
        <v>0</v>
      </c>
      <c r="N25" s="75">
        <f>SUMIFS('апрель 2026'!$G$2:$G$2719,'апрель 2026'!$D$2:$D$2719,$B25,'апрель 2026'!$J$2:$J$2719,N$1)</f>
        <v>0</v>
      </c>
      <c r="O25" s="75">
        <f>SUMIFS('апрель 2026'!$G$2:$G$2719,'апрель 2026'!$D$2:$D$2719,$B25,'апрель 2026'!$J$2:$J$2719,O$1)</f>
        <v>0</v>
      </c>
      <c r="P25" s="75">
        <f>SUMIFS('апрель 2026'!$G$2:$G$2719,'апрель 2026'!$D$2:$D$2719,$B25,'апрель 2026'!$J$2:$J$2719,P$1)</f>
        <v>0</v>
      </c>
      <c r="Q25" s="75">
        <f>SUMIFS('апрель 2026'!$G$2:$G$2719,'апрель 2026'!$D$2:$D$2719,$B25,'апрель 2026'!$J$2:$J$2719,Q$1)</f>
        <v>0</v>
      </c>
      <c r="R25" s="75">
        <f>SUMIFS('апрель 2026'!$G$2:$G$2719,'апрель 2026'!$D$2:$D$2719,$B25,'апрель 2026'!$J$2:$J$2719,R$1)</f>
        <v>0</v>
      </c>
      <c r="S25" s="75">
        <f>SUMIFS('апрель 2026'!$G$2:$G$2719,'апрель 2026'!$D$2:$D$2719,$B25,'апрель 2026'!$J$2:$J$2719,S$1)</f>
        <v>0</v>
      </c>
      <c r="T25" s="75">
        <f>SUMIFS('апрель 2026'!$G$2:$G$2719,'апрель 2026'!$D$2:$D$2719,$B25,'апрель 2026'!$J$2:$J$2719,T$1)</f>
        <v>0</v>
      </c>
      <c r="U25" s="75">
        <f>SUMIFS('апрель 2026'!$G$2:$G$2719,'апрель 2026'!$D$2:$D$2719,$B25,'апрель 2026'!$J$2:$J$2719,U$1)</f>
        <v>0</v>
      </c>
      <c r="V25" s="75">
        <f>SUMIFS('апрель 2026'!$G$2:$G$2719,'апрель 2026'!$D$2:$D$2719,$B25,'апрель 2026'!$J$2:$J$2719,V$1)</f>
        <v>0</v>
      </c>
      <c r="W25" s="75">
        <f>SUMIFS('апрель 2026'!$G$2:$G$2719,'апрель 2026'!$D$2:$D$2719,$B25,'апрель 2026'!$J$2:$J$2719,W$1)</f>
        <v>0</v>
      </c>
      <c r="X25" s="75">
        <f>SUMIFS('апрель 2026'!$G$2:$G$2719,'апрель 2026'!$D$2:$D$2719,$B25,'апрель 2026'!$J$2:$J$2719,X$1)</f>
        <v>0</v>
      </c>
      <c r="Y25" s="75">
        <f>SUMIFS('апрель 2026'!$G$2:$G$2719,'апрель 2026'!$D$2:$D$2719,$B25,'апрель 2026'!$J$2:$J$2719,Y$1)</f>
        <v>0</v>
      </c>
      <c r="Z25" s="75">
        <f>SUMIFS('апрель 2026'!$G$2:$G$2719,'апрель 2026'!$D$2:$D$2719,$B25,'апрель 2026'!$J$2:$J$2719,Z$1)</f>
        <v>0</v>
      </c>
      <c r="AA25" s="75">
        <f>SUMIFS('апрель 2026'!$G$2:$G$2719,'апрель 2026'!$D$2:$D$2719,$B25,'апрель 2026'!$J$2:$J$2719,AA$1)</f>
        <v>0</v>
      </c>
      <c r="AB25" s="75">
        <f>SUMIFS('апрель 2026'!$G$2:$G$2719,'апрель 2026'!$D$2:$D$2719,$B25,'апрель 2026'!$J$2:$J$2719,AB$1)</f>
        <v>0</v>
      </c>
      <c r="AC25" s="75">
        <f>SUMIFS('апрель 2026'!$G$2:$G$2719,'апрель 2026'!$D$2:$D$2719,$B25,'апрель 2026'!$J$2:$J$2719,AC$1)</f>
        <v>0</v>
      </c>
      <c r="AD25" s="75">
        <f>SUMIFS('апрель 2026'!$G$2:$G$2719,'апрель 2026'!$D$2:$D$2719,$B25,'апрель 2026'!$J$2:$J$2719,AD$1)</f>
        <v>0</v>
      </c>
      <c r="AE25" s="75">
        <f>SUMIFS('апрель 2026'!$G$2:$G$2719,'апрель 2026'!$D$2:$D$2719,$B25,'апрель 2026'!$J$2:$J$2719,AE$1)</f>
        <v>0</v>
      </c>
      <c r="AF25" s="75">
        <f>SUMIFS('апрель 2026'!$G$2:$G$2719,'апрель 2026'!$D$2:$D$2719,$B25,'апрель 2026'!$J$2:$J$2719,AF$1)</f>
        <v>0</v>
      </c>
      <c r="AG25" s="75">
        <f>SUMIFS('апрель 2026'!$G$2:$G$2719,'апрель 2026'!$D$2:$D$2719,$B25,'апрель 2026'!$J$2:$J$2719,AG$1)</f>
        <v>0</v>
      </c>
      <c r="AH25" s="75">
        <f>SUMIFS('апрель 2026'!$G$2:$G$2719,'апрель 2026'!$D$2:$D$2719,$B25,'апрель 2026'!$J$2:$J$2719,AH$1)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SUMIFS('апрель 2026'!$G$2:$G$2719,'апрель 2026'!$D$2:$D$2719,$B26,'апрель 2026'!$J$2:$J$2719,D$1)</f>
        <v>0</v>
      </c>
      <c r="E26" s="75">
        <f>SUMIFS('апрель 2026'!$G$2:$G$2719,'апрель 2026'!$D$2:$D$2719,$B26,'апрель 2026'!$J$2:$J$2719,E$1)</f>
        <v>0</v>
      </c>
      <c r="F26" s="75">
        <f>SUMIFS('апрель 2026'!$G$2:$G$2719,'апрель 2026'!$D$2:$D$2719,$B26,'апрель 2026'!$J$2:$J$2719,F$1)</f>
        <v>0</v>
      </c>
      <c r="G26" s="75">
        <f>SUMIFS('апрель 2026'!$G$2:$G$2719,'апрель 2026'!$D$2:$D$2719,$B26,'апрель 2026'!$J$2:$J$2719,G$1)</f>
        <v>0</v>
      </c>
      <c r="H26" s="75">
        <f>SUMIFS('апрель 2026'!$G$2:$G$2719,'апрель 2026'!$D$2:$D$2719,$B26,'апрель 2026'!$J$2:$J$2719,H$1)</f>
        <v>0</v>
      </c>
      <c r="I26" s="75">
        <f>SUMIFS('апрель 2026'!$G$2:$G$2719,'апрель 2026'!$D$2:$D$2719,$B26,'апрель 2026'!$J$2:$J$2719,I$1)</f>
        <v>0</v>
      </c>
      <c r="J26" s="75">
        <f>SUMIFS('апрель 2026'!$G$2:$G$2719,'апрель 2026'!$D$2:$D$2719,$B26,'апрель 2026'!$J$2:$J$2719,J$1)</f>
        <v>0</v>
      </c>
      <c r="K26" s="75">
        <f>SUMIFS('апрель 2026'!$G$2:$G$2719,'апрель 2026'!$D$2:$D$2719,$B26,'апрель 2026'!$J$2:$J$2719,K$1)</f>
        <v>0</v>
      </c>
      <c r="L26" s="75">
        <f>SUMIFS('апрель 2026'!$G$2:$G$2719,'апрель 2026'!$D$2:$D$2719,$B26,'апрель 2026'!$J$2:$J$2719,L$1)</f>
        <v>0</v>
      </c>
      <c r="M26" s="75">
        <f>SUMIFS('апрель 2026'!$G$2:$G$2719,'апрель 2026'!$D$2:$D$2719,$B26,'апрель 2026'!$J$2:$J$2719,M$1)</f>
        <v>0</v>
      </c>
      <c r="N26" s="75">
        <f>SUMIFS('апрель 2026'!$G$2:$G$2719,'апрель 2026'!$D$2:$D$2719,$B26,'апрель 2026'!$J$2:$J$2719,N$1)</f>
        <v>0</v>
      </c>
      <c r="O26" s="75">
        <f>SUMIFS('апрель 2026'!$G$2:$G$2719,'апрель 2026'!$D$2:$D$2719,$B26,'апрель 2026'!$J$2:$J$2719,O$1)</f>
        <v>0</v>
      </c>
      <c r="P26" s="75">
        <f>SUMIFS('апрель 2026'!$G$2:$G$2719,'апрель 2026'!$D$2:$D$2719,$B26,'апрель 2026'!$J$2:$J$2719,P$1)</f>
        <v>0</v>
      </c>
      <c r="Q26" s="75">
        <f>SUMIFS('апрель 2026'!$G$2:$G$2719,'апрель 2026'!$D$2:$D$2719,$B26,'апрель 2026'!$J$2:$J$2719,Q$1)</f>
        <v>0</v>
      </c>
      <c r="R26" s="75">
        <f>SUMIFS('апрель 2026'!$G$2:$G$2719,'апрель 2026'!$D$2:$D$2719,$B26,'апрель 2026'!$J$2:$J$2719,R$1)</f>
        <v>0</v>
      </c>
      <c r="S26" s="75">
        <f>SUMIFS('апрель 2026'!$G$2:$G$2719,'апрель 2026'!$D$2:$D$2719,$B26,'апрель 2026'!$J$2:$J$2719,S$1)</f>
        <v>0</v>
      </c>
      <c r="T26" s="75">
        <f>SUMIFS('апрель 2026'!$G$2:$G$2719,'апрель 2026'!$D$2:$D$2719,$B26,'апрель 2026'!$J$2:$J$2719,T$1)</f>
        <v>0</v>
      </c>
      <c r="U26" s="75">
        <f>SUMIFS('апрель 2026'!$G$2:$G$2719,'апрель 2026'!$D$2:$D$2719,$B26,'апрель 2026'!$J$2:$J$2719,U$1)</f>
        <v>0</v>
      </c>
      <c r="V26" s="75">
        <f>SUMIFS('апрель 2026'!$G$2:$G$2719,'апрель 2026'!$D$2:$D$2719,$B26,'апрель 2026'!$J$2:$J$2719,V$1)</f>
        <v>0</v>
      </c>
      <c r="W26" s="75">
        <f>SUMIFS('апрель 2026'!$G$2:$G$2719,'апрель 2026'!$D$2:$D$2719,$B26,'апрель 2026'!$J$2:$J$2719,W$1)</f>
        <v>0</v>
      </c>
      <c r="X26" s="75">
        <f>SUMIFS('апрель 2026'!$G$2:$G$2719,'апрель 2026'!$D$2:$D$2719,$B26,'апрель 2026'!$J$2:$J$2719,X$1)</f>
        <v>0</v>
      </c>
      <c r="Y26" s="75">
        <f>SUMIFS('апрель 2026'!$G$2:$G$2719,'апрель 2026'!$D$2:$D$2719,$B26,'апрель 2026'!$J$2:$J$2719,Y$1)</f>
        <v>0</v>
      </c>
      <c r="Z26" s="75">
        <f>SUMIFS('апрель 2026'!$G$2:$G$2719,'апрель 2026'!$D$2:$D$2719,$B26,'апрель 2026'!$J$2:$J$2719,Z$1)</f>
        <v>0</v>
      </c>
      <c r="AA26" s="75">
        <f>SUMIFS('апрель 2026'!$G$2:$G$2719,'апрель 2026'!$D$2:$D$2719,$B26,'апрель 2026'!$J$2:$J$2719,AA$1)</f>
        <v>0</v>
      </c>
      <c r="AB26" s="75">
        <f>SUMIFS('апрель 2026'!$G$2:$G$2719,'апрель 2026'!$D$2:$D$2719,$B26,'апрель 2026'!$J$2:$J$2719,AB$1)</f>
        <v>0</v>
      </c>
      <c r="AC26" s="75">
        <f>SUMIFS('апрель 2026'!$G$2:$G$2719,'апрель 2026'!$D$2:$D$2719,$B26,'апрель 2026'!$J$2:$J$2719,AC$1)</f>
        <v>0</v>
      </c>
      <c r="AD26" s="75">
        <f>SUMIFS('апрель 2026'!$G$2:$G$2719,'апрель 2026'!$D$2:$D$2719,$B26,'апрель 2026'!$J$2:$J$2719,AD$1)</f>
        <v>0</v>
      </c>
      <c r="AE26" s="75">
        <f>SUMIFS('апрель 2026'!$G$2:$G$2719,'апрель 2026'!$D$2:$D$2719,$B26,'апрель 2026'!$J$2:$J$2719,AE$1)</f>
        <v>0</v>
      </c>
      <c r="AF26" s="75">
        <f>SUMIFS('апрель 2026'!$G$2:$G$2719,'апрель 2026'!$D$2:$D$2719,$B26,'апрель 2026'!$J$2:$J$2719,AF$1)</f>
        <v>0</v>
      </c>
      <c r="AG26" s="75">
        <f>SUMIFS('апрель 2026'!$G$2:$G$2719,'апрель 2026'!$D$2:$D$2719,$B26,'апрель 2026'!$J$2:$J$2719,AG$1)</f>
        <v>0</v>
      </c>
      <c r="AH26" s="75">
        <f>SUMIFS('апрель 2026'!$G$2:$G$2719,'апрель 2026'!$D$2:$D$2719,$B26,'апрель 2026'!$J$2:$J$2719,AH$1)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SUMIFS('апрель 2026'!$G$2:$G$2719,'апрель 2026'!$D$2:$D$2719,$B27,'апрель 2026'!$J$2:$J$2719,D$1)</f>
        <v>0</v>
      </c>
      <c r="E27" s="75">
        <f>SUMIFS('апрель 2026'!$G$2:$G$2719,'апрель 2026'!$D$2:$D$2719,$B27,'апрель 2026'!$J$2:$J$2719,E$1)</f>
        <v>0</v>
      </c>
      <c r="F27" s="75">
        <f>SUMIFS('апрель 2026'!$G$2:$G$2719,'апрель 2026'!$D$2:$D$2719,$B27,'апрель 2026'!$J$2:$J$2719,F$1)</f>
        <v>0</v>
      </c>
      <c r="G27" s="75">
        <f>SUMIFS('апрель 2026'!$G$2:$G$2719,'апрель 2026'!$D$2:$D$2719,$B27,'апрель 2026'!$J$2:$J$2719,G$1)</f>
        <v>0</v>
      </c>
      <c r="H27" s="75">
        <f>SUMIFS('апрель 2026'!$G$2:$G$2719,'апрель 2026'!$D$2:$D$2719,$B27,'апрель 2026'!$J$2:$J$2719,H$1)</f>
        <v>0</v>
      </c>
      <c r="I27" s="75">
        <f>SUMIFS('апрель 2026'!$G$2:$G$2719,'апрель 2026'!$D$2:$D$2719,$B27,'апрель 2026'!$J$2:$J$2719,I$1)</f>
        <v>0</v>
      </c>
      <c r="J27" s="75">
        <f>SUMIFS('апрель 2026'!$G$2:$G$2719,'апрель 2026'!$D$2:$D$2719,$B27,'апрель 2026'!$J$2:$J$2719,J$1)</f>
        <v>0</v>
      </c>
      <c r="K27" s="75">
        <f>SUMIFS('апрель 2026'!$G$2:$G$2719,'апрель 2026'!$D$2:$D$2719,$B27,'апрель 2026'!$J$2:$J$2719,K$1)</f>
        <v>0</v>
      </c>
      <c r="L27" s="75">
        <f>SUMIFS('апрель 2026'!$G$2:$G$2719,'апрель 2026'!$D$2:$D$2719,$B27,'апрель 2026'!$J$2:$J$2719,L$1)</f>
        <v>0</v>
      </c>
      <c r="M27" s="75">
        <f>SUMIFS('апрель 2026'!$G$2:$G$2719,'апрель 2026'!$D$2:$D$2719,$B27,'апрель 2026'!$J$2:$J$2719,M$1)</f>
        <v>0</v>
      </c>
      <c r="N27" s="75">
        <f>SUMIFS('апрель 2026'!$G$2:$G$2719,'апрель 2026'!$D$2:$D$2719,$B27,'апрель 2026'!$J$2:$J$2719,N$1)</f>
        <v>0</v>
      </c>
      <c r="O27" s="75">
        <f>SUMIFS('апрель 2026'!$G$2:$G$2719,'апрель 2026'!$D$2:$D$2719,$B27,'апрель 2026'!$J$2:$J$2719,O$1)</f>
        <v>0</v>
      </c>
      <c r="P27" s="75">
        <f>SUMIFS('апрель 2026'!$G$2:$G$2719,'апрель 2026'!$D$2:$D$2719,$B27,'апрель 2026'!$J$2:$J$2719,P$1)</f>
        <v>0</v>
      </c>
      <c r="Q27" s="75">
        <f>SUMIFS('апрель 2026'!$G$2:$G$2719,'апрель 2026'!$D$2:$D$2719,$B27,'апрель 2026'!$J$2:$J$2719,Q$1)</f>
        <v>0</v>
      </c>
      <c r="R27" s="75">
        <f>SUMIFS('апрель 2026'!$G$2:$G$2719,'апрель 2026'!$D$2:$D$2719,$B27,'апрель 2026'!$J$2:$J$2719,R$1)</f>
        <v>0</v>
      </c>
      <c r="S27" s="75">
        <f>SUMIFS('апрель 2026'!$G$2:$G$2719,'апрель 2026'!$D$2:$D$2719,$B27,'апрель 2026'!$J$2:$J$2719,S$1)</f>
        <v>0</v>
      </c>
      <c r="T27" s="75">
        <f>SUMIFS('апрель 2026'!$G$2:$G$2719,'апрель 2026'!$D$2:$D$2719,$B27,'апрель 2026'!$J$2:$J$2719,T$1)</f>
        <v>0</v>
      </c>
      <c r="U27" s="75">
        <f>SUMIFS('апрель 2026'!$G$2:$G$2719,'апрель 2026'!$D$2:$D$2719,$B27,'апрель 2026'!$J$2:$J$2719,U$1)</f>
        <v>0</v>
      </c>
      <c r="V27" s="75">
        <f>SUMIFS('апрель 2026'!$G$2:$G$2719,'апрель 2026'!$D$2:$D$2719,$B27,'апрель 2026'!$J$2:$J$2719,V$1)</f>
        <v>0</v>
      </c>
      <c r="W27" s="75">
        <f>SUMIFS('апрель 2026'!$G$2:$G$2719,'апрель 2026'!$D$2:$D$2719,$B27,'апрель 2026'!$J$2:$J$2719,W$1)</f>
        <v>0</v>
      </c>
      <c r="X27" s="75">
        <f>SUMIFS('апрель 2026'!$G$2:$G$2719,'апрель 2026'!$D$2:$D$2719,$B27,'апрель 2026'!$J$2:$J$2719,X$1)</f>
        <v>0</v>
      </c>
      <c r="Y27" s="75">
        <f>SUMIFS('апрель 2026'!$G$2:$G$2719,'апрель 2026'!$D$2:$D$2719,$B27,'апрель 2026'!$J$2:$J$2719,Y$1)</f>
        <v>0</v>
      </c>
      <c r="Z27" s="75">
        <f>SUMIFS('апрель 2026'!$G$2:$G$2719,'апрель 2026'!$D$2:$D$2719,$B27,'апрель 2026'!$J$2:$J$2719,Z$1)</f>
        <v>0</v>
      </c>
      <c r="AA27" s="75">
        <f>SUMIFS('апрель 2026'!$G$2:$G$2719,'апрель 2026'!$D$2:$D$2719,$B27,'апрель 2026'!$J$2:$J$2719,AA$1)</f>
        <v>0</v>
      </c>
      <c r="AB27" s="75">
        <f>SUMIFS('апрель 2026'!$G$2:$G$2719,'апрель 2026'!$D$2:$D$2719,$B27,'апрель 2026'!$J$2:$J$2719,AB$1)</f>
        <v>0</v>
      </c>
      <c r="AC27" s="75">
        <f>SUMIFS('апрель 2026'!$G$2:$G$2719,'апрель 2026'!$D$2:$D$2719,$B27,'апрель 2026'!$J$2:$J$2719,AC$1)</f>
        <v>0</v>
      </c>
      <c r="AD27" s="75">
        <f>SUMIFS('апрель 2026'!$G$2:$G$2719,'апрель 2026'!$D$2:$D$2719,$B27,'апрель 2026'!$J$2:$J$2719,AD$1)</f>
        <v>0</v>
      </c>
      <c r="AE27" s="75">
        <f>SUMIFS('апрель 2026'!$G$2:$G$2719,'апрель 2026'!$D$2:$D$2719,$B27,'апрель 2026'!$J$2:$J$2719,AE$1)</f>
        <v>0</v>
      </c>
      <c r="AF27" s="75">
        <f>SUMIFS('апрель 2026'!$G$2:$G$2719,'апрель 2026'!$D$2:$D$2719,$B27,'апрель 2026'!$J$2:$J$2719,AF$1)</f>
        <v>0</v>
      </c>
      <c r="AG27" s="75">
        <f>SUMIFS('апрель 2026'!$G$2:$G$2719,'апрель 2026'!$D$2:$D$2719,$B27,'апрель 2026'!$J$2:$J$2719,AG$1)</f>
        <v>0</v>
      </c>
      <c r="AH27" s="75">
        <f>SUMIFS('апрель 2026'!$G$2:$G$2719,'апрель 2026'!$D$2:$D$2719,$B27,'апрель 2026'!$J$2:$J$2719,AH$1)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SUMIFS('апрель 2026'!$G$2:$G$2719,'апрель 2026'!$D$2:$D$2719,$B28,'апрель 2026'!$J$2:$J$2719,D$1)</f>
        <v>0</v>
      </c>
      <c r="E28" s="75">
        <f>SUMIFS('апрель 2026'!$G$2:$G$2719,'апрель 2026'!$D$2:$D$2719,$B28,'апрель 2026'!$J$2:$J$2719,E$1)</f>
        <v>0</v>
      </c>
      <c r="F28" s="75">
        <f>SUMIFS('апрель 2026'!$G$2:$G$2719,'апрель 2026'!$D$2:$D$2719,$B28,'апрель 2026'!$J$2:$J$2719,F$1)</f>
        <v>0</v>
      </c>
      <c r="G28" s="75">
        <f>SUMIFS('апрель 2026'!$G$2:$G$2719,'апрель 2026'!$D$2:$D$2719,$B28,'апрель 2026'!$J$2:$J$2719,G$1)</f>
        <v>0</v>
      </c>
      <c r="H28" s="75">
        <f>SUMIFS('апрель 2026'!$G$2:$G$2719,'апрель 2026'!$D$2:$D$2719,$B28,'апрель 2026'!$J$2:$J$2719,H$1)</f>
        <v>0</v>
      </c>
      <c r="I28" s="75">
        <f>SUMIFS('апрель 2026'!$G$2:$G$2719,'апрель 2026'!$D$2:$D$2719,$B28,'апрель 2026'!$J$2:$J$2719,I$1)</f>
        <v>0</v>
      </c>
      <c r="J28" s="75">
        <f>SUMIFS('апрель 2026'!$G$2:$G$2719,'апрель 2026'!$D$2:$D$2719,$B28,'апрель 2026'!$J$2:$J$2719,J$1)</f>
        <v>0</v>
      </c>
      <c r="K28" s="75">
        <f>SUMIFS('апрель 2026'!$G$2:$G$2719,'апрель 2026'!$D$2:$D$2719,$B28,'апрель 2026'!$J$2:$J$2719,K$1)</f>
        <v>0</v>
      </c>
      <c r="L28" s="75">
        <f>SUMIFS('апрель 2026'!$G$2:$G$2719,'апрель 2026'!$D$2:$D$2719,$B28,'апрель 2026'!$J$2:$J$2719,L$1)</f>
        <v>0</v>
      </c>
      <c r="M28" s="75">
        <f>SUMIFS('апрель 2026'!$G$2:$G$2719,'апрель 2026'!$D$2:$D$2719,$B28,'апрель 2026'!$J$2:$J$2719,M$1)</f>
        <v>0</v>
      </c>
      <c r="N28" s="75">
        <f>SUMIFS('апрель 2026'!$G$2:$G$2719,'апрель 2026'!$D$2:$D$2719,$B28,'апрель 2026'!$J$2:$J$2719,N$1)</f>
        <v>0</v>
      </c>
      <c r="O28" s="75">
        <f>SUMIFS('апрель 2026'!$G$2:$G$2719,'апрель 2026'!$D$2:$D$2719,$B28,'апрель 2026'!$J$2:$J$2719,O$1)</f>
        <v>0</v>
      </c>
      <c r="P28" s="75">
        <f>SUMIFS('апрель 2026'!$G$2:$G$2719,'апрель 2026'!$D$2:$D$2719,$B28,'апрель 2026'!$J$2:$J$2719,P$1)</f>
        <v>0</v>
      </c>
      <c r="Q28" s="75">
        <f>SUMIFS('апрель 2026'!$G$2:$G$2719,'апрель 2026'!$D$2:$D$2719,$B28,'апрель 2026'!$J$2:$J$2719,Q$1)</f>
        <v>0</v>
      </c>
      <c r="R28" s="75">
        <f>SUMIFS('апрель 2026'!$G$2:$G$2719,'апрель 2026'!$D$2:$D$2719,$B28,'апрель 2026'!$J$2:$J$2719,R$1)</f>
        <v>0</v>
      </c>
      <c r="S28" s="75">
        <f>SUMIFS('апрель 2026'!$G$2:$G$2719,'апрель 2026'!$D$2:$D$2719,$B28,'апрель 2026'!$J$2:$J$2719,S$1)</f>
        <v>0</v>
      </c>
      <c r="T28" s="75">
        <f>SUMIFS('апрель 2026'!$G$2:$G$2719,'апрель 2026'!$D$2:$D$2719,$B28,'апрель 2026'!$J$2:$J$2719,T$1)</f>
        <v>0</v>
      </c>
      <c r="U28" s="75">
        <f>SUMIFS('апрель 2026'!$G$2:$G$2719,'апрель 2026'!$D$2:$D$2719,$B28,'апрель 2026'!$J$2:$J$2719,U$1)</f>
        <v>0</v>
      </c>
      <c r="V28" s="75">
        <f>SUMIFS('апрель 2026'!$G$2:$G$2719,'апрель 2026'!$D$2:$D$2719,$B28,'апрель 2026'!$J$2:$J$2719,V$1)</f>
        <v>0</v>
      </c>
      <c r="W28" s="75">
        <f>SUMIFS('апрель 2026'!$G$2:$G$2719,'апрель 2026'!$D$2:$D$2719,$B28,'апрель 2026'!$J$2:$J$2719,W$1)</f>
        <v>0</v>
      </c>
      <c r="X28" s="75">
        <f>SUMIFS('апрель 2026'!$G$2:$G$2719,'апрель 2026'!$D$2:$D$2719,$B28,'апрель 2026'!$J$2:$J$2719,X$1)</f>
        <v>0</v>
      </c>
      <c r="Y28" s="75">
        <f>SUMIFS('апрель 2026'!$G$2:$G$2719,'апрель 2026'!$D$2:$D$2719,$B28,'апрель 2026'!$J$2:$J$2719,Y$1)</f>
        <v>0</v>
      </c>
      <c r="Z28" s="75">
        <f>SUMIFS('апрель 2026'!$G$2:$G$2719,'апрель 2026'!$D$2:$D$2719,$B28,'апрель 2026'!$J$2:$J$2719,Z$1)</f>
        <v>0</v>
      </c>
      <c r="AA28" s="75">
        <f>SUMIFS('апрель 2026'!$G$2:$G$2719,'апрель 2026'!$D$2:$D$2719,$B28,'апрель 2026'!$J$2:$J$2719,AA$1)</f>
        <v>0</v>
      </c>
      <c r="AB28" s="75">
        <f>SUMIFS('апрель 2026'!$G$2:$G$2719,'апрель 2026'!$D$2:$D$2719,$B28,'апрель 2026'!$J$2:$J$2719,AB$1)</f>
        <v>0</v>
      </c>
      <c r="AC28" s="75">
        <f>SUMIFS('апрель 2026'!$G$2:$G$2719,'апрель 2026'!$D$2:$D$2719,$B28,'апрель 2026'!$J$2:$J$2719,AC$1)</f>
        <v>0</v>
      </c>
      <c r="AD28" s="75">
        <f>SUMIFS('апрель 2026'!$G$2:$G$2719,'апрель 2026'!$D$2:$D$2719,$B28,'апрель 2026'!$J$2:$J$2719,AD$1)</f>
        <v>0</v>
      </c>
      <c r="AE28" s="75">
        <f>SUMIFS('апрель 2026'!$G$2:$G$2719,'апрель 2026'!$D$2:$D$2719,$B28,'апрель 2026'!$J$2:$J$2719,AE$1)</f>
        <v>0</v>
      </c>
      <c r="AF28" s="75">
        <f>SUMIFS('апрель 2026'!$G$2:$G$2719,'апрель 2026'!$D$2:$D$2719,$B28,'апрель 2026'!$J$2:$J$2719,AF$1)</f>
        <v>0</v>
      </c>
      <c r="AG28" s="75">
        <f>SUMIFS('апрель 2026'!$G$2:$G$2719,'апрель 2026'!$D$2:$D$2719,$B28,'апрель 2026'!$J$2:$J$2719,AG$1)</f>
        <v>0</v>
      </c>
      <c r="AH28" s="75">
        <f>SUMIFS('апрель 2026'!$G$2:$G$2719,'апрель 2026'!$D$2:$D$2719,$B28,'апрель 2026'!$J$2:$J$2719,AH$1)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SUMIFS('апрель 2026'!$G$2:$G$2719,'апрель 2026'!$D$2:$D$2719,$B29,'апрель 2026'!$J$2:$J$2719,D$1)</f>
        <v>0</v>
      </c>
      <c r="E29" s="75">
        <f>SUMIFS('апрель 2026'!$G$2:$G$2719,'апрель 2026'!$D$2:$D$2719,$B29,'апрель 2026'!$J$2:$J$2719,E$1)</f>
        <v>0</v>
      </c>
      <c r="F29" s="75">
        <f>SUMIFS('апрель 2026'!$G$2:$G$2719,'апрель 2026'!$D$2:$D$2719,$B29,'апрель 2026'!$J$2:$J$2719,F$1)</f>
        <v>0</v>
      </c>
      <c r="G29" s="75">
        <f>SUMIFS('апрель 2026'!$G$2:$G$2719,'апрель 2026'!$D$2:$D$2719,$B29,'апрель 2026'!$J$2:$J$2719,G$1)</f>
        <v>0</v>
      </c>
      <c r="H29" s="75">
        <f>SUMIFS('апрель 2026'!$G$2:$G$2719,'апрель 2026'!$D$2:$D$2719,$B29,'апрель 2026'!$J$2:$J$2719,H$1)</f>
        <v>0</v>
      </c>
      <c r="I29" s="75">
        <f>SUMIFS('апрель 2026'!$G$2:$G$2719,'апрель 2026'!$D$2:$D$2719,$B29,'апрель 2026'!$J$2:$J$2719,I$1)</f>
        <v>0</v>
      </c>
      <c r="J29" s="75">
        <f>SUMIFS('апрель 2026'!$G$2:$G$2719,'апрель 2026'!$D$2:$D$2719,$B29,'апрель 2026'!$J$2:$J$2719,J$1)</f>
        <v>0</v>
      </c>
      <c r="K29" s="75">
        <f>SUMIFS('апрель 2026'!$G$2:$G$2719,'апрель 2026'!$D$2:$D$2719,$B29,'апрель 2026'!$J$2:$J$2719,K$1)</f>
        <v>0</v>
      </c>
      <c r="L29" s="75">
        <f>SUMIFS('апрель 2026'!$G$2:$G$2719,'апрель 2026'!$D$2:$D$2719,$B29,'апрель 2026'!$J$2:$J$2719,L$1)</f>
        <v>0</v>
      </c>
      <c r="M29" s="75">
        <f>SUMIFS('апрель 2026'!$G$2:$G$2719,'апрель 2026'!$D$2:$D$2719,$B29,'апрель 2026'!$J$2:$J$2719,M$1)</f>
        <v>0</v>
      </c>
      <c r="N29" s="75">
        <f>SUMIFS('апрель 2026'!$G$2:$G$2719,'апрель 2026'!$D$2:$D$2719,$B29,'апрель 2026'!$J$2:$J$2719,N$1)</f>
        <v>0</v>
      </c>
      <c r="O29" s="75">
        <f>SUMIFS('апрель 2026'!$G$2:$G$2719,'апрель 2026'!$D$2:$D$2719,$B29,'апрель 2026'!$J$2:$J$2719,O$1)</f>
        <v>0</v>
      </c>
      <c r="P29" s="75">
        <f>SUMIFS('апрель 2026'!$G$2:$G$2719,'апрель 2026'!$D$2:$D$2719,$B29,'апрель 2026'!$J$2:$J$2719,P$1)</f>
        <v>0</v>
      </c>
      <c r="Q29" s="75">
        <f>SUMIFS('апрель 2026'!$G$2:$G$2719,'апрель 2026'!$D$2:$D$2719,$B29,'апрель 2026'!$J$2:$J$2719,Q$1)</f>
        <v>0</v>
      </c>
      <c r="R29" s="75">
        <f>SUMIFS('апрель 2026'!$G$2:$G$2719,'апрель 2026'!$D$2:$D$2719,$B29,'апрель 2026'!$J$2:$J$2719,R$1)</f>
        <v>0</v>
      </c>
      <c r="S29" s="75">
        <f>SUMIFS('апрель 2026'!$G$2:$G$2719,'апрель 2026'!$D$2:$D$2719,$B29,'апрель 2026'!$J$2:$J$2719,S$1)</f>
        <v>0</v>
      </c>
      <c r="T29" s="75">
        <f>SUMIFS('апрель 2026'!$G$2:$G$2719,'апрель 2026'!$D$2:$D$2719,$B29,'апрель 2026'!$J$2:$J$2719,T$1)</f>
        <v>0</v>
      </c>
      <c r="U29" s="75">
        <f>SUMIFS('апрель 2026'!$G$2:$G$2719,'апрель 2026'!$D$2:$D$2719,$B29,'апрель 2026'!$J$2:$J$2719,U$1)</f>
        <v>0</v>
      </c>
      <c r="V29" s="75">
        <f>SUMIFS('апрель 2026'!$G$2:$G$2719,'апрель 2026'!$D$2:$D$2719,$B29,'апрель 2026'!$J$2:$J$2719,V$1)</f>
        <v>0</v>
      </c>
      <c r="W29" s="75">
        <f>SUMIFS('апрель 2026'!$G$2:$G$2719,'апрель 2026'!$D$2:$D$2719,$B29,'апрель 2026'!$J$2:$J$2719,W$1)</f>
        <v>0</v>
      </c>
      <c r="X29" s="75">
        <f>SUMIFS('апрель 2026'!$G$2:$G$2719,'апрель 2026'!$D$2:$D$2719,$B29,'апрель 2026'!$J$2:$J$2719,X$1)</f>
        <v>0</v>
      </c>
      <c r="Y29" s="75">
        <f>SUMIFS('апрель 2026'!$G$2:$G$2719,'апрель 2026'!$D$2:$D$2719,$B29,'апрель 2026'!$J$2:$J$2719,Y$1)</f>
        <v>0</v>
      </c>
      <c r="Z29" s="75">
        <f>SUMIFS('апрель 2026'!$G$2:$G$2719,'апрель 2026'!$D$2:$D$2719,$B29,'апрель 2026'!$J$2:$J$2719,Z$1)</f>
        <v>0</v>
      </c>
      <c r="AA29" s="75">
        <f>SUMIFS('апрель 2026'!$G$2:$G$2719,'апрель 2026'!$D$2:$D$2719,$B29,'апрель 2026'!$J$2:$J$2719,AA$1)</f>
        <v>0</v>
      </c>
      <c r="AB29" s="75">
        <f>SUMIFS('апрель 2026'!$G$2:$G$2719,'апрель 2026'!$D$2:$D$2719,$B29,'апрель 2026'!$J$2:$J$2719,AB$1)</f>
        <v>0</v>
      </c>
      <c r="AC29" s="75">
        <f>SUMIFS('апрель 2026'!$G$2:$G$2719,'апрель 2026'!$D$2:$D$2719,$B29,'апрель 2026'!$J$2:$J$2719,AC$1)</f>
        <v>0</v>
      </c>
      <c r="AD29" s="75">
        <f>SUMIFS('апрель 2026'!$G$2:$G$2719,'апрель 2026'!$D$2:$D$2719,$B29,'апрель 2026'!$J$2:$J$2719,AD$1)</f>
        <v>0</v>
      </c>
      <c r="AE29" s="75">
        <f>SUMIFS('апрель 2026'!$G$2:$G$2719,'апрель 2026'!$D$2:$D$2719,$B29,'апрель 2026'!$J$2:$J$2719,AE$1)</f>
        <v>0</v>
      </c>
      <c r="AF29" s="75">
        <f>SUMIFS('апрель 2026'!$G$2:$G$2719,'апрель 2026'!$D$2:$D$2719,$B29,'апрель 2026'!$J$2:$J$2719,AF$1)</f>
        <v>0</v>
      </c>
      <c r="AG29" s="75">
        <f>SUMIFS('апрель 2026'!$G$2:$G$2719,'апрель 2026'!$D$2:$D$2719,$B29,'апрель 2026'!$J$2:$J$2719,AG$1)</f>
        <v>0</v>
      </c>
      <c r="AH29" s="75">
        <f>SUMIFS('апрель 2026'!$G$2:$G$2719,'апрель 2026'!$D$2:$D$2719,$B29,'апрель 2026'!$J$2:$J$2719,AH$1)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SUMIFS('апрель 2026'!$G$2:$G$2719,'апрель 2026'!$D$2:$D$2719,$B30,'апрель 2026'!$J$2:$J$2719,D$1)</f>
        <v>0</v>
      </c>
      <c r="E30" s="75">
        <f>SUMIFS('апрель 2026'!$G$2:$G$2719,'апрель 2026'!$D$2:$D$2719,$B30,'апрель 2026'!$J$2:$J$2719,E$1)</f>
        <v>0</v>
      </c>
      <c r="F30" s="75">
        <f>SUMIFS('апрель 2026'!$G$2:$G$2719,'апрель 2026'!$D$2:$D$2719,$B30,'апрель 2026'!$J$2:$J$2719,F$1)</f>
        <v>0</v>
      </c>
      <c r="G30" s="75">
        <f>SUMIFS('апрель 2026'!$G$2:$G$2719,'апрель 2026'!$D$2:$D$2719,$B30,'апрель 2026'!$J$2:$J$2719,G$1)</f>
        <v>0</v>
      </c>
      <c r="H30" s="75">
        <f>SUMIFS('апрель 2026'!$G$2:$G$2719,'апрель 2026'!$D$2:$D$2719,$B30,'апрель 2026'!$J$2:$J$2719,H$1)</f>
        <v>0</v>
      </c>
      <c r="I30" s="75">
        <f>SUMIFS('апрель 2026'!$G$2:$G$2719,'апрель 2026'!$D$2:$D$2719,$B30,'апрель 2026'!$J$2:$J$2719,I$1)</f>
        <v>0</v>
      </c>
      <c r="J30" s="75">
        <f>SUMIFS('апрель 2026'!$G$2:$G$2719,'апрель 2026'!$D$2:$D$2719,$B30,'апрель 2026'!$J$2:$J$2719,J$1)</f>
        <v>0</v>
      </c>
      <c r="K30" s="75">
        <f>SUMIFS('апрель 2026'!$G$2:$G$2719,'апрель 2026'!$D$2:$D$2719,$B30,'апрель 2026'!$J$2:$J$2719,K$1)</f>
        <v>0</v>
      </c>
      <c r="L30" s="75">
        <f>SUMIFS('апрель 2026'!$G$2:$G$2719,'апрель 2026'!$D$2:$D$2719,$B30,'апрель 2026'!$J$2:$J$2719,L$1)</f>
        <v>0</v>
      </c>
      <c r="M30" s="75">
        <f>SUMIFS('апрель 2026'!$G$2:$G$2719,'апрель 2026'!$D$2:$D$2719,$B30,'апрель 2026'!$J$2:$J$2719,M$1)</f>
        <v>0</v>
      </c>
      <c r="N30" s="75">
        <f>SUMIFS('апрель 2026'!$G$2:$G$2719,'апрель 2026'!$D$2:$D$2719,$B30,'апрель 2026'!$J$2:$J$2719,N$1)</f>
        <v>0</v>
      </c>
      <c r="O30" s="75">
        <f>SUMIFS('апрель 2026'!$G$2:$G$2719,'апрель 2026'!$D$2:$D$2719,$B30,'апрель 2026'!$J$2:$J$2719,O$1)</f>
        <v>0</v>
      </c>
      <c r="P30" s="75">
        <f>SUMIFS('апрель 2026'!$G$2:$G$2719,'апрель 2026'!$D$2:$D$2719,$B30,'апрель 2026'!$J$2:$J$2719,P$1)</f>
        <v>0</v>
      </c>
      <c r="Q30" s="75">
        <f>SUMIFS('апрель 2026'!$G$2:$G$2719,'апрель 2026'!$D$2:$D$2719,$B30,'апрель 2026'!$J$2:$J$2719,Q$1)</f>
        <v>0</v>
      </c>
      <c r="R30" s="75">
        <f>SUMIFS('апрель 2026'!$G$2:$G$2719,'апрель 2026'!$D$2:$D$2719,$B30,'апрель 2026'!$J$2:$J$2719,R$1)</f>
        <v>0</v>
      </c>
      <c r="S30" s="75">
        <f>SUMIFS('апрель 2026'!$G$2:$G$2719,'апрель 2026'!$D$2:$D$2719,$B30,'апрель 2026'!$J$2:$J$2719,S$1)</f>
        <v>0</v>
      </c>
      <c r="T30" s="75">
        <f>SUMIFS('апрель 2026'!$G$2:$G$2719,'апрель 2026'!$D$2:$D$2719,$B30,'апрель 2026'!$J$2:$J$2719,T$1)</f>
        <v>0</v>
      </c>
      <c r="U30" s="75">
        <f>SUMIFS('апрель 2026'!$G$2:$G$2719,'апрель 2026'!$D$2:$D$2719,$B30,'апрель 2026'!$J$2:$J$2719,U$1)</f>
        <v>0</v>
      </c>
      <c r="V30" s="75">
        <f>SUMIFS('апрель 2026'!$G$2:$G$2719,'апрель 2026'!$D$2:$D$2719,$B30,'апрель 2026'!$J$2:$J$2719,V$1)</f>
        <v>0</v>
      </c>
      <c r="W30" s="75">
        <f>SUMIFS('апрель 2026'!$G$2:$G$2719,'апрель 2026'!$D$2:$D$2719,$B30,'апрель 2026'!$J$2:$J$2719,W$1)</f>
        <v>0</v>
      </c>
      <c r="X30" s="75">
        <f>SUMIFS('апрель 2026'!$G$2:$G$2719,'апрель 2026'!$D$2:$D$2719,$B30,'апрель 2026'!$J$2:$J$2719,X$1)</f>
        <v>0</v>
      </c>
      <c r="Y30" s="75">
        <f>SUMIFS('апрель 2026'!$G$2:$G$2719,'апрель 2026'!$D$2:$D$2719,$B30,'апрель 2026'!$J$2:$J$2719,Y$1)</f>
        <v>0</v>
      </c>
      <c r="Z30" s="75">
        <f>SUMIFS('апрель 2026'!$G$2:$G$2719,'апрель 2026'!$D$2:$D$2719,$B30,'апрель 2026'!$J$2:$J$2719,Z$1)</f>
        <v>0</v>
      </c>
      <c r="AA30" s="75">
        <f>SUMIFS('апрель 2026'!$G$2:$G$2719,'апрель 2026'!$D$2:$D$2719,$B30,'апрель 2026'!$J$2:$J$2719,AA$1)</f>
        <v>0</v>
      </c>
      <c r="AB30" s="75">
        <f>SUMIFS('апрель 2026'!$G$2:$G$2719,'апрель 2026'!$D$2:$D$2719,$B30,'апрель 2026'!$J$2:$J$2719,AB$1)</f>
        <v>0</v>
      </c>
      <c r="AC30" s="75">
        <f>SUMIFS('апрель 2026'!$G$2:$G$2719,'апрель 2026'!$D$2:$D$2719,$B30,'апрель 2026'!$J$2:$J$2719,AC$1)</f>
        <v>0</v>
      </c>
      <c r="AD30" s="75">
        <f>SUMIFS('апрель 2026'!$G$2:$G$2719,'апрель 2026'!$D$2:$D$2719,$B30,'апрель 2026'!$J$2:$J$2719,AD$1)</f>
        <v>0</v>
      </c>
      <c r="AE30" s="75">
        <f>SUMIFS('апрель 2026'!$G$2:$G$2719,'апрель 2026'!$D$2:$D$2719,$B30,'апрель 2026'!$J$2:$J$2719,AE$1)</f>
        <v>0</v>
      </c>
      <c r="AF30" s="75">
        <f>SUMIFS('апрель 2026'!$G$2:$G$2719,'апрель 2026'!$D$2:$D$2719,$B30,'апрель 2026'!$J$2:$J$2719,AF$1)</f>
        <v>0</v>
      </c>
      <c r="AG30" s="75">
        <f>SUMIFS('апрель 2026'!$G$2:$G$2719,'апрель 2026'!$D$2:$D$2719,$B30,'апрель 2026'!$J$2:$J$2719,AG$1)</f>
        <v>0</v>
      </c>
      <c r="AH30" s="75">
        <f>SUMIFS('апрель 2026'!$G$2:$G$2719,'апрель 2026'!$D$2:$D$2719,$B30,'апрель 2026'!$J$2:$J$2719,AH$1)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SUMIFS('апрель 2026'!$G$2:$G$2719,'апрель 2026'!$D$2:$D$2719,$B31,'апрель 2026'!$J$2:$J$2719,D$1)</f>
        <v>0</v>
      </c>
      <c r="E31" s="75">
        <f>SUMIFS('апрель 2026'!$G$2:$G$2719,'апрель 2026'!$D$2:$D$2719,$B31,'апрель 2026'!$J$2:$J$2719,E$1)</f>
        <v>0</v>
      </c>
      <c r="F31" s="75">
        <f>SUMIFS('апрель 2026'!$G$2:$G$2719,'апрель 2026'!$D$2:$D$2719,$B31,'апрель 2026'!$J$2:$J$2719,F$1)</f>
        <v>0</v>
      </c>
      <c r="G31" s="75">
        <f>SUMIFS('апрель 2026'!$G$2:$G$2719,'апрель 2026'!$D$2:$D$2719,$B31,'апрель 2026'!$J$2:$J$2719,G$1)</f>
        <v>0</v>
      </c>
      <c r="H31" s="75">
        <f>SUMIFS('апрель 2026'!$G$2:$G$2719,'апрель 2026'!$D$2:$D$2719,$B31,'апрель 2026'!$J$2:$J$2719,H$1)</f>
        <v>0</v>
      </c>
      <c r="I31" s="75">
        <f>SUMIFS('апрель 2026'!$G$2:$G$2719,'апрель 2026'!$D$2:$D$2719,$B31,'апрель 2026'!$J$2:$J$2719,I$1)</f>
        <v>0</v>
      </c>
      <c r="J31" s="75">
        <f>SUMIFS('апрель 2026'!$G$2:$G$2719,'апрель 2026'!$D$2:$D$2719,$B31,'апрель 2026'!$J$2:$J$2719,J$1)</f>
        <v>0</v>
      </c>
      <c r="K31" s="75">
        <f>SUMIFS('апрель 2026'!$G$2:$G$2719,'апрель 2026'!$D$2:$D$2719,$B31,'апрель 2026'!$J$2:$J$2719,K$1)</f>
        <v>0</v>
      </c>
      <c r="L31" s="75">
        <f>SUMIFS('апрель 2026'!$G$2:$G$2719,'апрель 2026'!$D$2:$D$2719,$B31,'апрель 2026'!$J$2:$J$2719,L$1)</f>
        <v>0</v>
      </c>
      <c r="M31" s="75">
        <f>SUMIFS('апрель 2026'!$G$2:$G$2719,'апрель 2026'!$D$2:$D$2719,$B31,'апрель 2026'!$J$2:$J$2719,M$1)</f>
        <v>0</v>
      </c>
      <c r="N31" s="75">
        <f>SUMIFS('апрель 2026'!$G$2:$G$2719,'апрель 2026'!$D$2:$D$2719,$B31,'апрель 2026'!$J$2:$J$2719,N$1)</f>
        <v>0</v>
      </c>
      <c r="O31" s="75">
        <f>SUMIFS('апрель 2026'!$G$2:$G$2719,'апрель 2026'!$D$2:$D$2719,$B31,'апрель 2026'!$J$2:$J$2719,O$1)</f>
        <v>0</v>
      </c>
      <c r="P31" s="75">
        <f>SUMIFS('апрель 2026'!$G$2:$G$2719,'апрель 2026'!$D$2:$D$2719,$B31,'апрель 2026'!$J$2:$J$2719,P$1)</f>
        <v>0</v>
      </c>
      <c r="Q31" s="75">
        <f>SUMIFS('апрель 2026'!$G$2:$G$2719,'апрель 2026'!$D$2:$D$2719,$B31,'апрель 2026'!$J$2:$J$2719,Q$1)</f>
        <v>0</v>
      </c>
      <c r="R31" s="75">
        <f>SUMIFS('апрель 2026'!$G$2:$G$2719,'апрель 2026'!$D$2:$D$2719,$B31,'апрель 2026'!$J$2:$J$2719,R$1)</f>
        <v>0</v>
      </c>
      <c r="S31" s="75">
        <f>SUMIFS('апрель 2026'!$G$2:$G$2719,'апрель 2026'!$D$2:$D$2719,$B31,'апрель 2026'!$J$2:$J$2719,S$1)</f>
        <v>0</v>
      </c>
      <c r="T31" s="75">
        <f>SUMIFS('апрель 2026'!$G$2:$G$2719,'апрель 2026'!$D$2:$D$2719,$B31,'апрель 2026'!$J$2:$J$2719,T$1)</f>
        <v>0</v>
      </c>
      <c r="U31" s="75">
        <f>SUMIFS('апрель 2026'!$G$2:$G$2719,'апрель 2026'!$D$2:$D$2719,$B31,'апрель 2026'!$J$2:$J$2719,U$1)</f>
        <v>0</v>
      </c>
      <c r="V31" s="75">
        <f>SUMIFS('апрель 2026'!$G$2:$G$2719,'апрель 2026'!$D$2:$D$2719,$B31,'апрель 2026'!$J$2:$J$2719,V$1)</f>
        <v>0</v>
      </c>
      <c r="W31" s="75">
        <f>SUMIFS('апрель 2026'!$G$2:$G$2719,'апрель 2026'!$D$2:$D$2719,$B31,'апрель 2026'!$J$2:$J$2719,W$1)</f>
        <v>0</v>
      </c>
      <c r="X31" s="75">
        <f>SUMIFS('апрель 2026'!$G$2:$G$2719,'апрель 2026'!$D$2:$D$2719,$B31,'апрель 2026'!$J$2:$J$2719,X$1)</f>
        <v>0</v>
      </c>
      <c r="Y31" s="75">
        <f>SUMIFS('апрель 2026'!$G$2:$G$2719,'апрель 2026'!$D$2:$D$2719,$B31,'апрель 2026'!$J$2:$J$2719,Y$1)</f>
        <v>0</v>
      </c>
      <c r="Z31" s="75">
        <f>SUMIFS('апрель 2026'!$G$2:$G$2719,'апрель 2026'!$D$2:$D$2719,$B31,'апрель 2026'!$J$2:$J$2719,Z$1)</f>
        <v>0</v>
      </c>
      <c r="AA31" s="75">
        <f>SUMIFS('апрель 2026'!$G$2:$G$2719,'апрель 2026'!$D$2:$D$2719,$B31,'апрель 2026'!$J$2:$J$2719,AA$1)</f>
        <v>0</v>
      </c>
      <c r="AB31" s="75">
        <f>SUMIFS('апрель 2026'!$G$2:$G$2719,'апрель 2026'!$D$2:$D$2719,$B31,'апрель 2026'!$J$2:$J$2719,AB$1)</f>
        <v>0</v>
      </c>
      <c r="AC31" s="75">
        <f>SUMIFS('апрель 2026'!$G$2:$G$2719,'апрель 2026'!$D$2:$D$2719,$B31,'апрель 2026'!$J$2:$J$2719,AC$1)</f>
        <v>0</v>
      </c>
      <c r="AD31" s="75">
        <f>SUMIFS('апрель 2026'!$G$2:$G$2719,'апрель 2026'!$D$2:$D$2719,$B31,'апрель 2026'!$J$2:$J$2719,AD$1)</f>
        <v>0</v>
      </c>
      <c r="AE31" s="75">
        <f>SUMIFS('апрель 2026'!$G$2:$G$2719,'апрель 2026'!$D$2:$D$2719,$B31,'апрель 2026'!$J$2:$J$2719,AE$1)</f>
        <v>0</v>
      </c>
      <c r="AF31" s="75">
        <f>SUMIFS('апрель 2026'!$G$2:$G$2719,'апрель 2026'!$D$2:$D$2719,$B31,'апрель 2026'!$J$2:$J$2719,AF$1)</f>
        <v>0</v>
      </c>
      <c r="AG31" s="75">
        <f>SUMIFS('апрель 2026'!$G$2:$G$2719,'апрель 2026'!$D$2:$D$2719,$B31,'апрель 2026'!$J$2:$J$2719,AG$1)</f>
        <v>0</v>
      </c>
      <c r="AH31" s="75">
        <f>SUMIFS('апрель 2026'!$G$2:$G$2719,'апрель 2026'!$D$2:$D$2719,$B31,'апрель 2026'!$J$2:$J$2719,AH$1)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SUMIFS('апрель 2026'!$G$2:$G$2719,'апрель 2026'!$D$2:$D$2719,$B32,'апрель 2026'!$J$2:$J$2719,D$1)</f>
        <v>0</v>
      </c>
      <c r="E32" s="75">
        <f>SUMIFS('апрель 2026'!$G$2:$G$2719,'апрель 2026'!$D$2:$D$2719,$B32,'апрель 2026'!$J$2:$J$2719,E$1)</f>
        <v>0</v>
      </c>
      <c r="F32" s="75">
        <f>SUMIFS('апрель 2026'!$G$2:$G$2719,'апрель 2026'!$D$2:$D$2719,$B32,'апрель 2026'!$J$2:$J$2719,F$1)</f>
        <v>0</v>
      </c>
      <c r="G32" s="75">
        <f>SUMIFS('апрель 2026'!$G$2:$G$2719,'апрель 2026'!$D$2:$D$2719,$B32,'апрель 2026'!$J$2:$J$2719,G$1)</f>
        <v>0</v>
      </c>
      <c r="H32" s="75">
        <f>SUMIFS('апрель 2026'!$G$2:$G$2719,'апрель 2026'!$D$2:$D$2719,$B32,'апрель 2026'!$J$2:$J$2719,H$1)</f>
        <v>0</v>
      </c>
      <c r="I32" s="75">
        <f>SUMIFS('апрель 2026'!$G$2:$G$2719,'апрель 2026'!$D$2:$D$2719,$B32,'апрель 2026'!$J$2:$J$2719,I$1)</f>
        <v>0</v>
      </c>
      <c r="J32" s="75">
        <f>SUMIFS('апрель 2026'!$G$2:$G$2719,'апрель 2026'!$D$2:$D$2719,$B32,'апрель 2026'!$J$2:$J$2719,J$1)</f>
        <v>0</v>
      </c>
      <c r="K32" s="75">
        <f>SUMIFS('апрель 2026'!$G$2:$G$2719,'апрель 2026'!$D$2:$D$2719,$B32,'апрель 2026'!$J$2:$J$2719,K$1)</f>
        <v>0</v>
      </c>
      <c r="L32" s="75">
        <f>SUMIFS('апрель 2026'!$G$2:$G$2719,'апрель 2026'!$D$2:$D$2719,$B32,'апрель 2026'!$J$2:$J$2719,L$1)</f>
        <v>0</v>
      </c>
      <c r="M32" s="75">
        <f>SUMIFS('апрель 2026'!$G$2:$G$2719,'апрель 2026'!$D$2:$D$2719,$B32,'апрель 2026'!$J$2:$J$2719,M$1)</f>
        <v>0</v>
      </c>
      <c r="N32" s="75">
        <f>SUMIFS('апрель 2026'!$G$2:$G$2719,'апрель 2026'!$D$2:$D$2719,$B32,'апрель 2026'!$J$2:$J$2719,N$1)</f>
        <v>0</v>
      </c>
      <c r="O32" s="75">
        <f>SUMIFS('апрель 2026'!$G$2:$G$2719,'апрель 2026'!$D$2:$D$2719,$B32,'апрель 2026'!$J$2:$J$2719,O$1)</f>
        <v>0</v>
      </c>
      <c r="P32" s="75">
        <f>SUMIFS('апрель 2026'!$G$2:$G$2719,'апрель 2026'!$D$2:$D$2719,$B32,'апрель 2026'!$J$2:$J$2719,P$1)</f>
        <v>0</v>
      </c>
      <c r="Q32" s="75">
        <f>SUMIFS('апрель 2026'!$G$2:$G$2719,'апрель 2026'!$D$2:$D$2719,$B32,'апрель 2026'!$J$2:$J$2719,Q$1)</f>
        <v>0</v>
      </c>
      <c r="R32" s="75">
        <f>SUMIFS('апрель 2026'!$G$2:$G$2719,'апрель 2026'!$D$2:$D$2719,$B32,'апрель 2026'!$J$2:$J$2719,R$1)</f>
        <v>0</v>
      </c>
      <c r="S32" s="75">
        <f>SUMIFS('апрель 2026'!$G$2:$G$2719,'апрель 2026'!$D$2:$D$2719,$B32,'апрель 2026'!$J$2:$J$2719,S$1)</f>
        <v>0</v>
      </c>
      <c r="T32" s="75">
        <f>SUMIFS('апрель 2026'!$G$2:$G$2719,'апрель 2026'!$D$2:$D$2719,$B32,'апрель 2026'!$J$2:$J$2719,T$1)</f>
        <v>0</v>
      </c>
      <c r="U32" s="75">
        <f>SUMIFS('апрель 2026'!$G$2:$G$2719,'апрель 2026'!$D$2:$D$2719,$B32,'апрель 2026'!$J$2:$J$2719,U$1)</f>
        <v>0</v>
      </c>
      <c r="V32" s="75">
        <f>SUMIFS('апрель 2026'!$G$2:$G$2719,'апрель 2026'!$D$2:$D$2719,$B32,'апрель 2026'!$J$2:$J$2719,V$1)</f>
        <v>0</v>
      </c>
      <c r="W32" s="75">
        <f>SUMIFS('апрель 2026'!$G$2:$G$2719,'апрель 2026'!$D$2:$D$2719,$B32,'апрель 2026'!$J$2:$J$2719,W$1)</f>
        <v>0</v>
      </c>
      <c r="X32" s="75">
        <f>SUMIFS('апрель 2026'!$G$2:$G$2719,'апрель 2026'!$D$2:$D$2719,$B32,'апрель 2026'!$J$2:$J$2719,X$1)</f>
        <v>0</v>
      </c>
      <c r="Y32" s="75">
        <f>SUMIFS('апрель 2026'!$G$2:$G$2719,'апрель 2026'!$D$2:$D$2719,$B32,'апрель 2026'!$J$2:$J$2719,Y$1)</f>
        <v>0</v>
      </c>
      <c r="Z32" s="75">
        <f>SUMIFS('апрель 2026'!$G$2:$G$2719,'апрель 2026'!$D$2:$D$2719,$B32,'апрель 2026'!$J$2:$J$2719,Z$1)</f>
        <v>0</v>
      </c>
      <c r="AA32" s="75">
        <f>SUMIFS('апрель 2026'!$G$2:$G$2719,'апрель 2026'!$D$2:$D$2719,$B32,'апрель 2026'!$J$2:$J$2719,AA$1)</f>
        <v>0</v>
      </c>
      <c r="AB32" s="75">
        <f>SUMIFS('апрель 2026'!$G$2:$G$2719,'апрель 2026'!$D$2:$D$2719,$B32,'апрель 2026'!$J$2:$J$2719,AB$1)</f>
        <v>0</v>
      </c>
      <c r="AC32" s="75">
        <f>SUMIFS('апрель 2026'!$G$2:$G$2719,'апрель 2026'!$D$2:$D$2719,$B32,'апрель 2026'!$J$2:$J$2719,AC$1)</f>
        <v>0</v>
      </c>
      <c r="AD32" s="75">
        <f>SUMIFS('апрель 2026'!$G$2:$G$2719,'апрель 2026'!$D$2:$D$2719,$B32,'апрель 2026'!$J$2:$J$2719,AD$1)</f>
        <v>0</v>
      </c>
      <c r="AE32" s="75">
        <f>SUMIFS('апрель 2026'!$G$2:$G$2719,'апрель 2026'!$D$2:$D$2719,$B32,'апрель 2026'!$J$2:$J$2719,AE$1)</f>
        <v>0</v>
      </c>
      <c r="AF32" s="75">
        <f>SUMIFS('апрель 2026'!$G$2:$G$2719,'апрель 2026'!$D$2:$D$2719,$B32,'апрель 2026'!$J$2:$J$2719,AF$1)</f>
        <v>0</v>
      </c>
      <c r="AG32" s="75">
        <f>SUMIFS('апрель 2026'!$G$2:$G$2719,'апрель 2026'!$D$2:$D$2719,$B32,'апрель 2026'!$J$2:$J$2719,AG$1)</f>
        <v>0</v>
      </c>
      <c r="AH32" s="75">
        <f>SUMIFS('апрель 2026'!$G$2:$G$2719,'апрель 2026'!$D$2:$D$2719,$B32,'апрель 2026'!$J$2:$J$2719,AH$1)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SUMIFS('апрель 2026'!$G$2:$G$2719,'апрель 2026'!$D$2:$D$2719,$B33,'апрель 2026'!$J$2:$J$2719,D$1)</f>
        <v>0</v>
      </c>
      <c r="E33" s="75">
        <f>SUMIFS('апрель 2026'!$G$2:$G$2719,'апрель 2026'!$D$2:$D$2719,$B33,'апрель 2026'!$J$2:$J$2719,E$1)</f>
        <v>0</v>
      </c>
      <c r="F33" s="75">
        <f>SUMIFS('апрель 2026'!$G$2:$G$2719,'апрель 2026'!$D$2:$D$2719,$B33,'апрель 2026'!$J$2:$J$2719,F$1)</f>
        <v>0</v>
      </c>
      <c r="G33" s="75">
        <f>SUMIFS('апрель 2026'!$G$2:$G$2719,'апрель 2026'!$D$2:$D$2719,$B33,'апрель 2026'!$J$2:$J$2719,G$1)</f>
        <v>0</v>
      </c>
      <c r="H33" s="75">
        <f>SUMIFS('апрель 2026'!$G$2:$G$2719,'апрель 2026'!$D$2:$D$2719,$B33,'апрель 2026'!$J$2:$J$2719,H$1)</f>
        <v>0</v>
      </c>
      <c r="I33" s="75">
        <f>SUMIFS('апрель 2026'!$G$2:$G$2719,'апрель 2026'!$D$2:$D$2719,$B33,'апрель 2026'!$J$2:$J$2719,I$1)</f>
        <v>0</v>
      </c>
      <c r="J33" s="75">
        <f>SUMIFS('апрель 2026'!$G$2:$G$2719,'апрель 2026'!$D$2:$D$2719,$B33,'апрель 2026'!$J$2:$J$2719,J$1)</f>
        <v>0</v>
      </c>
      <c r="K33" s="75">
        <f>SUMIFS('апрель 2026'!$G$2:$G$2719,'апрель 2026'!$D$2:$D$2719,$B33,'апрель 2026'!$J$2:$J$2719,K$1)</f>
        <v>0</v>
      </c>
      <c r="L33" s="75">
        <f>SUMIFS('апрель 2026'!$G$2:$G$2719,'апрель 2026'!$D$2:$D$2719,$B33,'апрель 2026'!$J$2:$J$2719,L$1)</f>
        <v>0</v>
      </c>
      <c r="M33" s="75">
        <f>SUMIFS('апрель 2026'!$G$2:$G$2719,'апрель 2026'!$D$2:$D$2719,$B33,'апрель 2026'!$J$2:$J$2719,M$1)</f>
        <v>0</v>
      </c>
      <c r="N33" s="75">
        <f>SUMIFS('апрель 2026'!$G$2:$G$2719,'апрель 2026'!$D$2:$D$2719,$B33,'апрель 2026'!$J$2:$J$2719,N$1)</f>
        <v>0</v>
      </c>
      <c r="O33" s="75">
        <f>SUMIFS('апрель 2026'!$G$2:$G$2719,'апрель 2026'!$D$2:$D$2719,$B33,'апрель 2026'!$J$2:$J$2719,O$1)</f>
        <v>0</v>
      </c>
      <c r="P33" s="75">
        <f>SUMIFS('апрель 2026'!$G$2:$G$2719,'апрель 2026'!$D$2:$D$2719,$B33,'апрель 2026'!$J$2:$J$2719,P$1)</f>
        <v>0</v>
      </c>
      <c r="Q33" s="75">
        <f>SUMIFS('апрель 2026'!$G$2:$G$2719,'апрель 2026'!$D$2:$D$2719,$B33,'апрель 2026'!$J$2:$J$2719,Q$1)</f>
        <v>0</v>
      </c>
      <c r="R33" s="75">
        <f>SUMIFS('апрель 2026'!$G$2:$G$2719,'апрель 2026'!$D$2:$D$2719,$B33,'апрель 2026'!$J$2:$J$2719,R$1)</f>
        <v>0</v>
      </c>
      <c r="S33" s="75">
        <f>SUMIFS('апрель 2026'!$G$2:$G$2719,'апрель 2026'!$D$2:$D$2719,$B33,'апрель 2026'!$J$2:$J$2719,S$1)</f>
        <v>0</v>
      </c>
      <c r="T33" s="75">
        <f>SUMIFS('апрель 2026'!$G$2:$G$2719,'апрель 2026'!$D$2:$D$2719,$B33,'апрель 2026'!$J$2:$J$2719,T$1)</f>
        <v>0</v>
      </c>
      <c r="U33" s="75">
        <f>SUMIFS('апрель 2026'!$G$2:$G$2719,'апрель 2026'!$D$2:$D$2719,$B33,'апрель 2026'!$J$2:$J$2719,U$1)</f>
        <v>0</v>
      </c>
      <c r="V33" s="75">
        <f>SUMIFS('апрель 2026'!$G$2:$G$2719,'апрель 2026'!$D$2:$D$2719,$B33,'апрель 2026'!$J$2:$J$2719,V$1)</f>
        <v>0</v>
      </c>
      <c r="W33" s="75">
        <f>SUMIFS('апрель 2026'!$G$2:$G$2719,'апрель 2026'!$D$2:$D$2719,$B33,'апрель 2026'!$J$2:$J$2719,W$1)</f>
        <v>0</v>
      </c>
      <c r="X33" s="75">
        <f>SUMIFS('апрель 2026'!$G$2:$G$2719,'апрель 2026'!$D$2:$D$2719,$B33,'апрель 2026'!$J$2:$J$2719,X$1)</f>
        <v>0</v>
      </c>
      <c r="Y33" s="75">
        <f>SUMIFS('апрель 2026'!$G$2:$G$2719,'апрель 2026'!$D$2:$D$2719,$B33,'апрель 2026'!$J$2:$J$2719,Y$1)</f>
        <v>0</v>
      </c>
      <c r="Z33" s="75">
        <f>SUMIFS('апрель 2026'!$G$2:$G$2719,'апрель 2026'!$D$2:$D$2719,$B33,'апрель 2026'!$J$2:$J$2719,Z$1)</f>
        <v>0</v>
      </c>
      <c r="AA33" s="75">
        <f>SUMIFS('апрель 2026'!$G$2:$G$2719,'апрель 2026'!$D$2:$D$2719,$B33,'апрель 2026'!$J$2:$J$2719,AA$1)</f>
        <v>0</v>
      </c>
      <c r="AB33" s="75">
        <f>SUMIFS('апрель 2026'!$G$2:$G$2719,'апрель 2026'!$D$2:$D$2719,$B33,'апрель 2026'!$J$2:$J$2719,AB$1)</f>
        <v>0</v>
      </c>
      <c r="AC33" s="75">
        <f>SUMIFS('апрель 2026'!$G$2:$G$2719,'апрель 2026'!$D$2:$D$2719,$B33,'апрель 2026'!$J$2:$J$2719,AC$1)</f>
        <v>0</v>
      </c>
      <c r="AD33" s="75">
        <f>SUMIFS('апрель 2026'!$G$2:$G$2719,'апрель 2026'!$D$2:$D$2719,$B33,'апрель 2026'!$J$2:$J$2719,AD$1)</f>
        <v>0</v>
      </c>
      <c r="AE33" s="75">
        <f>SUMIFS('апрель 2026'!$G$2:$G$2719,'апрель 2026'!$D$2:$D$2719,$B33,'апрель 2026'!$J$2:$J$2719,AE$1)</f>
        <v>0</v>
      </c>
      <c r="AF33" s="75">
        <f>SUMIFS('апрель 2026'!$G$2:$G$2719,'апрель 2026'!$D$2:$D$2719,$B33,'апрель 2026'!$J$2:$J$2719,AF$1)</f>
        <v>0</v>
      </c>
      <c r="AG33" s="75">
        <f>SUMIFS('апрель 2026'!$G$2:$G$2719,'апрель 2026'!$D$2:$D$2719,$B33,'апрель 2026'!$J$2:$J$2719,AG$1)</f>
        <v>0</v>
      </c>
      <c r="AH33" s="75">
        <f>SUMIFS('апрель 2026'!$G$2:$G$2719,'апрель 2026'!$D$2:$D$2719,$B33,'апрель 2026'!$J$2:$J$2719,AH$1)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SUMIFS('апрель 2026'!$G$2:$G$2719,'апрель 2026'!$D$2:$D$2719,$B34,'апрель 2026'!$J$2:$J$2719,D$1)</f>
        <v>0</v>
      </c>
      <c r="E34" s="75">
        <f>SUMIFS('апрель 2026'!$G$2:$G$2719,'апрель 2026'!$D$2:$D$2719,$B34,'апрель 2026'!$J$2:$J$2719,E$1)</f>
        <v>0</v>
      </c>
      <c r="F34" s="75">
        <f>SUMIFS('апрель 2026'!$G$2:$G$2719,'апрель 2026'!$D$2:$D$2719,$B34,'апрель 2026'!$J$2:$J$2719,F$1)</f>
        <v>0</v>
      </c>
      <c r="G34" s="75">
        <f>SUMIFS('апрель 2026'!$G$2:$G$2719,'апрель 2026'!$D$2:$D$2719,$B34,'апрель 2026'!$J$2:$J$2719,G$1)</f>
        <v>0</v>
      </c>
      <c r="H34" s="75">
        <f>SUMIFS('апрель 2026'!$G$2:$G$2719,'апрель 2026'!$D$2:$D$2719,$B34,'апрель 2026'!$J$2:$J$2719,H$1)</f>
        <v>0</v>
      </c>
      <c r="I34" s="75">
        <f>SUMIFS('апрель 2026'!$G$2:$G$2719,'апрель 2026'!$D$2:$D$2719,$B34,'апрель 2026'!$J$2:$J$2719,I$1)</f>
        <v>0</v>
      </c>
      <c r="J34" s="75">
        <f>SUMIFS('апрель 2026'!$G$2:$G$2719,'апрель 2026'!$D$2:$D$2719,$B34,'апрель 2026'!$J$2:$J$2719,J$1)</f>
        <v>0</v>
      </c>
      <c r="K34" s="75">
        <f>SUMIFS('апрель 2026'!$G$2:$G$2719,'апрель 2026'!$D$2:$D$2719,$B34,'апрель 2026'!$J$2:$J$2719,K$1)</f>
        <v>0</v>
      </c>
      <c r="L34" s="75">
        <f>SUMIFS('апрель 2026'!$G$2:$G$2719,'апрель 2026'!$D$2:$D$2719,$B34,'апрель 2026'!$J$2:$J$2719,L$1)</f>
        <v>0</v>
      </c>
      <c r="M34" s="75">
        <f>SUMIFS('апрель 2026'!$G$2:$G$2719,'апрель 2026'!$D$2:$D$2719,$B34,'апрель 2026'!$J$2:$J$2719,M$1)</f>
        <v>0</v>
      </c>
      <c r="N34" s="75">
        <f>SUMIFS('апрель 2026'!$G$2:$G$2719,'апрель 2026'!$D$2:$D$2719,$B34,'апрель 2026'!$J$2:$J$2719,N$1)</f>
        <v>0</v>
      </c>
      <c r="O34" s="75">
        <f>SUMIFS('апрель 2026'!$G$2:$G$2719,'апрель 2026'!$D$2:$D$2719,$B34,'апрель 2026'!$J$2:$J$2719,O$1)</f>
        <v>0</v>
      </c>
      <c r="P34" s="75">
        <f>SUMIFS('апрель 2026'!$G$2:$G$2719,'апрель 2026'!$D$2:$D$2719,$B34,'апрель 2026'!$J$2:$J$2719,P$1)</f>
        <v>0</v>
      </c>
      <c r="Q34" s="75">
        <f>SUMIFS('апрель 2026'!$G$2:$G$2719,'апрель 2026'!$D$2:$D$2719,$B34,'апрель 2026'!$J$2:$J$2719,Q$1)</f>
        <v>0</v>
      </c>
      <c r="R34" s="75">
        <f>SUMIFS('апрель 2026'!$G$2:$G$2719,'апрель 2026'!$D$2:$D$2719,$B34,'апрель 2026'!$J$2:$J$2719,R$1)</f>
        <v>0</v>
      </c>
      <c r="S34" s="75">
        <f>SUMIFS('апрель 2026'!$G$2:$G$2719,'апрель 2026'!$D$2:$D$2719,$B34,'апрель 2026'!$J$2:$J$2719,S$1)</f>
        <v>0</v>
      </c>
      <c r="T34" s="75">
        <f>SUMIFS('апрель 2026'!$G$2:$G$2719,'апрель 2026'!$D$2:$D$2719,$B34,'апрель 2026'!$J$2:$J$2719,T$1)</f>
        <v>0</v>
      </c>
      <c r="U34" s="75">
        <f>SUMIFS('апрель 2026'!$G$2:$G$2719,'апрель 2026'!$D$2:$D$2719,$B34,'апрель 2026'!$J$2:$J$2719,U$1)</f>
        <v>0</v>
      </c>
      <c r="V34" s="75">
        <f>SUMIFS('апрель 2026'!$G$2:$G$2719,'апрель 2026'!$D$2:$D$2719,$B34,'апрель 2026'!$J$2:$J$2719,V$1)</f>
        <v>0</v>
      </c>
      <c r="W34" s="75">
        <f>SUMIFS('апрель 2026'!$G$2:$G$2719,'апрель 2026'!$D$2:$D$2719,$B34,'апрель 2026'!$J$2:$J$2719,W$1)</f>
        <v>0</v>
      </c>
      <c r="X34" s="75">
        <f>SUMIFS('апрель 2026'!$G$2:$G$2719,'апрель 2026'!$D$2:$D$2719,$B34,'апрель 2026'!$J$2:$J$2719,X$1)</f>
        <v>0</v>
      </c>
      <c r="Y34" s="75">
        <f>SUMIFS('апрель 2026'!$G$2:$G$2719,'апрель 2026'!$D$2:$D$2719,$B34,'апрель 2026'!$J$2:$J$2719,Y$1)</f>
        <v>0</v>
      </c>
      <c r="Z34" s="75">
        <f>SUMIFS('апрель 2026'!$G$2:$G$2719,'апрель 2026'!$D$2:$D$2719,$B34,'апрель 2026'!$J$2:$J$2719,Z$1)</f>
        <v>0</v>
      </c>
      <c r="AA34" s="75">
        <f>SUMIFS('апрель 2026'!$G$2:$G$2719,'апрель 2026'!$D$2:$D$2719,$B34,'апрель 2026'!$J$2:$J$2719,AA$1)</f>
        <v>0</v>
      </c>
      <c r="AB34" s="75">
        <f>SUMIFS('апрель 2026'!$G$2:$G$2719,'апрель 2026'!$D$2:$D$2719,$B34,'апрель 2026'!$J$2:$J$2719,AB$1)</f>
        <v>0</v>
      </c>
      <c r="AC34" s="75">
        <f>SUMIFS('апрель 2026'!$G$2:$G$2719,'апрель 2026'!$D$2:$D$2719,$B34,'апрель 2026'!$J$2:$J$2719,AC$1)</f>
        <v>0</v>
      </c>
      <c r="AD34" s="75">
        <f>SUMIFS('апрель 2026'!$G$2:$G$2719,'апрель 2026'!$D$2:$D$2719,$B34,'апрель 2026'!$J$2:$J$2719,AD$1)</f>
        <v>0</v>
      </c>
      <c r="AE34" s="75">
        <f>SUMIFS('апрель 2026'!$G$2:$G$2719,'апрель 2026'!$D$2:$D$2719,$B34,'апрель 2026'!$J$2:$J$2719,AE$1)</f>
        <v>0</v>
      </c>
      <c r="AF34" s="75">
        <f>SUMIFS('апрель 2026'!$G$2:$G$2719,'апрель 2026'!$D$2:$D$2719,$B34,'апрель 2026'!$J$2:$J$2719,AF$1)</f>
        <v>0</v>
      </c>
      <c r="AG34" s="75">
        <f>SUMIFS('апрель 2026'!$G$2:$G$2719,'апрель 2026'!$D$2:$D$2719,$B34,'апрель 2026'!$J$2:$J$2719,AG$1)</f>
        <v>0</v>
      </c>
      <c r="AH34" s="75">
        <f>SUMIFS('апрель 2026'!$G$2:$G$2719,'апрель 2026'!$D$2:$D$2719,$B34,'апрель 2026'!$J$2:$J$2719,AH$1)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SUMIFS('апрель 2026'!$G$2:$G$2719,'апрель 2026'!$D$2:$D$2719,$B35,'апрель 2026'!$J$2:$J$2719,D$1)</f>
        <v>0</v>
      </c>
      <c r="E35" s="143">
        <f>SUMIFS('апрель 2026'!$G$2:$G$2719,'апрель 2026'!$D$2:$D$2719,$B35,'апрель 2026'!$J$2:$J$2719,E$1)</f>
        <v>0</v>
      </c>
      <c r="F35" s="143">
        <f>SUMIFS('апрель 2026'!$G$2:$G$2719,'апрель 2026'!$D$2:$D$2719,$B35,'апрель 2026'!$J$2:$J$2719,F$1)</f>
        <v>0</v>
      </c>
      <c r="G35" s="143">
        <f>SUMIFS('апрель 2026'!$G$2:$G$2719,'апрель 2026'!$D$2:$D$2719,$B35,'апрель 2026'!$J$2:$J$2719,G$1)</f>
        <v>0</v>
      </c>
      <c r="H35" s="143">
        <f>SUMIFS('апрель 2026'!$G$2:$G$2719,'апрель 2026'!$D$2:$D$2719,$B35,'апрель 2026'!$J$2:$J$2719,H$1)</f>
        <v>0</v>
      </c>
      <c r="I35" s="143">
        <f>SUMIFS('апрель 2026'!$G$2:$G$2719,'апрель 2026'!$D$2:$D$2719,$B35,'апрель 2026'!$J$2:$J$2719,I$1)</f>
        <v>0</v>
      </c>
      <c r="J35" s="143">
        <f>SUMIFS('апрель 2026'!$G$2:$G$2719,'апрель 2026'!$D$2:$D$2719,$B35,'апрель 2026'!$J$2:$J$2719,J$1)</f>
        <v>0</v>
      </c>
      <c r="K35" s="143">
        <f>SUMIFS('апрель 2026'!$G$2:$G$2719,'апрель 2026'!$D$2:$D$2719,$B35,'апрель 2026'!$J$2:$J$2719,K$1)</f>
        <v>0</v>
      </c>
      <c r="L35" s="143">
        <f>SUMIFS('апрель 2026'!$G$2:$G$2719,'апрель 2026'!$D$2:$D$2719,$B35,'апрель 2026'!$J$2:$J$2719,L$1)</f>
        <v>0</v>
      </c>
      <c r="M35" s="143">
        <f>SUMIFS('апрель 2026'!$G$2:$G$2719,'апрель 2026'!$D$2:$D$2719,$B35,'апрель 2026'!$J$2:$J$2719,M$1)</f>
        <v>0</v>
      </c>
      <c r="N35" s="143">
        <f>SUMIFS('апрель 2026'!$G$2:$G$2719,'апрель 2026'!$D$2:$D$2719,$B35,'апрель 2026'!$J$2:$J$2719,N$1)</f>
        <v>0</v>
      </c>
      <c r="O35" s="143">
        <f>SUMIFS('апрель 2026'!$G$2:$G$2719,'апрель 2026'!$D$2:$D$2719,$B35,'апрель 2026'!$J$2:$J$2719,O$1)</f>
        <v>0</v>
      </c>
      <c r="P35" s="143">
        <f>SUMIFS('апрель 2026'!$G$2:$G$2719,'апрель 2026'!$D$2:$D$2719,$B35,'апрель 2026'!$J$2:$J$2719,P$1)</f>
        <v>0</v>
      </c>
      <c r="Q35" s="143">
        <f>SUMIFS('апрель 2026'!$G$2:$G$2719,'апрель 2026'!$D$2:$D$2719,$B35,'апрель 2026'!$J$2:$J$2719,Q$1)</f>
        <v>0</v>
      </c>
      <c r="R35" s="143">
        <f>SUMIFS('апрель 2026'!$G$2:$G$2719,'апрель 2026'!$D$2:$D$2719,$B35,'апрель 2026'!$J$2:$J$2719,R$1)</f>
        <v>0</v>
      </c>
      <c r="S35" s="143">
        <f>SUMIFS('апрель 2026'!$G$2:$G$2719,'апрель 2026'!$D$2:$D$2719,$B35,'апрель 2026'!$J$2:$J$2719,S$1)</f>
        <v>0</v>
      </c>
      <c r="T35" s="143">
        <f>SUMIFS('апрель 2026'!$G$2:$G$2719,'апрель 2026'!$D$2:$D$2719,$B35,'апрель 2026'!$J$2:$J$2719,T$1)</f>
        <v>0</v>
      </c>
      <c r="U35" s="143">
        <f>SUMIFS('апрель 2026'!$G$2:$G$2719,'апрель 2026'!$D$2:$D$2719,$B35,'апрель 2026'!$J$2:$J$2719,U$1)</f>
        <v>0</v>
      </c>
      <c r="V35" s="143">
        <f>SUMIFS('апрель 2026'!$G$2:$G$2719,'апрель 2026'!$D$2:$D$2719,$B35,'апрель 2026'!$J$2:$J$2719,V$1)</f>
        <v>0</v>
      </c>
      <c r="W35" s="143">
        <f>SUMIFS('апрель 2026'!$G$2:$G$2719,'апрель 2026'!$D$2:$D$2719,$B35,'апрель 2026'!$J$2:$J$2719,W$1)</f>
        <v>0</v>
      </c>
      <c r="X35" s="143">
        <f>SUMIFS('апрель 2026'!$G$2:$G$2719,'апрель 2026'!$D$2:$D$2719,$B35,'апрель 2026'!$J$2:$J$2719,X$1)</f>
        <v>0</v>
      </c>
      <c r="Y35" s="143">
        <f>SUMIFS('апрель 2026'!$G$2:$G$2719,'апрель 2026'!$D$2:$D$2719,$B35,'апрель 2026'!$J$2:$J$2719,Y$1)</f>
        <v>0</v>
      </c>
      <c r="Z35" s="143">
        <f>SUMIFS('апрель 2026'!$G$2:$G$2719,'апрель 2026'!$D$2:$D$2719,$B35,'апрель 2026'!$J$2:$J$2719,Z$1)</f>
        <v>0</v>
      </c>
      <c r="AA35" s="143">
        <f>SUMIFS('апрель 2026'!$G$2:$G$2719,'апрель 2026'!$D$2:$D$2719,$B35,'апрель 2026'!$J$2:$J$2719,AA$1)</f>
        <v>0</v>
      </c>
      <c r="AB35" s="143">
        <f>SUMIFS('апрель 2026'!$G$2:$G$2719,'апрель 2026'!$D$2:$D$2719,$B35,'апрель 2026'!$J$2:$J$2719,AB$1)</f>
        <v>0</v>
      </c>
      <c r="AC35" s="143">
        <f>SUMIFS('апрель 2026'!$G$2:$G$2719,'апрель 2026'!$D$2:$D$2719,$B35,'апрель 2026'!$J$2:$J$2719,AC$1)</f>
        <v>0</v>
      </c>
      <c r="AD35" s="143">
        <f>SUMIFS('апрель 2026'!$G$2:$G$2719,'апрель 2026'!$D$2:$D$2719,$B35,'апрель 2026'!$J$2:$J$2719,AD$1)</f>
        <v>0</v>
      </c>
      <c r="AE35" s="143">
        <f>SUMIFS('апрель 2026'!$G$2:$G$2719,'апрель 2026'!$D$2:$D$2719,$B35,'апрель 2026'!$J$2:$J$2719,AE$1)</f>
        <v>0</v>
      </c>
      <c r="AF35" s="143">
        <f>SUMIFS('апрель 2026'!$G$2:$G$2719,'апрель 2026'!$D$2:$D$2719,$B35,'апрель 2026'!$J$2:$J$2719,AF$1)</f>
        <v>0</v>
      </c>
      <c r="AG35" s="143">
        <f>SUMIFS('апрель 2026'!$G$2:$G$2719,'апрель 2026'!$D$2:$D$2719,$B35,'апрель 2026'!$J$2:$J$2719,AG$1)</f>
        <v>0</v>
      </c>
      <c r="AH35" s="143">
        <f>SUMIFS('апрель 2026'!$G$2:$G$2719,'апрель 2026'!$D$2:$D$2719,$B35,'апрель 2026'!$J$2:$J$2719,AH$1)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SUMIFS('апрель 2026'!$G$2:$G$2719,'апрель 2026'!$D$2:$D$2719,$B36,'апрель 2026'!$J$2:$J$2719,D$1)</f>
        <v>0</v>
      </c>
      <c r="E36" s="143">
        <f>SUMIFS('апрель 2026'!$G$2:$G$2719,'апрель 2026'!$D$2:$D$2719,$B36,'апрель 2026'!$J$2:$J$2719,E$1)</f>
        <v>0</v>
      </c>
      <c r="F36" s="143">
        <f>SUMIFS('апрель 2026'!$G$2:$G$2719,'апрель 2026'!$D$2:$D$2719,$B36,'апрель 2026'!$J$2:$J$2719,F$1)</f>
        <v>0</v>
      </c>
      <c r="G36" s="143">
        <f>SUMIFS('апрель 2026'!$G$2:$G$2719,'апрель 2026'!$D$2:$D$2719,$B36,'апрель 2026'!$J$2:$J$2719,G$1)</f>
        <v>0</v>
      </c>
      <c r="H36" s="143">
        <f>SUMIFS('апрель 2026'!$G$2:$G$2719,'апрель 2026'!$D$2:$D$2719,$B36,'апрель 2026'!$J$2:$J$2719,H$1)</f>
        <v>0</v>
      </c>
      <c r="I36" s="143">
        <f>SUMIFS('апрель 2026'!$G$2:$G$2719,'апрель 2026'!$D$2:$D$2719,$B36,'апрель 2026'!$J$2:$J$2719,I$1)</f>
        <v>0</v>
      </c>
      <c r="J36" s="143">
        <f>SUMIFS('апрель 2026'!$G$2:$G$2719,'апрель 2026'!$D$2:$D$2719,$B36,'апрель 2026'!$J$2:$J$2719,J$1)</f>
        <v>0</v>
      </c>
      <c r="K36" s="143">
        <f>SUMIFS('апрель 2026'!$G$2:$G$2719,'апрель 2026'!$D$2:$D$2719,$B36,'апрель 2026'!$J$2:$J$2719,K$1)</f>
        <v>0</v>
      </c>
      <c r="L36" s="143">
        <f>SUMIFS('апрель 2026'!$G$2:$G$2719,'апрель 2026'!$D$2:$D$2719,$B36,'апрель 2026'!$J$2:$J$2719,L$1)</f>
        <v>0</v>
      </c>
      <c r="M36" s="143">
        <f>SUMIFS('апрель 2026'!$G$2:$G$2719,'апрель 2026'!$D$2:$D$2719,$B36,'апрель 2026'!$J$2:$J$2719,M$1)</f>
        <v>0</v>
      </c>
      <c r="N36" s="143">
        <f>SUMIFS('апрель 2026'!$G$2:$G$2719,'апрель 2026'!$D$2:$D$2719,$B36,'апрель 2026'!$J$2:$J$2719,N$1)</f>
        <v>0</v>
      </c>
      <c r="O36" s="143">
        <f>SUMIFS('апрель 2026'!$G$2:$G$2719,'апрель 2026'!$D$2:$D$2719,$B36,'апрель 2026'!$J$2:$J$2719,O$1)</f>
        <v>0</v>
      </c>
      <c r="P36" s="143">
        <f>SUMIFS('апрель 2026'!$G$2:$G$2719,'апрель 2026'!$D$2:$D$2719,$B36,'апрель 2026'!$J$2:$J$2719,P$1)</f>
        <v>0</v>
      </c>
      <c r="Q36" s="143">
        <f>SUMIFS('апрель 2026'!$G$2:$G$2719,'апрель 2026'!$D$2:$D$2719,$B36,'апрель 2026'!$J$2:$J$2719,Q$1)</f>
        <v>0</v>
      </c>
      <c r="R36" s="143">
        <f>SUMIFS('апрель 2026'!$G$2:$G$2719,'апрель 2026'!$D$2:$D$2719,$B36,'апрель 2026'!$J$2:$J$2719,R$1)</f>
        <v>0</v>
      </c>
      <c r="S36" s="143">
        <f>SUMIFS('апрель 2026'!$G$2:$G$2719,'апрель 2026'!$D$2:$D$2719,$B36,'апрель 2026'!$J$2:$J$2719,S$1)</f>
        <v>0</v>
      </c>
      <c r="T36" s="143">
        <f>SUMIFS('апрель 2026'!$G$2:$G$2719,'апрель 2026'!$D$2:$D$2719,$B36,'апрель 2026'!$J$2:$J$2719,T$1)</f>
        <v>0</v>
      </c>
      <c r="U36" s="143">
        <f>SUMIFS('апрель 2026'!$G$2:$G$2719,'апрель 2026'!$D$2:$D$2719,$B36,'апрель 2026'!$J$2:$J$2719,U$1)</f>
        <v>0</v>
      </c>
      <c r="V36" s="143">
        <f>SUMIFS('апрель 2026'!$G$2:$G$2719,'апрель 2026'!$D$2:$D$2719,$B36,'апрель 2026'!$J$2:$J$2719,V$1)</f>
        <v>0</v>
      </c>
      <c r="W36" s="143">
        <f>SUMIFS('апрель 2026'!$G$2:$G$2719,'апрель 2026'!$D$2:$D$2719,$B36,'апрель 2026'!$J$2:$J$2719,W$1)</f>
        <v>0</v>
      </c>
      <c r="X36" s="143">
        <f>SUMIFS('апрель 2026'!$G$2:$G$2719,'апрель 2026'!$D$2:$D$2719,$B36,'апрель 2026'!$J$2:$J$2719,X$1)</f>
        <v>0</v>
      </c>
      <c r="Y36" s="143">
        <f>SUMIFS('апрель 2026'!$G$2:$G$2719,'апрель 2026'!$D$2:$D$2719,$B36,'апрель 2026'!$J$2:$J$2719,Y$1)</f>
        <v>0</v>
      </c>
      <c r="Z36" s="143">
        <f>SUMIFS('апрель 2026'!$G$2:$G$2719,'апрель 2026'!$D$2:$D$2719,$B36,'апрель 2026'!$J$2:$J$2719,Z$1)</f>
        <v>0</v>
      </c>
      <c r="AA36" s="143">
        <f>SUMIFS('апрель 2026'!$G$2:$G$2719,'апрель 2026'!$D$2:$D$2719,$B36,'апрель 2026'!$J$2:$J$2719,AA$1)</f>
        <v>0</v>
      </c>
      <c r="AB36" s="143">
        <f>SUMIFS('апрель 2026'!$G$2:$G$2719,'апрель 2026'!$D$2:$D$2719,$B36,'апрель 2026'!$J$2:$J$2719,AB$1)</f>
        <v>0</v>
      </c>
      <c r="AC36" s="143">
        <f>SUMIFS('апрель 2026'!$G$2:$G$2719,'апрель 2026'!$D$2:$D$2719,$B36,'апрель 2026'!$J$2:$J$2719,AC$1)</f>
        <v>0</v>
      </c>
      <c r="AD36" s="143">
        <f>SUMIFS('апрель 2026'!$G$2:$G$2719,'апрель 2026'!$D$2:$D$2719,$B36,'апрель 2026'!$J$2:$J$2719,AD$1)</f>
        <v>0</v>
      </c>
      <c r="AE36" s="143">
        <f>SUMIFS('апрель 2026'!$G$2:$G$2719,'апрель 2026'!$D$2:$D$2719,$B36,'апрель 2026'!$J$2:$J$2719,AE$1)</f>
        <v>0</v>
      </c>
      <c r="AF36" s="143">
        <f>SUMIFS('апрель 2026'!$G$2:$G$2719,'апрель 2026'!$D$2:$D$2719,$B36,'апрель 2026'!$J$2:$J$2719,AF$1)</f>
        <v>0</v>
      </c>
      <c r="AG36" s="143">
        <f>SUMIFS('апрель 2026'!$G$2:$G$2719,'апрель 2026'!$D$2:$D$2719,$B36,'апрель 2026'!$J$2:$J$2719,AG$1)</f>
        <v>0</v>
      </c>
      <c r="AH36" s="143">
        <f>SUMIFS('апрель 2026'!$G$2:$G$2719,'апрель 2026'!$D$2:$D$2719,$B36,'апрель 2026'!$J$2:$J$2719,AH$1)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SUMIFS('апрель 2026'!$G$2:$G$2719,'апрель 2026'!$D$2:$D$2719,$B37,'апрель 2026'!$J$2:$J$2719,D$1)</f>
        <v>0</v>
      </c>
      <c r="E37" s="143">
        <f>SUMIFS('апрель 2026'!$G$2:$G$2719,'апрель 2026'!$D$2:$D$2719,$B37,'апрель 2026'!$J$2:$J$2719,E$1)</f>
        <v>0</v>
      </c>
      <c r="F37" s="143">
        <f>SUMIFS('апрель 2026'!$G$2:$G$2719,'апрель 2026'!$D$2:$D$2719,$B37,'апрель 2026'!$J$2:$J$2719,F$1)</f>
        <v>0</v>
      </c>
      <c r="G37" s="143">
        <f>SUMIFS('апрель 2026'!$G$2:$G$2719,'апрель 2026'!$D$2:$D$2719,$B37,'апрель 2026'!$J$2:$J$2719,G$1)</f>
        <v>0</v>
      </c>
      <c r="H37" s="143">
        <f>SUMIFS('апрель 2026'!$G$2:$G$2719,'апрель 2026'!$D$2:$D$2719,$B37,'апрель 2026'!$J$2:$J$2719,H$1)</f>
        <v>0</v>
      </c>
      <c r="I37" s="143">
        <f>SUMIFS('апрель 2026'!$G$2:$G$2719,'апрель 2026'!$D$2:$D$2719,$B37,'апрель 2026'!$J$2:$J$2719,I$1)</f>
        <v>0</v>
      </c>
      <c r="J37" s="143">
        <f>SUMIFS('апрель 2026'!$G$2:$G$2719,'апрель 2026'!$D$2:$D$2719,$B37,'апрель 2026'!$J$2:$J$2719,J$1)</f>
        <v>0</v>
      </c>
      <c r="K37" s="143">
        <f>SUMIFS('апрель 2026'!$G$2:$G$2719,'апрель 2026'!$D$2:$D$2719,$B37,'апрель 2026'!$J$2:$J$2719,K$1)</f>
        <v>0</v>
      </c>
      <c r="L37" s="143">
        <f>SUMIFS('апрель 2026'!$G$2:$G$2719,'апрель 2026'!$D$2:$D$2719,$B37,'апрель 2026'!$J$2:$J$2719,L$1)</f>
        <v>0</v>
      </c>
      <c r="M37" s="143">
        <f>SUMIFS('апрель 2026'!$G$2:$G$2719,'апрель 2026'!$D$2:$D$2719,$B37,'апрель 2026'!$J$2:$J$2719,M$1)</f>
        <v>0</v>
      </c>
      <c r="N37" s="143">
        <f>SUMIFS('апрель 2026'!$G$2:$G$2719,'апрель 2026'!$D$2:$D$2719,$B37,'апрель 2026'!$J$2:$J$2719,N$1)</f>
        <v>0</v>
      </c>
      <c r="O37" s="143">
        <f>SUMIFS('апрель 2026'!$G$2:$G$2719,'апрель 2026'!$D$2:$D$2719,$B37,'апрель 2026'!$J$2:$J$2719,O$1)</f>
        <v>0</v>
      </c>
      <c r="P37" s="143">
        <f>SUMIFS('апрель 2026'!$G$2:$G$2719,'апрель 2026'!$D$2:$D$2719,$B37,'апрель 2026'!$J$2:$J$2719,P$1)</f>
        <v>0</v>
      </c>
      <c r="Q37" s="143">
        <f>SUMIFS('апрель 2026'!$G$2:$G$2719,'апрель 2026'!$D$2:$D$2719,$B37,'апрель 2026'!$J$2:$J$2719,Q$1)</f>
        <v>0</v>
      </c>
      <c r="R37" s="143">
        <f>SUMIFS('апрель 2026'!$G$2:$G$2719,'апрель 2026'!$D$2:$D$2719,$B37,'апрель 2026'!$J$2:$J$2719,R$1)</f>
        <v>0</v>
      </c>
      <c r="S37" s="143">
        <f>SUMIFS('апрель 2026'!$G$2:$G$2719,'апрель 2026'!$D$2:$D$2719,$B37,'апрель 2026'!$J$2:$J$2719,S$1)</f>
        <v>0</v>
      </c>
      <c r="T37" s="143">
        <f>SUMIFS('апрель 2026'!$G$2:$G$2719,'апрель 2026'!$D$2:$D$2719,$B37,'апрель 2026'!$J$2:$J$2719,T$1)</f>
        <v>0</v>
      </c>
      <c r="U37" s="143">
        <f>SUMIFS('апрель 2026'!$G$2:$G$2719,'апрель 2026'!$D$2:$D$2719,$B37,'апрель 2026'!$J$2:$J$2719,U$1)</f>
        <v>0</v>
      </c>
      <c r="V37" s="143">
        <f>SUMIFS('апрель 2026'!$G$2:$G$2719,'апрель 2026'!$D$2:$D$2719,$B37,'апрель 2026'!$J$2:$J$2719,V$1)</f>
        <v>0</v>
      </c>
      <c r="W37" s="143">
        <f>SUMIFS('апрель 2026'!$G$2:$G$2719,'апрель 2026'!$D$2:$D$2719,$B37,'апрель 2026'!$J$2:$J$2719,W$1)</f>
        <v>0</v>
      </c>
      <c r="X37" s="143">
        <f>SUMIFS('апрель 2026'!$G$2:$G$2719,'апрель 2026'!$D$2:$D$2719,$B37,'апрель 2026'!$J$2:$J$2719,X$1)</f>
        <v>0</v>
      </c>
      <c r="Y37" s="143">
        <f>SUMIFS('апрель 2026'!$G$2:$G$2719,'апрель 2026'!$D$2:$D$2719,$B37,'апрель 2026'!$J$2:$J$2719,Y$1)</f>
        <v>0</v>
      </c>
      <c r="Z37" s="143">
        <f>SUMIFS('апрель 2026'!$G$2:$G$2719,'апрель 2026'!$D$2:$D$2719,$B37,'апрель 2026'!$J$2:$J$2719,Z$1)</f>
        <v>0</v>
      </c>
      <c r="AA37" s="143">
        <f>SUMIFS('апрель 2026'!$G$2:$G$2719,'апрель 2026'!$D$2:$D$2719,$B37,'апрель 2026'!$J$2:$J$2719,AA$1)</f>
        <v>0</v>
      </c>
      <c r="AB37" s="143">
        <f>SUMIFS('апрель 2026'!$G$2:$G$2719,'апрель 2026'!$D$2:$D$2719,$B37,'апрель 2026'!$J$2:$J$2719,AB$1)</f>
        <v>0</v>
      </c>
      <c r="AC37" s="143">
        <f>SUMIFS('апрель 2026'!$G$2:$G$2719,'апрель 2026'!$D$2:$D$2719,$B37,'апрель 2026'!$J$2:$J$2719,AC$1)</f>
        <v>0</v>
      </c>
      <c r="AD37" s="143">
        <f>SUMIFS('апрель 2026'!$G$2:$G$2719,'апрель 2026'!$D$2:$D$2719,$B37,'апрель 2026'!$J$2:$J$2719,AD$1)</f>
        <v>0</v>
      </c>
      <c r="AE37" s="143">
        <f>SUMIFS('апрель 2026'!$G$2:$G$2719,'апрель 2026'!$D$2:$D$2719,$B37,'апрель 2026'!$J$2:$J$2719,AE$1)</f>
        <v>0</v>
      </c>
      <c r="AF37" s="143">
        <f>SUMIFS('апрель 2026'!$G$2:$G$2719,'апрель 2026'!$D$2:$D$2719,$B37,'апрель 2026'!$J$2:$J$2719,AF$1)</f>
        <v>0</v>
      </c>
      <c r="AG37" s="143">
        <f>SUMIFS('апрель 2026'!$G$2:$G$2719,'апрель 2026'!$D$2:$D$2719,$B37,'апрель 2026'!$J$2:$J$2719,AG$1)</f>
        <v>0</v>
      </c>
      <c r="AH37" s="143">
        <f>SUMIFS('апрель 2026'!$G$2:$G$2719,'апрель 2026'!$D$2:$D$2719,$B37,'апрель 2026'!$J$2:$J$2719,AH$1)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SUMIFS('апрель 2026'!$G$2:$G$2719,'апрель 2026'!$D$2:$D$2719,$B38,'апрель 2026'!$J$2:$J$2719,D$1)</f>
        <v>0</v>
      </c>
      <c r="E38" s="143">
        <f>SUMIFS('апрель 2026'!$G$2:$G$2719,'апрель 2026'!$D$2:$D$2719,$B38,'апрель 2026'!$J$2:$J$2719,E$1)</f>
        <v>0</v>
      </c>
      <c r="F38" s="143">
        <f>SUMIFS('апрель 2026'!$G$2:$G$2719,'апрель 2026'!$D$2:$D$2719,$B38,'апрель 2026'!$J$2:$J$2719,F$1)</f>
        <v>0</v>
      </c>
      <c r="G38" s="143">
        <f>SUMIFS('апрель 2026'!$G$2:$G$2719,'апрель 2026'!$D$2:$D$2719,$B38,'апрель 2026'!$J$2:$J$2719,G$1)</f>
        <v>0</v>
      </c>
      <c r="H38" s="143">
        <f>SUMIFS('апрель 2026'!$G$2:$G$2719,'апрель 2026'!$D$2:$D$2719,$B38,'апрель 2026'!$J$2:$J$2719,H$1)</f>
        <v>0</v>
      </c>
      <c r="I38" s="143">
        <f>SUMIFS('апрель 2026'!$G$2:$G$2719,'апрель 2026'!$D$2:$D$2719,$B38,'апрель 2026'!$J$2:$J$2719,I$1)</f>
        <v>0</v>
      </c>
      <c r="J38" s="143">
        <f>SUMIFS('апрель 2026'!$G$2:$G$2719,'апрель 2026'!$D$2:$D$2719,$B38,'апрель 2026'!$J$2:$J$2719,J$1)</f>
        <v>0</v>
      </c>
      <c r="K38" s="143">
        <f>SUMIFS('апрель 2026'!$G$2:$G$2719,'апрель 2026'!$D$2:$D$2719,$B38,'апрель 2026'!$J$2:$J$2719,K$1)</f>
        <v>0</v>
      </c>
      <c r="L38" s="143">
        <f>SUMIFS('апрель 2026'!$G$2:$G$2719,'апрель 2026'!$D$2:$D$2719,$B38,'апрель 2026'!$J$2:$J$2719,L$1)</f>
        <v>0</v>
      </c>
      <c r="M38" s="143">
        <f>SUMIFS('апрель 2026'!$G$2:$G$2719,'апрель 2026'!$D$2:$D$2719,$B38,'апрель 2026'!$J$2:$J$2719,M$1)</f>
        <v>0</v>
      </c>
      <c r="N38" s="143">
        <f>SUMIFS('апрель 2026'!$G$2:$G$2719,'апрель 2026'!$D$2:$D$2719,$B38,'апрель 2026'!$J$2:$J$2719,N$1)</f>
        <v>0</v>
      </c>
      <c r="O38" s="143">
        <f>SUMIFS('апрель 2026'!$G$2:$G$2719,'апрель 2026'!$D$2:$D$2719,$B38,'апрель 2026'!$J$2:$J$2719,O$1)</f>
        <v>0</v>
      </c>
      <c r="P38" s="143">
        <f>SUMIFS('апрель 2026'!$G$2:$G$2719,'апрель 2026'!$D$2:$D$2719,$B38,'апрель 2026'!$J$2:$J$2719,P$1)</f>
        <v>0</v>
      </c>
      <c r="Q38" s="143">
        <f>SUMIFS('апрель 2026'!$G$2:$G$2719,'апрель 2026'!$D$2:$D$2719,$B38,'апрель 2026'!$J$2:$J$2719,Q$1)</f>
        <v>0</v>
      </c>
      <c r="R38" s="143">
        <f>SUMIFS('апрель 2026'!$G$2:$G$2719,'апрель 2026'!$D$2:$D$2719,$B38,'апрель 2026'!$J$2:$J$2719,R$1)</f>
        <v>0</v>
      </c>
      <c r="S38" s="143">
        <f>SUMIFS('апрель 2026'!$G$2:$G$2719,'апрель 2026'!$D$2:$D$2719,$B38,'апрель 2026'!$J$2:$J$2719,S$1)</f>
        <v>0</v>
      </c>
      <c r="T38" s="143">
        <f>SUMIFS('апрель 2026'!$G$2:$G$2719,'апрель 2026'!$D$2:$D$2719,$B38,'апрель 2026'!$J$2:$J$2719,T$1)</f>
        <v>0</v>
      </c>
      <c r="U38" s="143">
        <f>SUMIFS('апрель 2026'!$G$2:$G$2719,'апрель 2026'!$D$2:$D$2719,$B38,'апрель 2026'!$J$2:$J$2719,U$1)</f>
        <v>0</v>
      </c>
      <c r="V38" s="143">
        <f>SUMIFS('апрель 2026'!$G$2:$G$2719,'апрель 2026'!$D$2:$D$2719,$B38,'апрель 2026'!$J$2:$J$2719,V$1)</f>
        <v>0</v>
      </c>
      <c r="W38" s="143">
        <f>SUMIFS('апрель 2026'!$G$2:$G$2719,'апрель 2026'!$D$2:$D$2719,$B38,'апрель 2026'!$J$2:$J$2719,W$1)</f>
        <v>0</v>
      </c>
      <c r="X38" s="143">
        <f>SUMIFS('апрель 2026'!$G$2:$G$2719,'апрель 2026'!$D$2:$D$2719,$B38,'апрель 2026'!$J$2:$J$2719,X$1)</f>
        <v>0</v>
      </c>
      <c r="Y38" s="143">
        <f>SUMIFS('апрель 2026'!$G$2:$G$2719,'апрель 2026'!$D$2:$D$2719,$B38,'апрель 2026'!$J$2:$J$2719,Y$1)</f>
        <v>0</v>
      </c>
      <c r="Z38" s="143">
        <f>SUMIFS('апрель 2026'!$G$2:$G$2719,'апрель 2026'!$D$2:$D$2719,$B38,'апрель 2026'!$J$2:$J$2719,Z$1)</f>
        <v>0</v>
      </c>
      <c r="AA38" s="143">
        <f>SUMIFS('апрель 2026'!$G$2:$G$2719,'апрель 2026'!$D$2:$D$2719,$B38,'апрель 2026'!$J$2:$J$2719,AA$1)</f>
        <v>0</v>
      </c>
      <c r="AB38" s="143">
        <f>SUMIFS('апрель 2026'!$G$2:$G$2719,'апрель 2026'!$D$2:$D$2719,$B38,'апрель 2026'!$J$2:$J$2719,AB$1)</f>
        <v>0</v>
      </c>
      <c r="AC38" s="143">
        <f>SUMIFS('апрель 2026'!$G$2:$G$2719,'апрель 2026'!$D$2:$D$2719,$B38,'апрель 2026'!$J$2:$J$2719,AC$1)</f>
        <v>0</v>
      </c>
      <c r="AD38" s="143">
        <f>SUMIFS('апрель 2026'!$G$2:$G$2719,'апрель 2026'!$D$2:$D$2719,$B38,'апрель 2026'!$J$2:$J$2719,AD$1)</f>
        <v>0</v>
      </c>
      <c r="AE38" s="143">
        <f>SUMIFS('апрель 2026'!$G$2:$G$2719,'апрель 2026'!$D$2:$D$2719,$B38,'апрель 2026'!$J$2:$J$2719,AE$1)</f>
        <v>0</v>
      </c>
      <c r="AF38" s="143">
        <f>SUMIFS('апрель 2026'!$G$2:$G$2719,'апрель 2026'!$D$2:$D$2719,$B38,'апрель 2026'!$J$2:$J$2719,AF$1)</f>
        <v>0</v>
      </c>
      <c r="AG38" s="143">
        <f>SUMIFS('апрель 2026'!$G$2:$G$2719,'апрель 2026'!$D$2:$D$2719,$B38,'апрель 2026'!$J$2:$J$2719,AG$1)</f>
        <v>0</v>
      </c>
      <c r="AH38" s="143">
        <f>SUMIFS('апрель 2026'!$G$2:$G$2719,'апрель 2026'!$D$2:$D$2719,$B38,'апрель 2026'!$J$2:$J$2719,AH$1)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SUMIFS('апрель 2026'!$G$2:$G$2719,'апрель 2026'!$D$2:$D$2719,$B39,'апрель 2026'!$J$2:$J$2719,D$1)</f>
        <v>0</v>
      </c>
      <c r="E39" s="143">
        <f>SUMIFS('апрель 2026'!$G$2:$G$2719,'апрель 2026'!$D$2:$D$2719,$B39,'апрель 2026'!$J$2:$J$2719,E$1)</f>
        <v>0</v>
      </c>
      <c r="F39" s="143">
        <f>SUMIFS('апрель 2026'!$G$2:$G$2719,'апрель 2026'!$D$2:$D$2719,$B39,'апрель 2026'!$J$2:$J$2719,F$1)</f>
        <v>0</v>
      </c>
      <c r="G39" s="143">
        <f>SUMIFS('апрель 2026'!$G$2:$G$2719,'апрель 2026'!$D$2:$D$2719,$B39,'апрель 2026'!$J$2:$J$2719,G$1)</f>
        <v>0</v>
      </c>
      <c r="H39" s="143">
        <f>SUMIFS('апрель 2026'!$G$2:$G$2719,'апрель 2026'!$D$2:$D$2719,$B39,'апрель 2026'!$J$2:$J$2719,H$1)</f>
        <v>0</v>
      </c>
      <c r="I39" s="143">
        <f>SUMIFS('апрель 2026'!$G$2:$G$2719,'апрель 2026'!$D$2:$D$2719,$B39,'апрель 2026'!$J$2:$J$2719,I$1)</f>
        <v>0</v>
      </c>
      <c r="J39" s="143">
        <f>SUMIFS('апрель 2026'!$G$2:$G$2719,'апрель 2026'!$D$2:$D$2719,$B39,'апрель 2026'!$J$2:$J$2719,J$1)</f>
        <v>0</v>
      </c>
      <c r="K39" s="143">
        <f>SUMIFS('апрель 2026'!$G$2:$G$2719,'апрель 2026'!$D$2:$D$2719,$B39,'апрель 2026'!$J$2:$J$2719,K$1)</f>
        <v>0</v>
      </c>
      <c r="L39" s="143">
        <f>SUMIFS('апрель 2026'!$G$2:$G$2719,'апрель 2026'!$D$2:$D$2719,$B39,'апрель 2026'!$J$2:$J$2719,L$1)</f>
        <v>0</v>
      </c>
      <c r="M39" s="143">
        <f>SUMIFS('апрель 2026'!$G$2:$G$2719,'апрель 2026'!$D$2:$D$2719,$B39,'апрель 2026'!$J$2:$J$2719,M$1)</f>
        <v>0</v>
      </c>
      <c r="N39" s="143">
        <f>SUMIFS('апрель 2026'!$G$2:$G$2719,'апрель 2026'!$D$2:$D$2719,$B39,'апрель 2026'!$J$2:$J$2719,N$1)</f>
        <v>0</v>
      </c>
      <c r="O39" s="143">
        <f>SUMIFS('апрель 2026'!$G$2:$G$2719,'апрель 2026'!$D$2:$D$2719,$B39,'апрель 2026'!$J$2:$J$2719,O$1)</f>
        <v>0</v>
      </c>
      <c r="P39" s="143">
        <f>SUMIFS('апрель 2026'!$G$2:$G$2719,'апрель 2026'!$D$2:$D$2719,$B39,'апрель 2026'!$J$2:$J$2719,P$1)</f>
        <v>0</v>
      </c>
      <c r="Q39" s="143">
        <f>SUMIFS('апрель 2026'!$G$2:$G$2719,'апрель 2026'!$D$2:$D$2719,$B39,'апрель 2026'!$J$2:$J$2719,Q$1)</f>
        <v>0</v>
      </c>
      <c r="R39" s="143">
        <f>SUMIFS('апрель 2026'!$G$2:$G$2719,'апрель 2026'!$D$2:$D$2719,$B39,'апрель 2026'!$J$2:$J$2719,R$1)</f>
        <v>0</v>
      </c>
      <c r="S39" s="143">
        <f>SUMIFS('апрель 2026'!$G$2:$G$2719,'апрель 2026'!$D$2:$D$2719,$B39,'апрель 2026'!$J$2:$J$2719,S$1)</f>
        <v>0</v>
      </c>
      <c r="T39" s="143">
        <f>SUMIFS('апрель 2026'!$G$2:$G$2719,'апрель 2026'!$D$2:$D$2719,$B39,'апрель 2026'!$J$2:$J$2719,T$1)</f>
        <v>0</v>
      </c>
      <c r="U39" s="143">
        <f>SUMIFS('апрель 2026'!$G$2:$G$2719,'апрель 2026'!$D$2:$D$2719,$B39,'апрель 2026'!$J$2:$J$2719,U$1)</f>
        <v>0</v>
      </c>
      <c r="V39" s="143">
        <f>SUMIFS('апрель 2026'!$G$2:$G$2719,'апрель 2026'!$D$2:$D$2719,$B39,'апрель 2026'!$J$2:$J$2719,V$1)</f>
        <v>0</v>
      </c>
      <c r="W39" s="143">
        <f>SUMIFS('апрель 2026'!$G$2:$G$2719,'апрель 2026'!$D$2:$D$2719,$B39,'апрель 2026'!$J$2:$J$2719,W$1)</f>
        <v>0</v>
      </c>
      <c r="X39" s="143">
        <f>SUMIFS('апрель 2026'!$G$2:$G$2719,'апрель 2026'!$D$2:$D$2719,$B39,'апрель 2026'!$J$2:$J$2719,X$1)</f>
        <v>0</v>
      </c>
      <c r="Y39" s="143">
        <f>SUMIFS('апрель 2026'!$G$2:$G$2719,'апрель 2026'!$D$2:$D$2719,$B39,'апрель 2026'!$J$2:$J$2719,Y$1)</f>
        <v>0</v>
      </c>
      <c r="Z39" s="143">
        <f>SUMIFS('апрель 2026'!$G$2:$G$2719,'апрель 2026'!$D$2:$D$2719,$B39,'апрель 2026'!$J$2:$J$2719,Z$1)</f>
        <v>0</v>
      </c>
      <c r="AA39" s="143">
        <f>SUMIFS('апрель 2026'!$G$2:$G$2719,'апрель 2026'!$D$2:$D$2719,$B39,'апрель 2026'!$J$2:$J$2719,AA$1)</f>
        <v>0</v>
      </c>
      <c r="AB39" s="143">
        <f>SUMIFS('апрель 2026'!$G$2:$G$2719,'апрель 2026'!$D$2:$D$2719,$B39,'апрель 2026'!$J$2:$J$2719,AB$1)</f>
        <v>0</v>
      </c>
      <c r="AC39" s="143">
        <f>SUMIFS('апрель 2026'!$G$2:$G$2719,'апрель 2026'!$D$2:$D$2719,$B39,'апрель 2026'!$J$2:$J$2719,AC$1)</f>
        <v>0</v>
      </c>
      <c r="AD39" s="143">
        <f>SUMIFS('апрель 2026'!$G$2:$G$2719,'апрель 2026'!$D$2:$D$2719,$B39,'апрель 2026'!$J$2:$J$2719,AD$1)</f>
        <v>0</v>
      </c>
      <c r="AE39" s="143">
        <f>SUMIFS('апрель 2026'!$G$2:$G$2719,'апрель 2026'!$D$2:$D$2719,$B39,'апрель 2026'!$J$2:$J$2719,AE$1)</f>
        <v>0</v>
      </c>
      <c r="AF39" s="143">
        <f>SUMIFS('апрель 2026'!$G$2:$G$2719,'апрель 2026'!$D$2:$D$2719,$B39,'апрель 2026'!$J$2:$J$2719,AF$1)</f>
        <v>0</v>
      </c>
      <c r="AG39" s="143">
        <f>SUMIFS('апрель 2026'!$G$2:$G$2719,'апрель 2026'!$D$2:$D$2719,$B39,'апрель 2026'!$J$2:$J$2719,AG$1)</f>
        <v>0</v>
      </c>
      <c r="AH39" s="143">
        <f>SUMIFS('апрель 2026'!$G$2:$G$2719,'апрель 2026'!$D$2:$D$2719,$B39,'апрель 2026'!$J$2:$J$2719,AH$1)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SUMIFS('апрель 2026'!$G$2:$G$2719,'апрель 2026'!$D$2:$D$2719,$B40,'апрель 2026'!$J$2:$J$2719,D$1)</f>
        <v>0</v>
      </c>
      <c r="E40" s="143">
        <f>SUMIFS('апрель 2026'!$G$2:$G$2719,'апрель 2026'!$D$2:$D$2719,$B40,'апрель 2026'!$J$2:$J$2719,E$1)</f>
        <v>0</v>
      </c>
      <c r="F40" s="143">
        <f>SUMIFS('апрель 2026'!$G$2:$G$2719,'апрель 2026'!$D$2:$D$2719,$B40,'апрель 2026'!$J$2:$J$2719,F$1)</f>
        <v>0</v>
      </c>
      <c r="G40" s="143">
        <f>SUMIFS('апрель 2026'!$G$2:$G$2719,'апрель 2026'!$D$2:$D$2719,$B40,'апрель 2026'!$J$2:$J$2719,G$1)</f>
        <v>0</v>
      </c>
      <c r="H40" s="143">
        <f>SUMIFS('апрель 2026'!$G$2:$G$2719,'апрель 2026'!$D$2:$D$2719,$B40,'апрель 2026'!$J$2:$J$2719,H$1)</f>
        <v>0</v>
      </c>
      <c r="I40" s="143">
        <f>SUMIFS('апрель 2026'!$G$2:$G$2719,'апрель 2026'!$D$2:$D$2719,$B40,'апрель 2026'!$J$2:$J$2719,I$1)</f>
        <v>0</v>
      </c>
      <c r="J40" s="143">
        <f>SUMIFS('апрель 2026'!$G$2:$G$2719,'апрель 2026'!$D$2:$D$2719,$B40,'апрель 2026'!$J$2:$J$2719,J$1)</f>
        <v>0</v>
      </c>
      <c r="K40" s="143">
        <f>SUMIFS('апрель 2026'!$G$2:$G$2719,'апрель 2026'!$D$2:$D$2719,$B40,'апрель 2026'!$J$2:$J$2719,K$1)</f>
        <v>0</v>
      </c>
      <c r="L40" s="143">
        <f>SUMIFS('апрель 2026'!$G$2:$G$2719,'апрель 2026'!$D$2:$D$2719,$B40,'апрель 2026'!$J$2:$J$2719,L$1)</f>
        <v>0</v>
      </c>
      <c r="M40" s="143">
        <f>SUMIFS('апрель 2026'!$G$2:$G$2719,'апрель 2026'!$D$2:$D$2719,$B40,'апрель 2026'!$J$2:$J$2719,M$1)</f>
        <v>0</v>
      </c>
      <c r="N40" s="143">
        <f>SUMIFS('апрель 2026'!$G$2:$G$2719,'апрель 2026'!$D$2:$D$2719,$B40,'апрель 2026'!$J$2:$J$2719,N$1)</f>
        <v>0</v>
      </c>
      <c r="O40" s="143">
        <f>SUMIFS('апрель 2026'!$G$2:$G$2719,'апрель 2026'!$D$2:$D$2719,$B40,'апрель 2026'!$J$2:$J$2719,O$1)</f>
        <v>0</v>
      </c>
      <c r="P40" s="143">
        <f>SUMIFS('апрель 2026'!$G$2:$G$2719,'апрель 2026'!$D$2:$D$2719,$B40,'апрель 2026'!$J$2:$J$2719,P$1)</f>
        <v>0</v>
      </c>
      <c r="Q40" s="143">
        <f>SUMIFS('апрель 2026'!$G$2:$G$2719,'апрель 2026'!$D$2:$D$2719,$B40,'апрель 2026'!$J$2:$J$2719,Q$1)</f>
        <v>0</v>
      </c>
      <c r="R40" s="143">
        <f>SUMIFS('апрель 2026'!$G$2:$G$2719,'апрель 2026'!$D$2:$D$2719,$B40,'апрель 2026'!$J$2:$J$2719,R$1)</f>
        <v>0</v>
      </c>
      <c r="S40" s="143">
        <f>SUMIFS('апрель 2026'!$G$2:$G$2719,'апрель 2026'!$D$2:$D$2719,$B40,'апрель 2026'!$J$2:$J$2719,S$1)</f>
        <v>0</v>
      </c>
      <c r="T40" s="143">
        <f>SUMIFS('апрель 2026'!$G$2:$G$2719,'апрель 2026'!$D$2:$D$2719,$B40,'апрель 2026'!$J$2:$J$2719,T$1)</f>
        <v>0</v>
      </c>
      <c r="U40" s="143">
        <f>SUMIFS('апрель 2026'!$G$2:$G$2719,'апрель 2026'!$D$2:$D$2719,$B40,'апрель 2026'!$J$2:$J$2719,U$1)</f>
        <v>0</v>
      </c>
      <c r="V40" s="143">
        <f>SUMIFS('апрель 2026'!$G$2:$G$2719,'апрель 2026'!$D$2:$D$2719,$B40,'апрель 2026'!$J$2:$J$2719,V$1)</f>
        <v>0</v>
      </c>
      <c r="W40" s="143">
        <f>SUMIFS('апрель 2026'!$G$2:$G$2719,'апрель 2026'!$D$2:$D$2719,$B40,'апрель 2026'!$J$2:$J$2719,W$1)</f>
        <v>0</v>
      </c>
      <c r="X40" s="143">
        <f>SUMIFS('апрель 2026'!$G$2:$G$2719,'апрель 2026'!$D$2:$D$2719,$B40,'апрель 2026'!$J$2:$J$2719,X$1)</f>
        <v>0</v>
      </c>
      <c r="Y40" s="143">
        <f>SUMIFS('апрель 2026'!$G$2:$G$2719,'апрель 2026'!$D$2:$D$2719,$B40,'апрель 2026'!$J$2:$J$2719,Y$1)</f>
        <v>0</v>
      </c>
      <c r="Z40" s="143">
        <f>SUMIFS('апрель 2026'!$G$2:$G$2719,'апрель 2026'!$D$2:$D$2719,$B40,'апрель 2026'!$J$2:$J$2719,Z$1)</f>
        <v>0</v>
      </c>
      <c r="AA40" s="143">
        <f>SUMIFS('апрель 2026'!$G$2:$G$2719,'апрель 2026'!$D$2:$D$2719,$B40,'апрель 2026'!$J$2:$J$2719,AA$1)</f>
        <v>0</v>
      </c>
      <c r="AB40" s="143">
        <f>SUMIFS('апрель 2026'!$G$2:$G$2719,'апрель 2026'!$D$2:$D$2719,$B40,'апрель 2026'!$J$2:$J$2719,AB$1)</f>
        <v>0</v>
      </c>
      <c r="AC40" s="143">
        <f>SUMIFS('апрель 2026'!$G$2:$G$2719,'апрель 2026'!$D$2:$D$2719,$B40,'апрель 2026'!$J$2:$J$2719,AC$1)</f>
        <v>0</v>
      </c>
      <c r="AD40" s="143">
        <f>SUMIFS('апрель 2026'!$G$2:$G$2719,'апрель 2026'!$D$2:$D$2719,$B40,'апрель 2026'!$J$2:$J$2719,AD$1)</f>
        <v>0</v>
      </c>
      <c r="AE40" s="143">
        <f>SUMIFS('апрель 2026'!$G$2:$G$2719,'апрель 2026'!$D$2:$D$2719,$B40,'апрель 2026'!$J$2:$J$2719,AE$1)</f>
        <v>0</v>
      </c>
      <c r="AF40" s="143">
        <f>SUMIFS('апрель 2026'!$G$2:$G$2719,'апрель 2026'!$D$2:$D$2719,$B40,'апрель 2026'!$J$2:$J$2719,AF$1)</f>
        <v>0</v>
      </c>
      <c r="AG40" s="143">
        <f>SUMIFS('апрель 2026'!$G$2:$G$2719,'апрель 2026'!$D$2:$D$2719,$B40,'апрель 2026'!$J$2:$J$2719,AG$1)</f>
        <v>0</v>
      </c>
      <c r="AH40" s="143">
        <f>SUMIFS('апрель 2026'!$G$2:$G$2719,'апрель 2026'!$D$2:$D$2719,$B40,'апрель 2026'!$J$2:$J$2719,AH$1)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SUMIFS('апрель 2026'!$G$2:$G$2719,'апрель 2026'!$D$2:$D$2719,$B41,'апрель 2026'!$J$2:$J$2719,D$1)</f>
        <v>0</v>
      </c>
      <c r="E41" s="143">
        <f>SUMIFS('апрель 2026'!$G$2:$G$2719,'апрель 2026'!$D$2:$D$2719,$B41,'апрель 2026'!$J$2:$J$2719,E$1)</f>
        <v>0</v>
      </c>
      <c r="F41" s="143">
        <f>SUMIFS('апрель 2026'!$G$2:$G$2719,'апрель 2026'!$D$2:$D$2719,$B41,'апрель 2026'!$J$2:$J$2719,F$1)</f>
        <v>0</v>
      </c>
      <c r="G41" s="143">
        <f>SUMIFS('апрель 2026'!$G$2:$G$2719,'апрель 2026'!$D$2:$D$2719,$B41,'апрель 2026'!$J$2:$J$2719,G$1)</f>
        <v>0</v>
      </c>
      <c r="H41" s="143">
        <f>SUMIFS('апрель 2026'!$G$2:$G$2719,'апрель 2026'!$D$2:$D$2719,$B41,'апрель 2026'!$J$2:$J$2719,H$1)</f>
        <v>0</v>
      </c>
      <c r="I41" s="143">
        <f>SUMIFS('апрель 2026'!$G$2:$G$2719,'апрель 2026'!$D$2:$D$2719,$B41,'апрель 2026'!$J$2:$J$2719,I$1)</f>
        <v>0</v>
      </c>
      <c r="J41" s="143">
        <f>SUMIFS('апрель 2026'!$G$2:$G$2719,'апрель 2026'!$D$2:$D$2719,$B41,'апрель 2026'!$J$2:$J$2719,J$1)</f>
        <v>0</v>
      </c>
      <c r="K41" s="143">
        <f>SUMIFS('апрель 2026'!$G$2:$G$2719,'апрель 2026'!$D$2:$D$2719,$B41,'апрель 2026'!$J$2:$J$2719,K$1)</f>
        <v>0</v>
      </c>
      <c r="L41" s="143">
        <f>SUMIFS('апрель 2026'!$G$2:$G$2719,'апрель 2026'!$D$2:$D$2719,$B41,'апрель 2026'!$J$2:$J$2719,L$1)</f>
        <v>0</v>
      </c>
      <c r="M41" s="143">
        <f>SUMIFS('апрель 2026'!$G$2:$G$2719,'апрель 2026'!$D$2:$D$2719,$B41,'апрель 2026'!$J$2:$J$2719,M$1)</f>
        <v>0</v>
      </c>
      <c r="N41" s="143">
        <f>SUMIFS('апрель 2026'!$G$2:$G$2719,'апрель 2026'!$D$2:$D$2719,$B41,'апрель 2026'!$J$2:$J$2719,N$1)</f>
        <v>0</v>
      </c>
      <c r="O41" s="143">
        <f>SUMIFS('апрель 2026'!$G$2:$G$2719,'апрель 2026'!$D$2:$D$2719,$B41,'апрель 2026'!$J$2:$J$2719,O$1)</f>
        <v>0</v>
      </c>
      <c r="P41" s="143">
        <f>SUMIFS('апрель 2026'!$G$2:$G$2719,'апрель 2026'!$D$2:$D$2719,$B41,'апрель 2026'!$J$2:$J$2719,P$1)</f>
        <v>0</v>
      </c>
      <c r="Q41" s="143">
        <f>SUMIFS('апрель 2026'!$G$2:$G$2719,'апрель 2026'!$D$2:$D$2719,$B41,'апрель 2026'!$J$2:$J$2719,Q$1)</f>
        <v>0</v>
      </c>
      <c r="R41" s="143">
        <f>SUMIFS('апрель 2026'!$G$2:$G$2719,'апрель 2026'!$D$2:$D$2719,$B41,'апрель 2026'!$J$2:$J$2719,R$1)</f>
        <v>0</v>
      </c>
      <c r="S41" s="143">
        <f>SUMIFS('апрель 2026'!$G$2:$G$2719,'апрель 2026'!$D$2:$D$2719,$B41,'апрель 2026'!$J$2:$J$2719,S$1)</f>
        <v>0</v>
      </c>
      <c r="T41" s="143">
        <f>SUMIFS('апрель 2026'!$G$2:$G$2719,'апрель 2026'!$D$2:$D$2719,$B41,'апрель 2026'!$J$2:$J$2719,T$1)</f>
        <v>0</v>
      </c>
      <c r="U41" s="143">
        <f>SUMIFS('апрель 2026'!$G$2:$G$2719,'апрель 2026'!$D$2:$D$2719,$B41,'апрель 2026'!$J$2:$J$2719,U$1)</f>
        <v>0</v>
      </c>
      <c r="V41" s="143">
        <f>SUMIFS('апрель 2026'!$G$2:$G$2719,'апрель 2026'!$D$2:$D$2719,$B41,'апрель 2026'!$J$2:$J$2719,V$1)</f>
        <v>0</v>
      </c>
      <c r="W41" s="143">
        <f>SUMIFS('апрель 2026'!$G$2:$G$2719,'апрель 2026'!$D$2:$D$2719,$B41,'апрель 2026'!$J$2:$J$2719,W$1)</f>
        <v>0</v>
      </c>
      <c r="X41" s="143">
        <f>SUMIFS('апрель 2026'!$G$2:$G$2719,'апрель 2026'!$D$2:$D$2719,$B41,'апрель 2026'!$J$2:$J$2719,X$1)</f>
        <v>0</v>
      </c>
      <c r="Y41" s="143">
        <f>SUMIFS('апрель 2026'!$G$2:$G$2719,'апрель 2026'!$D$2:$D$2719,$B41,'апрель 2026'!$J$2:$J$2719,Y$1)</f>
        <v>0</v>
      </c>
      <c r="Z41" s="143">
        <f>SUMIFS('апрель 2026'!$G$2:$G$2719,'апрель 2026'!$D$2:$D$2719,$B41,'апрель 2026'!$J$2:$J$2719,Z$1)</f>
        <v>0</v>
      </c>
      <c r="AA41" s="143">
        <f>SUMIFS('апрель 2026'!$G$2:$G$2719,'апрель 2026'!$D$2:$D$2719,$B41,'апрель 2026'!$J$2:$J$2719,AA$1)</f>
        <v>0</v>
      </c>
      <c r="AB41" s="143">
        <f>SUMIFS('апрель 2026'!$G$2:$G$2719,'апрель 2026'!$D$2:$D$2719,$B41,'апрель 2026'!$J$2:$J$2719,AB$1)</f>
        <v>0</v>
      </c>
      <c r="AC41" s="143">
        <f>SUMIFS('апрель 2026'!$G$2:$G$2719,'апрель 2026'!$D$2:$D$2719,$B41,'апрель 2026'!$J$2:$J$2719,AC$1)</f>
        <v>0</v>
      </c>
      <c r="AD41" s="143">
        <f>SUMIFS('апрель 2026'!$G$2:$G$2719,'апрель 2026'!$D$2:$D$2719,$B41,'апрель 2026'!$J$2:$J$2719,AD$1)</f>
        <v>0</v>
      </c>
      <c r="AE41" s="143">
        <f>SUMIFS('апрель 2026'!$G$2:$G$2719,'апрель 2026'!$D$2:$D$2719,$B41,'апрель 2026'!$J$2:$J$2719,AE$1)</f>
        <v>0</v>
      </c>
      <c r="AF41" s="143">
        <f>SUMIFS('апрель 2026'!$G$2:$G$2719,'апрель 2026'!$D$2:$D$2719,$B41,'апрель 2026'!$J$2:$J$2719,AF$1)</f>
        <v>0</v>
      </c>
      <c r="AG41" s="143">
        <f>SUMIFS('апрель 2026'!$G$2:$G$2719,'апрель 2026'!$D$2:$D$2719,$B41,'апрель 2026'!$J$2:$J$2719,AG$1)</f>
        <v>0</v>
      </c>
      <c r="AH41" s="143">
        <f>SUMIFS('апрель 2026'!$G$2:$G$2719,'апрель 2026'!$D$2:$D$2719,$B41,'апрель 2026'!$J$2:$J$2719,AH$1)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SUMIFS('апрель 2026'!$G$2:$G$2719,'апрель 2026'!$D$2:$D$2719,$B42,'апрель 2026'!$J$2:$J$2719,D$1)</f>
        <v>0</v>
      </c>
      <c r="E42" s="143">
        <f>SUMIFS('апрель 2026'!$G$2:$G$2719,'апрель 2026'!$D$2:$D$2719,$B42,'апрель 2026'!$J$2:$J$2719,E$1)</f>
        <v>0</v>
      </c>
      <c r="F42" s="143">
        <f>SUMIFS('апрель 2026'!$G$2:$G$2719,'апрель 2026'!$D$2:$D$2719,$B42,'апрель 2026'!$J$2:$J$2719,F$1)</f>
        <v>0</v>
      </c>
      <c r="G42" s="143">
        <f>SUMIFS('апрель 2026'!$G$2:$G$2719,'апрель 2026'!$D$2:$D$2719,$B42,'апрель 2026'!$J$2:$J$2719,G$1)</f>
        <v>0</v>
      </c>
      <c r="H42" s="143">
        <f>SUMIFS('апрель 2026'!$G$2:$G$2719,'апрель 2026'!$D$2:$D$2719,$B42,'апрель 2026'!$J$2:$J$2719,H$1)</f>
        <v>0</v>
      </c>
      <c r="I42" s="143">
        <f>SUMIFS('апрель 2026'!$G$2:$G$2719,'апрель 2026'!$D$2:$D$2719,$B42,'апрель 2026'!$J$2:$J$2719,I$1)</f>
        <v>0</v>
      </c>
      <c r="J42" s="143">
        <f>SUMIFS('апрель 2026'!$G$2:$G$2719,'апрель 2026'!$D$2:$D$2719,$B42,'апрель 2026'!$J$2:$J$2719,J$1)</f>
        <v>0</v>
      </c>
      <c r="K42" s="143">
        <f>SUMIFS('апрель 2026'!$G$2:$G$2719,'апрель 2026'!$D$2:$D$2719,$B42,'апрель 2026'!$J$2:$J$2719,K$1)</f>
        <v>0</v>
      </c>
      <c r="L42" s="143">
        <f>SUMIFS('апрель 2026'!$G$2:$G$2719,'апрель 2026'!$D$2:$D$2719,$B42,'апрель 2026'!$J$2:$J$2719,L$1)</f>
        <v>0</v>
      </c>
      <c r="M42" s="143">
        <f>SUMIFS('апрель 2026'!$G$2:$G$2719,'апрель 2026'!$D$2:$D$2719,$B42,'апрель 2026'!$J$2:$J$2719,M$1)</f>
        <v>0</v>
      </c>
      <c r="N42" s="143">
        <f>SUMIFS('апрель 2026'!$G$2:$G$2719,'апрель 2026'!$D$2:$D$2719,$B42,'апрель 2026'!$J$2:$J$2719,N$1)</f>
        <v>0</v>
      </c>
      <c r="O42" s="143">
        <f>SUMIFS('апрель 2026'!$G$2:$G$2719,'апрель 2026'!$D$2:$D$2719,$B42,'апрель 2026'!$J$2:$J$2719,O$1)</f>
        <v>0</v>
      </c>
      <c r="P42" s="143">
        <f>SUMIFS('апрель 2026'!$G$2:$G$2719,'апрель 2026'!$D$2:$D$2719,$B42,'апрель 2026'!$J$2:$J$2719,P$1)</f>
        <v>0</v>
      </c>
      <c r="Q42" s="143">
        <f>SUMIFS('апрель 2026'!$G$2:$G$2719,'апрель 2026'!$D$2:$D$2719,$B42,'апрель 2026'!$J$2:$J$2719,Q$1)</f>
        <v>0</v>
      </c>
      <c r="R42" s="143">
        <f>SUMIFS('апрель 2026'!$G$2:$G$2719,'апрель 2026'!$D$2:$D$2719,$B42,'апрель 2026'!$J$2:$J$2719,R$1)</f>
        <v>0</v>
      </c>
      <c r="S42" s="143">
        <f>SUMIFS('апрель 2026'!$G$2:$G$2719,'апрель 2026'!$D$2:$D$2719,$B42,'апрель 2026'!$J$2:$J$2719,S$1)</f>
        <v>0</v>
      </c>
      <c r="T42" s="143">
        <f>SUMIFS('апрель 2026'!$G$2:$G$2719,'апрель 2026'!$D$2:$D$2719,$B42,'апрель 2026'!$J$2:$J$2719,T$1)</f>
        <v>0</v>
      </c>
      <c r="U42" s="143">
        <f>SUMIFS('апрель 2026'!$G$2:$G$2719,'апрель 2026'!$D$2:$D$2719,$B42,'апрель 2026'!$J$2:$J$2719,U$1)</f>
        <v>0</v>
      </c>
      <c r="V42" s="143">
        <f>SUMIFS('апрель 2026'!$G$2:$G$2719,'апрель 2026'!$D$2:$D$2719,$B42,'апрель 2026'!$J$2:$J$2719,V$1)</f>
        <v>0</v>
      </c>
      <c r="W42" s="143">
        <f>SUMIFS('апрель 2026'!$G$2:$G$2719,'апрель 2026'!$D$2:$D$2719,$B42,'апрель 2026'!$J$2:$J$2719,W$1)</f>
        <v>280</v>
      </c>
      <c r="X42" s="143">
        <f>SUMIFS('апрель 2026'!$G$2:$G$2719,'апрель 2026'!$D$2:$D$2719,$B42,'апрель 2026'!$J$2:$J$2719,X$1)</f>
        <v>0</v>
      </c>
      <c r="Y42" s="143">
        <f>SUMIFS('апрель 2026'!$G$2:$G$2719,'апрель 2026'!$D$2:$D$2719,$B42,'апрель 2026'!$J$2:$J$2719,Y$1)</f>
        <v>0</v>
      </c>
      <c r="Z42" s="143">
        <f>SUMIFS('апрель 2026'!$G$2:$G$2719,'апрель 2026'!$D$2:$D$2719,$B42,'апрель 2026'!$J$2:$J$2719,Z$1)</f>
        <v>0</v>
      </c>
      <c r="AA42" s="143">
        <f>SUMIFS('апрель 2026'!$G$2:$G$2719,'апрель 2026'!$D$2:$D$2719,$B42,'апрель 2026'!$J$2:$J$2719,AA$1)</f>
        <v>0</v>
      </c>
      <c r="AB42" s="143">
        <f>SUMIFS('апрель 2026'!$G$2:$G$2719,'апрель 2026'!$D$2:$D$2719,$B42,'апрель 2026'!$J$2:$J$2719,AB$1)</f>
        <v>0</v>
      </c>
      <c r="AC42" s="143">
        <f>SUMIFS('апрель 2026'!$G$2:$G$2719,'апрель 2026'!$D$2:$D$2719,$B42,'апрель 2026'!$J$2:$J$2719,AC$1)</f>
        <v>0</v>
      </c>
      <c r="AD42" s="143">
        <f>SUMIFS('апрель 2026'!$G$2:$G$2719,'апрель 2026'!$D$2:$D$2719,$B42,'апрель 2026'!$J$2:$J$2719,AD$1)</f>
        <v>0</v>
      </c>
      <c r="AE42" s="143">
        <f>SUMIFS('апрель 2026'!$G$2:$G$2719,'апрель 2026'!$D$2:$D$2719,$B42,'апрель 2026'!$J$2:$J$2719,AE$1)</f>
        <v>0</v>
      </c>
      <c r="AF42" s="143">
        <f>SUMIFS('апрель 2026'!$G$2:$G$2719,'апрель 2026'!$D$2:$D$2719,$B42,'апрель 2026'!$J$2:$J$2719,AF$1)</f>
        <v>0</v>
      </c>
      <c r="AG42" s="143">
        <f>SUMIFS('апрель 2026'!$G$2:$G$2719,'апрель 2026'!$D$2:$D$2719,$B42,'апрель 2026'!$J$2:$J$2719,AG$1)</f>
        <v>0</v>
      </c>
      <c r="AH42" s="143">
        <f>SUMIFS('апрель 2026'!$G$2:$G$2719,'апрель 2026'!$D$2:$D$2719,$B42,'апрель 2026'!$J$2:$J$2719,AH$1)</f>
        <v>0</v>
      </c>
      <c r="AI42" s="20">
        <f t="shared" si="1"/>
        <v>280</v>
      </c>
    </row>
    <row r="43" spans="2:35" ht="15" customHeight="1" x14ac:dyDescent="0.25">
      <c r="B43" s="122" t="s">
        <v>221</v>
      </c>
      <c r="C43" s="125">
        <v>25</v>
      </c>
      <c r="D43" s="143">
        <f>SUMIFS('апрель 2026'!$G$2:$G$2719,'апрель 2026'!$D$2:$D$2719,$B43,'апрель 2026'!$J$2:$J$2719,D$1)</f>
        <v>0</v>
      </c>
      <c r="E43" s="143">
        <f>SUMIFS('апрель 2026'!$G$2:$G$2719,'апрель 2026'!$D$2:$D$2719,$B43,'апрель 2026'!$J$2:$J$2719,E$1)</f>
        <v>0</v>
      </c>
      <c r="F43" s="143">
        <f>SUMIFS('апрель 2026'!$G$2:$G$2719,'апрель 2026'!$D$2:$D$2719,$B43,'апрель 2026'!$J$2:$J$2719,F$1)</f>
        <v>0</v>
      </c>
      <c r="G43" s="143">
        <f>SUMIFS('апрель 2026'!$G$2:$G$2719,'апрель 2026'!$D$2:$D$2719,$B43,'апрель 2026'!$J$2:$J$2719,G$1)</f>
        <v>0</v>
      </c>
      <c r="H43" s="143">
        <f>SUMIFS('апрель 2026'!$G$2:$G$2719,'апрель 2026'!$D$2:$D$2719,$B43,'апрель 2026'!$J$2:$J$2719,H$1)</f>
        <v>0</v>
      </c>
      <c r="I43" s="143">
        <f>SUMIFS('апрель 2026'!$G$2:$G$2719,'апрель 2026'!$D$2:$D$2719,$B43,'апрель 2026'!$J$2:$J$2719,I$1)</f>
        <v>0</v>
      </c>
      <c r="J43" s="143">
        <f>SUMIFS('апрель 2026'!$G$2:$G$2719,'апрель 2026'!$D$2:$D$2719,$B43,'апрель 2026'!$J$2:$J$2719,J$1)</f>
        <v>0</v>
      </c>
      <c r="K43" s="143">
        <f>SUMIFS('апрель 2026'!$G$2:$G$2719,'апрель 2026'!$D$2:$D$2719,$B43,'апрель 2026'!$J$2:$J$2719,K$1)</f>
        <v>0</v>
      </c>
      <c r="L43" s="143">
        <f>SUMIFS('апрель 2026'!$G$2:$G$2719,'апрель 2026'!$D$2:$D$2719,$B43,'апрель 2026'!$J$2:$J$2719,L$1)</f>
        <v>0</v>
      </c>
      <c r="M43" s="143">
        <f>SUMIFS('апрель 2026'!$G$2:$G$2719,'апрель 2026'!$D$2:$D$2719,$B43,'апрель 2026'!$J$2:$J$2719,M$1)</f>
        <v>0</v>
      </c>
      <c r="N43" s="143">
        <f>SUMIFS('апрель 2026'!$G$2:$G$2719,'апрель 2026'!$D$2:$D$2719,$B43,'апрель 2026'!$J$2:$J$2719,N$1)</f>
        <v>0</v>
      </c>
      <c r="O43" s="143">
        <f>SUMIFS('апрель 2026'!$G$2:$G$2719,'апрель 2026'!$D$2:$D$2719,$B43,'апрель 2026'!$J$2:$J$2719,O$1)</f>
        <v>0</v>
      </c>
      <c r="P43" s="143">
        <f>SUMIFS('апрель 2026'!$G$2:$G$2719,'апрель 2026'!$D$2:$D$2719,$B43,'апрель 2026'!$J$2:$J$2719,P$1)</f>
        <v>0</v>
      </c>
      <c r="Q43" s="143">
        <f>SUMIFS('апрель 2026'!$G$2:$G$2719,'апрель 2026'!$D$2:$D$2719,$B43,'апрель 2026'!$J$2:$J$2719,Q$1)</f>
        <v>0</v>
      </c>
      <c r="R43" s="143">
        <f>SUMIFS('апрель 2026'!$G$2:$G$2719,'апрель 2026'!$D$2:$D$2719,$B43,'апрель 2026'!$J$2:$J$2719,R$1)</f>
        <v>0</v>
      </c>
      <c r="S43" s="143">
        <f>SUMIFS('апрель 2026'!$G$2:$G$2719,'апрель 2026'!$D$2:$D$2719,$B43,'апрель 2026'!$J$2:$J$2719,S$1)</f>
        <v>0</v>
      </c>
      <c r="T43" s="143">
        <f>SUMIFS('апрель 2026'!$G$2:$G$2719,'апрель 2026'!$D$2:$D$2719,$B43,'апрель 2026'!$J$2:$J$2719,T$1)</f>
        <v>0</v>
      </c>
      <c r="U43" s="143">
        <f>SUMIFS('апрель 2026'!$G$2:$G$2719,'апрель 2026'!$D$2:$D$2719,$B43,'апрель 2026'!$J$2:$J$2719,U$1)</f>
        <v>0</v>
      </c>
      <c r="V43" s="143">
        <f>SUMIFS('апрель 2026'!$G$2:$G$2719,'апрель 2026'!$D$2:$D$2719,$B43,'апрель 2026'!$J$2:$J$2719,V$1)</f>
        <v>0</v>
      </c>
      <c r="W43" s="143">
        <f>SUMIFS('апрель 2026'!$G$2:$G$2719,'апрель 2026'!$D$2:$D$2719,$B43,'апрель 2026'!$J$2:$J$2719,W$1)</f>
        <v>0</v>
      </c>
      <c r="X43" s="143">
        <f>SUMIFS('апрель 2026'!$G$2:$G$2719,'апрель 2026'!$D$2:$D$2719,$B43,'апрель 2026'!$J$2:$J$2719,X$1)</f>
        <v>0</v>
      </c>
      <c r="Y43" s="143">
        <f>SUMIFS('апрель 2026'!$G$2:$G$2719,'апрель 2026'!$D$2:$D$2719,$B43,'апрель 2026'!$J$2:$J$2719,Y$1)</f>
        <v>0</v>
      </c>
      <c r="Z43" s="143">
        <f>SUMIFS('апрель 2026'!$G$2:$G$2719,'апрель 2026'!$D$2:$D$2719,$B43,'апрель 2026'!$J$2:$J$2719,Z$1)</f>
        <v>0</v>
      </c>
      <c r="AA43" s="143">
        <f>SUMIFS('апрель 2026'!$G$2:$G$2719,'апрель 2026'!$D$2:$D$2719,$B43,'апрель 2026'!$J$2:$J$2719,AA$1)</f>
        <v>0</v>
      </c>
      <c r="AB43" s="143">
        <f>SUMIFS('апрель 2026'!$G$2:$G$2719,'апрель 2026'!$D$2:$D$2719,$B43,'апрель 2026'!$J$2:$J$2719,AB$1)</f>
        <v>0</v>
      </c>
      <c r="AC43" s="143">
        <f>SUMIFS('апрель 2026'!$G$2:$G$2719,'апрель 2026'!$D$2:$D$2719,$B43,'апрель 2026'!$J$2:$J$2719,AC$1)</f>
        <v>0</v>
      </c>
      <c r="AD43" s="143">
        <f>SUMIFS('апрель 2026'!$G$2:$G$2719,'апрель 2026'!$D$2:$D$2719,$B43,'апрель 2026'!$J$2:$J$2719,AD$1)</f>
        <v>0</v>
      </c>
      <c r="AE43" s="143">
        <f>SUMIFS('апрель 2026'!$G$2:$G$2719,'апрель 2026'!$D$2:$D$2719,$B43,'апрель 2026'!$J$2:$J$2719,AE$1)</f>
        <v>0</v>
      </c>
      <c r="AF43" s="143">
        <f>SUMIFS('апрель 2026'!$G$2:$G$2719,'апрель 2026'!$D$2:$D$2719,$B43,'апрель 2026'!$J$2:$J$2719,AF$1)</f>
        <v>0</v>
      </c>
      <c r="AG43" s="143">
        <f>SUMIFS('апрель 2026'!$G$2:$G$2719,'апрель 2026'!$D$2:$D$2719,$B43,'апрель 2026'!$J$2:$J$2719,AG$1)</f>
        <v>0</v>
      </c>
      <c r="AH43" s="143">
        <f>SUMIFS('апрель 2026'!$G$2:$G$2719,'апрель 2026'!$D$2:$D$2719,$B43,'апрель 2026'!$J$2:$J$2719,AH$1)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SUMIFS('апрель 2026'!$G$2:$G$2719,'апрель 2026'!$D$2:$D$2719,$B44,'апрель 2026'!$J$2:$J$2719,D$1)</f>
        <v>0</v>
      </c>
      <c r="E44" s="143">
        <f>SUMIFS('апрель 2026'!$G$2:$G$2719,'апрель 2026'!$D$2:$D$2719,$B44,'апрель 2026'!$J$2:$J$2719,E$1)</f>
        <v>0</v>
      </c>
      <c r="F44" s="143">
        <f>SUMIFS('апрель 2026'!$G$2:$G$2719,'апрель 2026'!$D$2:$D$2719,$B44,'апрель 2026'!$J$2:$J$2719,F$1)</f>
        <v>0</v>
      </c>
      <c r="G44" s="143">
        <f>SUMIFS('апрель 2026'!$G$2:$G$2719,'апрель 2026'!$D$2:$D$2719,$B44,'апрель 2026'!$J$2:$J$2719,G$1)</f>
        <v>0</v>
      </c>
      <c r="H44" s="143">
        <f>SUMIFS('апрель 2026'!$G$2:$G$2719,'апрель 2026'!$D$2:$D$2719,$B44,'апрель 2026'!$J$2:$J$2719,H$1)</f>
        <v>0</v>
      </c>
      <c r="I44" s="143">
        <f>SUMIFS('апрель 2026'!$G$2:$G$2719,'апрель 2026'!$D$2:$D$2719,$B44,'апрель 2026'!$J$2:$J$2719,I$1)</f>
        <v>0</v>
      </c>
      <c r="J44" s="143">
        <f>SUMIFS('апрель 2026'!$G$2:$G$2719,'апрель 2026'!$D$2:$D$2719,$B44,'апрель 2026'!$J$2:$J$2719,J$1)</f>
        <v>0</v>
      </c>
      <c r="K44" s="143">
        <f>SUMIFS('апрель 2026'!$G$2:$G$2719,'апрель 2026'!$D$2:$D$2719,$B44,'апрель 2026'!$J$2:$J$2719,K$1)</f>
        <v>0</v>
      </c>
      <c r="L44" s="143">
        <f>SUMIFS('апрель 2026'!$G$2:$G$2719,'апрель 2026'!$D$2:$D$2719,$B44,'апрель 2026'!$J$2:$J$2719,L$1)</f>
        <v>0</v>
      </c>
      <c r="M44" s="143">
        <f>SUMIFS('апрель 2026'!$G$2:$G$2719,'апрель 2026'!$D$2:$D$2719,$B44,'апрель 2026'!$J$2:$J$2719,M$1)</f>
        <v>0</v>
      </c>
      <c r="N44" s="143">
        <f>SUMIFS('апрель 2026'!$G$2:$G$2719,'апрель 2026'!$D$2:$D$2719,$B44,'апрель 2026'!$J$2:$J$2719,N$1)</f>
        <v>0</v>
      </c>
      <c r="O44" s="143">
        <f>SUMIFS('апрель 2026'!$G$2:$G$2719,'апрель 2026'!$D$2:$D$2719,$B44,'апрель 2026'!$J$2:$J$2719,O$1)</f>
        <v>0</v>
      </c>
      <c r="P44" s="143">
        <f>SUMIFS('апрель 2026'!$G$2:$G$2719,'апрель 2026'!$D$2:$D$2719,$B44,'апрель 2026'!$J$2:$J$2719,P$1)</f>
        <v>0</v>
      </c>
      <c r="Q44" s="143">
        <f>SUMIFS('апрель 2026'!$G$2:$G$2719,'апрель 2026'!$D$2:$D$2719,$B44,'апрель 2026'!$J$2:$J$2719,Q$1)</f>
        <v>0</v>
      </c>
      <c r="R44" s="143">
        <f>SUMIFS('апрель 2026'!$G$2:$G$2719,'апрель 2026'!$D$2:$D$2719,$B44,'апрель 2026'!$J$2:$J$2719,R$1)</f>
        <v>0</v>
      </c>
      <c r="S44" s="143">
        <f>SUMIFS('апрель 2026'!$G$2:$G$2719,'апрель 2026'!$D$2:$D$2719,$B44,'апрель 2026'!$J$2:$J$2719,S$1)</f>
        <v>0</v>
      </c>
      <c r="T44" s="143">
        <f>SUMIFS('апрель 2026'!$G$2:$G$2719,'апрель 2026'!$D$2:$D$2719,$B44,'апрель 2026'!$J$2:$J$2719,T$1)</f>
        <v>0</v>
      </c>
      <c r="U44" s="143">
        <f>SUMIFS('апрель 2026'!$G$2:$G$2719,'апрель 2026'!$D$2:$D$2719,$B44,'апрель 2026'!$J$2:$J$2719,U$1)</f>
        <v>0</v>
      </c>
      <c r="V44" s="143">
        <f>SUMIFS('апрель 2026'!$G$2:$G$2719,'апрель 2026'!$D$2:$D$2719,$B44,'апрель 2026'!$J$2:$J$2719,V$1)</f>
        <v>0</v>
      </c>
      <c r="W44" s="143">
        <f>SUMIFS('апрель 2026'!$G$2:$G$2719,'апрель 2026'!$D$2:$D$2719,$B44,'апрель 2026'!$J$2:$J$2719,W$1)</f>
        <v>0</v>
      </c>
      <c r="X44" s="143">
        <f>SUMIFS('апрель 2026'!$G$2:$G$2719,'апрель 2026'!$D$2:$D$2719,$B44,'апрель 2026'!$J$2:$J$2719,X$1)</f>
        <v>0</v>
      </c>
      <c r="Y44" s="143">
        <f>SUMIFS('апрель 2026'!$G$2:$G$2719,'апрель 2026'!$D$2:$D$2719,$B44,'апрель 2026'!$J$2:$J$2719,Y$1)</f>
        <v>0</v>
      </c>
      <c r="Z44" s="143">
        <f>SUMIFS('апрель 2026'!$G$2:$G$2719,'апрель 2026'!$D$2:$D$2719,$B44,'апрель 2026'!$J$2:$J$2719,Z$1)</f>
        <v>0</v>
      </c>
      <c r="AA44" s="143">
        <f>SUMIFS('апрель 2026'!$G$2:$G$2719,'апрель 2026'!$D$2:$D$2719,$B44,'апрель 2026'!$J$2:$J$2719,AA$1)</f>
        <v>0</v>
      </c>
      <c r="AB44" s="143">
        <f>SUMIFS('апрель 2026'!$G$2:$G$2719,'апрель 2026'!$D$2:$D$2719,$B44,'апрель 2026'!$J$2:$J$2719,AB$1)</f>
        <v>0</v>
      </c>
      <c r="AC44" s="143">
        <f>SUMIFS('апрель 2026'!$G$2:$G$2719,'апрель 2026'!$D$2:$D$2719,$B44,'апрель 2026'!$J$2:$J$2719,AC$1)</f>
        <v>0</v>
      </c>
      <c r="AD44" s="143">
        <f>SUMIFS('апрель 2026'!$G$2:$G$2719,'апрель 2026'!$D$2:$D$2719,$B44,'апрель 2026'!$J$2:$J$2719,AD$1)</f>
        <v>0</v>
      </c>
      <c r="AE44" s="143">
        <f>SUMIFS('апрель 2026'!$G$2:$G$2719,'апрель 2026'!$D$2:$D$2719,$B44,'апрель 2026'!$J$2:$J$2719,AE$1)</f>
        <v>0</v>
      </c>
      <c r="AF44" s="143">
        <f>SUMIFS('апрель 2026'!$G$2:$G$2719,'апрель 2026'!$D$2:$D$2719,$B44,'апрель 2026'!$J$2:$J$2719,AF$1)</f>
        <v>0</v>
      </c>
      <c r="AG44" s="143">
        <f>SUMIFS('апрель 2026'!$G$2:$G$2719,'апрель 2026'!$D$2:$D$2719,$B44,'апрель 2026'!$J$2:$J$2719,AG$1)</f>
        <v>0</v>
      </c>
      <c r="AH44" s="143">
        <f>SUMIFS('апрель 2026'!$G$2:$G$2719,'апрель 2026'!$D$2:$D$2719,$B44,'апрель 2026'!$J$2:$J$2719,AH$1)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SUMIFS('апрель 2026'!$G$2:$G$2719,'апрель 2026'!$D$2:$D$2719,$B45,'апрель 2026'!$J$2:$J$2719,D$1)</f>
        <v>0</v>
      </c>
      <c r="E45" s="143">
        <f>SUMIFS('апрель 2026'!$G$2:$G$2719,'апрель 2026'!$D$2:$D$2719,$B45,'апрель 2026'!$J$2:$J$2719,E$1)</f>
        <v>0</v>
      </c>
      <c r="F45" s="143">
        <f>SUMIFS('апрель 2026'!$G$2:$G$2719,'апрель 2026'!$D$2:$D$2719,$B45,'апрель 2026'!$J$2:$J$2719,F$1)</f>
        <v>0</v>
      </c>
      <c r="G45" s="143">
        <f>SUMIFS('апрель 2026'!$G$2:$G$2719,'апрель 2026'!$D$2:$D$2719,$B45,'апрель 2026'!$J$2:$J$2719,G$1)</f>
        <v>0</v>
      </c>
      <c r="H45" s="143">
        <f>SUMIFS('апрель 2026'!$G$2:$G$2719,'апрель 2026'!$D$2:$D$2719,$B45,'апрель 2026'!$J$2:$J$2719,H$1)</f>
        <v>0</v>
      </c>
      <c r="I45" s="143">
        <f>SUMIFS('апрель 2026'!$G$2:$G$2719,'апрель 2026'!$D$2:$D$2719,$B45,'апрель 2026'!$J$2:$J$2719,I$1)</f>
        <v>0</v>
      </c>
      <c r="J45" s="143">
        <f>SUMIFS('апрель 2026'!$G$2:$G$2719,'апрель 2026'!$D$2:$D$2719,$B45,'апрель 2026'!$J$2:$J$2719,J$1)</f>
        <v>0</v>
      </c>
      <c r="K45" s="143">
        <f>SUMIFS('апрель 2026'!$G$2:$G$2719,'апрель 2026'!$D$2:$D$2719,$B45,'апрель 2026'!$J$2:$J$2719,K$1)</f>
        <v>0</v>
      </c>
      <c r="L45" s="143">
        <f>SUMIFS('апрель 2026'!$G$2:$G$2719,'апрель 2026'!$D$2:$D$2719,$B45,'апрель 2026'!$J$2:$J$2719,L$1)</f>
        <v>0</v>
      </c>
      <c r="M45" s="143">
        <f>SUMIFS('апрель 2026'!$G$2:$G$2719,'апрель 2026'!$D$2:$D$2719,$B45,'апрель 2026'!$J$2:$J$2719,M$1)</f>
        <v>0</v>
      </c>
      <c r="N45" s="143">
        <f>SUMIFS('апрель 2026'!$G$2:$G$2719,'апрель 2026'!$D$2:$D$2719,$B45,'апрель 2026'!$J$2:$J$2719,N$1)</f>
        <v>0</v>
      </c>
      <c r="O45" s="143">
        <f>SUMIFS('апрель 2026'!$G$2:$G$2719,'апрель 2026'!$D$2:$D$2719,$B45,'апрель 2026'!$J$2:$J$2719,O$1)</f>
        <v>0</v>
      </c>
      <c r="P45" s="143">
        <f>SUMIFS('апрель 2026'!$G$2:$G$2719,'апрель 2026'!$D$2:$D$2719,$B45,'апрель 2026'!$J$2:$J$2719,P$1)</f>
        <v>0</v>
      </c>
      <c r="Q45" s="143">
        <f>SUMIFS('апрель 2026'!$G$2:$G$2719,'апрель 2026'!$D$2:$D$2719,$B45,'апрель 2026'!$J$2:$J$2719,Q$1)</f>
        <v>0</v>
      </c>
      <c r="R45" s="143">
        <f>SUMIFS('апрель 2026'!$G$2:$G$2719,'апрель 2026'!$D$2:$D$2719,$B45,'апрель 2026'!$J$2:$J$2719,R$1)</f>
        <v>0</v>
      </c>
      <c r="S45" s="143">
        <f>SUMIFS('апрель 2026'!$G$2:$G$2719,'апрель 2026'!$D$2:$D$2719,$B45,'апрель 2026'!$J$2:$J$2719,S$1)</f>
        <v>0</v>
      </c>
      <c r="T45" s="143">
        <f>SUMIFS('апрель 2026'!$G$2:$G$2719,'апрель 2026'!$D$2:$D$2719,$B45,'апрель 2026'!$J$2:$J$2719,T$1)</f>
        <v>0</v>
      </c>
      <c r="U45" s="143">
        <f>SUMIFS('апрель 2026'!$G$2:$G$2719,'апрель 2026'!$D$2:$D$2719,$B45,'апрель 2026'!$J$2:$J$2719,U$1)</f>
        <v>0</v>
      </c>
      <c r="V45" s="143">
        <f>SUMIFS('апрель 2026'!$G$2:$G$2719,'апрель 2026'!$D$2:$D$2719,$B45,'апрель 2026'!$J$2:$J$2719,V$1)</f>
        <v>0</v>
      </c>
      <c r="W45" s="143">
        <f>SUMIFS('апрель 2026'!$G$2:$G$2719,'апрель 2026'!$D$2:$D$2719,$B45,'апрель 2026'!$J$2:$J$2719,W$1)</f>
        <v>0</v>
      </c>
      <c r="X45" s="143">
        <f>SUMIFS('апрель 2026'!$G$2:$G$2719,'апрель 2026'!$D$2:$D$2719,$B45,'апрель 2026'!$J$2:$J$2719,X$1)</f>
        <v>0</v>
      </c>
      <c r="Y45" s="143">
        <f>SUMIFS('апрель 2026'!$G$2:$G$2719,'апрель 2026'!$D$2:$D$2719,$B45,'апрель 2026'!$J$2:$J$2719,Y$1)</f>
        <v>0</v>
      </c>
      <c r="Z45" s="143">
        <f>SUMIFS('апрель 2026'!$G$2:$G$2719,'апрель 2026'!$D$2:$D$2719,$B45,'апрель 2026'!$J$2:$J$2719,Z$1)</f>
        <v>0</v>
      </c>
      <c r="AA45" s="143">
        <f>SUMIFS('апрель 2026'!$G$2:$G$2719,'апрель 2026'!$D$2:$D$2719,$B45,'апрель 2026'!$J$2:$J$2719,AA$1)</f>
        <v>0</v>
      </c>
      <c r="AB45" s="143">
        <f>SUMIFS('апрель 2026'!$G$2:$G$2719,'апрель 2026'!$D$2:$D$2719,$B45,'апрель 2026'!$J$2:$J$2719,AB$1)</f>
        <v>0</v>
      </c>
      <c r="AC45" s="143">
        <f>SUMIFS('апрель 2026'!$G$2:$G$2719,'апрель 2026'!$D$2:$D$2719,$B45,'апрель 2026'!$J$2:$J$2719,AC$1)</f>
        <v>0</v>
      </c>
      <c r="AD45" s="143">
        <f>SUMIFS('апрель 2026'!$G$2:$G$2719,'апрель 2026'!$D$2:$D$2719,$B45,'апрель 2026'!$J$2:$J$2719,AD$1)</f>
        <v>0</v>
      </c>
      <c r="AE45" s="143">
        <f>SUMIFS('апрель 2026'!$G$2:$G$2719,'апрель 2026'!$D$2:$D$2719,$B45,'апрель 2026'!$J$2:$J$2719,AE$1)</f>
        <v>0</v>
      </c>
      <c r="AF45" s="143">
        <f>SUMIFS('апрель 2026'!$G$2:$G$2719,'апрель 2026'!$D$2:$D$2719,$B45,'апрель 2026'!$J$2:$J$2719,AF$1)</f>
        <v>0</v>
      </c>
      <c r="AG45" s="143">
        <f>SUMIFS('апрель 2026'!$G$2:$G$2719,'апрель 2026'!$D$2:$D$2719,$B45,'апрель 2026'!$J$2:$J$2719,AG$1)</f>
        <v>0</v>
      </c>
      <c r="AH45" s="143">
        <f>SUMIFS('апрель 2026'!$G$2:$G$2719,'апрель 2026'!$D$2:$D$2719,$B45,'апрель 2026'!$J$2:$J$2719,AH$1)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SUMIFS('апрель 2026'!$G$2:$G$2719,'апрель 2026'!$D$2:$D$2719,$B46,'апрель 2026'!$J$2:$J$2719,D$1)</f>
        <v>0</v>
      </c>
      <c r="E46" s="143">
        <f>SUMIFS('апрель 2026'!$G$2:$G$2719,'апрель 2026'!$D$2:$D$2719,$B46,'апрель 2026'!$J$2:$J$2719,E$1)</f>
        <v>0</v>
      </c>
      <c r="F46" s="143">
        <f>SUMIFS('апрель 2026'!$G$2:$G$2719,'апрель 2026'!$D$2:$D$2719,$B46,'апрель 2026'!$J$2:$J$2719,F$1)</f>
        <v>0</v>
      </c>
      <c r="G46" s="143">
        <f>SUMIFS('апрель 2026'!$G$2:$G$2719,'апрель 2026'!$D$2:$D$2719,$B46,'апрель 2026'!$J$2:$J$2719,G$1)</f>
        <v>0</v>
      </c>
      <c r="H46" s="143">
        <f>SUMIFS('апрель 2026'!$G$2:$G$2719,'апрель 2026'!$D$2:$D$2719,$B46,'апрель 2026'!$J$2:$J$2719,H$1)</f>
        <v>0</v>
      </c>
      <c r="I46" s="143">
        <f>SUMIFS('апрель 2026'!$G$2:$G$2719,'апрель 2026'!$D$2:$D$2719,$B46,'апрель 2026'!$J$2:$J$2719,I$1)</f>
        <v>0</v>
      </c>
      <c r="J46" s="143">
        <f>SUMIFS('апрель 2026'!$G$2:$G$2719,'апрель 2026'!$D$2:$D$2719,$B46,'апрель 2026'!$J$2:$J$2719,J$1)</f>
        <v>0</v>
      </c>
      <c r="K46" s="143">
        <f>SUMIFS('апрель 2026'!$G$2:$G$2719,'апрель 2026'!$D$2:$D$2719,$B46,'апрель 2026'!$J$2:$J$2719,K$1)</f>
        <v>0</v>
      </c>
      <c r="L46" s="143">
        <f>SUMIFS('апрель 2026'!$G$2:$G$2719,'апрель 2026'!$D$2:$D$2719,$B46,'апрель 2026'!$J$2:$J$2719,L$1)</f>
        <v>0</v>
      </c>
      <c r="M46" s="143">
        <f>SUMIFS('апрель 2026'!$G$2:$G$2719,'апрель 2026'!$D$2:$D$2719,$B46,'апрель 2026'!$J$2:$J$2719,M$1)</f>
        <v>0</v>
      </c>
      <c r="N46" s="143">
        <f>SUMIFS('апрель 2026'!$G$2:$G$2719,'апрель 2026'!$D$2:$D$2719,$B46,'апрель 2026'!$J$2:$J$2719,N$1)</f>
        <v>0</v>
      </c>
      <c r="O46" s="143">
        <f>SUMIFS('апрель 2026'!$G$2:$G$2719,'апрель 2026'!$D$2:$D$2719,$B46,'апрель 2026'!$J$2:$J$2719,O$1)</f>
        <v>0</v>
      </c>
      <c r="P46" s="143">
        <f>SUMIFS('апрель 2026'!$G$2:$G$2719,'апрель 2026'!$D$2:$D$2719,$B46,'апрель 2026'!$J$2:$J$2719,P$1)</f>
        <v>0</v>
      </c>
      <c r="Q46" s="143">
        <f>SUMIFS('апрель 2026'!$G$2:$G$2719,'апрель 2026'!$D$2:$D$2719,$B46,'апрель 2026'!$J$2:$J$2719,Q$1)</f>
        <v>0</v>
      </c>
      <c r="R46" s="143">
        <f>SUMIFS('апрель 2026'!$G$2:$G$2719,'апрель 2026'!$D$2:$D$2719,$B46,'апрель 2026'!$J$2:$J$2719,R$1)</f>
        <v>0</v>
      </c>
      <c r="S46" s="143">
        <f>SUMIFS('апрель 2026'!$G$2:$G$2719,'апрель 2026'!$D$2:$D$2719,$B46,'апрель 2026'!$J$2:$J$2719,S$1)</f>
        <v>0</v>
      </c>
      <c r="T46" s="143">
        <f>SUMIFS('апрель 2026'!$G$2:$G$2719,'апрель 2026'!$D$2:$D$2719,$B46,'апрель 2026'!$J$2:$J$2719,T$1)</f>
        <v>0</v>
      </c>
      <c r="U46" s="143">
        <f>SUMIFS('апрель 2026'!$G$2:$G$2719,'апрель 2026'!$D$2:$D$2719,$B46,'апрель 2026'!$J$2:$J$2719,U$1)</f>
        <v>0</v>
      </c>
      <c r="V46" s="143">
        <f>SUMIFS('апрель 2026'!$G$2:$G$2719,'апрель 2026'!$D$2:$D$2719,$B46,'апрель 2026'!$J$2:$J$2719,V$1)</f>
        <v>0</v>
      </c>
      <c r="W46" s="143">
        <f>SUMIFS('апрель 2026'!$G$2:$G$2719,'апрель 2026'!$D$2:$D$2719,$B46,'апрель 2026'!$J$2:$J$2719,W$1)</f>
        <v>0</v>
      </c>
      <c r="X46" s="143">
        <f>SUMIFS('апрель 2026'!$G$2:$G$2719,'апрель 2026'!$D$2:$D$2719,$B46,'апрель 2026'!$J$2:$J$2719,X$1)</f>
        <v>0</v>
      </c>
      <c r="Y46" s="143">
        <f>SUMIFS('апрель 2026'!$G$2:$G$2719,'апрель 2026'!$D$2:$D$2719,$B46,'апрель 2026'!$J$2:$J$2719,Y$1)</f>
        <v>0</v>
      </c>
      <c r="Z46" s="143">
        <f>SUMIFS('апрель 2026'!$G$2:$G$2719,'апрель 2026'!$D$2:$D$2719,$B46,'апрель 2026'!$J$2:$J$2719,Z$1)</f>
        <v>0</v>
      </c>
      <c r="AA46" s="143">
        <f>SUMIFS('апрель 2026'!$G$2:$G$2719,'апрель 2026'!$D$2:$D$2719,$B46,'апрель 2026'!$J$2:$J$2719,AA$1)</f>
        <v>0</v>
      </c>
      <c r="AB46" s="143">
        <f>SUMIFS('апрель 2026'!$G$2:$G$2719,'апрель 2026'!$D$2:$D$2719,$B46,'апрель 2026'!$J$2:$J$2719,AB$1)</f>
        <v>0</v>
      </c>
      <c r="AC46" s="143">
        <f>SUMIFS('апрель 2026'!$G$2:$G$2719,'апрель 2026'!$D$2:$D$2719,$B46,'апрель 2026'!$J$2:$J$2719,AC$1)</f>
        <v>0</v>
      </c>
      <c r="AD46" s="143">
        <f>SUMIFS('апрель 2026'!$G$2:$G$2719,'апрель 2026'!$D$2:$D$2719,$B46,'апрель 2026'!$J$2:$J$2719,AD$1)</f>
        <v>0</v>
      </c>
      <c r="AE46" s="143">
        <f>SUMIFS('апрель 2026'!$G$2:$G$2719,'апрель 2026'!$D$2:$D$2719,$B46,'апрель 2026'!$J$2:$J$2719,AE$1)</f>
        <v>0</v>
      </c>
      <c r="AF46" s="143">
        <f>SUMIFS('апрель 2026'!$G$2:$G$2719,'апрель 2026'!$D$2:$D$2719,$B46,'апрель 2026'!$J$2:$J$2719,AF$1)</f>
        <v>0</v>
      </c>
      <c r="AG46" s="143">
        <f>SUMIFS('апрель 2026'!$G$2:$G$2719,'апрель 2026'!$D$2:$D$2719,$B46,'апрель 2026'!$J$2:$J$2719,AG$1)</f>
        <v>0</v>
      </c>
      <c r="AH46" s="143">
        <f>SUMIFS('апрель 2026'!$G$2:$G$2719,'апрель 2026'!$D$2:$D$2719,$B46,'апрель 2026'!$J$2:$J$2719,AH$1)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SUMIFS('апрель 2026'!$G$2:$G$2719,'апрель 2026'!$D$2:$D$2719,$B47,'апрель 2026'!$J$2:$J$2719,D$1)</f>
        <v>0</v>
      </c>
      <c r="E47" s="143">
        <f>SUMIFS('апрель 2026'!$G$2:$G$2719,'апрель 2026'!$D$2:$D$2719,$B47,'апрель 2026'!$J$2:$J$2719,E$1)</f>
        <v>0</v>
      </c>
      <c r="F47" s="143">
        <f>SUMIFS('апрель 2026'!$G$2:$G$2719,'апрель 2026'!$D$2:$D$2719,$B47,'апрель 2026'!$J$2:$J$2719,F$1)</f>
        <v>0</v>
      </c>
      <c r="G47" s="143">
        <f>SUMIFS('апрель 2026'!$G$2:$G$2719,'апрель 2026'!$D$2:$D$2719,$B47,'апрель 2026'!$J$2:$J$2719,G$1)</f>
        <v>0</v>
      </c>
      <c r="H47" s="143">
        <f>SUMIFS('апрель 2026'!$G$2:$G$2719,'апрель 2026'!$D$2:$D$2719,$B47,'апрель 2026'!$J$2:$J$2719,H$1)</f>
        <v>0</v>
      </c>
      <c r="I47" s="143">
        <f>SUMIFS('апрель 2026'!$G$2:$G$2719,'апрель 2026'!$D$2:$D$2719,$B47,'апрель 2026'!$J$2:$J$2719,I$1)</f>
        <v>0</v>
      </c>
      <c r="J47" s="143">
        <f>SUMIFS('апрель 2026'!$G$2:$G$2719,'апрель 2026'!$D$2:$D$2719,$B47,'апрель 2026'!$J$2:$J$2719,J$1)</f>
        <v>0</v>
      </c>
      <c r="K47" s="143">
        <f>SUMIFS('апрель 2026'!$G$2:$G$2719,'апрель 2026'!$D$2:$D$2719,$B47,'апрель 2026'!$J$2:$J$2719,K$1)</f>
        <v>0</v>
      </c>
      <c r="L47" s="143">
        <f>SUMIFS('апрель 2026'!$G$2:$G$2719,'апрель 2026'!$D$2:$D$2719,$B47,'апрель 2026'!$J$2:$J$2719,L$1)</f>
        <v>0</v>
      </c>
      <c r="M47" s="143">
        <f>SUMIFS('апрель 2026'!$G$2:$G$2719,'апрель 2026'!$D$2:$D$2719,$B47,'апрель 2026'!$J$2:$J$2719,M$1)</f>
        <v>0</v>
      </c>
      <c r="N47" s="143">
        <f>SUMIFS('апрель 2026'!$G$2:$G$2719,'апрель 2026'!$D$2:$D$2719,$B47,'апрель 2026'!$J$2:$J$2719,N$1)</f>
        <v>0</v>
      </c>
      <c r="O47" s="143">
        <f>SUMIFS('апрель 2026'!$G$2:$G$2719,'апрель 2026'!$D$2:$D$2719,$B47,'апрель 2026'!$J$2:$J$2719,O$1)</f>
        <v>0</v>
      </c>
      <c r="P47" s="143">
        <f>SUMIFS('апрель 2026'!$G$2:$G$2719,'апрель 2026'!$D$2:$D$2719,$B47,'апрель 2026'!$J$2:$J$2719,P$1)</f>
        <v>0</v>
      </c>
      <c r="Q47" s="143">
        <f>SUMIFS('апрель 2026'!$G$2:$G$2719,'апрель 2026'!$D$2:$D$2719,$B47,'апрель 2026'!$J$2:$J$2719,Q$1)</f>
        <v>0</v>
      </c>
      <c r="R47" s="143">
        <f>SUMIFS('апрель 2026'!$G$2:$G$2719,'апрель 2026'!$D$2:$D$2719,$B47,'апрель 2026'!$J$2:$J$2719,R$1)</f>
        <v>0</v>
      </c>
      <c r="S47" s="143">
        <f>SUMIFS('апрель 2026'!$G$2:$G$2719,'апрель 2026'!$D$2:$D$2719,$B47,'апрель 2026'!$J$2:$J$2719,S$1)</f>
        <v>0</v>
      </c>
      <c r="T47" s="143">
        <f>SUMIFS('апрель 2026'!$G$2:$G$2719,'апрель 2026'!$D$2:$D$2719,$B47,'апрель 2026'!$J$2:$J$2719,T$1)</f>
        <v>0</v>
      </c>
      <c r="U47" s="143">
        <f>SUMIFS('апрель 2026'!$G$2:$G$2719,'апрель 2026'!$D$2:$D$2719,$B47,'апрель 2026'!$J$2:$J$2719,U$1)</f>
        <v>0</v>
      </c>
      <c r="V47" s="143">
        <f>SUMIFS('апрель 2026'!$G$2:$G$2719,'апрель 2026'!$D$2:$D$2719,$B47,'апрель 2026'!$J$2:$J$2719,V$1)</f>
        <v>0</v>
      </c>
      <c r="W47" s="143">
        <f>SUMIFS('апрель 2026'!$G$2:$G$2719,'апрель 2026'!$D$2:$D$2719,$B47,'апрель 2026'!$J$2:$J$2719,W$1)</f>
        <v>0</v>
      </c>
      <c r="X47" s="143">
        <f>SUMIFS('апрель 2026'!$G$2:$G$2719,'апрель 2026'!$D$2:$D$2719,$B47,'апрель 2026'!$J$2:$J$2719,X$1)</f>
        <v>0</v>
      </c>
      <c r="Y47" s="143">
        <f>SUMIFS('апрель 2026'!$G$2:$G$2719,'апрель 2026'!$D$2:$D$2719,$B47,'апрель 2026'!$J$2:$J$2719,Y$1)</f>
        <v>0</v>
      </c>
      <c r="Z47" s="143">
        <f>SUMIFS('апрель 2026'!$G$2:$G$2719,'апрель 2026'!$D$2:$D$2719,$B47,'апрель 2026'!$J$2:$J$2719,Z$1)</f>
        <v>0</v>
      </c>
      <c r="AA47" s="143">
        <f>SUMIFS('апрель 2026'!$G$2:$G$2719,'апрель 2026'!$D$2:$D$2719,$B47,'апрель 2026'!$J$2:$J$2719,AA$1)</f>
        <v>0</v>
      </c>
      <c r="AB47" s="143">
        <f>SUMIFS('апрель 2026'!$G$2:$G$2719,'апрель 2026'!$D$2:$D$2719,$B47,'апрель 2026'!$J$2:$J$2719,AB$1)</f>
        <v>0</v>
      </c>
      <c r="AC47" s="143">
        <f>SUMIFS('апрель 2026'!$G$2:$G$2719,'апрель 2026'!$D$2:$D$2719,$B47,'апрель 2026'!$J$2:$J$2719,AC$1)</f>
        <v>0</v>
      </c>
      <c r="AD47" s="143">
        <f>SUMIFS('апрель 2026'!$G$2:$G$2719,'апрель 2026'!$D$2:$D$2719,$B47,'апрель 2026'!$J$2:$J$2719,AD$1)</f>
        <v>0</v>
      </c>
      <c r="AE47" s="143">
        <f>SUMIFS('апрель 2026'!$G$2:$G$2719,'апрель 2026'!$D$2:$D$2719,$B47,'апрель 2026'!$J$2:$J$2719,AE$1)</f>
        <v>0</v>
      </c>
      <c r="AF47" s="143">
        <f>SUMIFS('апрель 2026'!$G$2:$G$2719,'апрель 2026'!$D$2:$D$2719,$B47,'апрель 2026'!$J$2:$J$2719,AF$1)</f>
        <v>0</v>
      </c>
      <c r="AG47" s="143">
        <f>SUMIFS('апрель 2026'!$G$2:$G$2719,'апрель 2026'!$D$2:$D$2719,$B47,'апрель 2026'!$J$2:$J$2719,AG$1)</f>
        <v>0</v>
      </c>
      <c r="AH47" s="143">
        <f>SUMIFS('апрель 2026'!$G$2:$G$2719,'апрель 2026'!$D$2:$D$2719,$B47,'апрель 2026'!$J$2:$J$2719,AH$1)</f>
        <v>0</v>
      </c>
      <c r="AI47" s="20">
        <f t="shared" si="1"/>
        <v>0</v>
      </c>
    </row>
    <row r="48" spans="2:35" ht="15" customHeight="1" x14ac:dyDescent="0.25">
      <c r="B48" s="126" t="s">
        <v>372</v>
      </c>
      <c r="C48" s="123">
        <v>25</v>
      </c>
      <c r="D48" s="143">
        <f>SUMIFS('апрель 2026'!$G$2:$G$2719,'апрель 2026'!$D$2:$D$2719,$B48,'апрель 2026'!$J$2:$J$2719,D$1)</f>
        <v>0</v>
      </c>
      <c r="E48" s="143">
        <f>SUMIFS('апрель 2026'!$G$2:$G$2719,'апрель 2026'!$D$2:$D$2719,$B48,'апрель 2026'!$J$2:$J$2719,E$1)</f>
        <v>0</v>
      </c>
      <c r="F48" s="143">
        <f>SUMIFS('апрель 2026'!$G$2:$G$2719,'апрель 2026'!$D$2:$D$2719,$B48,'апрель 2026'!$J$2:$J$2719,F$1)</f>
        <v>0</v>
      </c>
      <c r="G48" s="143">
        <f>SUMIFS('апрель 2026'!$G$2:$G$2719,'апрель 2026'!$D$2:$D$2719,$B48,'апрель 2026'!$J$2:$J$2719,G$1)</f>
        <v>0</v>
      </c>
      <c r="H48" s="143">
        <f>SUMIFS('апрель 2026'!$G$2:$G$2719,'апрель 2026'!$D$2:$D$2719,$B48,'апрель 2026'!$J$2:$J$2719,H$1)</f>
        <v>0</v>
      </c>
      <c r="I48" s="143">
        <f>SUMIFS('апрель 2026'!$G$2:$G$2719,'апрель 2026'!$D$2:$D$2719,$B48,'апрель 2026'!$J$2:$J$2719,I$1)</f>
        <v>0</v>
      </c>
      <c r="J48" s="143">
        <f>SUMIFS('апрель 2026'!$G$2:$G$2719,'апрель 2026'!$D$2:$D$2719,$B48,'апрель 2026'!$J$2:$J$2719,J$1)</f>
        <v>0</v>
      </c>
      <c r="K48" s="143">
        <f>SUMIFS('апрель 2026'!$G$2:$G$2719,'апрель 2026'!$D$2:$D$2719,$B48,'апрель 2026'!$J$2:$J$2719,K$1)</f>
        <v>0</v>
      </c>
      <c r="L48" s="143">
        <f>SUMIFS('апрель 2026'!$G$2:$G$2719,'апрель 2026'!$D$2:$D$2719,$B48,'апрель 2026'!$J$2:$J$2719,L$1)</f>
        <v>0</v>
      </c>
      <c r="M48" s="143">
        <f>SUMIFS('апрель 2026'!$G$2:$G$2719,'апрель 2026'!$D$2:$D$2719,$B48,'апрель 2026'!$J$2:$J$2719,M$1)</f>
        <v>0</v>
      </c>
      <c r="N48" s="143">
        <f>SUMIFS('апрель 2026'!$G$2:$G$2719,'апрель 2026'!$D$2:$D$2719,$B48,'апрель 2026'!$J$2:$J$2719,N$1)</f>
        <v>0</v>
      </c>
      <c r="O48" s="143">
        <f>SUMIFS('апрель 2026'!$G$2:$G$2719,'апрель 2026'!$D$2:$D$2719,$B48,'апрель 2026'!$J$2:$J$2719,O$1)</f>
        <v>0</v>
      </c>
      <c r="P48" s="143">
        <f>SUMIFS('апрель 2026'!$G$2:$G$2719,'апрель 2026'!$D$2:$D$2719,$B48,'апрель 2026'!$J$2:$J$2719,P$1)</f>
        <v>0</v>
      </c>
      <c r="Q48" s="143">
        <f>SUMIFS('апрель 2026'!$G$2:$G$2719,'апрель 2026'!$D$2:$D$2719,$B48,'апрель 2026'!$J$2:$J$2719,Q$1)</f>
        <v>0</v>
      </c>
      <c r="R48" s="143">
        <f>SUMIFS('апрель 2026'!$G$2:$G$2719,'апрель 2026'!$D$2:$D$2719,$B48,'апрель 2026'!$J$2:$J$2719,R$1)</f>
        <v>0</v>
      </c>
      <c r="S48" s="143">
        <f>SUMIFS('апрель 2026'!$G$2:$G$2719,'апрель 2026'!$D$2:$D$2719,$B48,'апрель 2026'!$J$2:$J$2719,S$1)</f>
        <v>0</v>
      </c>
      <c r="T48" s="143">
        <f>SUMIFS('апрель 2026'!$G$2:$G$2719,'апрель 2026'!$D$2:$D$2719,$B48,'апрель 2026'!$J$2:$J$2719,T$1)</f>
        <v>0</v>
      </c>
      <c r="U48" s="143">
        <f>SUMIFS('апрель 2026'!$G$2:$G$2719,'апрель 2026'!$D$2:$D$2719,$B48,'апрель 2026'!$J$2:$J$2719,U$1)</f>
        <v>0</v>
      </c>
      <c r="V48" s="143">
        <f>SUMIFS('апрель 2026'!$G$2:$G$2719,'апрель 2026'!$D$2:$D$2719,$B48,'апрель 2026'!$J$2:$J$2719,V$1)</f>
        <v>0</v>
      </c>
      <c r="W48" s="143">
        <f>SUMIFS('апрель 2026'!$G$2:$G$2719,'апрель 2026'!$D$2:$D$2719,$B48,'апрель 2026'!$J$2:$J$2719,W$1)</f>
        <v>0</v>
      </c>
      <c r="X48" s="143">
        <f>SUMIFS('апрель 2026'!$G$2:$G$2719,'апрель 2026'!$D$2:$D$2719,$B48,'апрель 2026'!$J$2:$J$2719,X$1)</f>
        <v>0</v>
      </c>
      <c r="Y48" s="143">
        <f>SUMIFS('апрель 2026'!$G$2:$G$2719,'апрель 2026'!$D$2:$D$2719,$B48,'апрель 2026'!$J$2:$J$2719,Y$1)</f>
        <v>0</v>
      </c>
      <c r="Z48" s="143">
        <f>SUMIFS('апрель 2026'!$G$2:$G$2719,'апрель 2026'!$D$2:$D$2719,$B48,'апрель 2026'!$J$2:$J$2719,Z$1)</f>
        <v>0</v>
      </c>
      <c r="AA48" s="143">
        <f>SUMIFS('апрель 2026'!$G$2:$G$2719,'апрель 2026'!$D$2:$D$2719,$B48,'апрель 2026'!$J$2:$J$2719,AA$1)</f>
        <v>0</v>
      </c>
      <c r="AB48" s="143">
        <f>SUMIFS('апрель 2026'!$G$2:$G$2719,'апрель 2026'!$D$2:$D$2719,$B48,'апрель 2026'!$J$2:$J$2719,AB$1)</f>
        <v>0</v>
      </c>
      <c r="AC48" s="143">
        <f>SUMIFS('апрель 2026'!$G$2:$G$2719,'апрель 2026'!$D$2:$D$2719,$B48,'апрель 2026'!$J$2:$J$2719,AC$1)</f>
        <v>0</v>
      </c>
      <c r="AD48" s="143">
        <f>SUMIFS('апрель 2026'!$G$2:$G$2719,'апрель 2026'!$D$2:$D$2719,$B48,'апрель 2026'!$J$2:$J$2719,AD$1)</f>
        <v>0</v>
      </c>
      <c r="AE48" s="143">
        <f>SUMIFS('апрель 2026'!$G$2:$G$2719,'апрель 2026'!$D$2:$D$2719,$B48,'апрель 2026'!$J$2:$J$2719,AE$1)</f>
        <v>0</v>
      </c>
      <c r="AF48" s="143">
        <f>SUMIFS('апрель 2026'!$G$2:$G$2719,'апрель 2026'!$D$2:$D$2719,$B48,'апрель 2026'!$J$2:$J$2719,AF$1)</f>
        <v>0</v>
      </c>
      <c r="AG48" s="143">
        <f>SUMIFS('апрель 2026'!$G$2:$G$2719,'апрель 2026'!$D$2:$D$2719,$B48,'апрель 2026'!$J$2:$J$2719,AG$1)</f>
        <v>0</v>
      </c>
      <c r="AH48" s="143">
        <f>SUMIFS('апрель 2026'!$G$2:$G$2719,'апрель 2026'!$D$2:$D$2719,$B48,'апрель 2026'!$J$2:$J$2719,AH$1)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SUMIFS('апрель 2026'!$G$2:$G$2719,'апрель 2026'!$D$2:$D$2719,$B49,'апрель 2026'!$J$2:$J$2719,D$1)</f>
        <v>0</v>
      </c>
      <c r="E49" s="143">
        <f>SUMIFS('апрель 2026'!$G$2:$G$2719,'апрель 2026'!$D$2:$D$2719,$B49,'апрель 2026'!$J$2:$J$2719,E$1)</f>
        <v>0</v>
      </c>
      <c r="F49" s="143">
        <f>SUMIFS('апрель 2026'!$G$2:$G$2719,'апрель 2026'!$D$2:$D$2719,$B49,'апрель 2026'!$J$2:$J$2719,F$1)</f>
        <v>0</v>
      </c>
      <c r="G49" s="143">
        <f>SUMIFS('апрель 2026'!$G$2:$G$2719,'апрель 2026'!$D$2:$D$2719,$B49,'апрель 2026'!$J$2:$J$2719,G$1)</f>
        <v>0</v>
      </c>
      <c r="H49" s="143">
        <f>SUMIFS('апрель 2026'!$G$2:$G$2719,'апрель 2026'!$D$2:$D$2719,$B49,'апрель 2026'!$J$2:$J$2719,H$1)</f>
        <v>0</v>
      </c>
      <c r="I49" s="143">
        <f>SUMIFS('апрель 2026'!$G$2:$G$2719,'апрель 2026'!$D$2:$D$2719,$B49,'апрель 2026'!$J$2:$J$2719,I$1)</f>
        <v>0</v>
      </c>
      <c r="J49" s="143">
        <f>SUMIFS('апрель 2026'!$G$2:$G$2719,'апрель 2026'!$D$2:$D$2719,$B49,'апрель 2026'!$J$2:$J$2719,J$1)</f>
        <v>0</v>
      </c>
      <c r="K49" s="143">
        <f>SUMIFS('апрель 2026'!$G$2:$G$2719,'апрель 2026'!$D$2:$D$2719,$B49,'апрель 2026'!$J$2:$J$2719,K$1)</f>
        <v>0</v>
      </c>
      <c r="L49" s="143">
        <f>SUMIFS('апрель 2026'!$G$2:$G$2719,'апрель 2026'!$D$2:$D$2719,$B49,'апрель 2026'!$J$2:$J$2719,L$1)</f>
        <v>0</v>
      </c>
      <c r="M49" s="143">
        <f>SUMIFS('апрель 2026'!$G$2:$G$2719,'апрель 2026'!$D$2:$D$2719,$B49,'апрель 2026'!$J$2:$J$2719,M$1)</f>
        <v>0</v>
      </c>
      <c r="N49" s="143">
        <f>SUMIFS('апрель 2026'!$G$2:$G$2719,'апрель 2026'!$D$2:$D$2719,$B49,'апрель 2026'!$J$2:$J$2719,N$1)</f>
        <v>0</v>
      </c>
      <c r="O49" s="143">
        <f>SUMIFS('апрель 2026'!$G$2:$G$2719,'апрель 2026'!$D$2:$D$2719,$B49,'апрель 2026'!$J$2:$J$2719,O$1)</f>
        <v>0</v>
      </c>
      <c r="P49" s="143">
        <f>SUMIFS('апрель 2026'!$G$2:$G$2719,'апрель 2026'!$D$2:$D$2719,$B49,'апрель 2026'!$J$2:$J$2719,P$1)</f>
        <v>0</v>
      </c>
      <c r="Q49" s="143">
        <f>SUMIFS('апрель 2026'!$G$2:$G$2719,'апрель 2026'!$D$2:$D$2719,$B49,'апрель 2026'!$J$2:$J$2719,Q$1)</f>
        <v>0</v>
      </c>
      <c r="R49" s="143">
        <f>SUMIFS('апрель 2026'!$G$2:$G$2719,'апрель 2026'!$D$2:$D$2719,$B49,'апрель 2026'!$J$2:$J$2719,R$1)</f>
        <v>0</v>
      </c>
      <c r="S49" s="143">
        <f>SUMIFS('апрель 2026'!$G$2:$G$2719,'апрель 2026'!$D$2:$D$2719,$B49,'апрель 2026'!$J$2:$J$2719,S$1)</f>
        <v>0</v>
      </c>
      <c r="T49" s="143">
        <f>SUMIFS('апрель 2026'!$G$2:$G$2719,'апрель 2026'!$D$2:$D$2719,$B49,'апрель 2026'!$J$2:$J$2719,T$1)</f>
        <v>0</v>
      </c>
      <c r="U49" s="143">
        <f>SUMIFS('апрель 2026'!$G$2:$G$2719,'апрель 2026'!$D$2:$D$2719,$B49,'апрель 2026'!$J$2:$J$2719,U$1)</f>
        <v>0</v>
      </c>
      <c r="V49" s="143">
        <f>SUMIFS('апрель 2026'!$G$2:$G$2719,'апрель 2026'!$D$2:$D$2719,$B49,'апрель 2026'!$J$2:$J$2719,V$1)</f>
        <v>0</v>
      </c>
      <c r="W49" s="143">
        <f>SUMIFS('апрель 2026'!$G$2:$G$2719,'апрель 2026'!$D$2:$D$2719,$B49,'апрель 2026'!$J$2:$J$2719,W$1)</f>
        <v>0</v>
      </c>
      <c r="X49" s="143">
        <f>SUMIFS('апрель 2026'!$G$2:$G$2719,'апрель 2026'!$D$2:$D$2719,$B49,'апрель 2026'!$J$2:$J$2719,X$1)</f>
        <v>0</v>
      </c>
      <c r="Y49" s="143">
        <f>SUMIFS('апрель 2026'!$G$2:$G$2719,'апрель 2026'!$D$2:$D$2719,$B49,'апрель 2026'!$J$2:$J$2719,Y$1)</f>
        <v>0</v>
      </c>
      <c r="Z49" s="143">
        <f>SUMIFS('апрель 2026'!$G$2:$G$2719,'апрель 2026'!$D$2:$D$2719,$B49,'апрель 2026'!$J$2:$J$2719,Z$1)</f>
        <v>0</v>
      </c>
      <c r="AA49" s="143">
        <f>SUMIFS('апрель 2026'!$G$2:$G$2719,'апрель 2026'!$D$2:$D$2719,$B49,'апрель 2026'!$J$2:$J$2719,AA$1)</f>
        <v>0</v>
      </c>
      <c r="AB49" s="143">
        <f>SUMIFS('апрель 2026'!$G$2:$G$2719,'апрель 2026'!$D$2:$D$2719,$B49,'апрель 2026'!$J$2:$J$2719,AB$1)</f>
        <v>0</v>
      </c>
      <c r="AC49" s="143">
        <f>SUMIFS('апрель 2026'!$G$2:$G$2719,'апрель 2026'!$D$2:$D$2719,$B49,'апрель 2026'!$J$2:$J$2719,AC$1)</f>
        <v>0</v>
      </c>
      <c r="AD49" s="143">
        <f>SUMIFS('апрель 2026'!$G$2:$G$2719,'апрель 2026'!$D$2:$D$2719,$B49,'апрель 2026'!$J$2:$J$2719,AD$1)</f>
        <v>0</v>
      </c>
      <c r="AE49" s="143">
        <f>SUMIFS('апрель 2026'!$G$2:$G$2719,'апрель 2026'!$D$2:$D$2719,$B49,'апрель 2026'!$J$2:$J$2719,AE$1)</f>
        <v>0</v>
      </c>
      <c r="AF49" s="143">
        <f>SUMIFS('апрель 2026'!$G$2:$G$2719,'апрель 2026'!$D$2:$D$2719,$B49,'апрель 2026'!$J$2:$J$2719,AF$1)</f>
        <v>0</v>
      </c>
      <c r="AG49" s="143">
        <f>SUMIFS('апрель 2026'!$G$2:$G$2719,'апрель 2026'!$D$2:$D$2719,$B49,'апрель 2026'!$J$2:$J$2719,AG$1)</f>
        <v>0</v>
      </c>
      <c r="AH49" s="143">
        <f>SUMIFS('апрель 2026'!$G$2:$G$2719,'апрель 2026'!$D$2:$D$2719,$B49,'апрель 2026'!$J$2:$J$2719,AH$1)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SUMIFS('апрель 2026'!$G$2:$G$2719,'апрель 2026'!$D$2:$D$2719,$B50,'апрель 2026'!$J$2:$J$2719,D$1)</f>
        <v>0</v>
      </c>
      <c r="E50" s="143">
        <f>SUMIFS('апрель 2026'!$G$2:$G$2719,'апрель 2026'!$D$2:$D$2719,$B50,'апрель 2026'!$J$2:$J$2719,E$1)</f>
        <v>0</v>
      </c>
      <c r="F50" s="143">
        <f>SUMIFS('апрель 2026'!$G$2:$G$2719,'апрель 2026'!$D$2:$D$2719,$B50,'апрель 2026'!$J$2:$J$2719,F$1)</f>
        <v>0</v>
      </c>
      <c r="G50" s="143">
        <f>SUMIFS('апрель 2026'!$G$2:$G$2719,'апрель 2026'!$D$2:$D$2719,$B50,'апрель 2026'!$J$2:$J$2719,G$1)</f>
        <v>0</v>
      </c>
      <c r="H50" s="143">
        <f>SUMIFS('апрель 2026'!$G$2:$G$2719,'апрель 2026'!$D$2:$D$2719,$B50,'апрель 2026'!$J$2:$J$2719,H$1)</f>
        <v>0</v>
      </c>
      <c r="I50" s="143">
        <f>SUMIFS('апрель 2026'!$G$2:$G$2719,'апрель 2026'!$D$2:$D$2719,$B50,'апрель 2026'!$J$2:$J$2719,I$1)</f>
        <v>0</v>
      </c>
      <c r="J50" s="143">
        <f>SUMIFS('апрель 2026'!$G$2:$G$2719,'апрель 2026'!$D$2:$D$2719,$B50,'апрель 2026'!$J$2:$J$2719,J$1)</f>
        <v>0</v>
      </c>
      <c r="K50" s="143">
        <f>SUMIFS('апрель 2026'!$G$2:$G$2719,'апрель 2026'!$D$2:$D$2719,$B50,'апрель 2026'!$J$2:$J$2719,K$1)</f>
        <v>0</v>
      </c>
      <c r="L50" s="143">
        <f>SUMIFS('апрель 2026'!$G$2:$G$2719,'апрель 2026'!$D$2:$D$2719,$B50,'апрель 2026'!$J$2:$J$2719,L$1)</f>
        <v>0</v>
      </c>
      <c r="M50" s="143">
        <f>SUMIFS('апрель 2026'!$G$2:$G$2719,'апрель 2026'!$D$2:$D$2719,$B50,'апрель 2026'!$J$2:$J$2719,M$1)</f>
        <v>0</v>
      </c>
      <c r="N50" s="143">
        <f>SUMIFS('апрель 2026'!$G$2:$G$2719,'апрель 2026'!$D$2:$D$2719,$B50,'апрель 2026'!$J$2:$J$2719,N$1)</f>
        <v>0</v>
      </c>
      <c r="O50" s="143">
        <f>SUMIFS('апрель 2026'!$G$2:$G$2719,'апрель 2026'!$D$2:$D$2719,$B50,'апрель 2026'!$J$2:$J$2719,O$1)</f>
        <v>0</v>
      </c>
      <c r="P50" s="143">
        <f>SUMIFS('апрель 2026'!$G$2:$G$2719,'апрель 2026'!$D$2:$D$2719,$B50,'апрель 2026'!$J$2:$J$2719,P$1)</f>
        <v>0</v>
      </c>
      <c r="Q50" s="143">
        <f>SUMIFS('апрель 2026'!$G$2:$G$2719,'апрель 2026'!$D$2:$D$2719,$B50,'апрель 2026'!$J$2:$J$2719,Q$1)</f>
        <v>0</v>
      </c>
      <c r="R50" s="143">
        <f>SUMIFS('апрель 2026'!$G$2:$G$2719,'апрель 2026'!$D$2:$D$2719,$B50,'апрель 2026'!$J$2:$J$2719,R$1)</f>
        <v>0</v>
      </c>
      <c r="S50" s="143">
        <f>SUMIFS('апрель 2026'!$G$2:$G$2719,'апрель 2026'!$D$2:$D$2719,$B50,'апрель 2026'!$J$2:$J$2719,S$1)</f>
        <v>0</v>
      </c>
      <c r="T50" s="143">
        <f>SUMIFS('апрель 2026'!$G$2:$G$2719,'апрель 2026'!$D$2:$D$2719,$B50,'апрель 2026'!$J$2:$J$2719,T$1)</f>
        <v>0</v>
      </c>
      <c r="U50" s="143">
        <f>SUMIFS('апрель 2026'!$G$2:$G$2719,'апрель 2026'!$D$2:$D$2719,$B50,'апрель 2026'!$J$2:$J$2719,U$1)</f>
        <v>0</v>
      </c>
      <c r="V50" s="143">
        <f>SUMIFS('апрель 2026'!$G$2:$G$2719,'апрель 2026'!$D$2:$D$2719,$B50,'апрель 2026'!$J$2:$J$2719,V$1)</f>
        <v>0</v>
      </c>
      <c r="W50" s="143">
        <f>SUMIFS('апрель 2026'!$G$2:$G$2719,'апрель 2026'!$D$2:$D$2719,$B50,'апрель 2026'!$J$2:$J$2719,W$1)</f>
        <v>0</v>
      </c>
      <c r="X50" s="143">
        <f>SUMIFS('апрель 2026'!$G$2:$G$2719,'апрель 2026'!$D$2:$D$2719,$B50,'апрель 2026'!$J$2:$J$2719,X$1)</f>
        <v>0</v>
      </c>
      <c r="Y50" s="143">
        <f>SUMIFS('апрель 2026'!$G$2:$G$2719,'апрель 2026'!$D$2:$D$2719,$B50,'апрель 2026'!$J$2:$J$2719,Y$1)</f>
        <v>0</v>
      </c>
      <c r="Z50" s="143">
        <f>SUMIFS('апрель 2026'!$G$2:$G$2719,'апрель 2026'!$D$2:$D$2719,$B50,'апрель 2026'!$J$2:$J$2719,Z$1)</f>
        <v>0</v>
      </c>
      <c r="AA50" s="143">
        <f>SUMIFS('апрель 2026'!$G$2:$G$2719,'апрель 2026'!$D$2:$D$2719,$B50,'апрель 2026'!$J$2:$J$2719,AA$1)</f>
        <v>0</v>
      </c>
      <c r="AB50" s="143">
        <f>SUMIFS('апрель 2026'!$G$2:$G$2719,'апрель 2026'!$D$2:$D$2719,$B50,'апрель 2026'!$J$2:$J$2719,AB$1)</f>
        <v>0</v>
      </c>
      <c r="AC50" s="143">
        <f>SUMIFS('апрель 2026'!$G$2:$G$2719,'апрель 2026'!$D$2:$D$2719,$B50,'апрель 2026'!$J$2:$J$2719,AC$1)</f>
        <v>0</v>
      </c>
      <c r="AD50" s="143">
        <f>SUMIFS('апрель 2026'!$G$2:$G$2719,'апрель 2026'!$D$2:$D$2719,$B50,'апрель 2026'!$J$2:$J$2719,AD$1)</f>
        <v>0</v>
      </c>
      <c r="AE50" s="143">
        <f>SUMIFS('апрель 2026'!$G$2:$G$2719,'апрель 2026'!$D$2:$D$2719,$B50,'апрель 2026'!$J$2:$J$2719,AE$1)</f>
        <v>0</v>
      </c>
      <c r="AF50" s="143">
        <f>SUMIFS('апрель 2026'!$G$2:$G$2719,'апрель 2026'!$D$2:$D$2719,$B50,'апрель 2026'!$J$2:$J$2719,AF$1)</f>
        <v>0</v>
      </c>
      <c r="AG50" s="143">
        <f>SUMIFS('апрель 2026'!$G$2:$G$2719,'апрель 2026'!$D$2:$D$2719,$B50,'апрель 2026'!$J$2:$J$2719,AG$1)</f>
        <v>0</v>
      </c>
      <c r="AH50" s="143">
        <f>SUMIFS('апрель 2026'!$G$2:$G$2719,'апрель 2026'!$D$2:$D$2719,$B50,'апрель 2026'!$J$2:$J$2719,AH$1)</f>
        <v>0</v>
      </c>
      <c r="AI50" s="20">
        <f t="shared" si="1"/>
        <v>0</v>
      </c>
    </row>
    <row r="51" spans="2:35" ht="15" customHeight="1" x14ac:dyDescent="0.25">
      <c r="B51" s="126" t="s">
        <v>232</v>
      </c>
      <c r="C51" s="123">
        <v>20</v>
      </c>
      <c r="D51" s="143">
        <f>SUMIFS('апрель 2026'!$G$2:$G$2719,'апрель 2026'!$D$2:$D$2719,$B51,'апрель 2026'!$J$2:$J$2719,D$1)</f>
        <v>0</v>
      </c>
      <c r="E51" s="143">
        <f>SUMIFS('апрель 2026'!$G$2:$G$2719,'апрель 2026'!$D$2:$D$2719,$B51,'апрель 2026'!$J$2:$J$2719,E$1)</f>
        <v>0</v>
      </c>
      <c r="F51" s="143">
        <f>SUMIFS('апрель 2026'!$G$2:$G$2719,'апрель 2026'!$D$2:$D$2719,$B51,'апрель 2026'!$J$2:$J$2719,F$1)</f>
        <v>0</v>
      </c>
      <c r="G51" s="143">
        <f>SUMIFS('апрель 2026'!$G$2:$G$2719,'апрель 2026'!$D$2:$D$2719,$B51,'апрель 2026'!$J$2:$J$2719,G$1)</f>
        <v>0</v>
      </c>
      <c r="H51" s="143">
        <f>SUMIFS('апрель 2026'!$G$2:$G$2719,'апрель 2026'!$D$2:$D$2719,$B51,'апрель 2026'!$J$2:$J$2719,H$1)</f>
        <v>0</v>
      </c>
      <c r="I51" s="143">
        <f>SUMIFS('апрель 2026'!$G$2:$G$2719,'апрель 2026'!$D$2:$D$2719,$B51,'апрель 2026'!$J$2:$J$2719,I$1)</f>
        <v>0</v>
      </c>
      <c r="J51" s="143">
        <f>SUMIFS('апрель 2026'!$G$2:$G$2719,'апрель 2026'!$D$2:$D$2719,$B51,'апрель 2026'!$J$2:$J$2719,J$1)</f>
        <v>0</v>
      </c>
      <c r="K51" s="143">
        <f>SUMIFS('апрель 2026'!$G$2:$G$2719,'апрель 2026'!$D$2:$D$2719,$B51,'апрель 2026'!$J$2:$J$2719,K$1)</f>
        <v>0</v>
      </c>
      <c r="L51" s="143">
        <f>SUMIFS('апрель 2026'!$G$2:$G$2719,'апрель 2026'!$D$2:$D$2719,$B51,'апрель 2026'!$J$2:$J$2719,L$1)</f>
        <v>0</v>
      </c>
      <c r="M51" s="143">
        <f>SUMIFS('апрель 2026'!$G$2:$G$2719,'апрель 2026'!$D$2:$D$2719,$B51,'апрель 2026'!$J$2:$J$2719,M$1)</f>
        <v>0</v>
      </c>
      <c r="N51" s="143">
        <f>SUMIFS('апрель 2026'!$G$2:$G$2719,'апрель 2026'!$D$2:$D$2719,$B51,'апрель 2026'!$J$2:$J$2719,N$1)</f>
        <v>0</v>
      </c>
      <c r="O51" s="143">
        <f>SUMIFS('апрель 2026'!$G$2:$G$2719,'апрель 2026'!$D$2:$D$2719,$B51,'апрель 2026'!$J$2:$J$2719,O$1)</f>
        <v>0</v>
      </c>
      <c r="P51" s="143">
        <f>SUMIFS('апрель 2026'!$G$2:$G$2719,'апрель 2026'!$D$2:$D$2719,$B51,'апрель 2026'!$J$2:$J$2719,P$1)</f>
        <v>0</v>
      </c>
      <c r="Q51" s="143">
        <f>SUMIFS('апрель 2026'!$G$2:$G$2719,'апрель 2026'!$D$2:$D$2719,$B51,'апрель 2026'!$J$2:$J$2719,Q$1)</f>
        <v>0</v>
      </c>
      <c r="R51" s="143">
        <f>SUMIFS('апрель 2026'!$G$2:$G$2719,'апрель 2026'!$D$2:$D$2719,$B51,'апрель 2026'!$J$2:$J$2719,R$1)</f>
        <v>0</v>
      </c>
      <c r="S51" s="143">
        <f>SUMIFS('апрель 2026'!$G$2:$G$2719,'апрель 2026'!$D$2:$D$2719,$B51,'апрель 2026'!$J$2:$J$2719,S$1)</f>
        <v>0</v>
      </c>
      <c r="T51" s="143">
        <f>SUMIFS('апрель 2026'!$G$2:$G$2719,'апрель 2026'!$D$2:$D$2719,$B51,'апрель 2026'!$J$2:$J$2719,T$1)</f>
        <v>0</v>
      </c>
      <c r="U51" s="143">
        <f>SUMIFS('апрель 2026'!$G$2:$G$2719,'апрель 2026'!$D$2:$D$2719,$B51,'апрель 2026'!$J$2:$J$2719,U$1)</f>
        <v>0</v>
      </c>
      <c r="V51" s="143">
        <f>SUMIFS('апрель 2026'!$G$2:$G$2719,'апрель 2026'!$D$2:$D$2719,$B51,'апрель 2026'!$J$2:$J$2719,V$1)</f>
        <v>0</v>
      </c>
      <c r="W51" s="143">
        <f>SUMIFS('апрель 2026'!$G$2:$G$2719,'апрель 2026'!$D$2:$D$2719,$B51,'апрель 2026'!$J$2:$J$2719,W$1)</f>
        <v>0</v>
      </c>
      <c r="X51" s="143">
        <f>SUMIFS('апрель 2026'!$G$2:$G$2719,'апрель 2026'!$D$2:$D$2719,$B51,'апрель 2026'!$J$2:$J$2719,X$1)</f>
        <v>0</v>
      </c>
      <c r="Y51" s="143">
        <f>SUMIFS('апрель 2026'!$G$2:$G$2719,'апрель 2026'!$D$2:$D$2719,$B51,'апрель 2026'!$J$2:$J$2719,Y$1)</f>
        <v>0</v>
      </c>
      <c r="Z51" s="143">
        <f>SUMIFS('апрель 2026'!$G$2:$G$2719,'апрель 2026'!$D$2:$D$2719,$B51,'апрель 2026'!$J$2:$J$2719,Z$1)</f>
        <v>0</v>
      </c>
      <c r="AA51" s="143">
        <f>SUMIFS('апрель 2026'!$G$2:$G$2719,'апрель 2026'!$D$2:$D$2719,$B51,'апрель 2026'!$J$2:$J$2719,AA$1)</f>
        <v>0</v>
      </c>
      <c r="AB51" s="143">
        <f>SUMIFS('апрель 2026'!$G$2:$G$2719,'апрель 2026'!$D$2:$D$2719,$B51,'апрель 2026'!$J$2:$J$2719,AB$1)</f>
        <v>0</v>
      </c>
      <c r="AC51" s="143">
        <f>SUMIFS('апрель 2026'!$G$2:$G$2719,'апрель 2026'!$D$2:$D$2719,$B51,'апрель 2026'!$J$2:$J$2719,AC$1)</f>
        <v>0</v>
      </c>
      <c r="AD51" s="143">
        <f>SUMIFS('апрель 2026'!$G$2:$G$2719,'апрель 2026'!$D$2:$D$2719,$B51,'апрель 2026'!$J$2:$J$2719,AD$1)</f>
        <v>0</v>
      </c>
      <c r="AE51" s="143">
        <f>SUMIFS('апрель 2026'!$G$2:$G$2719,'апрель 2026'!$D$2:$D$2719,$B51,'апрель 2026'!$J$2:$J$2719,AE$1)</f>
        <v>0</v>
      </c>
      <c r="AF51" s="143">
        <f>SUMIFS('апрель 2026'!$G$2:$G$2719,'апрель 2026'!$D$2:$D$2719,$B51,'апрель 2026'!$J$2:$J$2719,AF$1)</f>
        <v>0</v>
      </c>
      <c r="AG51" s="143">
        <f>SUMIFS('апрель 2026'!$G$2:$G$2719,'апрель 2026'!$D$2:$D$2719,$B51,'апрель 2026'!$J$2:$J$2719,AG$1)</f>
        <v>0</v>
      </c>
      <c r="AH51" s="143">
        <f>SUMIFS('апрель 2026'!$G$2:$G$2719,'апрель 2026'!$D$2:$D$2719,$B51,'апрель 2026'!$J$2:$J$2719,AH$1)</f>
        <v>0</v>
      </c>
      <c r="AI51" s="20">
        <f t="shared" si="1"/>
        <v>0</v>
      </c>
    </row>
    <row r="52" spans="2:35" ht="15" customHeight="1" x14ac:dyDescent="0.25">
      <c r="B52" s="126" t="s">
        <v>369</v>
      </c>
      <c r="C52" s="123">
        <v>22.7</v>
      </c>
      <c r="D52" s="143">
        <f>SUMIFS('апрель 2026'!$G$2:$G$2719,'апрель 2026'!$D$2:$D$2719,$B52,'апрель 2026'!$J$2:$J$2719,D$1)</f>
        <v>0</v>
      </c>
      <c r="E52" s="143">
        <f>SUMIFS('апрель 2026'!$G$2:$G$2719,'апрель 2026'!$D$2:$D$2719,$B52,'апрель 2026'!$J$2:$J$2719,E$1)</f>
        <v>0</v>
      </c>
      <c r="F52" s="143">
        <f>SUMIFS('апрель 2026'!$G$2:$G$2719,'апрель 2026'!$D$2:$D$2719,$B52,'апрель 2026'!$J$2:$J$2719,F$1)</f>
        <v>0</v>
      </c>
      <c r="G52" s="143">
        <f>SUMIFS('апрель 2026'!$G$2:$G$2719,'апрель 2026'!$D$2:$D$2719,$B52,'апрель 2026'!$J$2:$J$2719,G$1)</f>
        <v>0</v>
      </c>
      <c r="H52" s="143">
        <f>SUMIFS('апрель 2026'!$G$2:$G$2719,'апрель 2026'!$D$2:$D$2719,$B52,'апрель 2026'!$J$2:$J$2719,H$1)</f>
        <v>0</v>
      </c>
      <c r="I52" s="143">
        <f>SUMIFS('апрель 2026'!$G$2:$G$2719,'апрель 2026'!$D$2:$D$2719,$B52,'апрель 2026'!$J$2:$J$2719,I$1)</f>
        <v>0</v>
      </c>
      <c r="J52" s="143">
        <f>SUMIFS('апрель 2026'!$G$2:$G$2719,'апрель 2026'!$D$2:$D$2719,$B52,'апрель 2026'!$J$2:$J$2719,J$1)</f>
        <v>0</v>
      </c>
      <c r="K52" s="143">
        <f>SUMIFS('апрель 2026'!$G$2:$G$2719,'апрель 2026'!$D$2:$D$2719,$B52,'апрель 2026'!$J$2:$J$2719,K$1)</f>
        <v>0</v>
      </c>
      <c r="L52" s="143">
        <f>SUMIFS('апрель 2026'!$G$2:$G$2719,'апрель 2026'!$D$2:$D$2719,$B52,'апрель 2026'!$J$2:$J$2719,L$1)</f>
        <v>0</v>
      </c>
      <c r="M52" s="143">
        <f>SUMIFS('апрель 2026'!$G$2:$G$2719,'апрель 2026'!$D$2:$D$2719,$B52,'апрель 2026'!$J$2:$J$2719,M$1)</f>
        <v>0</v>
      </c>
      <c r="N52" s="143">
        <f>SUMIFS('апрель 2026'!$G$2:$G$2719,'апрель 2026'!$D$2:$D$2719,$B52,'апрель 2026'!$J$2:$J$2719,N$1)</f>
        <v>0</v>
      </c>
      <c r="O52" s="143">
        <f>SUMIFS('апрель 2026'!$G$2:$G$2719,'апрель 2026'!$D$2:$D$2719,$B52,'апрель 2026'!$J$2:$J$2719,O$1)</f>
        <v>0</v>
      </c>
      <c r="P52" s="143">
        <f>SUMIFS('апрель 2026'!$G$2:$G$2719,'апрель 2026'!$D$2:$D$2719,$B52,'апрель 2026'!$J$2:$J$2719,P$1)</f>
        <v>0</v>
      </c>
      <c r="Q52" s="143">
        <f>SUMIFS('апрель 2026'!$G$2:$G$2719,'апрель 2026'!$D$2:$D$2719,$B52,'апрель 2026'!$J$2:$J$2719,Q$1)</f>
        <v>0</v>
      </c>
      <c r="R52" s="143">
        <f>SUMIFS('апрель 2026'!$G$2:$G$2719,'апрель 2026'!$D$2:$D$2719,$B52,'апрель 2026'!$J$2:$J$2719,R$1)</f>
        <v>0</v>
      </c>
      <c r="S52" s="143">
        <f>SUMIFS('апрель 2026'!$G$2:$G$2719,'апрель 2026'!$D$2:$D$2719,$B52,'апрель 2026'!$J$2:$J$2719,S$1)</f>
        <v>0</v>
      </c>
      <c r="T52" s="143">
        <f>SUMIFS('апрель 2026'!$G$2:$G$2719,'апрель 2026'!$D$2:$D$2719,$B52,'апрель 2026'!$J$2:$J$2719,T$1)</f>
        <v>0</v>
      </c>
      <c r="U52" s="143">
        <f>SUMIFS('апрель 2026'!$G$2:$G$2719,'апрель 2026'!$D$2:$D$2719,$B52,'апрель 2026'!$J$2:$J$2719,U$1)</f>
        <v>0</v>
      </c>
      <c r="V52" s="143">
        <f>SUMIFS('апрель 2026'!$G$2:$G$2719,'апрель 2026'!$D$2:$D$2719,$B52,'апрель 2026'!$J$2:$J$2719,V$1)</f>
        <v>0</v>
      </c>
      <c r="W52" s="143">
        <f>SUMIFS('апрель 2026'!$G$2:$G$2719,'апрель 2026'!$D$2:$D$2719,$B52,'апрель 2026'!$J$2:$J$2719,W$1)</f>
        <v>0</v>
      </c>
      <c r="X52" s="143">
        <f>SUMIFS('апрель 2026'!$G$2:$G$2719,'апрель 2026'!$D$2:$D$2719,$B52,'апрель 2026'!$J$2:$J$2719,X$1)</f>
        <v>0</v>
      </c>
      <c r="Y52" s="143">
        <f>SUMIFS('апрель 2026'!$G$2:$G$2719,'апрель 2026'!$D$2:$D$2719,$B52,'апрель 2026'!$J$2:$J$2719,Y$1)</f>
        <v>0</v>
      </c>
      <c r="Z52" s="143">
        <f>SUMIFS('апрель 2026'!$G$2:$G$2719,'апрель 2026'!$D$2:$D$2719,$B52,'апрель 2026'!$J$2:$J$2719,Z$1)</f>
        <v>0</v>
      </c>
      <c r="AA52" s="143">
        <f>SUMIFS('апрель 2026'!$G$2:$G$2719,'апрель 2026'!$D$2:$D$2719,$B52,'апрель 2026'!$J$2:$J$2719,AA$1)</f>
        <v>0</v>
      </c>
      <c r="AB52" s="143">
        <f>SUMIFS('апрель 2026'!$G$2:$G$2719,'апрель 2026'!$D$2:$D$2719,$B52,'апрель 2026'!$J$2:$J$2719,AB$1)</f>
        <v>0</v>
      </c>
      <c r="AC52" s="143">
        <f>SUMIFS('апрель 2026'!$G$2:$G$2719,'апрель 2026'!$D$2:$D$2719,$B52,'апрель 2026'!$J$2:$J$2719,AC$1)</f>
        <v>0</v>
      </c>
      <c r="AD52" s="143">
        <f>SUMIFS('апрель 2026'!$G$2:$G$2719,'апрель 2026'!$D$2:$D$2719,$B52,'апрель 2026'!$J$2:$J$2719,AD$1)</f>
        <v>0</v>
      </c>
      <c r="AE52" s="143">
        <f>SUMIFS('апрель 2026'!$G$2:$G$2719,'апрель 2026'!$D$2:$D$2719,$B52,'апрель 2026'!$J$2:$J$2719,AE$1)</f>
        <v>0</v>
      </c>
      <c r="AF52" s="143">
        <f>SUMIFS('апрель 2026'!$G$2:$G$2719,'апрель 2026'!$D$2:$D$2719,$B52,'апрель 2026'!$J$2:$J$2719,AF$1)</f>
        <v>0</v>
      </c>
      <c r="AG52" s="143">
        <f>SUMIFS('апрель 2026'!$G$2:$G$2719,'апрель 2026'!$D$2:$D$2719,$B52,'апрель 2026'!$J$2:$J$2719,AG$1)</f>
        <v>0</v>
      </c>
      <c r="AH52" s="143">
        <f>SUMIFS('апрель 2026'!$G$2:$G$2719,'апрель 2026'!$D$2:$D$2719,$B52,'апрель 2026'!$J$2:$J$2719,AH$1)</f>
        <v>0</v>
      </c>
      <c r="AI52" s="20">
        <f t="shared" si="1"/>
        <v>0</v>
      </c>
    </row>
    <row r="53" spans="2:35" ht="15" customHeight="1" x14ac:dyDescent="0.25">
      <c r="B53" s="122" t="s">
        <v>234</v>
      </c>
      <c r="C53" s="125">
        <v>20</v>
      </c>
      <c r="D53" s="143">
        <f>SUMIFS('апрель 2026'!$G$2:$G$2719,'апрель 2026'!$D$2:$D$2719,$B53,'апрель 2026'!$J$2:$J$2719,D$1)</f>
        <v>0</v>
      </c>
      <c r="E53" s="143">
        <f>SUMIFS('апрель 2026'!$G$2:$G$2719,'апрель 2026'!$D$2:$D$2719,$B53,'апрель 2026'!$J$2:$J$2719,E$1)</f>
        <v>0</v>
      </c>
      <c r="F53" s="143">
        <f>SUMIFS('апрель 2026'!$G$2:$G$2719,'апрель 2026'!$D$2:$D$2719,$B53,'апрель 2026'!$J$2:$J$2719,F$1)</f>
        <v>0</v>
      </c>
      <c r="G53" s="143">
        <f>SUMIFS('апрель 2026'!$G$2:$G$2719,'апрель 2026'!$D$2:$D$2719,$B53,'апрель 2026'!$J$2:$J$2719,G$1)</f>
        <v>0</v>
      </c>
      <c r="H53" s="143">
        <f>SUMIFS('апрель 2026'!$G$2:$G$2719,'апрель 2026'!$D$2:$D$2719,$B53,'апрель 2026'!$J$2:$J$2719,H$1)</f>
        <v>0</v>
      </c>
      <c r="I53" s="143">
        <f>SUMIFS('апрель 2026'!$G$2:$G$2719,'апрель 2026'!$D$2:$D$2719,$B53,'апрель 2026'!$J$2:$J$2719,I$1)</f>
        <v>0</v>
      </c>
      <c r="J53" s="143">
        <f>SUMIFS('апрель 2026'!$G$2:$G$2719,'апрель 2026'!$D$2:$D$2719,$B53,'апрель 2026'!$J$2:$J$2719,J$1)</f>
        <v>0</v>
      </c>
      <c r="K53" s="143">
        <f>SUMIFS('апрель 2026'!$G$2:$G$2719,'апрель 2026'!$D$2:$D$2719,$B53,'апрель 2026'!$J$2:$J$2719,K$1)</f>
        <v>0</v>
      </c>
      <c r="L53" s="143">
        <f>SUMIFS('апрель 2026'!$G$2:$G$2719,'апрель 2026'!$D$2:$D$2719,$B53,'апрель 2026'!$J$2:$J$2719,L$1)</f>
        <v>0</v>
      </c>
      <c r="M53" s="143">
        <f>SUMIFS('апрель 2026'!$G$2:$G$2719,'апрель 2026'!$D$2:$D$2719,$B53,'апрель 2026'!$J$2:$J$2719,M$1)</f>
        <v>0</v>
      </c>
      <c r="N53" s="143">
        <f>SUMIFS('апрель 2026'!$G$2:$G$2719,'апрель 2026'!$D$2:$D$2719,$B53,'апрель 2026'!$J$2:$J$2719,N$1)</f>
        <v>0</v>
      </c>
      <c r="O53" s="143">
        <f>SUMIFS('апрель 2026'!$G$2:$G$2719,'апрель 2026'!$D$2:$D$2719,$B53,'апрель 2026'!$J$2:$J$2719,O$1)</f>
        <v>0</v>
      </c>
      <c r="P53" s="143">
        <f>SUMIFS('апрель 2026'!$G$2:$G$2719,'апрель 2026'!$D$2:$D$2719,$B53,'апрель 2026'!$J$2:$J$2719,P$1)</f>
        <v>0</v>
      </c>
      <c r="Q53" s="143">
        <f>SUMIFS('апрель 2026'!$G$2:$G$2719,'апрель 2026'!$D$2:$D$2719,$B53,'апрель 2026'!$J$2:$J$2719,Q$1)</f>
        <v>0</v>
      </c>
      <c r="R53" s="143">
        <f>SUMIFS('апрель 2026'!$G$2:$G$2719,'апрель 2026'!$D$2:$D$2719,$B53,'апрель 2026'!$J$2:$J$2719,R$1)</f>
        <v>0</v>
      </c>
      <c r="S53" s="143">
        <f>SUMIFS('апрель 2026'!$G$2:$G$2719,'апрель 2026'!$D$2:$D$2719,$B53,'апрель 2026'!$J$2:$J$2719,S$1)</f>
        <v>0</v>
      </c>
      <c r="T53" s="143">
        <f>SUMIFS('апрель 2026'!$G$2:$G$2719,'апрель 2026'!$D$2:$D$2719,$B53,'апрель 2026'!$J$2:$J$2719,T$1)</f>
        <v>0</v>
      </c>
      <c r="U53" s="143">
        <f>SUMIFS('апрель 2026'!$G$2:$G$2719,'апрель 2026'!$D$2:$D$2719,$B53,'апрель 2026'!$J$2:$J$2719,U$1)</f>
        <v>0</v>
      </c>
      <c r="V53" s="143">
        <f>SUMIFS('апрель 2026'!$G$2:$G$2719,'апрель 2026'!$D$2:$D$2719,$B53,'апрель 2026'!$J$2:$J$2719,V$1)</f>
        <v>0</v>
      </c>
      <c r="W53" s="143">
        <f>SUMIFS('апрель 2026'!$G$2:$G$2719,'апрель 2026'!$D$2:$D$2719,$B53,'апрель 2026'!$J$2:$J$2719,W$1)</f>
        <v>0</v>
      </c>
      <c r="X53" s="143">
        <f>SUMIFS('апрель 2026'!$G$2:$G$2719,'апрель 2026'!$D$2:$D$2719,$B53,'апрель 2026'!$J$2:$J$2719,X$1)</f>
        <v>0</v>
      </c>
      <c r="Y53" s="143">
        <f>SUMIFS('апрель 2026'!$G$2:$G$2719,'апрель 2026'!$D$2:$D$2719,$B53,'апрель 2026'!$J$2:$J$2719,Y$1)</f>
        <v>0</v>
      </c>
      <c r="Z53" s="143">
        <f>SUMIFS('апрель 2026'!$G$2:$G$2719,'апрель 2026'!$D$2:$D$2719,$B53,'апрель 2026'!$J$2:$J$2719,Z$1)</f>
        <v>0</v>
      </c>
      <c r="AA53" s="143">
        <f>SUMIFS('апрель 2026'!$G$2:$G$2719,'апрель 2026'!$D$2:$D$2719,$B53,'апрель 2026'!$J$2:$J$2719,AA$1)</f>
        <v>0</v>
      </c>
      <c r="AB53" s="143">
        <f>SUMIFS('апрель 2026'!$G$2:$G$2719,'апрель 2026'!$D$2:$D$2719,$B53,'апрель 2026'!$J$2:$J$2719,AB$1)</f>
        <v>0</v>
      </c>
      <c r="AC53" s="143">
        <f>SUMIFS('апрель 2026'!$G$2:$G$2719,'апрель 2026'!$D$2:$D$2719,$B53,'апрель 2026'!$J$2:$J$2719,AC$1)</f>
        <v>0</v>
      </c>
      <c r="AD53" s="143">
        <f>SUMIFS('апрель 2026'!$G$2:$G$2719,'апрель 2026'!$D$2:$D$2719,$B53,'апрель 2026'!$J$2:$J$2719,AD$1)</f>
        <v>0</v>
      </c>
      <c r="AE53" s="143">
        <f>SUMIFS('апрель 2026'!$G$2:$G$2719,'апрель 2026'!$D$2:$D$2719,$B53,'апрель 2026'!$J$2:$J$2719,AE$1)</f>
        <v>0</v>
      </c>
      <c r="AF53" s="143">
        <f>SUMIFS('апрель 2026'!$G$2:$G$2719,'апрель 2026'!$D$2:$D$2719,$B53,'апрель 2026'!$J$2:$J$2719,AF$1)</f>
        <v>0</v>
      </c>
      <c r="AG53" s="143">
        <f>SUMIFS('апрель 2026'!$G$2:$G$2719,'апрель 2026'!$D$2:$D$2719,$B53,'апрель 2026'!$J$2:$J$2719,AG$1)</f>
        <v>0</v>
      </c>
      <c r="AH53" s="143">
        <f>SUMIFS('апрель 2026'!$G$2:$G$2719,'апрель 2026'!$D$2:$D$2719,$B53,'апрель 2026'!$J$2:$J$2719,AH$1)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SUMIFS('апрель 2026'!$G$2:$G$2719,'апрель 2026'!$D$2:$D$2719,$B54,'апрель 2026'!$J$2:$J$2719,D$1)</f>
        <v>0</v>
      </c>
      <c r="E54" s="143">
        <f>SUMIFS('апрель 2026'!$G$2:$G$2719,'апрель 2026'!$D$2:$D$2719,$B54,'апрель 2026'!$J$2:$J$2719,E$1)</f>
        <v>0</v>
      </c>
      <c r="F54" s="143">
        <f>SUMIFS('апрель 2026'!$G$2:$G$2719,'апрель 2026'!$D$2:$D$2719,$B54,'апрель 2026'!$J$2:$J$2719,F$1)</f>
        <v>0</v>
      </c>
      <c r="G54" s="143">
        <f>SUMIFS('апрель 2026'!$G$2:$G$2719,'апрель 2026'!$D$2:$D$2719,$B54,'апрель 2026'!$J$2:$J$2719,G$1)</f>
        <v>0</v>
      </c>
      <c r="H54" s="143">
        <f>SUMIFS('апрель 2026'!$G$2:$G$2719,'апрель 2026'!$D$2:$D$2719,$B54,'апрель 2026'!$J$2:$J$2719,H$1)</f>
        <v>0</v>
      </c>
      <c r="I54" s="143">
        <f>SUMIFS('апрель 2026'!$G$2:$G$2719,'апрель 2026'!$D$2:$D$2719,$B54,'апрель 2026'!$J$2:$J$2719,I$1)</f>
        <v>0</v>
      </c>
      <c r="J54" s="143">
        <f>SUMIFS('апрель 2026'!$G$2:$G$2719,'апрель 2026'!$D$2:$D$2719,$B54,'апрель 2026'!$J$2:$J$2719,J$1)</f>
        <v>0</v>
      </c>
      <c r="K54" s="143">
        <f>SUMIFS('апрель 2026'!$G$2:$G$2719,'апрель 2026'!$D$2:$D$2719,$B54,'апрель 2026'!$J$2:$J$2719,K$1)</f>
        <v>0</v>
      </c>
      <c r="L54" s="143">
        <f>SUMIFS('апрель 2026'!$G$2:$G$2719,'апрель 2026'!$D$2:$D$2719,$B54,'апрель 2026'!$J$2:$J$2719,L$1)</f>
        <v>0</v>
      </c>
      <c r="M54" s="143">
        <f>SUMIFS('апрель 2026'!$G$2:$G$2719,'апрель 2026'!$D$2:$D$2719,$B54,'апрель 2026'!$J$2:$J$2719,M$1)</f>
        <v>0</v>
      </c>
      <c r="N54" s="143">
        <f>SUMIFS('апрель 2026'!$G$2:$G$2719,'апрель 2026'!$D$2:$D$2719,$B54,'апрель 2026'!$J$2:$J$2719,N$1)</f>
        <v>0</v>
      </c>
      <c r="O54" s="143">
        <f>SUMIFS('апрель 2026'!$G$2:$G$2719,'апрель 2026'!$D$2:$D$2719,$B54,'апрель 2026'!$J$2:$J$2719,O$1)</f>
        <v>0</v>
      </c>
      <c r="P54" s="143">
        <f>SUMIFS('апрель 2026'!$G$2:$G$2719,'апрель 2026'!$D$2:$D$2719,$B54,'апрель 2026'!$J$2:$J$2719,P$1)</f>
        <v>0</v>
      </c>
      <c r="Q54" s="143">
        <f>SUMIFS('апрель 2026'!$G$2:$G$2719,'апрель 2026'!$D$2:$D$2719,$B54,'апрель 2026'!$J$2:$J$2719,Q$1)</f>
        <v>0</v>
      </c>
      <c r="R54" s="143">
        <f>SUMIFS('апрель 2026'!$G$2:$G$2719,'апрель 2026'!$D$2:$D$2719,$B54,'апрель 2026'!$J$2:$J$2719,R$1)</f>
        <v>0</v>
      </c>
      <c r="S54" s="143">
        <f>SUMIFS('апрель 2026'!$G$2:$G$2719,'апрель 2026'!$D$2:$D$2719,$B54,'апрель 2026'!$J$2:$J$2719,S$1)</f>
        <v>0</v>
      </c>
      <c r="T54" s="143">
        <f>SUMIFS('апрель 2026'!$G$2:$G$2719,'апрель 2026'!$D$2:$D$2719,$B54,'апрель 2026'!$J$2:$J$2719,T$1)</f>
        <v>0</v>
      </c>
      <c r="U54" s="143">
        <f>SUMIFS('апрель 2026'!$G$2:$G$2719,'апрель 2026'!$D$2:$D$2719,$B54,'апрель 2026'!$J$2:$J$2719,U$1)</f>
        <v>0</v>
      </c>
      <c r="V54" s="143">
        <f>SUMIFS('апрель 2026'!$G$2:$G$2719,'апрель 2026'!$D$2:$D$2719,$B54,'апрель 2026'!$J$2:$J$2719,V$1)</f>
        <v>0</v>
      </c>
      <c r="W54" s="143">
        <f>SUMIFS('апрель 2026'!$G$2:$G$2719,'апрель 2026'!$D$2:$D$2719,$B54,'апрель 2026'!$J$2:$J$2719,W$1)</f>
        <v>0</v>
      </c>
      <c r="X54" s="143">
        <f>SUMIFS('апрель 2026'!$G$2:$G$2719,'апрель 2026'!$D$2:$D$2719,$B54,'апрель 2026'!$J$2:$J$2719,X$1)</f>
        <v>0</v>
      </c>
      <c r="Y54" s="143">
        <f>SUMIFS('апрель 2026'!$G$2:$G$2719,'апрель 2026'!$D$2:$D$2719,$B54,'апрель 2026'!$J$2:$J$2719,Y$1)</f>
        <v>0</v>
      </c>
      <c r="Z54" s="143">
        <f>SUMIFS('апрель 2026'!$G$2:$G$2719,'апрель 2026'!$D$2:$D$2719,$B54,'апрель 2026'!$J$2:$J$2719,Z$1)</f>
        <v>0</v>
      </c>
      <c r="AA54" s="143">
        <f>SUMIFS('апрель 2026'!$G$2:$G$2719,'апрель 2026'!$D$2:$D$2719,$B54,'апрель 2026'!$J$2:$J$2719,AA$1)</f>
        <v>0</v>
      </c>
      <c r="AB54" s="143">
        <f>SUMIFS('апрель 2026'!$G$2:$G$2719,'апрель 2026'!$D$2:$D$2719,$B54,'апрель 2026'!$J$2:$J$2719,AB$1)</f>
        <v>0</v>
      </c>
      <c r="AC54" s="143">
        <f>SUMIFS('апрель 2026'!$G$2:$G$2719,'апрель 2026'!$D$2:$D$2719,$B54,'апрель 2026'!$J$2:$J$2719,AC$1)</f>
        <v>0</v>
      </c>
      <c r="AD54" s="143">
        <f>SUMIFS('апрель 2026'!$G$2:$G$2719,'апрель 2026'!$D$2:$D$2719,$B54,'апрель 2026'!$J$2:$J$2719,AD$1)</f>
        <v>0</v>
      </c>
      <c r="AE54" s="143">
        <f>SUMIFS('апрель 2026'!$G$2:$G$2719,'апрель 2026'!$D$2:$D$2719,$B54,'апрель 2026'!$J$2:$J$2719,AE$1)</f>
        <v>0</v>
      </c>
      <c r="AF54" s="143">
        <f>SUMIFS('апрель 2026'!$G$2:$G$2719,'апрель 2026'!$D$2:$D$2719,$B54,'апрель 2026'!$J$2:$J$2719,AF$1)</f>
        <v>0</v>
      </c>
      <c r="AG54" s="143">
        <f>SUMIFS('апрель 2026'!$G$2:$G$2719,'апрель 2026'!$D$2:$D$2719,$B54,'апрель 2026'!$J$2:$J$2719,AG$1)</f>
        <v>0</v>
      </c>
      <c r="AH54" s="143">
        <f>SUMIFS('апрель 2026'!$G$2:$G$2719,'апрель 2026'!$D$2:$D$2719,$B54,'апрель 2026'!$J$2:$J$2719,AH$1)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SUMIFS('апрель 2026'!$G$2:$G$2719,'апрель 2026'!$D$2:$D$2719,$B55,'апрель 2026'!$J$2:$J$2719,D$1)</f>
        <v>0</v>
      </c>
      <c r="E55" s="143">
        <f>SUMIFS('апрель 2026'!$G$2:$G$2719,'апрель 2026'!$D$2:$D$2719,$B55,'апрель 2026'!$J$2:$J$2719,E$1)</f>
        <v>0</v>
      </c>
      <c r="F55" s="143">
        <f>SUMIFS('апрель 2026'!$G$2:$G$2719,'апрель 2026'!$D$2:$D$2719,$B55,'апрель 2026'!$J$2:$J$2719,F$1)</f>
        <v>0</v>
      </c>
      <c r="G55" s="143">
        <f>SUMIFS('апрель 2026'!$G$2:$G$2719,'апрель 2026'!$D$2:$D$2719,$B55,'апрель 2026'!$J$2:$J$2719,G$1)</f>
        <v>0</v>
      </c>
      <c r="H55" s="143">
        <f>SUMIFS('апрель 2026'!$G$2:$G$2719,'апрель 2026'!$D$2:$D$2719,$B55,'апрель 2026'!$J$2:$J$2719,H$1)</f>
        <v>0</v>
      </c>
      <c r="I55" s="143">
        <f>SUMIFS('апрель 2026'!$G$2:$G$2719,'апрель 2026'!$D$2:$D$2719,$B55,'апрель 2026'!$J$2:$J$2719,I$1)</f>
        <v>0</v>
      </c>
      <c r="J55" s="143">
        <f>SUMIFS('апрель 2026'!$G$2:$G$2719,'апрель 2026'!$D$2:$D$2719,$B55,'апрель 2026'!$J$2:$J$2719,J$1)</f>
        <v>0</v>
      </c>
      <c r="K55" s="143">
        <f>SUMIFS('апрель 2026'!$G$2:$G$2719,'апрель 2026'!$D$2:$D$2719,$B55,'апрель 2026'!$J$2:$J$2719,K$1)</f>
        <v>0</v>
      </c>
      <c r="L55" s="143">
        <f>SUMIFS('апрель 2026'!$G$2:$G$2719,'апрель 2026'!$D$2:$D$2719,$B55,'апрель 2026'!$J$2:$J$2719,L$1)</f>
        <v>0</v>
      </c>
      <c r="M55" s="143">
        <f>SUMIFS('апрель 2026'!$G$2:$G$2719,'апрель 2026'!$D$2:$D$2719,$B55,'апрель 2026'!$J$2:$J$2719,M$1)</f>
        <v>0</v>
      </c>
      <c r="N55" s="143">
        <f>SUMIFS('апрель 2026'!$G$2:$G$2719,'апрель 2026'!$D$2:$D$2719,$B55,'апрель 2026'!$J$2:$J$2719,N$1)</f>
        <v>0</v>
      </c>
      <c r="O55" s="143">
        <f>SUMIFS('апрель 2026'!$G$2:$G$2719,'апрель 2026'!$D$2:$D$2719,$B55,'апрель 2026'!$J$2:$J$2719,O$1)</f>
        <v>0</v>
      </c>
      <c r="P55" s="143">
        <f>SUMIFS('апрель 2026'!$G$2:$G$2719,'апрель 2026'!$D$2:$D$2719,$B55,'апрель 2026'!$J$2:$J$2719,P$1)</f>
        <v>0</v>
      </c>
      <c r="Q55" s="143">
        <f>SUMIFS('апрель 2026'!$G$2:$G$2719,'апрель 2026'!$D$2:$D$2719,$B55,'апрель 2026'!$J$2:$J$2719,Q$1)</f>
        <v>0</v>
      </c>
      <c r="R55" s="143">
        <f>SUMIFS('апрель 2026'!$G$2:$G$2719,'апрель 2026'!$D$2:$D$2719,$B55,'апрель 2026'!$J$2:$J$2719,R$1)</f>
        <v>0</v>
      </c>
      <c r="S55" s="143">
        <f>SUMIFS('апрель 2026'!$G$2:$G$2719,'апрель 2026'!$D$2:$D$2719,$B55,'апрель 2026'!$J$2:$J$2719,S$1)</f>
        <v>0</v>
      </c>
      <c r="T55" s="143">
        <f>SUMIFS('апрель 2026'!$G$2:$G$2719,'апрель 2026'!$D$2:$D$2719,$B55,'апрель 2026'!$J$2:$J$2719,T$1)</f>
        <v>0</v>
      </c>
      <c r="U55" s="143">
        <f>SUMIFS('апрель 2026'!$G$2:$G$2719,'апрель 2026'!$D$2:$D$2719,$B55,'апрель 2026'!$J$2:$J$2719,U$1)</f>
        <v>0</v>
      </c>
      <c r="V55" s="143">
        <f>SUMIFS('апрель 2026'!$G$2:$G$2719,'апрель 2026'!$D$2:$D$2719,$B55,'апрель 2026'!$J$2:$J$2719,V$1)</f>
        <v>0</v>
      </c>
      <c r="W55" s="143">
        <f>SUMIFS('апрель 2026'!$G$2:$G$2719,'апрель 2026'!$D$2:$D$2719,$B55,'апрель 2026'!$J$2:$J$2719,W$1)</f>
        <v>0</v>
      </c>
      <c r="X55" s="143">
        <f>SUMIFS('апрель 2026'!$G$2:$G$2719,'апрель 2026'!$D$2:$D$2719,$B55,'апрель 2026'!$J$2:$J$2719,X$1)</f>
        <v>0</v>
      </c>
      <c r="Y55" s="143">
        <f>SUMIFS('апрель 2026'!$G$2:$G$2719,'апрель 2026'!$D$2:$D$2719,$B55,'апрель 2026'!$J$2:$J$2719,Y$1)</f>
        <v>0</v>
      </c>
      <c r="Z55" s="143">
        <f>SUMIFS('апрель 2026'!$G$2:$G$2719,'апрель 2026'!$D$2:$D$2719,$B55,'апрель 2026'!$J$2:$J$2719,Z$1)</f>
        <v>0</v>
      </c>
      <c r="AA55" s="143">
        <f>SUMIFS('апрель 2026'!$G$2:$G$2719,'апрель 2026'!$D$2:$D$2719,$B55,'апрель 2026'!$J$2:$J$2719,AA$1)</f>
        <v>0</v>
      </c>
      <c r="AB55" s="143">
        <f>SUMIFS('апрель 2026'!$G$2:$G$2719,'апрель 2026'!$D$2:$D$2719,$B55,'апрель 2026'!$J$2:$J$2719,AB$1)</f>
        <v>0</v>
      </c>
      <c r="AC55" s="143">
        <f>SUMIFS('апрель 2026'!$G$2:$G$2719,'апрель 2026'!$D$2:$D$2719,$B55,'апрель 2026'!$J$2:$J$2719,AC$1)</f>
        <v>0</v>
      </c>
      <c r="AD55" s="143">
        <f>SUMIFS('апрель 2026'!$G$2:$G$2719,'апрель 2026'!$D$2:$D$2719,$B55,'апрель 2026'!$J$2:$J$2719,AD$1)</f>
        <v>0</v>
      </c>
      <c r="AE55" s="143">
        <f>SUMIFS('апрель 2026'!$G$2:$G$2719,'апрель 2026'!$D$2:$D$2719,$B55,'апрель 2026'!$J$2:$J$2719,AE$1)</f>
        <v>0</v>
      </c>
      <c r="AF55" s="143">
        <f>SUMIFS('апрель 2026'!$G$2:$G$2719,'апрель 2026'!$D$2:$D$2719,$B55,'апрель 2026'!$J$2:$J$2719,AF$1)</f>
        <v>0</v>
      </c>
      <c r="AG55" s="143">
        <f>SUMIFS('апрель 2026'!$G$2:$G$2719,'апрель 2026'!$D$2:$D$2719,$B55,'апрель 2026'!$J$2:$J$2719,AG$1)</f>
        <v>0</v>
      </c>
      <c r="AH55" s="143">
        <f>SUMIFS('апрель 2026'!$G$2:$G$2719,'апрель 2026'!$D$2:$D$2719,$B55,'апрель 2026'!$J$2:$J$2719,AH$1)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SUMIFS('апрель 2026'!$G$2:$G$2719,'апрель 2026'!$D$2:$D$2719,$B56,'апрель 2026'!$J$2:$J$2719,D$1)</f>
        <v>0</v>
      </c>
      <c r="E56" s="143">
        <f>SUMIFS('апрель 2026'!$G$2:$G$2719,'апрель 2026'!$D$2:$D$2719,$B56,'апрель 2026'!$J$2:$J$2719,E$1)</f>
        <v>0</v>
      </c>
      <c r="F56" s="143">
        <f>SUMIFS('апрель 2026'!$G$2:$G$2719,'апрель 2026'!$D$2:$D$2719,$B56,'апрель 2026'!$J$2:$J$2719,F$1)</f>
        <v>0</v>
      </c>
      <c r="G56" s="143">
        <f>SUMIFS('апрель 2026'!$G$2:$G$2719,'апрель 2026'!$D$2:$D$2719,$B56,'апрель 2026'!$J$2:$J$2719,G$1)</f>
        <v>0</v>
      </c>
      <c r="H56" s="143">
        <f>SUMIFS('апрель 2026'!$G$2:$G$2719,'апрель 2026'!$D$2:$D$2719,$B56,'апрель 2026'!$J$2:$J$2719,H$1)</f>
        <v>0</v>
      </c>
      <c r="I56" s="143">
        <f>SUMIFS('апрель 2026'!$G$2:$G$2719,'апрель 2026'!$D$2:$D$2719,$B56,'апрель 2026'!$J$2:$J$2719,I$1)</f>
        <v>0</v>
      </c>
      <c r="J56" s="143">
        <f>SUMIFS('апрель 2026'!$G$2:$G$2719,'апрель 2026'!$D$2:$D$2719,$B56,'апрель 2026'!$J$2:$J$2719,J$1)</f>
        <v>0</v>
      </c>
      <c r="K56" s="143">
        <f>SUMIFS('апрель 2026'!$G$2:$G$2719,'апрель 2026'!$D$2:$D$2719,$B56,'апрель 2026'!$J$2:$J$2719,K$1)</f>
        <v>0</v>
      </c>
      <c r="L56" s="143">
        <f>SUMIFS('апрель 2026'!$G$2:$G$2719,'апрель 2026'!$D$2:$D$2719,$B56,'апрель 2026'!$J$2:$J$2719,L$1)</f>
        <v>0</v>
      </c>
      <c r="M56" s="143">
        <f>SUMIFS('апрель 2026'!$G$2:$G$2719,'апрель 2026'!$D$2:$D$2719,$B56,'апрель 2026'!$J$2:$J$2719,M$1)</f>
        <v>0</v>
      </c>
      <c r="N56" s="143">
        <f>SUMIFS('апрель 2026'!$G$2:$G$2719,'апрель 2026'!$D$2:$D$2719,$B56,'апрель 2026'!$J$2:$J$2719,N$1)</f>
        <v>0</v>
      </c>
      <c r="O56" s="143">
        <f>SUMIFS('апрель 2026'!$G$2:$G$2719,'апрель 2026'!$D$2:$D$2719,$B56,'апрель 2026'!$J$2:$J$2719,O$1)</f>
        <v>0</v>
      </c>
      <c r="P56" s="143">
        <f>SUMIFS('апрель 2026'!$G$2:$G$2719,'апрель 2026'!$D$2:$D$2719,$B56,'апрель 2026'!$J$2:$J$2719,P$1)</f>
        <v>0</v>
      </c>
      <c r="Q56" s="143">
        <f>SUMIFS('апрель 2026'!$G$2:$G$2719,'апрель 2026'!$D$2:$D$2719,$B56,'апрель 2026'!$J$2:$J$2719,Q$1)</f>
        <v>0</v>
      </c>
      <c r="R56" s="143">
        <f>SUMIFS('апрель 2026'!$G$2:$G$2719,'апрель 2026'!$D$2:$D$2719,$B56,'апрель 2026'!$J$2:$J$2719,R$1)</f>
        <v>0</v>
      </c>
      <c r="S56" s="143">
        <f>SUMIFS('апрель 2026'!$G$2:$G$2719,'апрель 2026'!$D$2:$D$2719,$B56,'апрель 2026'!$J$2:$J$2719,S$1)</f>
        <v>0</v>
      </c>
      <c r="T56" s="143">
        <f>SUMIFS('апрель 2026'!$G$2:$G$2719,'апрель 2026'!$D$2:$D$2719,$B56,'апрель 2026'!$J$2:$J$2719,T$1)</f>
        <v>0</v>
      </c>
      <c r="U56" s="143">
        <f>SUMIFS('апрель 2026'!$G$2:$G$2719,'апрель 2026'!$D$2:$D$2719,$B56,'апрель 2026'!$J$2:$J$2719,U$1)</f>
        <v>0</v>
      </c>
      <c r="V56" s="143">
        <f>SUMIFS('апрель 2026'!$G$2:$G$2719,'апрель 2026'!$D$2:$D$2719,$B56,'апрель 2026'!$J$2:$J$2719,V$1)</f>
        <v>0</v>
      </c>
      <c r="W56" s="143">
        <f>SUMIFS('апрель 2026'!$G$2:$G$2719,'апрель 2026'!$D$2:$D$2719,$B56,'апрель 2026'!$J$2:$J$2719,W$1)</f>
        <v>0</v>
      </c>
      <c r="X56" s="143">
        <f>SUMIFS('апрель 2026'!$G$2:$G$2719,'апрель 2026'!$D$2:$D$2719,$B56,'апрель 2026'!$J$2:$J$2719,X$1)</f>
        <v>0</v>
      </c>
      <c r="Y56" s="143">
        <f>SUMIFS('апрель 2026'!$G$2:$G$2719,'апрель 2026'!$D$2:$D$2719,$B56,'апрель 2026'!$J$2:$J$2719,Y$1)</f>
        <v>0</v>
      </c>
      <c r="Z56" s="143">
        <f>SUMIFS('апрель 2026'!$G$2:$G$2719,'апрель 2026'!$D$2:$D$2719,$B56,'апрель 2026'!$J$2:$J$2719,Z$1)</f>
        <v>0</v>
      </c>
      <c r="AA56" s="143">
        <f>SUMIFS('апрель 2026'!$G$2:$G$2719,'апрель 2026'!$D$2:$D$2719,$B56,'апрель 2026'!$J$2:$J$2719,AA$1)</f>
        <v>0</v>
      </c>
      <c r="AB56" s="143">
        <f>SUMIFS('апрель 2026'!$G$2:$G$2719,'апрель 2026'!$D$2:$D$2719,$B56,'апрель 2026'!$J$2:$J$2719,AB$1)</f>
        <v>0</v>
      </c>
      <c r="AC56" s="143">
        <f>SUMIFS('апрель 2026'!$G$2:$G$2719,'апрель 2026'!$D$2:$D$2719,$B56,'апрель 2026'!$J$2:$J$2719,AC$1)</f>
        <v>0</v>
      </c>
      <c r="AD56" s="143">
        <f>SUMIFS('апрель 2026'!$G$2:$G$2719,'апрель 2026'!$D$2:$D$2719,$B56,'апрель 2026'!$J$2:$J$2719,AD$1)</f>
        <v>0</v>
      </c>
      <c r="AE56" s="143">
        <f>SUMIFS('апрель 2026'!$G$2:$G$2719,'апрель 2026'!$D$2:$D$2719,$B56,'апрель 2026'!$J$2:$J$2719,AE$1)</f>
        <v>0</v>
      </c>
      <c r="AF56" s="143">
        <f>SUMIFS('апрель 2026'!$G$2:$G$2719,'апрель 2026'!$D$2:$D$2719,$B56,'апрель 2026'!$J$2:$J$2719,AF$1)</f>
        <v>0</v>
      </c>
      <c r="AG56" s="143">
        <f>SUMIFS('апрель 2026'!$G$2:$G$2719,'апрель 2026'!$D$2:$D$2719,$B56,'апрель 2026'!$J$2:$J$2719,AG$1)</f>
        <v>0</v>
      </c>
      <c r="AH56" s="143">
        <f>SUMIFS('апрель 2026'!$G$2:$G$2719,'апрель 2026'!$D$2:$D$2719,$B56,'апрель 2026'!$J$2:$J$2719,AH$1)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SUMIFS('апрель 2026'!$G$2:$G$2719,'апрель 2026'!$D$2:$D$2719,$B57,'апрель 2026'!$J$2:$J$2719,D$1)</f>
        <v>0</v>
      </c>
      <c r="E57" s="143">
        <f>SUMIFS('апрель 2026'!$G$2:$G$2719,'апрель 2026'!$D$2:$D$2719,$B57,'апрель 2026'!$J$2:$J$2719,E$1)</f>
        <v>0</v>
      </c>
      <c r="F57" s="143">
        <f>SUMIFS('апрель 2026'!$G$2:$G$2719,'апрель 2026'!$D$2:$D$2719,$B57,'апрель 2026'!$J$2:$J$2719,F$1)</f>
        <v>0</v>
      </c>
      <c r="G57" s="143">
        <f>SUMIFS('апрель 2026'!$G$2:$G$2719,'апрель 2026'!$D$2:$D$2719,$B57,'апрель 2026'!$J$2:$J$2719,G$1)</f>
        <v>0</v>
      </c>
      <c r="H57" s="143">
        <f>SUMIFS('апрель 2026'!$G$2:$G$2719,'апрель 2026'!$D$2:$D$2719,$B57,'апрель 2026'!$J$2:$J$2719,H$1)</f>
        <v>0</v>
      </c>
      <c r="I57" s="143">
        <f>SUMIFS('апрель 2026'!$G$2:$G$2719,'апрель 2026'!$D$2:$D$2719,$B57,'апрель 2026'!$J$2:$J$2719,I$1)</f>
        <v>0</v>
      </c>
      <c r="J57" s="143">
        <f>SUMIFS('апрель 2026'!$G$2:$G$2719,'апрель 2026'!$D$2:$D$2719,$B57,'апрель 2026'!$J$2:$J$2719,J$1)</f>
        <v>0</v>
      </c>
      <c r="K57" s="143">
        <f>SUMIFS('апрель 2026'!$G$2:$G$2719,'апрель 2026'!$D$2:$D$2719,$B57,'апрель 2026'!$J$2:$J$2719,K$1)</f>
        <v>0</v>
      </c>
      <c r="L57" s="143">
        <f>SUMIFS('апрель 2026'!$G$2:$G$2719,'апрель 2026'!$D$2:$D$2719,$B57,'апрель 2026'!$J$2:$J$2719,L$1)</f>
        <v>0</v>
      </c>
      <c r="M57" s="143">
        <f>SUMIFS('апрель 2026'!$G$2:$G$2719,'апрель 2026'!$D$2:$D$2719,$B57,'апрель 2026'!$J$2:$J$2719,M$1)</f>
        <v>0</v>
      </c>
      <c r="N57" s="143">
        <f>SUMIFS('апрель 2026'!$G$2:$G$2719,'апрель 2026'!$D$2:$D$2719,$B57,'апрель 2026'!$J$2:$J$2719,N$1)</f>
        <v>0</v>
      </c>
      <c r="O57" s="143">
        <f>SUMIFS('апрель 2026'!$G$2:$G$2719,'апрель 2026'!$D$2:$D$2719,$B57,'апрель 2026'!$J$2:$J$2719,O$1)</f>
        <v>0</v>
      </c>
      <c r="P57" s="143">
        <f>SUMIFS('апрель 2026'!$G$2:$G$2719,'апрель 2026'!$D$2:$D$2719,$B57,'апрель 2026'!$J$2:$J$2719,P$1)</f>
        <v>0</v>
      </c>
      <c r="Q57" s="143">
        <f>SUMIFS('апрель 2026'!$G$2:$G$2719,'апрель 2026'!$D$2:$D$2719,$B57,'апрель 2026'!$J$2:$J$2719,Q$1)</f>
        <v>0</v>
      </c>
      <c r="R57" s="143">
        <f>SUMIFS('апрель 2026'!$G$2:$G$2719,'апрель 2026'!$D$2:$D$2719,$B57,'апрель 2026'!$J$2:$J$2719,R$1)</f>
        <v>0</v>
      </c>
      <c r="S57" s="143">
        <f>SUMIFS('апрель 2026'!$G$2:$G$2719,'апрель 2026'!$D$2:$D$2719,$B57,'апрель 2026'!$J$2:$J$2719,S$1)</f>
        <v>0</v>
      </c>
      <c r="T57" s="143">
        <f>SUMIFS('апрель 2026'!$G$2:$G$2719,'апрель 2026'!$D$2:$D$2719,$B57,'апрель 2026'!$J$2:$J$2719,T$1)</f>
        <v>0</v>
      </c>
      <c r="U57" s="143">
        <f>SUMIFS('апрель 2026'!$G$2:$G$2719,'апрель 2026'!$D$2:$D$2719,$B57,'апрель 2026'!$J$2:$J$2719,U$1)</f>
        <v>0</v>
      </c>
      <c r="V57" s="143">
        <f>SUMIFS('апрель 2026'!$G$2:$G$2719,'апрель 2026'!$D$2:$D$2719,$B57,'апрель 2026'!$J$2:$J$2719,V$1)</f>
        <v>0</v>
      </c>
      <c r="W57" s="143">
        <f>SUMIFS('апрель 2026'!$G$2:$G$2719,'апрель 2026'!$D$2:$D$2719,$B57,'апрель 2026'!$J$2:$J$2719,W$1)</f>
        <v>0</v>
      </c>
      <c r="X57" s="143">
        <f>SUMIFS('апрель 2026'!$G$2:$G$2719,'апрель 2026'!$D$2:$D$2719,$B57,'апрель 2026'!$J$2:$J$2719,X$1)</f>
        <v>0</v>
      </c>
      <c r="Y57" s="143">
        <f>SUMIFS('апрель 2026'!$G$2:$G$2719,'апрель 2026'!$D$2:$D$2719,$B57,'апрель 2026'!$J$2:$J$2719,Y$1)</f>
        <v>0</v>
      </c>
      <c r="Z57" s="143">
        <f>SUMIFS('апрель 2026'!$G$2:$G$2719,'апрель 2026'!$D$2:$D$2719,$B57,'апрель 2026'!$J$2:$J$2719,Z$1)</f>
        <v>0</v>
      </c>
      <c r="AA57" s="143">
        <f>SUMIFS('апрель 2026'!$G$2:$G$2719,'апрель 2026'!$D$2:$D$2719,$B57,'апрель 2026'!$J$2:$J$2719,AA$1)</f>
        <v>0</v>
      </c>
      <c r="AB57" s="143">
        <f>SUMIFS('апрель 2026'!$G$2:$G$2719,'апрель 2026'!$D$2:$D$2719,$B57,'апрель 2026'!$J$2:$J$2719,AB$1)</f>
        <v>0</v>
      </c>
      <c r="AC57" s="143">
        <f>SUMIFS('апрель 2026'!$G$2:$G$2719,'апрель 2026'!$D$2:$D$2719,$B57,'апрель 2026'!$J$2:$J$2719,AC$1)</f>
        <v>0</v>
      </c>
      <c r="AD57" s="143">
        <f>SUMIFS('апрель 2026'!$G$2:$G$2719,'апрель 2026'!$D$2:$D$2719,$B57,'апрель 2026'!$J$2:$J$2719,AD$1)</f>
        <v>0</v>
      </c>
      <c r="AE57" s="143">
        <f>SUMIFS('апрель 2026'!$G$2:$G$2719,'апрель 2026'!$D$2:$D$2719,$B57,'апрель 2026'!$J$2:$J$2719,AE$1)</f>
        <v>0</v>
      </c>
      <c r="AF57" s="143">
        <f>SUMIFS('апрель 2026'!$G$2:$G$2719,'апрель 2026'!$D$2:$D$2719,$B57,'апрель 2026'!$J$2:$J$2719,AF$1)</f>
        <v>0</v>
      </c>
      <c r="AG57" s="143">
        <f>SUMIFS('апрель 2026'!$G$2:$G$2719,'апрель 2026'!$D$2:$D$2719,$B57,'апрель 2026'!$J$2:$J$2719,AG$1)</f>
        <v>0</v>
      </c>
      <c r="AH57" s="143">
        <f>SUMIFS('апрель 2026'!$G$2:$G$2719,'апрель 2026'!$D$2:$D$2719,$B57,'апрель 2026'!$J$2:$J$2719,AH$1)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SUMIFS('апрель 2026'!$G$2:$G$2719,'апрель 2026'!$D$2:$D$2719,$B58,'апрель 2026'!$J$2:$J$2719,D$1)</f>
        <v>0</v>
      </c>
      <c r="E58" s="143">
        <f>SUMIFS('апрель 2026'!$G$2:$G$2719,'апрель 2026'!$D$2:$D$2719,$B58,'апрель 2026'!$J$2:$J$2719,E$1)</f>
        <v>0</v>
      </c>
      <c r="F58" s="143">
        <f>SUMIFS('апрель 2026'!$G$2:$G$2719,'апрель 2026'!$D$2:$D$2719,$B58,'апрель 2026'!$J$2:$J$2719,F$1)</f>
        <v>0</v>
      </c>
      <c r="G58" s="143">
        <f>SUMIFS('апрель 2026'!$G$2:$G$2719,'апрель 2026'!$D$2:$D$2719,$B58,'апрель 2026'!$J$2:$J$2719,G$1)</f>
        <v>0</v>
      </c>
      <c r="H58" s="143">
        <f>SUMIFS('апрель 2026'!$G$2:$G$2719,'апрель 2026'!$D$2:$D$2719,$B58,'апрель 2026'!$J$2:$J$2719,H$1)</f>
        <v>0</v>
      </c>
      <c r="I58" s="143">
        <f>SUMIFS('апрель 2026'!$G$2:$G$2719,'апрель 2026'!$D$2:$D$2719,$B58,'апрель 2026'!$J$2:$J$2719,I$1)</f>
        <v>0</v>
      </c>
      <c r="J58" s="143">
        <f>SUMIFS('апрель 2026'!$G$2:$G$2719,'апрель 2026'!$D$2:$D$2719,$B58,'апрель 2026'!$J$2:$J$2719,J$1)</f>
        <v>0</v>
      </c>
      <c r="K58" s="143">
        <f>SUMIFS('апрель 2026'!$G$2:$G$2719,'апрель 2026'!$D$2:$D$2719,$B58,'апрель 2026'!$J$2:$J$2719,K$1)</f>
        <v>0</v>
      </c>
      <c r="L58" s="143">
        <f>SUMIFS('апрель 2026'!$G$2:$G$2719,'апрель 2026'!$D$2:$D$2719,$B58,'апрель 2026'!$J$2:$J$2719,L$1)</f>
        <v>0</v>
      </c>
      <c r="M58" s="143">
        <f>SUMIFS('апрель 2026'!$G$2:$G$2719,'апрель 2026'!$D$2:$D$2719,$B58,'апрель 2026'!$J$2:$J$2719,M$1)</f>
        <v>0</v>
      </c>
      <c r="N58" s="143">
        <f>SUMIFS('апрель 2026'!$G$2:$G$2719,'апрель 2026'!$D$2:$D$2719,$B58,'апрель 2026'!$J$2:$J$2719,N$1)</f>
        <v>0</v>
      </c>
      <c r="O58" s="143">
        <f>SUMIFS('апрель 2026'!$G$2:$G$2719,'апрель 2026'!$D$2:$D$2719,$B58,'апрель 2026'!$J$2:$J$2719,O$1)</f>
        <v>0</v>
      </c>
      <c r="P58" s="143">
        <f>SUMIFS('апрель 2026'!$G$2:$G$2719,'апрель 2026'!$D$2:$D$2719,$B58,'апрель 2026'!$J$2:$J$2719,P$1)</f>
        <v>0</v>
      </c>
      <c r="Q58" s="143">
        <f>SUMIFS('апрель 2026'!$G$2:$G$2719,'апрель 2026'!$D$2:$D$2719,$B58,'апрель 2026'!$J$2:$J$2719,Q$1)</f>
        <v>0</v>
      </c>
      <c r="R58" s="143">
        <f>SUMIFS('апрель 2026'!$G$2:$G$2719,'апрель 2026'!$D$2:$D$2719,$B58,'апрель 2026'!$J$2:$J$2719,R$1)</f>
        <v>0</v>
      </c>
      <c r="S58" s="143">
        <f>SUMIFS('апрель 2026'!$G$2:$G$2719,'апрель 2026'!$D$2:$D$2719,$B58,'апрель 2026'!$J$2:$J$2719,S$1)</f>
        <v>0</v>
      </c>
      <c r="T58" s="143">
        <f>SUMIFS('апрель 2026'!$G$2:$G$2719,'апрель 2026'!$D$2:$D$2719,$B58,'апрель 2026'!$J$2:$J$2719,T$1)</f>
        <v>0</v>
      </c>
      <c r="U58" s="143">
        <f>SUMIFS('апрель 2026'!$G$2:$G$2719,'апрель 2026'!$D$2:$D$2719,$B58,'апрель 2026'!$J$2:$J$2719,U$1)</f>
        <v>0</v>
      </c>
      <c r="V58" s="143">
        <f>SUMIFS('апрель 2026'!$G$2:$G$2719,'апрель 2026'!$D$2:$D$2719,$B58,'апрель 2026'!$J$2:$J$2719,V$1)</f>
        <v>0</v>
      </c>
      <c r="W58" s="143">
        <f>SUMIFS('апрель 2026'!$G$2:$G$2719,'апрель 2026'!$D$2:$D$2719,$B58,'апрель 2026'!$J$2:$J$2719,W$1)</f>
        <v>0</v>
      </c>
      <c r="X58" s="143">
        <f>SUMIFS('апрель 2026'!$G$2:$G$2719,'апрель 2026'!$D$2:$D$2719,$B58,'апрель 2026'!$J$2:$J$2719,X$1)</f>
        <v>0</v>
      </c>
      <c r="Y58" s="143">
        <f>SUMIFS('апрель 2026'!$G$2:$G$2719,'апрель 2026'!$D$2:$D$2719,$B58,'апрель 2026'!$J$2:$J$2719,Y$1)</f>
        <v>0</v>
      </c>
      <c r="Z58" s="143">
        <f>SUMIFS('апрель 2026'!$G$2:$G$2719,'апрель 2026'!$D$2:$D$2719,$B58,'апрель 2026'!$J$2:$J$2719,Z$1)</f>
        <v>0</v>
      </c>
      <c r="AA58" s="143">
        <f>SUMIFS('апрель 2026'!$G$2:$G$2719,'апрель 2026'!$D$2:$D$2719,$B58,'апрель 2026'!$J$2:$J$2719,AA$1)</f>
        <v>0</v>
      </c>
      <c r="AB58" s="143">
        <f>SUMIFS('апрель 2026'!$G$2:$G$2719,'апрель 2026'!$D$2:$D$2719,$B58,'апрель 2026'!$J$2:$J$2719,AB$1)</f>
        <v>0</v>
      </c>
      <c r="AC58" s="143">
        <f>SUMIFS('апрель 2026'!$G$2:$G$2719,'апрель 2026'!$D$2:$D$2719,$B58,'апрель 2026'!$J$2:$J$2719,AC$1)</f>
        <v>0</v>
      </c>
      <c r="AD58" s="143">
        <f>SUMIFS('апрель 2026'!$G$2:$G$2719,'апрель 2026'!$D$2:$D$2719,$B58,'апрель 2026'!$J$2:$J$2719,AD$1)</f>
        <v>0</v>
      </c>
      <c r="AE58" s="143">
        <f>SUMIFS('апрель 2026'!$G$2:$G$2719,'апрель 2026'!$D$2:$D$2719,$B58,'апрель 2026'!$J$2:$J$2719,AE$1)</f>
        <v>0</v>
      </c>
      <c r="AF58" s="143">
        <f>SUMIFS('апрель 2026'!$G$2:$G$2719,'апрель 2026'!$D$2:$D$2719,$B58,'апрель 2026'!$J$2:$J$2719,AF$1)</f>
        <v>0</v>
      </c>
      <c r="AG58" s="143">
        <f>SUMIFS('апрель 2026'!$G$2:$G$2719,'апрель 2026'!$D$2:$D$2719,$B58,'апрель 2026'!$J$2:$J$2719,AG$1)</f>
        <v>0</v>
      </c>
      <c r="AH58" s="143">
        <f>SUMIFS('апрель 2026'!$G$2:$G$2719,'апрель 2026'!$D$2:$D$2719,$B58,'апрель 2026'!$J$2:$J$2719,AH$1)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SUMIFS('апрель 2026'!$G$2:$G$2719,'апрель 2026'!$D$2:$D$2719,$B59,'апрель 2026'!$J$2:$J$2719,D$1)</f>
        <v>0</v>
      </c>
      <c r="E59" s="143">
        <f>SUMIFS('апрель 2026'!$G$2:$G$2719,'апрель 2026'!$D$2:$D$2719,$B59,'апрель 2026'!$J$2:$J$2719,E$1)</f>
        <v>0</v>
      </c>
      <c r="F59" s="143">
        <f>SUMIFS('апрель 2026'!$G$2:$G$2719,'апрель 2026'!$D$2:$D$2719,$B59,'апрель 2026'!$J$2:$J$2719,F$1)</f>
        <v>0</v>
      </c>
      <c r="G59" s="143">
        <f>SUMIFS('апрель 2026'!$G$2:$G$2719,'апрель 2026'!$D$2:$D$2719,$B59,'апрель 2026'!$J$2:$J$2719,G$1)</f>
        <v>0</v>
      </c>
      <c r="H59" s="143">
        <f>SUMIFS('апрель 2026'!$G$2:$G$2719,'апрель 2026'!$D$2:$D$2719,$B59,'апрель 2026'!$J$2:$J$2719,H$1)</f>
        <v>0</v>
      </c>
      <c r="I59" s="143">
        <f>SUMIFS('апрель 2026'!$G$2:$G$2719,'апрель 2026'!$D$2:$D$2719,$B59,'апрель 2026'!$J$2:$J$2719,I$1)</f>
        <v>0</v>
      </c>
      <c r="J59" s="143">
        <f>SUMIFS('апрель 2026'!$G$2:$G$2719,'апрель 2026'!$D$2:$D$2719,$B59,'апрель 2026'!$J$2:$J$2719,J$1)</f>
        <v>0</v>
      </c>
      <c r="K59" s="143">
        <f>SUMIFS('апрель 2026'!$G$2:$G$2719,'апрель 2026'!$D$2:$D$2719,$B59,'апрель 2026'!$J$2:$J$2719,K$1)</f>
        <v>0</v>
      </c>
      <c r="L59" s="143">
        <f>SUMIFS('апрель 2026'!$G$2:$G$2719,'апрель 2026'!$D$2:$D$2719,$B59,'апрель 2026'!$J$2:$J$2719,L$1)</f>
        <v>0</v>
      </c>
      <c r="M59" s="143">
        <f>SUMIFS('апрель 2026'!$G$2:$G$2719,'апрель 2026'!$D$2:$D$2719,$B59,'апрель 2026'!$J$2:$J$2719,M$1)</f>
        <v>0</v>
      </c>
      <c r="N59" s="143">
        <f>SUMIFS('апрель 2026'!$G$2:$G$2719,'апрель 2026'!$D$2:$D$2719,$B59,'апрель 2026'!$J$2:$J$2719,N$1)</f>
        <v>0</v>
      </c>
      <c r="O59" s="143">
        <f>SUMIFS('апрель 2026'!$G$2:$G$2719,'апрель 2026'!$D$2:$D$2719,$B59,'апрель 2026'!$J$2:$J$2719,O$1)</f>
        <v>0</v>
      </c>
      <c r="P59" s="143">
        <f>SUMIFS('апрель 2026'!$G$2:$G$2719,'апрель 2026'!$D$2:$D$2719,$B59,'апрель 2026'!$J$2:$J$2719,P$1)</f>
        <v>0</v>
      </c>
      <c r="Q59" s="143">
        <f>SUMIFS('апрель 2026'!$G$2:$G$2719,'апрель 2026'!$D$2:$D$2719,$B59,'апрель 2026'!$J$2:$J$2719,Q$1)</f>
        <v>0</v>
      </c>
      <c r="R59" s="143">
        <f>SUMIFS('апрель 2026'!$G$2:$G$2719,'апрель 2026'!$D$2:$D$2719,$B59,'апрель 2026'!$J$2:$J$2719,R$1)</f>
        <v>0</v>
      </c>
      <c r="S59" s="143">
        <f>SUMIFS('апрель 2026'!$G$2:$G$2719,'апрель 2026'!$D$2:$D$2719,$B59,'апрель 2026'!$J$2:$J$2719,S$1)</f>
        <v>0</v>
      </c>
      <c r="T59" s="143">
        <f>SUMIFS('апрель 2026'!$G$2:$G$2719,'апрель 2026'!$D$2:$D$2719,$B59,'апрель 2026'!$J$2:$J$2719,T$1)</f>
        <v>0</v>
      </c>
      <c r="U59" s="143">
        <f>SUMIFS('апрель 2026'!$G$2:$G$2719,'апрель 2026'!$D$2:$D$2719,$B59,'апрель 2026'!$J$2:$J$2719,U$1)</f>
        <v>0</v>
      </c>
      <c r="V59" s="143">
        <f>SUMIFS('апрель 2026'!$G$2:$G$2719,'апрель 2026'!$D$2:$D$2719,$B59,'апрель 2026'!$J$2:$J$2719,V$1)</f>
        <v>0</v>
      </c>
      <c r="W59" s="143">
        <f>SUMIFS('апрель 2026'!$G$2:$G$2719,'апрель 2026'!$D$2:$D$2719,$B59,'апрель 2026'!$J$2:$J$2719,W$1)</f>
        <v>0</v>
      </c>
      <c r="X59" s="143">
        <f>SUMIFS('апрель 2026'!$G$2:$G$2719,'апрель 2026'!$D$2:$D$2719,$B59,'апрель 2026'!$J$2:$J$2719,X$1)</f>
        <v>0</v>
      </c>
      <c r="Y59" s="143">
        <f>SUMIFS('апрель 2026'!$G$2:$G$2719,'апрель 2026'!$D$2:$D$2719,$B59,'апрель 2026'!$J$2:$J$2719,Y$1)</f>
        <v>0</v>
      </c>
      <c r="Z59" s="143">
        <f>SUMIFS('апрель 2026'!$G$2:$G$2719,'апрель 2026'!$D$2:$D$2719,$B59,'апрель 2026'!$J$2:$J$2719,Z$1)</f>
        <v>0</v>
      </c>
      <c r="AA59" s="143">
        <f>SUMIFS('апрель 2026'!$G$2:$G$2719,'апрель 2026'!$D$2:$D$2719,$B59,'апрель 2026'!$J$2:$J$2719,AA$1)</f>
        <v>0</v>
      </c>
      <c r="AB59" s="143">
        <f>SUMIFS('апрель 2026'!$G$2:$G$2719,'апрель 2026'!$D$2:$D$2719,$B59,'апрель 2026'!$J$2:$J$2719,AB$1)</f>
        <v>0</v>
      </c>
      <c r="AC59" s="143">
        <f>SUMIFS('апрель 2026'!$G$2:$G$2719,'апрель 2026'!$D$2:$D$2719,$B59,'апрель 2026'!$J$2:$J$2719,AC$1)</f>
        <v>0</v>
      </c>
      <c r="AD59" s="143">
        <f>SUMIFS('апрель 2026'!$G$2:$G$2719,'апрель 2026'!$D$2:$D$2719,$B59,'апрель 2026'!$J$2:$J$2719,AD$1)</f>
        <v>0</v>
      </c>
      <c r="AE59" s="143">
        <f>SUMIFS('апрель 2026'!$G$2:$G$2719,'апрель 2026'!$D$2:$D$2719,$B59,'апрель 2026'!$J$2:$J$2719,AE$1)</f>
        <v>0</v>
      </c>
      <c r="AF59" s="143">
        <f>SUMIFS('апрель 2026'!$G$2:$G$2719,'апрель 2026'!$D$2:$D$2719,$B59,'апрель 2026'!$J$2:$J$2719,AF$1)</f>
        <v>0</v>
      </c>
      <c r="AG59" s="143">
        <f>SUMIFS('апрель 2026'!$G$2:$G$2719,'апрель 2026'!$D$2:$D$2719,$B59,'апрель 2026'!$J$2:$J$2719,AG$1)</f>
        <v>0</v>
      </c>
      <c r="AH59" s="143">
        <f>SUMIFS('апрель 2026'!$G$2:$G$2719,'апрель 2026'!$D$2:$D$2719,$B59,'апрель 2026'!$J$2:$J$2719,AH$1)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SUMIFS('апрель 2026'!$G$2:$G$2719,'апрель 2026'!$D$2:$D$2719,$B60,'апрель 2026'!$J$2:$J$2719,D$1)</f>
        <v>0</v>
      </c>
      <c r="E60" s="143">
        <f>SUMIFS('апрель 2026'!$G$2:$G$2719,'апрель 2026'!$D$2:$D$2719,$B60,'апрель 2026'!$J$2:$J$2719,E$1)</f>
        <v>0</v>
      </c>
      <c r="F60" s="143">
        <f>SUMIFS('апрель 2026'!$G$2:$G$2719,'апрель 2026'!$D$2:$D$2719,$B60,'апрель 2026'!$J$2:$J$2719,F$1)</f>
        <v>0</v>
      </c>
      <c r="G60" s="143">
        <f>SUMIFS('апрель 2026'!$G$2:$G$2719,'апрель 2026'!$D$2:$D$2719,$B60,'апрель 2026'!$J$2:$J$2719,G$1)</f>
        <v>0</v>
      </c>
      <c r="H60" s="143">
        <f>SUMIFS('апрель 2026'!$G$2:$G$2719,'апрель 2026'!$D$2:$D$2719,$B60,'апрель 2026'!$J$2:$J$2719,H$1)</f>
        <v>0</v>
      </c>
      <c r="I60" s="143">
        <f>SUMIFS('апрель 2026'!$G$2:$G$2719,'апрель 2026'!$D$2:$D$2719,$B60,'апрель 2026'!$J$2:$J$2719,I$1)</f>
        <v>0</v>
      </c>
      <c r="J60" s="143">
        <f>SUMIFS('апрель 2026'!$G$2:$G$2719,'апрель 2026'!$D$2:$D$2719,$B60,'апрель 2026'!$J$2:$J$2719,J$1)</f>
        <v>0</v>
      </c>
      <c r="K60" s="143">
        <f>SUMIFS('апрель 2026'!$G$2:$G$2719,'апрель 2026'!$D$2:$D$2719,$B60,'апрель 2026'!$J$2:$J$2719,K$1)</f>
        <v>0</v>
      </c>
      <c r="L60" s="143">
        <f>SUMIFS('апрель 2026'!$G$2:$G$2719,'апрель 2026'!$D$2:$D$2719,$B60,'апрель 2026'!$J$2:$J$2719,L$1)</f>
        <v>0</v>
      </c>
      <c r="M60" s="143">
        <f>SUMIFS('апрель 2026'!$G$2:$G$2719,'апрель 2026'!$D$2:$D$2719,$B60,'апрель 2026'!$J$2:$J$2719,M$1)</f>
        <v>0</v>
      </c>
      <c r="N60" s="143">
        <f>SUMIFS('апрель 2026'!$G$2:$G$2719,'апрель 2026'!$D$2:$D$2719,$B60,'апрель 2026'!$J$2:$J$2719,N$1)</f>
        <v>0</v>
      </c>
      <c r="O60" s="143">
        <f>SUMIFS('апрель 2026'!$G$2:$G$2719,'апрель 2026'!$D$2:$D$2719,$B60,'апрель 2026'!$J$2:$J$2719,O$1)</f>
        <v>0</v>
      </c>
      <c r="P60" s="143">
        <f>SUMIFS('апрель 2026'!$G$2:$G$2719,'апрель 2026'!$D$2:$D$2719,$B60,'апрель 2026'!$J$2:$J$2719,P$1)</f>
        <v>0</v>
      </c>
      <c r="Q60" s="143">
        <f>SUMIFS('апрель 2026'!$G$2:$G$2719,'апрель 2026'!$D$2:$D$2719,$B60,'апрель 2026'!$J$2:$J$2719,Q$1)</f>
        <v>0</v>
      </c>
      <c r="R60" s="143">
        <f>SUMIFS('апрель 2026'!$G$2:$G$2719,'апрель 2026'!$D$2:$D$2719,$B60,'апрель 2026'!$J$2:$J$2719,R$1)</f>
        <v>0</v>
      </c>
      <c r="S60" s="143">
        <f>SUMIFS('апрель 2026'!$G$2:$G$2719,'апрель 2026'!$D$2:$D$2719,$B60,'апрель 2026'!$J$2:$J$2719,S$1)</f>
        <v>0</v>
      </c>
      <c r="T60" s="143">
        <f>SUMIFS('апрель 2026'!$G$2:$G$2719,'апрель 2026'!$D$2:$D$2719,$B60,'апрель 2026'!$J$2:$J$2719,T$1)</f>
        <v>0</v>
      </c>
      <c r="U60" s="143">
        <f>SUMIFS('апрель 2026'!$G$2:$G$2719,'апрель 2026'!$D$2:$D$2719,$B60,'апрель 2026'!$J$2:$J$2719,U$1)</f>
        <v>0</v>
      </c>
      <c r="V60" s="143">
        <f>SUMIFS('апрель 2026'!$G$2:$G$2719,'апрель 2026'!$D$2:$D$2719,$B60,'апрель 2026'!$J$2:$J$2719,V$1)</f>
        <v>0</v>
      </c>
      <c r="W60" s="143">
        <f>SUMIFS('апрель 2026'!$G$2:$G$2719,'апрель 2026'!$D$2:$D$2719,$B60,'апрель 2026'!$J$2:$J$2719,W$1)</f>
        <v>0</v>
      </c>
      <c r="X60" s="143">
        <f>SUMIFS('апрель 2026'!$G$2:$G$2719,'апрель 2026'!$D$2:$D$2719,$B60,'апрель 2026'!$J$2:$J$2719,X$1)</f>
        <v>0</v>
      </c>
      <c r="Y60" s="143">
        <f>SUMIFS('апрель 2026'!$G$2:$G$2719,'апрель 2026'!$D$2:$D$2719,$B60,'апрель 2026'!$J$2:$J$2719,Y$1)</f>
        <v>0</v>
      </c>
      <c r="Z60" s="143">
        <f>SUMIFS('апрель 2026'!$G$2:$G$2719,'апрель 2026'!$D$2:$D$2719,$B60,'апрель 2026'!$J$2:$J$2719,Z$1)</f>
        <v>0</v>
      </c>
      <c r="AA60" s="143">
        <f>SUMIFS('апрель 2026'!$G$2:$G$2719,'апрель 2026'!$D$2:$D$2719,$B60,'апрель 2026'!$J$2:$J$2719,AA$1)</f>
        <v>0</v>
      </c>
      <c r="AB60" s="143">
        <f>SUMIFS('апрель 2026'!$G$2:$G$2719,'апрель 2026'!$D$2:$D$2719,$B60,'апрель 2026'!$J$2:$J$2719,AB$1)</f>
        <v>0</v>
      </c>
      <c r="AC60" s="143">
        <f>SUMIFS('апрель 2026'!$G$2:$G$2719,'апрель 2026'!$D$2:$D$2719,$B60,'апрель 2026'!$J$2:$J$2719,AC$1)</f>
        <v>0</v>
      </c>
      <c r="AD60" s="143">
        <f>SUMIFS('апрель 2026'!$G$2:$G$2719,'апрель 2026'!$D$2:$D$2719,$B60,'апрель 2026'!$J$2:$J$2719,AD$1)</f>
        <v>0</v>
      </c>
      <c r="AE60" s="143">
        <f>SUMIFS('апрель 2026'!$G$2:$G$2719,'апрель 2026'!$D$2:$D$2719,$B60,'апрель 2026'!$J$2:$J$2719,AE$1)</f>
        <v>0</v>
      </c>
      <c r="AF60" s="143">
        <f>SUMIFS('апрель 2026'!$G$2:$G$2719,'апрель 2026'!$D$2:$D$2719,$B60,'апрель 2026'!$J$2:$J$2719,AF$1)</f>
        <v>0</v>
      </c>
      <c r="AG60" s="143">
        <f>SUMIFS('апрель 2026'!$G$2:$G$2719,'апрель 2026'!$D$2:$D$2719,$B60,'апрель 2026'!$J$2:$J$2719,AG$1)</f>
        <v>0</v>
      </c>
      <c r="AH60" s="143">
        <f>SUMIFS('апрель 2026'!$G$2:$G$2719,'апрель 2026'!$D$2:$D$2719,$B60,'апрель 2026'!$J$2:$J$2719,AH$1)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SUMIFS('апрель 2026'!$G$2:$G$2719,'апрель 2026'!$D$2:$D$2719,$B61,'апрель 2026'!$J$2:$J$2719,D$1)</f>
        <v>0</v>
      </c>
      <c r="E61" s="143">
        <f>SUMIFS('апрель 2026'!$G$2:$G$2719,'апрель 2026'!$D$2:$D$2719,$B61,'апрель 2026'!$J$2:$J$2719,E$1)</f>
        <v>0</v>
      </c>
      <c r="F61" s="143">
        <f>SUMIFS('апрель 2026'!$G$2:$G$2719,'апрель 2026'!$D$2:$D$2719,$B61,'апрель 2026'!$J$2:$J$2719,F$1)</f>
        <v>0</v>
      </c>
      <c r="G61" s="143">
        <f>SUMIFS('апрель 2026'!$G$2:$G$2719,'апрель 2026'!$D$2:$D$2719,$B61,'апрель 2026'!$J$2:$J$2719,G$1)</f>
        <v>0</v>
      </c>
      <c r="H61" s="143">
        <f>SUMIFS('апрель 2026'!$G$2:$G$2719,'апрель 2026'!$D$2:$D$2719,$B61,'апрель 2026'!$J$2:$J$2719,H$1)</f>
        <v>0</v>
      </c>
      <c r="I61" s="143">
        <f>SUMIFS('апрель 2026'!$G$2:$G$2719,'апрель 2026'!$D$2:$D$2719,$B61,'апрель 2026'!$J$2:$J$2719,I$1)</f>
        <v>0</v>
      </c>
      <c r="J61" s="143">
        <f>SUMIFS('апрель 2026'!$G$2:$G$2719,'апрель 2026'!$D$2:$D$2719,$B61,'апрель 2026'!$J$2:$J$2719,J$1)</f>
        <v>0</v>
      </c>
      <c r="K61" s="143">
        <f>SUMIFS('апрель 2026'!$G$2:$G$2719,'апрель 2026'!$D$2:$D$2719,$B61,'апрель 2026'!$J$2:$J$2719,K$1)</f>
        <v>0</v>
      </c>
      <c r="L61" s="143">
        <f>SUMIFS('апрель 2026'!$G$2:$G$2719,'апрель 2026'!$D$2:$D$2719,$B61,'апрель 2026'!$J$2:$J$2719,L$1)</f>
        <v>0</v>
      </c>
      <c r="M61" s="143">
        <f>SUMIFS('апрель 2026'!$G$2:$G$2719,'апрель 2026'!$D$2:$D$2719,$B61,'апрель 2026'!$J$2:$J$2719,M$1)</f>
        <v>0</v>
      </c>
      <c r="N61" s="143">
        <f>SUMIFS('апрель 2026'!$G$2:$G$2719,'апрель 2026'!$D$2:$D$2719,$B61,'апрель 2026'!$J$2:$J$2719,N$1)</f>
        <v>0</v>
      </c>
      <c r="O61" s="143">
        <f>SUMIFS('апрель 2026'!$G$2:$G$2719,'апрель 2026'!$D$2:$D$2719,$B61,'апрель 2026'!$J$2:$J$2719,O$1)</f>
        <v>0</v>
      </c>
      <c r="P61" s="143">
        <f>SUMIFS('апрель 2026'!$G$2:$G$2719,'апрель 2026'!$D$2:$D$2719,$B61,'апрель 2026'!$J$2:$J$2719,P$1)</f>
        <v>0</v>
      </c>
      <c r="Q61" s="143">
        <f>SUMIFS('апрель 2026'!$G$2:$G$2719,'апрель 2026'!$D$2:$D$2719,$B61,'апрель 2026'!$J$2:$J$2719,Q$1)</f>
        <v>0</v>
      </c>
      <c r="R61" s="143">
        <f>SUMIFS('апрель 2026'!$G$2:$G$2719,'апрель 2026'!$D$2:$D$2719,$B61,'апрель 2026'!$J$2:$J$2719,R$1)</f>
        <v>0</v>
      </c>
      <c r="S61" s="143">
        <f>SUMIFS('апрель 2026'!$G$2:$G$2719,'апрель 2026'!$D$2:$D$2719,$B61,'апрель 2026'!$J$2:$J$2719,S$1)</f>
        <v>0</v>
      </c>
      <c r="T61" s="143">
        <f>SUMIFS('апрель 2026'!$G$2:$G$2719,'апрель 2026'!$D$2:$D$2719,$B61,'апрель 2026'!$J$2:$J$2719,T$1)</f>
        <v>0</v>
      </c>
      <c r="U61" s="143">
        <f>SUMIFS('апрель 2026'!$G$2:$G$2719,'апрель 2026'!$D$2:$D$2719,$B61,'апрель 2026'!$J$2:$J$2719,U$1)</f>
        <v>0</v>
      </c>
      <c r="V61" s="143">
        <f>SUMIFS('апрель 2026'!$G$2:$G$2719,'апрель 2026'!$D$2:$D$2719,$B61,'апрель 2026'!$J$2:$J$2719,V$1)</f>
        <v>0</v>
      </c>
      <c r="W61" s="143">
        <f>SUMIFS('апрель 2026'!$G$2:$G$2719,'апрель 2026'!$D$2:$D$2719,$B61,'апрель 2026'!$J$2:$J$2719,W$1)</f>
        <v>0</v>
      </c>
      <c r="X61" s="143">
        <f>SUMIFS('апрель 2026'!$G$2:$G$2719,'апрель 2026'!$D$2:$D$2719,$B61,'апрель 2026'!$J$2:$J$2719,X$1)</f>
        <v>0</v>
      </c>
      <c r="Y61" s="143">
        <f>SUMIFS('апрель 2026'!$G$2:$G$2719,'апрель 2026'!$D$2:$D$2719,$B61,'апрель 2026'!$J$2:$J$2719,Y$1)</f>
        <v>0</v>
      </c>
      <c r="Z61" s="143">
        <f>SUMIFS('апрель 2026'!$G$2:$G$2719,'апрель 2026'!$D$2:$D$2719,$B61,'апрель 2026'!$J$2:$J$2719,Z$1)</f>
        <v>0</v>
      </c>
      <c r="AA61" s="143">
        <f>SUMIFS('апрель 2026'!$G$2:$G$2719,'апрель 2026'!$D$2:$D$2719,$B61,'апрель 2026'!$J$2:$J$2719,AA$1)</f>
        <v>0</v>
      </c>
      <c r="AB61" s="143">
        <f>SUMIFS('апрель 2026'!$G$2:$G$2719,'апрель 2026'!$D$2:$D$2719,$B61,'апрель 2026'!$J$2:$J$2719,AB$1)</f>
        <v>0</v>
      </c>
      <c r="AC61" s="143">
        <f>SUMIFS('апрель 2026'!$G$2:$G$2719,'апрель 2026'!$D$2:$D$2719,$B61,'апрель 2026'!$J$2:$J$2719,AC$1)</f>
        <v>0</v>
      </c>
      <c r="AD61" s="143">
        <f>SUMIFS('апрель 2026'!$G$2:$G$2719,'апрель 2026'!$D$2:$D$2719,$B61,'апрель 2026'!$J$2:$J$2719,AD$1)</f>
        <v>0</v>
      </c>
      <c r="AE61" s="143">
        <f>SUMIFS('апрель 2026'!$G$2:$G$2719,'апрель 2026'!$D$2:$D$2719,$B61,'апрель 2026'!$J$2:$J$2719,AE$1)</f>
        <v>0</v>
      </c>
      <c r="AF61" s="143">
        <f>SUMIFS('апрель 2026'!$G$2:$G$2719,'апрель 2026'!$D$2:$D$2719,$B61,'апрель 2026'!$J$2:$J$2719,AF$1)</f>
        <v>0</v>
      </c>
      <c r="AG61" s="143">
        <f>SUMIFS('апрель 2026'!$G$2:$G$2719,'апрель 2026'!$D$2:$D$2719,$B61,'апрель 2026'!$J$2:$J$2719,AG$1)</f>
        <v>0</v>
      </c>
      <c r="AH61" s="143">
        <f>SUMIFS('апрель 2026'!$G$2:$G$2719,'апрель 2026'!$D$2:$D$2719,$B61,'апрель 2026'!$J$2:$J$2719,AH$1)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SUMIFS('апрель 2026'!$G$2:$G$2719,'апрель 2026'!$D$2:$D$2719,$B62,'апрель 2026'!$J$2:$J$2719,D$1)</f>
        <v>0</v>
      </c>
      <c r="E62" s="143">
        <f>SUMIFS('апрель 2026'!$G$2:$G$2719,'апрель 2026'!$D$2:$D$2719,$B62,'апрель 2026'!$J$2:$J$2719,E$1)</f>
        <v>0</v>
      </c>
      <c r="F62" s="143">
        <f>SUMIFS('апрель 2026'!$G$2:$G$2719,'апрель 2026'!$D$2:$D$2719,$B62,'апрель 2026'!$J$2:$J$2719,F$1)</f>
        <v>0</v>
      </c>
      <c r="G62" s="143">
        <f>SUMIFS('апрель 2026'!$G$2:$G$2719,'апрель 2026'!$D$2:$D$2719,$B62,'апрель 2026'!$J$2:$J$2719,G$1)</f>
        <v>0</v>
      </c>
      <c r="H62" s="143">
        <f>SUMIFS('апрель 2026'!$G$2:$G$2719,'апрель 2026'!$D$2:$D$2719,$B62,'апрель 2026'!$J$2:$J$2719,H$1)</f>
        <v>0</v>
      </c>
      <c r="I62" s="143">
        <f>SUMIFS('апрель 2026'!$G$2:$G$2719,'апрель 2026'!$D$2:$D$2719,$B62,'апрель 2026'!$J$2:$J$2719,I$1)</f>
        <v>0</v>
      </c>
      <c r="J62" s="143">
        <f>SUMIFS('апрель 2026'!$G$2:$G$2719,'апрель 2026'!$D$2:$D$2719,$B62,'апрель 2026'!$J$2:$J$2719,J$1)</f>
        <v>0</v>
      </c>
      <c r="K62" s="143">
        <f>SUMIFS('апрель 2026'!$G$2:$G$2719,'апрель 2026'!$D$2:$D$2719,$B62,'апрель 2026'!$J$2:$J$2719,K$1)</f>
        <v>0</v>
      </c>
      <c r="L62" s="143">
        <f>SUMIFS('апрель 2026'!$G$2:$G$2719,'апрель 2026'!$D$2:$D$2719,$B62,'апрель 2026'!$J$2:$J$2719,L$1)</f>
        <v>0</v>
      </c>
      <c r="M62" s="143">
        <f>SUMIFS('апрель 2026'!$G$2:$G$2719,'апрель 2026'!$D$2:$D$2719,$B62,'апрель 2026'!$J$2:$J$2719,M$1)</f>
        <v>0</v>
      </c>
      <c r="N62" s="143">
        <f>SUMIFS('апрель 2026'!$G$2:$G$2719,'апрель 2026'!$D$2:$D$2719,$B62,'апрель 2026'!$J$2:$J$2719,N$1)</f>
        <v>0</v>
      </c>
      <c r="O62" s="143">
        <f>SUMIFS('апрель 2026'!$G$2:$G$2719,'апрель 2026'!$D$2:$D$2719,$B62,'апрель 2026'!$J$2:$J$2719,O$1)</f>
        <v>0</v>
      </c>
      <c r="P62" s="143">
        <f>SUMIFS('апрель 2026'!$G$2:$G$2719,'апрель 2026'!$D$2:$D$2719,$B62,'апрель 2026'!$J$2:$J$2719,P$1)</f>
        <v>0</v>
      </c>
      <c r="Q62" s="143">
        <f>SUMIFS('апрель 2026'!$G$2:$G$2719,'апрель 2026'!$D$2:$D$2719,$B62,'апрель 2026'!$J$2:$J$2719,Q$1)</f>
        <v>0</v>
      </c>
      <c r="R62" s="143">
        <f>SUMIFS('апрель 2026'!$G$2:$G$2719,'апрель 2026'!$D$2:$D$2719,$B62,'апрель 2026'!$J$2:$J$2719,R$1)</f>
        <v>0</v>
      </c>
      <c r="S62" s="143">
        <f>SUMIFS('апрель 2026'!$G$2:$G$2719,'апрель 2026'!$D$2:$D$2719,$B62,'апрель 2026'!$J$2:$J$2719,S$1)</f>
        <v>0</v>
      </c>
      <c r="T62" s="143">
        <f>SUMIFS('апрель 2026'!$G$2:$G$2719,'апрель 2026'!$D$2:$D$2719,$B62,'апрель 2026'!$J$2:$J$2719,T$1)</f>
        <v>0</v>
      </c>
      <c r="U62" s="143">
        <f>SUMIFS('апрель 2026'!$G$2:$G$2719,'апрель 2026'!$D$2:$D$2719,$B62,'апрель 2026'!$J$2:$J$2719,U$1)</f>
        <v>0</v>
      </c>
      <c r="V62" s="143">
        <f>SUMIFS('апрель 2026'!$G$2:$G$2719,'апрель 2026'!$D$2:$D$2719,$B62,'апрель 2026'!$J$2:$J$2719,V$1)</f>
        <v>0</v>
      </c>
      <c r="W62" s="143">
        <f>SUMIFS('апрель 2026'!$G$2:$G$2719,'апрель 2026'!$D$2:$D$2719,$B62,'апрель 2026'!$J$2:$J$2719,W$1)</f>
        <v>0</v>
      </c>
      <c r="X62" s="143">
        <f>SUMIFS('апрель 2026'!$G$2:$G$2719,'апрель 2026'!$D$2:$D$2719,$B62,'апрель 2026'!$J$2:$J$2719,X$1)</f>
        <v>0</v>
      </c>
      <c r="Y62" s="143">
        <f>SUMIFS('апрель 2026'!$G$2:$G$2719,'апрель 2026'!$D$2:$D$2719,$B62,'апрель 2026'!$J$2:$J$2719,Y$1)</f>
        <v>0</v>
      </c>
      <c r="Z62" s="143">
        <f>SUMIFS('апрель 2026'!$G$2:$G$2719,'апрель 2026'!$D$2:$D$2719,$B62,'апрель 2026'!$J$2:$J$2719,Z$1)</f>
        <v>0</v>
      </c>
      <c r="AA62" s="143">
        <f>SUMIFS('апрель 2026'!$G$2:$G$2719,'апрель 2026'!$D$2:$D$2719,$B62,'апрель 2026'!$J$2:$J$2719,AA$1)</f>
        <v>0</v>
      </c>
      <c r="AB62" s="143">
        <f>SUMIFS('апрель 2026'!$G$2:$G$2719,'апрель 2026'!$D$2:$D$2719,$B62,'апрель 2026'!$J$2:$J$2719,AB$1)</f>
        <v>0</v>
      </c>
      <c r="AC62" s="143">
        <f>SUMIFS('апрель 2026'!$G$2:$G$2719,'апрель 2026'!$D$2:$D$2719,$B62,'апрель 2026'!$J$2:$J$2719,AC$1)</f>
        <v>0</v>
      </c>
      <c r="AD62" s="143">
        <f>SUMIFS('апрель 2026'!$G$2:$G$2719,'апрель 2026'!$D$2:$D$2719,$B62,'апрель 2026'!$J$2:$J$2719,AD$1)</f>
        <v>0</v>
      </c>
      <c r="AE62" s="143">
        <f>SUMIFS('апрель 2026'!$G$2:$G$2719,'апрель 2026'!$D$2:$D$2719,$B62,'апрель 2026'!$J$2:$J$2719,AE$1)</f>
        <v>0</v>
      </c>
      <c r="AF62" s="143">
        <f>SUMIFS('апрель 2026'!$G$2:$G$2719,'апрель 2026'!$D$2:$D$2719,$B62,'апрель 2026'!$J$2:$J$2719,AF$1)</f>
        <v>0</v>
      </c>
      <c r="AG62" s="143">
        <f>SUMIFS('апрель 2026'!$G$2:$G$2719,'апрель 2026'!$D$2:$D$2719,$B62,'апрель 2026'!$J$2:$J$2719,AG$1)</f>
        <v>0</v>
      </c>
      <c r="AH62" s="143">
        <f>SUMIFS('апрель 2026'!$G$2:$G$2719,'апрель 2026'!$D$2:$D$2719,$B62,'апрель 2026'!$J$2:$J$2719,AH$1)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SUMIFS('апрель 2026'!$G$2:$G$2719,'апрель 2026'!$D$2:$D$2719,$B63,'апрель 2026'!$J$2:$J$2719,D$1)</f>
        <v>0</v>
      </c>
      <c r="E63" s="143">
        <f>SUMIFS('апрель 2026'!$G$2:$G$2719,'апрель 2026'!$D$2:$D$2719,$B63,'апрель 2026'!$J$2:$J$2719,E$1)</f>
        <v>0</v>
      </c>
      <c r="F63" s="143">
        <f>SUMIFS('апрель 2026'!$G$2:$G$2719,'апрель 2026'!$D$2:$D$2719,$B63,'апрель 2026'!$J$2:$J$2719,F$1)</f>
        <v>0</v>
      </c>
      <c r="G63" s="143">
        <f>SUMIFS('апрель 2026'!$G$2:$G$2719,'апрель 2026'!$D$2:$D$2719,$B63,'апрель 2026'!$J$2:$J$2719,G$1)</f>
        <v>0</v>
      </c>
      <c r="H63" s="143">
        <f>SUMIFS('апрель 2026'!$G$2:$G$2719,'апрель 2026'!$D$2:$D$2719,$B63,'апрель 2026'!$J$2:$J$2719,H$1)</f>
        <v>0</v>
      </c>
      <c r="I63" s="143">
        <f>SUMIFS('апрель 2026'!$G$2:$G$2719,'апрель 2026'!$D$2:$D$2719,$B63,'апрель 2026'!$J$2:$J$2719,I$1)</f>
        <v>0</v>
      </c>
      <c r="J63" s="143">
        <f>SUMIFS('апрель 2026'!$G$2:$G$2719,'апрель 2026'!$D$2:$D$2719,$B63,'апрель 2026'!$J$2:$J$2719,J$1)</f>
        <v>0</v>
      </c>
      <c r="K63" s="143">
        <f>SUMIFS('апрель 2026'!$G$2:$G$2719,'апрель 2026'!$D$2:$D$2719,$B63,'апрель 2026'!$J$2:$J$2719,K$1)</f>
        <v>0</v>
      </c>
      <c r="L63" s="143">
        <f>SUMIFS('апрель 2026'!$G$2:$G$2719,'апрель 2026'!$D$2:$D$2719,$B63,'апрель 2026'!$J$2:$J$2719,L$1)</f>
        <v>0</v>
      </c>
      <c r="M63" s="143">
        <f>SUMIFS('апрель 2026'!$G$2:$G$2719,'апрель 2026'!$D$2:$D$2719,$B63,'апрель 2026'!$J$2:$J$2719,M$1)</f>
        <v>0</v>
      </c>
      <c r="N63" s="143">
        <f>SUMIFS('апрель 2026'!$G$2:$G$2719,'апрель 2026'!$D$2:$D$2719,$B63,'апрель 2026'!$J$2:$J$2719,N$1)</f>
        <v>0</v>
      </c>
      <c r="O63" s="143">
        <f>SUMIFS('апрель 2026'!$G$2:$G$2719,'апрель 2026'!$D$2:$D$2719,$B63,'апрель 2026'!$J$2:$J$2719,O$1)</f>
        <v>0</v>
      </c>
      <c r="P63" s="143">
        <f>SUMIFS('апрель 2026'!$G$2:$G$2719,'апрель 2026'!$D$2:$D$2719,$B63,'апрель 2026'!$J$2:$J$2719,P$1)</f>
        <v>0</v>
      </c>
      <c r="Q63" s="143">
        <f>SUMIFS('апрель 2026'!$G$2:$G$2719,'апрель 2026'!$D$2:$D$2719,$B63,'апрель 2026'!$J$2:$J$2719,Q$1)</f>
        <v>0</v>
      </c>
      <c r="R63" s="143">
        <f>SUMIFS('апрель 2026'!$G$2:$G$2719,'апрель 2026'!$D$2:$D$2719,$B63,'апрель 2026'!$J$2:$J$2719,R$1)</f>
        <v>0</v>
      </c>
      <c r="S63" s="143">
        <f>SUMIFS('апрель 2026'!$G$2:$G$2719,'апрель 2026'!$D$2:$D$2719,$B63,'апрель 2026'!$J$2:$J$2719,S$1)</f>
        <v>0</v>
      </c>
      <c r="T63" s="143">
        <f>SUMIFS('апрель 2026'!$G$2:$G$2719,'апрель 2026'!$D$2:$D$2719,$B63,'апрель 2026'!$J$2:$J$2719,T$1)</f>
        <v>0</v>
      </c>
      <c r="U63" s="143">
        <f>SUMIFS('апрель 2026'!$G$2:$G$2719,'апрель 2026'!$D$2:$D$2719,$B63,'апрель 2026'!$J$2:$J$2719,U$1)</f>
        <v>0</v>
      </c>
      <c r="V63" s="143">
        <f>SUMIFS('апрель 2026'!$G$2:$G$2719,'апрель 2026'!$D$2:$D$2719,$B63,'апрель 2026'!$J$2:$J$2719,V$1)</f>
        <v>0</v>
      </c>
      <c r="W63" s="143">
        <f>SUMIFS('апрель 2026'!$G$2:$G$2719,'апрель 2026'!$D$2:$D$2719,$B63,'апрель 2026'!$J$2:$J$2719,W$1)</f>
        <v>0</v>
      </c>
      <c r="X63" s="143">
        <f>SUMIFS('апрель 2026'!$G$2:$G$2719,'апрель 2026'!$D$2:$D$2719,$B63,'апрель 2026'!$J$2:$J$2719,X$1)</f>
        <v>0</v>
      </c>
      <c r="Y63" s="143">
        <f>SUMIFS('апрель 2026'!$G$2:$G$2719,'апрель 2026'!$D$2:$D$2719,$B63,'апрель 2026'!$J$2:$J$2719,Y$1)</f>
        <v>0</v>
      </c>
      <c r="Z63" s="143">
        <f>SUMIFS('апрель 2026'!$G$2:$G$2719,'апрель 2026'!$D$2:$D$2719,$B63,'апрель 2026'!$J$2:$J$2719,Z$1)</f>
        <v>0</v>
      </c>
      <c r="AA63" s="143">
        <f>SUMIFS('апрель 2026'!$G$2:$G$2719,'апрель 2026'!$D$2:$D$2719,$B63,'апрель 2026'!$J$2:$J$2719,AA$1)</f>
        <v>0</v>
      </c>
      <c r="AB63" s="143">
        <f>SUMIFS('апрель 2026'!$G$2:$G$2719,'апрель 2026'!$D$2:$D$2719,$B63,'апрель 2026'!$J$2:$J$2719,AB$1)</f>
        <v>0</v>
      </c>
      <c r="AC63" s="143">
        <f>SUMIFS('апрель 2026'!$G$2:$G$2719,'апрель 2026'!$D$2:$D$2719,$B63,'апрель 2026'!$J$2:$J$2719,AC$1)</f>
        <v>0</v>
      </c>
      <c r="AD63" s="143">
        <f>SUMIFS('апрель 2026'!$G$2:$G$2719,'апрель 2026'!$D$2:$D$2719,$B63,'апрель 2026'!$J$2:$J$2719,AD$1)</f>
        <v>0</v>
      </c>
      <c r="AE63" s="143">
        <f>SUMIFS('апрель 2026'!$G$2:$G$2719,'апрель 2026'!$D$2:$D$2719,$B63,'апрель 2026'!$J$2:$J$2719,AE$1)</f>
        <v>0</v>
      </c>
      <c r="AF63" s="143">
        <f>SUMIFS('апрель 2026'!$G$2:$G$2719,'апрель 2026'!$D$2:$D$2719,$B63,'апрель 2026'!$J$2:$J$2719,AF$1)</f>
        <v>0</v>
      </c>
      <c r="AG63" s="143">
        <f>SUMIFS('апрель 2026'!$G$2:$G$2719,'апрель 2026'!$D$2:$D$2719,$B63,'апрель 2026'!$J$2:$J$2719,AG$1)</f>
        <v>0</v>
      </c>
      <c r="AH63" s="143">
        <f>SUMIFS('апрель 2026'!$G$2:$G$2719,'апрель 2026'!$D$2:$D$2719,$B63,'апрель 2026'!$J$2:$J$2719,AH$1)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SUMIFS('апрель 2026'!$G$2:$G$2719,'апрель 2026'!$D$2:$D$2719,$B64,'апрель 2026'!$J$2:$J$2719,D$1)</f>
        <v>0</v>
      </c>
      <c r="E64" s="143">
        <f>SUMIFS('апрель 2026'!$G$2:$G$2719,'апрель 2026'!$D$2:$D$2719,$B64,'апрель 2026'!$J$2:$J$2719,E$1)</f>
        <v>0</v>
      </c>
      <c r="F64" s="143">
        <f>SUMIFS('апрель 2026'!$G$2:$G$2719,'апрель 2026'!$D$2:$D$2719,$B64,'апрель 2026'!$J$2:$J$2719,F$1)</f>
        <v>0</v>
      </c>
      <c r="G64" s="143">
        <f>SUMIFS('апрель 2026'!$G$2:$G$2719,'апрель 2026'!$D$2:$D$2719,$B64,'апрель 2026'!$J$2:$J$2719,G$1)</f>
        <v>0</v>
      </c>
      <c r="H64" s="143">
        <f>SUMIFS('апрель 2026'!$G$2:$G$2719,'апрель 2026'!$D$2:$D$2719,$B64,'апрель 2026'!$J$2:$J$2719,H$1)</f>
        <v>0</v>
      </c>
      <c r="I64" s="143">
        <f>SUMIFS('апрель 2026'!$G$2:$G$2719,'апрель 2026'!$D$2:$D$2719,$B64,'апрель 2026'!$J$2:$J$2719,I$1)</f>
        <v>0</v>
      </c>
      <c r="J64" s="143">
        <f>SUMIFS('апрель 2026'!$G$2:$G$2719,'апрель 2026'!$D$2:$D$2719,$B64,'апрель 2026'!$J$2:$J$2719,J$1)</f>
        <v>0</v>
      </c>
      <c r="K64" s="143">
        <f>SUMIFS('апрель 2026'!$G$2:$G$2719,'апрель 2026'!$D$2:$D$2719,$B64,'апрель 2026'!$J$2:$J$2719,K$1)</f>
        <v>0</v>
      </c>
      <c r="L64" s="143">
        <f>SUMIFS('апрель 2026'!$G$2:$G$2719,'апрель 2026'!$D$2:$D$2719,$B64,'апрель 2026'!$J$2:$J$2719,L$1)</f>
        <v>0</v>
      </c>
      <c r="M64" s="143">
        <f>SUMIFS('апрель 2026'!$G$2:$G$2719,'апрель 2026'!$D$2:$D$2719,$B64,'апрель 2026'!$J$2:$J$2719,M$1)</f>
        <v>0</v>
      </c>
      <c r="N64" s="143">
        <f>SUMIFS('апрель 2026'!$G$2:$G$2719,'апрель 2026'!$D$2:$D$2719,$B64,'апрель 2026'!$J$2:$J$2719,N$1)</f>
        <v>0</v>
      </c>
      <c r="O64" s="143">
        <f>SUMIFS('апрель 2026'!$G$2:$G$2719,'апрель 2026'!$D$2:$D$2719,$B64,'апрель 2026'!$J$2:$J$2719,O$1)</f>
        <v>0</v>
      </c>
      <c r="P64" s="143">
        <f>SUMIFS('апрель 2026'!$G$2:$G$2719,'апрель 2026'!$D$2:$D$2719,$B64,'апрель 2026'!$J$2:$J$2719,P$1)</f>
        <v>0</v>
      </c>
      <c r="Q64" s="143">
        <f>SUMIFS('апрель 2026'!$G$2:$G$2719,'апрель 2026'!$D$2:$D$2719,$B64,'апрель 2026'!$J$2:$J$2719,Q$1)</f>
        <v>0</v>
      </c>
      <c r="R64" s="143">
        <f>SUMIFS('апрель 2026'!$G$2:$G$2719,'апрель 2026'!$D$2:$D$2719,$B64,'апрель 2026'!$J$2:$J$2719,R$1)</f>
        <v>0</v>
      </c>
      <c r="S64" s="143">
        <f>SUMIFS('апрель 2026'!$G$2:$G$2719,'апрель 2026'!$D$2:$D$2719,$B64,'апрель 2026'!$J$2:$J$2719,S$1)</f>
        <v>0</v>
      </c>
      <c r="T64" s="143">
        <f>SUMIFS('апрель 2026'!$G$2:$G$2719,'апрель 2026'!$D$2:$D$2719,$B64,'апрель 2026'!$J$2:$J$2719,T$1)</f>
        <v>0</v>
      </c>
      <c r="U64" s="143">
        <f>SUMIFS('апрель 2026'!$G$2:$G$2719,'апрель 2026'!$D$2:$D$2719,$B64,'апрель 2026'!$J$2:$J$2719,U$1)</f>
        <v>0</v>
      </c>
      <c r="V64" s="143">
        <f>SUMIFS('апрель 2026'!$G$2:$G$2719,'апрель 2026'!$D$2:$D$2719,$B64,'апрель 2026'!$J$2:$J$2719,V$1)</f>
        <v>0</v>
      </c>
      <c r="W64" s="143">
        <f>SUMIFS('апрель 2026'!$G$2:$G$2719,'апрель 2026'!$D$2:$D$2719,$B64,'апрель 2026'!$J$2:$J$2719,W$1)</f>
        <v>0</v>
      </c>
      <c r="X64" s="143">
        <f>SUMIFS('апрель 2026'!$G$2:$G$2719,'апрель 2026'!$D$2:$D$2719,$B64,'апрель 2026'!$J$2:$J$2719,X$1)</f>
        <v>0</v>
      </c>
      <c r="Y64" s="143">
        <f>SUMIFS('апрель 2026'!$G$2:$G$2719,'апрель 2026'!$D$2:$D$2719,$B64,'апрель 2026'!$J$2:$J$2719,Y$1)</f>
        <v>0</v>
      </c>
      <c r="Z64" s="143">
        <f>SUMIFS('апрель 2026'!$G$2:$G$2719,'апрель 2026'!$D$2:$D$2719,$B64,'апрель 2026'!$J$2:$J$2719,Z$1)</f>
        <v>0</v>
      </c>
      <c r="AA64" s="143">
        <f>SUMIFS('апрель 2026'!$G$2:$G$2719,'апрель 2026'!$D$2:$D$2719,$B64,'апрель 2026'!$J$2:$J$2719,AA$1)</f>
        <v>0</v>
      </c>
      <c r="AB64" s="143">
        <f>SUMIFS('апрель 2026'!$G$2:$G$2719,'апрель 2026'!$D$2:$D$2719,$B64,'апрель 2026'!$J$2:$J$2719,AB$1)</f>
        <v>0</v>
      </c>
      <c r="AC64" s="143">
        <f>SUMIFS('апрель 2026'!$G$2:$G$2719,'апрель 2026'!$D$2:$D$2719,$B64,'апрель 2026'!$J$2:$J$2719,AC$1)</f>
        <v>0</v>
      </c>
      <c r="AD64" s="143">
        <f>SUMIFS('апрель 2026'!$G$2:$G$2719,'апрель 2026'!$D$2:$D$2719,$B64,'апрель 2026'!$J$2:$J$2719,AD$1)</f>
        <v>0</v>
      </c>
      <c r="AE64" s="143">
        <f>SUMIFS('апрель 2026'!$G$2:$G$2719,'апрель 2026'!$D$2:$D$2719,$B64,'апрель 2026'!$J$2:$J$2719,AE$1)</f>
        <v>0</v>
      </c>
      <c r="AF64" s="143">
        <f>SUMIFS('апрель 2026'!$G$2:$G$2719,'апрель 2026'!$D$2:$D$2719,$B64,'апрель 2026'!$J$2:$J$2719,AF$1)</f>
        <v>0</v>
      </c>
      <c r="AG64" s="143">
        <f>SUMIFS('апрель 2026'!$G$2:$G$2719,'апрель 2026'!$D$2:$D$2719,$B64,'апрель 2026'!$J$2:$J$2719,AG$1)</f>
        <v>0</v>
      </c>
      <c r="AH64" s="143">
        <f>SUMIFS('апрель 2026'!$G$2:$G$2719,'апрель 2026'!$D$2:$D$2719,$B64,'апрель 2026'!$J$2:$J$2719,AH$1)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SUMIFS('апрель 2026'!$G$2:$G$2719,'апрель 2026'!$D$2:$D$2719,$B65,'апрель 2026'!$J$2:$J$2719,D$1)</f>
        <v>0</v>
      </c>
      <c r="E65" s="143">
        <f>SUMIFS('апрель 2026'!$G$2:$G$2719,'апрель 2026'!$D$2:$D$2719,$B65,'апрель 2026'!$J$2:$J$2719,E$1)</f>
        <v>0</v>
      </c>
      <c r="F65" s="143">
        <f>SUMIFS('апрель 2026'!$G$2:$G$2719,'апрель 2026'!$D$2:$D$2719,$B65,'апрель 2026'!$J$2:$J$2719,F$1)</f>
        <v>0</v>
      </c>
      <c r="G65" s="143">
        <f>SUMIFS('апрель 2026'!$G$2:$G$2719,'апрель 2026'!$D$2:$D$2719,$B65,'апрель 2026'!$J$2:$J$2719,G$1)</f>
        <v>0</v>
      </c>
      <c r="H65" s="143">
        <f>SUMIFS('апрель 2026'!$G$2:$G$2719,'апрель 2026'!$D$2:$D$2719,$B65,'апрель 2026'!$J$2:$J$2719,H$1)</f>
        <v>0</v>
      </c>
      <c r="I65" s="143">
        <f>SUMIFS('апрель 2026'!$G$2:$G$2719,'апрель 2026'!$D$2:$D$2719,$B65,'апрель 2026'!$J$2:$J$2719,I$1)</f>
        <v>0</v>
      </c>
      <c r="J65" s="143">
        <f>SUMIFS('апрель 2026'!$G$2:$G$2719,'апрель 2026'!$D$2:$D$2719,$B65,'апрель 2026'!$J$2:$J$2719,J$1)</f>
        <v>0</v>
      </c>
      <c r="K65" s="143">
        <f>SUMIFS('апрель 2026'!$G$2:$G$2719,'апрель 2026'!$D$2:$D$2719,$B65,'апрель 2026'!$J$2:$J$2719,K$1)</f>
        <v>0</v>
      </c>
      <c r="L65" s="143">
        <f>SUMIFS('апрель 2026'!$G$2:$G$2719,'апрель 2026'!$D$2:$D$2719,$B65,'апрель 2026'!$J$2:$J$2719,L$1)</f>
        <v>0</v>
      </c>
      <c r="M65" s="143">
        <f>SUMIFS('апрель 2026'!$G$2:$G$2719,'апрель 2026'!$D$2:$D$2719,$B65,'апрель 2026'!$J$2:$J$2719,M$1)</f>
        <v>0</v>
      </c>
      <c r="N65" s="143">
        <f>SUMIFS('апрель 2026'!$G$2:$G$2719,'апрель 2026'!$D$2:$D$2719,$B65,'апрель 2026'!$J$2:$J$2719,N$1)</f>
        <v>0</v>
      </c>
      <c r="O65" s="143">
        <f>SUMIFS('апрель 2026'!$G$2:$G$2719,'апрель 2026'!$D$2:$D$2719,$B65,'апрель 2026'!$J$2:$J$2719,O$1)</f>
        <v>0</v>
      </c>
      <c r="P65" s="143">
        <f>SUMIFS('апрель 2026'!$G$2:$G$2719,'апрель 2026'!$D$2:$D$2719,$B65,'апрель 2026'!$J$2:$J$2719,P$1)</f>
        <v>0</v>
      </c>
      <c r="Q65" s="143">
        <f>SUMIFS('апрель 2026'!$G$2:$G$2719,'апрель 2026'!$D$2:$D$2719,$B65,'апрель 2026'!$J$2:$J$2719,Q$1)</f>
        <v>0</v>
      </c>
      <c r="R65" s="143">
        <f>SUMIFS('апрель 2026'!$G$2:$G$2719,'апрель 2026'!$D$2:$D$2719,$B65,'апрель 2026'!$J$2:$J$2719,R$1)</f>
        <v>0</v>
      </c>
      <c r="S65" s="143">
        <f>SUMIFS('апрель 2026'!$G$2:$G$2719,'апрель 2026'!$D$2:$D$2719,$B65,'апрель 2026'!$J$2:$J$2719,S$1)</f>
        <v>0</v>
      </c>
      <c r="T65" s="143">
        <f>SUMIFS('апрель 2026'!$G$2:$G$2719,'апрель 2026'!$D$2:$D$2719,$B65,'апрель 2026'!$J$2:$J$2719,T$1)</f>
        <v>0</v>
      </c>
      <c r="U65" s="143">
        <f>SUMIFS('апрель 2026'!$G$2:$G$2719,'апрель 2026'!$D$2:$D$2719,$B65,'апрель 2026'!$J$2:$J$2719,U$1)</f>
        <v>0</v>
      </c>
      <c r="V65" s="143">
        <f>SUMIFS('апрель 2026'!$G$2:$G$2719,'апрель 2026'!$D$2:$D$2719,$B65,'апрель 2026'!$J$2:$J$2719,V$1)</f>
        <v>0</v>
      </c>
      <c r="W65" s="143">
        <f>SUMIFS('апрель 2026'!$G$2:$G$2719,'апрель 2026'!$D$2:$D$2719,$B65,'апрель 2026'!$J$2:$J$2719,W$1)</f>
        <v>0</v>
      </c>
      <c r="X65" s="143">
        <f>SUMIFS('апрель 2026'!$G$2:$G$2719,'апрель 2026'!$D$2:$D$2719,$B65,'апрель 2026'!$J$2:$J$2719,X$1)</f>
        <v>0</v>
      </c>
      <c r="Y65" s="143">
        <f>SUMIFS('апрель 2026'!$G$2:$G$2719,'апрель 2026'!$D$2:$D$2719,$B65,'апрель 2026'!$J$2:$J$2719,Y$1)</f>
        <v>0</v>
      </c>
      <c r="Z65" s="143">
        <f>SUMIFS('апрель 2026'!$G$2:$G$2719,'апрель 2026'!$D$2:$D$2719,$B65,'апрель 2026'!$J$2:$J$2719,Z$1)</f>
        <v>0</v>
      </c>
      <c r="AA65" s="143">
        <f>SUMIFS('апрель 2026'!$G$2:$G$2719,'апрель 2026'!$D$2:$D$2719,$B65,'апрель 2026'!$J$2:$J$2719,AA$1)</f>
        <v>0</v>
      </c>
      <c r="AB65" s="143">
        <f>SUMIFS('апрель 2026'!$G$2:$G$2719,'апрель 2026'!$D$2:$D$2719,$B65,'апрель 2026'!$J$2:$J$2719,AB$1)</f>
        <v>0</v>
      </c>
      <c r="AC65" s="143">
        <f>SUMIFS('апрель 2026'!$G$2:$G$2719,'апрель 2026'!$D$2:$D$2719,$B65,'апрель 2026'!$J$2:$J$2719,AC$1)</f>
        <v>0</v>
      </c>
      <c r="AD65" s="143">
        <f>SUMIFS('апрель 2026'!$G$2:$G$2719,'апрель 2026'!$D$2:$D$2719,$B65,'апрель 2026'!$J$2:$J$2719,AD$1)</f>
        <v>0</v>
      </c>
      <c r="AE65" s="143">
        <f>SUMIFS('апрель 2026'!$G$2:$G$2719,'апрель 2026'!$D$2:$D$2719,$B65,'апрель 2026'!$J$2:$J$2719,AE$1)</f>
        <v>0</v>
      </c>
      <c r="AF65" s="143">
        <f>SUMIFS('апрель 2026'!$G$2:$G$2719,'апрель 2026'!$D$2:$D$2719,$B65,'апрель 2026'!$J$2:$J$2719,AF$1)</f>
        <v>0</v>
      </c>
      <c r="AG65" s="143">
        <f>SUMIFS('апрель 2026'!$G$2:$G$2719,'апрель 2026'!$D$2:$D$2719,$B65,'апрель 2026'!$J$2:$J$2719,AG$1)</f>
        <v>0</v>
      </c>
      <c r="AH65" s="143">
        <f>SUMIFS('апрель 2026'!$G$2:$G$2719,'апрель 2026'!$D$2:$D$2719,$B65,'апрель 2026'!$J$2:$J$2719,AH$1)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SUMIFS('апрель 2026'!$G$2:$G$2719,'апрель 2026'!$D$2:$D$2719,$B66,'апрель 2026'!$J$2:$J$2719,D$1)</f>
        <v>0</v>
      </c>
      <c r="E66" s="143">
        <f>SUMIFS('апрель 2026'!$G$2:$G$2719,'апрель 2026'!$D$2:$D$2719,$B66,'апрель 2026'!$J$2:$J$2719,E$1)</f>
        <v>0</v>
      </c>
      <c r="F66" s="143">
        <f>SUMIFS('апрель 2026'!$G$2:$G$2719,'апрель 2026'!$D$2:$D$2719,$B66,'апрель 2026'!$J$2:$J$2719,F$1)</f>
        <v>0</v>
      </c>
      <c r="G66" s="143">
        <f>SUMIFS('апрель 2026'!$G$2:$G$2719,'апрель 2026'!$D$2:$D$2719,$B66,'апрель 2026'!$J$2:$J$2719,G$1)</f>
        <v>0</v>
      </c>
      <c r="H66" s="143">
        <f>SUMIFS('апрель 2026'!$G$2:$G$2719,'апрель 2026'!$D$2:$D$2719,$B66,'апрель 2026'!$J$2:$J$2719,H$1)</f>
        <v>0</v>
      </c>
      <c r="I66" s="143">
        <f>SUMIFS('апрель 2026'!$G$2:$G$2719,'апрель 2026'!$D$2:$D$2719,$B66,'апрель 2026'!$J$2:$J$2719,I$1)</f>
        <v>0</v>
      </c>
      <c r="J66" s="143">
        <f>SUMIFS('апрель 2026'!$G$2:$G$2719,'апрель 2026'!$D$2:$D$2719,$B66,'апрель 2026'!$J$2:$J$2719,J$1)</f>
        <v>0</v>
      </c>
      <c r="K66" s="143">
        <f>SUMIFS('апрель 2026'!$G$2:$G$2719,'апрель 2026'!$D$2:$D$2719,$B66,'апрель 2026'!$J$2:$J$2719,K$1)</f>
        <v>0</v>
      </c>
      <c r="L66" s="143">
        <f>SUMIFS('апрель 2026'!$G$2:$G$2719,'апрель 2026'!$D$2:$D$2719,$B66,'апрель 2026'!$J$2:$J$2719,L$1)</f>
        <v>0</v>
      </c>
      <c r="M66" s="143">
        <f>SUMIFS('апрель 2026'!$G$2:$G$2719,'апрель 2026'!$D$2:$D$2719,$B66,'апрель 2026'!$J$2:$J$2719,M$1)</f>
        <v>0</v>
      </c>
      <c r="N66" s="143">
        <f>SUMIFS('апрель 2026'!$G$2:$G$2719,'апрель 2026'!$D$2:$D$2719,$B66,'апрель 2026'!$J$2:$J$2719,N$1)</f>
        <v>0</v>
      </c>
      <c r="O66" s="143">
        <f>SUMIFS('апрель 2026'!$G$2:$G$2719,'апрель 2026'!$D$2:$D$2719,$B66,'апрель 2026'!$J$2:$J$2719,O$1)</f>
        <v>0</v>
      </c>
      <c r="P66" s="143">
        <f>SUMIFS('апрель 2026'!$G$2:$G$2719,'апрель 2026'!$D$2:$D$2719,$B66,'апрель 2026'!$J$2:$J$2719,P$1)</f>
        <v>0</v>
      </c>
      <c r="Q66" s="143">
        <f>SUMIFS('апрель 2026'!$G$2:$G$2719,'апрель 2026'!$D$2:$D$2719,$B66,'апрель 2026'!$J$2:$J$2719,Q$1)</f>
        <v>0</v>
      </c>
      <c r="R66" s="143">
        <f>SUMIFS('апрель 2026'!$G$2:$G$2719,'апрель 2026'!$D$2:$D$2719,$B66,'апрель 2026'!$J$2:$J$2719,R$1)</f>
        <v>0</v>
      </c>
      <c r="S66" s="143">
        <f>SUMIFS('апрель 2026'!$G$2:$G$2719,'апрель 2026'!$D$2:$D$2719,$B66,'апрель 2026'!$J$2:$J$2719,S$1)</f>
        <v>0</v>
      </c>
      <c r="T66" s="143">
        <f>SUMIFS('апрель 2026'!$G$2:$G$2719,'апрель 2026'!$D$2:$D$2719,$B66,'апрель 2026'!$J$2:$J$2719,T$1)</f>
        <v>0</v>
      </c>
      <c r="U66" s="143">
        <f>SUMIFS('апрель 2026'!$G$2:$G$2719,'апрель 2026'!$D$2:$D$2719,$B66,'апрель 2026'!$J$2:$J$2719,U$1)</f>
        <v>0</v>
      </c>
      <c r="V66" s="143">
        <f>SUMIFS('апрель 2026'!$G$2:$G$2719,'апрель 2026'!$D$2:$D$2719,$B66,'апрель 2026'!$J$2:$J$2719,V$1)</f>
        <v>0</v>
      </c>
      <c r="W66" s="143">
        <f>SUMIFS('апрель 2026'!$G$2:$G$2719,'апрель 2026'!$D$2:$D$2719,$B66,'апрель 2026'!$J$2:$J$2719,W$1)</f>
        <v>0</v>
      </c>
      <c r="X66" s="143">
        <f>SUMIFS('апрель 2026'!$G$2:$G$2719,'апрель 2026'!$D$2:$D$2719,$B66,'апрель 2026'!$J$2:$J$2719,X$1)</f>
        <v>0</v>
      </c>
      <c r="Y66" s="143">
        <f>SUMIFS('апрель 2026'!$G$2:$G$2719,'апрель 2026'!$D$2:$D$2719,$B66,'апрель 2026'!$J$2:$J$2719,Y$1)</f>
        <v>0</v>
      </c>
      <c r="Z66" s="143">
        <f>SUMIFS('апрель 2026'!$G$2:$G$2719,'апрель 2026'!$D$2:$D$2719,$B66,'апрель 2026'!$J$2:$J$2719,Z$1)</f>
        <v>0</v>
      </c>
      <c r="AA66" s="143">
        <f>SUMIFS('апрель 2026'!$G$2:$G$2719,'апрель 2026'!$D$2:$D$2719,$B66,'апрель 2026'!$J$2:$J$2719,AA$1)</f>
        <v>0</v>
      </c>
      <c r="AB66" s="143">
        <f>SUMIFS('апрель 2026'!$G$2:$G$2719,'апрель 2026'!$D$2:$D$2719,$B66,'апрель 2026'!$J$2:$J$2719,AB$1)</f>
        <v>0</v>
      </c>
      <c r="AC66" s="143">
        <f>SUMIFS('апрель 2026'!$G$2:$G$2719,'апрель 2026'!$D$2:$D$2719,$B66,'апрель 2026'!$J$2:$J$2719,AC$1)</f>
        <v>0</v>
      </c>
      <c r="AD66" s="143">
        <f>SUMIFS('апрель 2026'!$G$2:$G$2719,'апрель 2026'!$D$2:$D$2719,$B66,'апрель 2026'!$J$2:$J$2719,AD$1)</f>
        <v>0</v>
      </c>
      <c r="AE66" s="143">
        <f>SUMIFS('апрель 2026'!$G$2:$G$2719,'апрель 2026'!$D$2:$D$2719,$B66,'апрель 2026'!$J$2:$J$2719,AE$1)</f>
        <v>0</v>
      </c>
      <c r="AF66" s="143">
        <f>SUMIFS('апрель 2026'!$G$2:$G$2719,'апрель 2026'!$D$2:$D$2719,$B66,'апрель 2026'!$J$2:$J$2719,AF$1)</f>
        <v>0</v>
      </c>
      <c r="AG66" s="143">
        <f>SUMIFS('апрель 2026'!$G$2:$G$2719,'апрель 2026'!$D$2:$D$2719,$B66,'апрель 2026'!$J$2:$J$2719,AG$1)</f>
        <v>0</v>
      </c>
      <c r="AH66" s="143">
        <f>SUMIFS('апрель 2026'!$G$2:$G$2719,'апрель 2026'!$D$2:$D$2719,$B66,'апрель 2026'!$J$2:$J$2719,AH$1)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SUMIFS('апрель 2026'!$G$2:$G$2719,'апрель 2026'!$D$2:$D$2719,$B67,'апрель 2026'!$J$2:$J$2719,D$1)</f>
        <v>0</v>
      </c>
      <c r="E67" s="143">
        <f>SUMIFS('апрель 2026'!$G$2:$G$2719,'апрель 2026'!$D$2:$D$2719,$B67,'апрель 2026'!$J$2:$J$2719,E$1)</f>
        <v>0</v>
      </c>
      <c r="F67" s="143">
        <f>SUMIFS('апрель 2026'!$G$2:$G$2719,'апрель 2026'!$D$2:$D$2719,$B67,'апрель 2026'!$J$2:$J$2719,F$1)</f>
        <v>0</v>
      </c>
      <c r="G67" s="143">
        <f>SUMIFS('апрель 2026'!$G$2:$G$2719,'апрель 2026'!$D$2:$D$2719,$B67,'апрель 2026'!$J$2:$J$2719,G$1)</f>
        <v>0</v>
      </c>
      <c r="H67" s="143">
        <f>SUMIFS('апрель 2026'!$G$2:$G$2719,'апрель 2026'!$D$2:$D$2719,$B67,'апрель 2026'!$J$2:$J$2719,H$1)</f>
        <v>0</v>
      </c>
      <c r="I67" s="143">
        <f>SUMIFS('апрель 2026'!$G$2:$G$2719,'апрель 2026'!$D$2:$D$2719,$B67,'апрель 2026'!$J$2:$J$2719,I$1)</f>
        <v>0</v>
      </c>
      <c r="J67" s="143">
        <f>SUMIFS('апрель 2026'!$G$2:$G$2719,'апрель 2026'!$D$2:$D$2719,$B67,'апрель 2026'!$J$2:$J$2719,J$1)</f>
        <v>0</v>
      </c>
      <c r="K67" s="143">
        <f>SUMIFS('апрель 2026'!$G$2:$G$2719,'апрель 2026'!$D$2:$D$2719,$B67,'апрель 2026'!$J$2:$J$2719,K$1)</f>
        <v>0</v>
      </c>
      <c r="L67" s="143">
        <f>SUMIFS('апрель 2026'!$G$2:$G$2719,'апрель 2026'!$D$2:$D$2719,$B67,'апрель 2026'!$J$2:$J$2719,L$1)</f>
        <v>0</v>
      </c>
      <c r="M67" s="143">
        <f>SUMIFS('апрель 2026'!$G$2:$G$2719,'апрель 2026'!$D$2:$D$2719,$B67,'апрель 2026'!$J$2:$J$2719,M$1)</f>
        <v>0</v>
      </c>
      <c r="N67" s="143">
        <f>SUMIFS('апрель 2026'!$G$2:$G$2719,'апрель 2026'!$D$2:$D$2719,$B67,'апрель 2026'!$J$2:$J$2719,N$1)</f>
        <v>0</v>
      </c>
      <c r="O67" s="143">
        <f>SUMIFS('апрель 2026'!$G$2:$G$2719,'апрель 2026'!$D$2:$D$2719,$B67,'апрель 2026'!$J$2:$J$2719,O$1)</f>
        <v>0</v>
      </c>
      <c r="P67" s="143">
        <f>SUMIFS('апрель 2026'!$G$2:$G$2719,'апрель 2026'!$D$2:$D$2719,$B67,'апрель 2026'!$J$2:$J$2719,P$1)</f>
        <v>0</v>
      </c>
      <c r="Q67" s="143">
        <f>SUMIFS('апрель 2026'!$G$2:$G$2719,'апрель 2026'!$D$2:$D$2719,$B67,'апрель 2026'!$J$2:$J$2719,Q$1)</f>
        <v>0</v>
      </c>
      <c r="R67" s="143">
        <f>SUMIFS('апрель 2026'!$G$2:$G$2719,'апрель 2026'!$D$2:$D$2719,$B67,'апрель 2026'!$J$2:$J$2719,R$1)</f>
        <v>0</v>
      </c>
      <c r="S67" s="143">
        <f>SUMIFS('апрель 2026'!$G$2:$G$2719,'апрель 2026'!$D$2:$D$2719,$B67,'апрель 2026'!$J$2:$J$2719,S$1)</f>
        <v>0</v>
      </c>
      <c r="T67" s="143">
        <f>SUMIFS('апрель 2026'!$G$2:$G$2719,'апрель 2026'!$D$2:$D$2719,$B67,'апрель 2026'!$J$2:$J$2719,T$1)</f>
        <v>0</v>
      </c>
      <c r="U67" s="143">
        <f>SUMIFS('апрель 2026'!$G$2:$G$2719,'апрель 2026'!$D$2:$D$2719,$B67,'апрель 2026'!$J$2:$J$2719,U$1)</f>
        <v>0</v>
      </c>
      <c r="V67" s="143">
        <f>SUMIFS('апрель 2026'!$G$2:$G$2719,'апрель 2026'!$D$2:$D$2719,$B67,'апрель 2026'!$J$2:$J$2719,V$1)</f>
        <v>0</v>
      </c>
      <c r="W67" s="143">
        <f>SUMIFS('апрель 2026'!$G$2:$G$2719,'апрель 2026'!$D$2:$D$2719,$B67,'апрель 2026'!$J$2:$J$2719,W$1)</f>
        <v>0</v>
      </c>
      <c r="X67" s="143">
        <f>SUMIFS('апрель 2026'!$G$2:$G$2719,'апрель 2026'!$D$2:$D$2719,$B67,'апрель 2026'!$J$2:$J$2719,X$1)</f>
        <v>0</v>
      </c>
      <c r="Y67" s="143">
        <f>SUMIFS('апрель 2026'!$G$2:$G$2719,'апрель 2026'!$D$2:$D$2719,$B67,'апрель 2026'!$J$2:$J$2719,Y$1)</f>
        <v>0</v>
      </c>
      <c r="Z67" s="143">
        <f>SUMIFS('апрель 2026'!$G$2:$G$2719,'апрель 2026'!$D$2:$D$2719,$B67,'апрель 2026'!$J$2:$J$2719,Z$1)</f>
        <v>0</v>
      </c>
      <c r="AA67" s="143">
        <f>SUMIFS('апрель 2026'!$G$2:$G$2719,'апрель 2026'!$D$2:$D$2719,$B67,'апрель 2026'!$J$2:$J$2719,AA$1)</f>
        <v>0</v>
      </c>
      <c r="AB67" s="143">
        <f>SUMIFS('апрель 2026'!$G$2:$G$2719,'апрель 2026'!$D$2:$D$2719,$B67,'апрель 2026'!$J$2:$J$2719,AB$1)</f>
        <v>0</v>
      </c>
      <c r="AC67" s="143">
        <f>SUMIFS('апрель 2026'!$G$2:$G$2719,'апрель 2026'!$D$2:$D$2719,$B67,'апрель 2026'!$J$2:$J$2719,AC$1)</f>
        <v>0</v>
      </c>
      <c r="AD67" s="143">
        <f>SUMIFS('апрель 2026'!$G$2:$G$2719,'апрель 2026'!$D$2:$D$2719,$B67,'апрель 2026'!$J$2:$J$2719,AD$1)</f>
        <v>0</v>
      </c>
      <c r="AE67" s="143">
        <f>SUMIFS('апрель 2026'!$G$2:$G$2719,'апрель 2026'!$D$2:$D$2719,$B67,'апрель 2026'!$J$2:$J$2719,AE$1)</f>
        <v>0</v>
      </c>
      <c r="AF67" s="143">
        <f>SUMIFS('апрель 2026'!$G$2:$G$2719,'апрель 2026'!$D$2:$D$2719,$B67,'апрель 2026'!$J$2:$J$2719,AF$1)</f>
        <v>0</v>
      </c>
      <c r="AG67" s="143">
        <f>SUMIFS('апрель 2026'!$G$2:$G$2719,'апрель 2026'!$D$2:$D$2719,$B67,'апрель 2026'!$J$2:$J$2719,AG$1)</f>
        <v>0</v>
      </c>
      <c r="AH67" s="143">
        <f>SUMIFS('апрель 2026'!$G$2:$G$2719,'апрель 2026'!$D$2:$D$2719,$B67,'апрель 2026'!$J$2:$J$2719,AH$1)</f>
        <v>0</v>
      </c>
      <c r="AI67" s="20">
        <f t="shared" si="1"/>
        <v>0</v>
      </c>
    </row>
    <row r="68" spans="2:35" ht="15" customHeight="1" x14ac:dyDescent="0.25">
      <c r="B68" s="127" t="s">
        <v>320</v>
      </c>
      <c r="C68" s="123">
        <v>25</v>
      </c>
      <c r="D68" s="143">
        <f>SUMIFS('апрель 2026'!$G$2:$G$2719,'апрель 2026'!$D$2:$D$2719,$B68,'апрель 2026'!$J$2:$J$2719,D$1)</f>
        <v>0</v>
      </c>
      <c r="E68" s="143">
        <f>SUMIFS('апрель 2026'!$G$2:$G$2719,'апрель 2026'!$D$2:$D$2719,$B68,'апрель 2026'!$J$2:$J$2719,E$1)</f>
        <v>0</v>
      </c>
      <c r="F68" s="143">
        <f>SUMIFS('апрель 2026'!$G$2:$G$2719,'апрель 2026'!$D$2:$D$2719,$B68,'апрель 2026'!$J$2:$J$2719,F$1)</f>
        <v>0</v>
      </c>
      <c r="G68" s="143">
        <f>SUMIFS('апрель 2026'!$G$2:$G$2719,'апрель 2026'!$D$2:$D$2719,$B68,'апрель 2026'!$J$2:$J$2719,G$1)</f>
        <v>0</v>
      </c>
      <c r="H68" s="143">
        <f>SUMIFS('апрель 2026'!$G$2:$G$2719,'апрель 2026'!$D$2:$D$2719,$B68,'апрель 2026'!$J$2:$J$2719,H$1)</f>
        <v>0</v>
      </c>
      <c r="I68" s="143">
        <f>SUMIFS('апрель 2026'!$G$2:$G$2719,'апрель 2026'!$D$2:$D$2719,$B68,'апрель 2026'!$J$2:$J$2719,I$1)</f>
        <v>0</v>
      </c>
      <c r="J68" s="143">
        <f>SUMIFS('апрель 2026'!$G$2:$G$2719,'апрель 2026'!$D$2:$D$2719,$B68,'апрель 2026'!$J$2:$J$2719,J$1)</f>
        <v>0</v>
      </c>
      <c r="K68" s="143">
        <f>SUMIFS('апрель 2026'!$G$2:$G$2719,'апрель 2026'!$D$2:$D$2719,$B68,'апрель 2026'!$J$2:$J$2719,K$1)</f>
        <v>0</v>
      </c>
      <c r="L68" s="143">
        <f>SUMIFS('апрель 2026'!$G$2:$G$2719,'апрель 2026'!$D$2:$D$2719,$B68,'апрель 2026'!$J$2:$J$2719,L$1)</f>
        <v>0</v>
      </c>
      <c r="M68" s="143">
        <f>SUMIFS('апрель 2026'!$G$2:$G$2719,'апрель 2026'!$D$2:$D$2719,$B68,'апрель 2026'!$J$2:$J$2719,M$1)</f>
        <v>0</v>
      </c>
      <c r="N68" s="143">
        <f>SUMIFS('апрель 2026'!$G$2:$G$2719,'апрель 2026'!$D$2:$D$2719,$B68,'апрель 2026'!$J$2:$J$2719,N$1)</f>
        <v>0</v>
      </c>
      <c r="O68" s="143">
        <f>SUMIFS('апрель 2026'!$G$2:$G$2719,'апрель 2026'!$D$2:$D$2719,$B68,'апрель 2026'!$J$2:$J$2719,O$1)</f>
        <v>0</v>
      </c>
      <c r="P68" s="143">
        <f>SUMIFS('апрель 2026'!$G$2:$G$2719,'апрель 2026'!$D$2:$D$2719,$B68,'апрель 2026'!$J$2:$J$2719,P$1)</f>
        <v>0</v>
      </c>
      <c r="Q68" s="143">
        <f>SUMIFS('апрель 2026'!$G$2:$G$2719,'апрель 2026'!$D$2:$D$2719,$B68,'апрель 2026'!$J$2:$J$2719,Q$1)</f>
        <v>0</v>
      </c>
      <c r="R68" s="143">
        <f>SUMIFS('апрель 2026'!$G$2:$G$2719,'апрель 2026'!$D$2:$D$2719,$B68,'апрель 2026'!$J$2:$J$2719,R$1)</f>
        <v>0</v>
      </c>
      <c r="S68" s="143">
        <f>SUMIFS('апрель 2026'!$G$2:$G$2719,'апрель 2026'!$D$2:$D$2719,$B68,'апрель 2026'!$J$2:$J$2719,S$1)</f>
        <v>0</v>
      </c>
      <c r="T68" s="143">
        <f>SUMIFS('апрель 2026'!$G$2:$G$2719,'апрель 2026'!$D$2:$D$2719,$B68,'апрель 2026'!$J$2:$J$2719,T$1)</f>
        <v>0</v>
      </c>
      <c r="U68" s="143">
        <f>SUMIFS('апрель 2026'!$G$2:$G$2719,'апрель 2026'!$D$2:$D$2719,$B68,'апрель 2026'!$J$2:$J$2719,U$1)</f>
        <v>0</v>
      </c>
      <c r="V68" s="143">
        <f>SUMIFS('апрель 2026'!$G$2:$G$2719,'апрель 2026'!$D$2:$D$2719,$B68,'апрель 2026'!$J$2:$J$2719,V$1)</f>
        <v>0</v>
      </c>
      <c r="W68" s="143">
        <f>SUMIFS('апрель 2026'!$G$2:$G$2719,'апрель 2026'!$D$2:$D$2719,$B68,'апрель 2026'!$J$2:$J$2719,W$1)</f>
        <v>0</v>
      </c>
      <c r="X68" s="143">
        <f>SUMIFS('апрель 2026'!$G$2:$G$2719,'апрель 2026'!$D$2:$D$2719,$B68,'апрель 2026'!$J$2:$J$2719,X$1)</f>
        <v>0</v>
      </c>
      <c r="Y68" s="143">
        <f>SUMIFS('апрель 2026'!$G$2:$G$2719,'апрель 2026'!$D$2:$D$2719,$B68,'апрель 2026'!$J$2:$J$2719,Y$1)</f>
        <v>0</v>
      </c>
      <c r="Z68" s="143">
        <f>SUMIFS('апрель 2026'!$G$2:$G$2719,'апрель 2026'!$D$2:$D$2719,$B68,'апрель 2026'!$J$2:$J$2719,Z$1)</f>
        <v>0</v>
      </c>
      <c r="AA68" s="143">
        <f>SUMIFS('апрель 2026'!$G$2:$G$2719,'апрель 2026'!$D$2:$D$2719,$B68,'апрель 2026'!$J$2:$J$2719,AA$1)</f>
        <v>0</v>
      </c>
      <c r="AB68" s="143">
        <f>SUMIFS('апрель 2026'!$G$2:$G$2719,'апрель 2026'!$D$2:$D$2719,$B68,'апрель 2026'!$J$2:$J$2719,AB$1)</f>
        <v>0</v>
      </c>
      <c r="AC68" s="143">
        <f>SUMIFS('апрель 2026'!$G$2:$G$2719,'апрель 2026'!$D$2:$D$2719,$B68,'апрель 2026'!$J$2:$J$2719,AC$1)</f>
        <v>0</v>
      </c>
      <c r="AD68" s="143">
        <f>SUMIFS('апрель 2026'!$G$2:$G$2719,'апрель 2026'!$D$2:$D$2719,$B68,'апрель 2026'!$J$2:$J$2719,AD$1)</f>
        <v>0</v>
      </c>
      <c r="AE68" s="143">
        <f>SUMIFS('апрель 2026'!$G$2:$G$2719,'апрель 2026'!$D$2:$D$2719,$B68,'апрель 2026'!$J$2:$J$2719,AE$1)</f>
        <v>0</v>
      </c>
      <c r="AF68" s="143">
        <f>SUMIFS('апрель 2026'!$G$2:$G$2719,'апрель 2026'!$D$2:$D$2719,$B68,'апрель 2026'!$J$2:$J$2719,AF$1)</f>
        <v>0</v>
      </c>
      <c r="AG68" s="143">
        <f>SUMIFS('апрель 2026'!$G$2:$G$2719,'апрель 2026'!$D$2:$D$2719,$B68,'апрель 2026'!$J$2:$J$2719,AG$1)</f>
        <v>0</v>
      </c>
      <c r="AH68" s="143">
        <f>SUMIFS('апрель 2026'!$G$2:$G$2719,'апрель 2026'!$D$2:$D$2719,$B68,'апрель 2026'!$J$2:$J$2719,AH$1)</f>
        <v>0</v>
      </c>
      <c r="AI68" s="20">
        <f t="shared" si="1"/>
        <v>0</v>
      </c>
    </row>
    <row r="69" spans="2:35" ht="15" customHeight="1" x14ac:dyDescent="0.25">
      <c r="B69" s="127" t="s">
        <v>321</v>
      </c>
      <c r="C69" s="123">
        <v>25</v>
      </c>
      <c r="D69" s="143">
        <f>SUMIFS('апрель 2026'!$G$2:$G$2719,'апрель 2026'!$D$2:$D$2719,$B69,'апрель 2026'!$J$2:$J$2719,D$1)</f>
        <v>0</v>
      </c>
      <c r="E69" s="143">
        <f>SUMIFS('апрель 2026'!$G$2:$G$2719,'апрель 2026'!$D$2:$D$2719,$B69,'апрель 2026'!$J$2:$J$2719,E$1)</f>
        <v>0</v>
      </c>
      <c r="F69" s="143">
        <f>SUMIFS('апрель 2026'!$G$2:$G$2719,'апрель 2026'!$D$2:$D$2719,$B69,'апрель 2026'!$J$2:$J$2719,F$1)</f>
        <v>0</v>
      </c>
      <c r="G69" s="143">
        <f>SUMIFS('апрель 2026'!$G$2:$G$2719,'апрель 2026'!$D$2:$D$2719,$B69,'апрель 2026'!$J$2:$J$2719,G$1)</f>
        <v>0</v>
      </c>
      <c r="H69" s="143">
        <f>SUMIFS('апрель 2026'!$G$2:$G$2719,'апрель 2026'!$D$2:$D$2719,$B69,'апрель 2026'!$J$2:$J$2719,H$1)</f>
        <v>0</v>
      </c>
      <c r="I69" s="143">
        <f>SUMIFS('апрель 2026'!$G$2:$G$2719,'апрель 2026'!$D$2:$D$2719,$B69,'апрель 2026'!$J$2:$J$2719,I$1)</f>
        <v>0</v>
      </c>
      <c r="J69" s="143">
        <f>SUMIFS('апрель 2026'!$G$2:$G$2719,'апрель 2026'!$D$2:$D$2719,$B69,'апрель 2026'!$J$2:$J$2719,J$1)</f>
        <v>0</v>
      </c>
      <c r="K69" s="143">
        <f>SUMIFS('апрель 2026'!$G$2:$G$2719,'апрель 2026'!$D$2:$D$2719,$B69,'апрель 2026'!$J$2:$J$2719,K$1)</f>
        <v>0</v>
      </c>
      <c r="L69" s="143">
        <f>SUMIFS('апрель 2026'!$G$2:$G$2719,'апрель 2026'!$D$2:$D$2719,$B69,'апрель 2026'!$J$2:$J$2719,L$1)</f>
        <v>0</v>
      </c>
      <c r="M69" s="143">
        <f>SUMIFS('апрель 2026'!$G$2:$G$2719,'апрель 2026'!$D$2:$D$2719,$B69,'апрель 2026'!$J$2:$J$2719,M$1)</f>
        <v>0</v>
      </c>
      <c r="N69" s="143">
        <f>SUMIFS('апрель 2026'!$G$2:$G$2719,'апрель 2026'!$D$2:$D$2719,$B69,'апрель 2026'!$J$2:$J$2719,N$1)</f>
        <v>0</v>
      </c>
      <c r="O69" s="143">
        <f>SUMIFS('апрель 2026'!$G$2:$G$2719,'апрель 2026'!$D$2:$D$2719,$B69,'апрель 2026'!$J$2:$J$2719,O$1)</f>
        <v>0</v>
      </c>
      <c r="P69" s="143">
        <f>SUMIFS('апрель 2026'!$G$2:$G$2719,'апрель 2026'!$D$2:$D$2719,$B69,'апрель 2026'!$J$2:$J$2719,P$1)</f>
        <v>0</v>
      </c>
      <c r="Q69" s="143">
        <f>SUMIFS('апрель 2026'!$G$2:$G$2719,'апрель 2026'!$D$2:$D$2719,$B69,'апрель 2026'!$J$2:$J$2719,Q$1)</f>
        <v>0</v>
      </c>
      <c r="R69" s="143">
        <f>SUMIFS('апрель 2026'!$G$2:$G$2719,'апрель 2026'!$D$2:$D$2719,$B69,'апрель 2026'!$J$2:$J$2719,R$1)</f>
        <v>0</v>
      </c>
      <c r="S69" s="143">
        <f>SUMIFS('апрель 2026'!$G$2:$G$2719,'апрель 2026'!$D$2:$D$2719,$B69,'апрель 2026'!$J$2:$J$2719,S$1)</f>
        <v>0</v>
      </c>
      <c r="T69" s="143">
        <f>SUMIFS('апрель 2026'!$G$2:$G$2719,'апрель 2026'!$D$2:$D$2719,$B69,'апрель 2026'!$J$2:$J$2719,T$1)</f>
        <v>0</v>
      </c>
      <c r="U69" s="143">
        <f>SUMIFS('апрель 2026'!$G$2:$G$2719,'апрель 2026'!$D$2:$D$2719,$B69,'апрель 2026'!$J$2:$J$2719,U$1)</f>
        <v>0</v>
      </c>
      <c r="V69" s="143">
        <f>SUMIFS('апрель 2026'!$G$2:$G$2719,'апрель 2026'!$D$2:$D$2719,$B69,'апрель 2026'!$J$2:$J$2719,V$1)</f>
        <v>0</v>
      </c>
      <c r="W69" s="143">
        <f>SUMIFS('апрель 2026'!$G$2:$G$2719,'апрель 2026'!$D$2:$D$2719,$B69,'апрель 2026'!$J$2:$J$2719,W$1)</f>
        <v>0</v>
      </c>
      <c r="X69" s="143">
        <f>SUMIFS('апрель 2026'!$G$2:$G$2719,'апрель 2026'!$D$2:$D$2719,$B69,'апрель 2026'!$J$2:$J$2719,X$1)</f>
        <v>0</v>
      </c>
      <c r="Y69" s="143">
        <f>SUMIFS('апрель 2026'!$G$2:$G$2719,'апрель 2026'!$D$2:$D$2719,$B69,'апрель 2026'!$J$2:$J$2719,Y$1)</f>
        <v>0</v>
      </c>
      <c r="Z69" s="143">
        <f>SUMIFS('апрель 2026'!$G$2:$G$2719,'апрель 2026'!$D$2:$D$2719,$B69,'апрель 2026'!$J$2:$J$2719,Z$1)</f>
        <v>0</v>
      </c>
      <c r="AA69" s="143">
        <f>SUMIFS('апрель 2026'!$G$2:$G$2719,'апрель 2026'!$D$2:$D$2719,$B69,'апрель 2026'!$J$2:$J$2719,AA$1)</f>
        <v>0</v>
      </c>
      <c r="AB69" s="143">
        <f>SUMIFS('апрель 2026'!$G$2:$G$2719,'апрель 2026'!$D$2:$D$2719,$B69,'апрель 2026'!$J$2:$J$2719,AB$1)</f>
        <v>0</v>
      </c>
      <c r="AC69" s="143">
        <f>SUMIFS('апрель 2026'!$G$2:$G$2719,'апрель 2026'!$D$2:$D$2719,$B69,'апрель 2026'!$J$2:$J$2719,AC$1)</f>
        <v>0</v>
      </c>
      <c r="AD69" s="143">
        <f>SUMIFS('апрель 2026'!$G$2:$G$2719,'апрель 2026'!$D$2:$D$2719,$B69,'апрель 2026'!$J$2:$J$2719,AD$1)</f>
        <v>0</v>
      </c>
      <c r="AE69" s="143">
        <f>SUMIFS('апрель 2026'!$G$2:$G$2719,'апрель 2026'!$D$2:$D$2719,$B69,'апрель 2026'!$J$2:$J$2719,AE$1)</f>
        <v>0</v>
      </c>
      <c r="AF69" s="143">
        <f>SUMIFS('апрель 2026'!$G$2:$G$2719,'апрель 2026'!$D$2:$D$2719,$B69,'апрель 2026'!$J$2:$J$2719,AF$1)</f>
        <v>0</v>
      </c>
      <c r="AG69" s="143">
        <f>SUMIFS('апрель 2026'!$G$2:$G$2719,'апрель 2026'!$D$2:$D$2719,$B69,'апрель 2026'!$J$2:$J$2719,AG$1)</f>
        <v>0</v>
      </c>
      <c r="AH69" s="143">
        <f>SUMIFS('апрель 2026'!$G$2:$G$2719,'апрель 2026'!$D$2:$D$2719,$B69,'апрель 2026'!$J$2:$J$2719,AH$1)</f>
        <v>0</v>
      </c>
      <c r="AI69" s="20">
        <f t="shared" si="1"/>
        <v>0</v>
      </c>
    </row>
    <row r="70" spans="2:35" ht="15" customHeight="1" x14ac:dyDescent="0.25">
      <c r="B70" s="127"/>
      <c r="C70" s="123"/>
      <c r="D70" s="143">
        <f>SUMIFS('апрель 2026'!$G$2:$G$2719,'апрель 2026'!$D$2:$D$2719,$B70,'апрель 2026'!$J$2:$J$2719,D$1)</f>
        <v>0</v>
      </c>
      <c r="E70" s="143">
        <f>SUMIFS('апрель 2026'!$G$2:$G$2719,'апрель 2026'!$D$2:$D$2719,$B70,'апрель 2026'!$J$2:$J$2719,E$1)</f>
        <v>0</v>
      </c>
      <c r="F70" s="143">
        <f>SUMIFS('апрель 2026'!$G$2:$G$2719,'апрель 2026'!$D$2:$D$2719,$B70,'апрель 2026'!$J$2:$J$2719,F$1)</f>
        <v>0</v>
      </c>
      <c r="G70" s="143">
        <f>SUMIFS('апрель 2026'!$G$2:$G$2719,'апрель 2026'!$D$2:$D$2719,$B70,'апрель 2026'!$J$2:$J$2719,G$1)</f>
        <v>0</v>
      </c>
      <c r="H70" s="143">
        <f>SUMIFS('апрель 2026'!$G$2:$G$2719,'апрель 2026'!$D$2:$D$2719,$B70,'апрель 2026'!$J$2:$J$2719,H$1)</f>
        <v>0</v>
      </c>
      <c r="I70" s="143">
        <f>SUMIFS('апрель 2026'!$G$2:$G$2719,'апрель 2026'!$D$2:$D$2719,$B70,'апрель 2026'!$J$2:$J$2719,I$1)</f>
        <v>0</v>
      </c>
      <c r="J70" s="143">
        <f>SUMIFS('апрель 2026'!$G$2:$G$2719,'апрель 2026'!$D$2:$D$2719,$B70,'апрель 2026'!$J$2:$J$2719,J$1)</f>
        <v>0</v>
      </c>
      <c r="K70" s="143">
        <f>SUMIFS('апрель 2026'!$G$2:$G$2719,'апрель 2026'!$D$2:$D$2719,$B70,'апрель 2026'!$J$2:$J$2719,K$1)</f>
        <v>0</v>
      </c>
      <c r="L70" s="143">
        <f>SUMIFS('апрель 2026'!$G$2:$G$2719,'апрель 2026'!$D$2:$D$2719,$B70,'апрель 2026'!$J$2:$J$2719,L$1)</f>
        <v>0</v>
      </c>
      <c r="M70" s="143">
        <f>SUMIFS('апрель 2026'!$G$2:$G$2719,'апрель 2026'!$D$2:$D$2719,$B70,'апрель 2026'!$J$2:$J$2719,M$1)</f>
        <v>0</v>
      </c>
      <c r="N70" s="143">
        <f>SUMIFS('апрель 2026'!$G$2:$G$2719,'апрель 2026'!$D$2:$D$2719,$B70,'апрель 2026'!$J$2:$J$2719,N$1)</f>
        <v>0</v>
      </c>
      <c r="O70" s="143">
        <f>SUMIFS('апрель 2026'!$G$2:$G$2719,'апрель 2026'!$D$2:$D$2719,$B70,'апрель 2026'!$J$2:$J$2719,O$1)</f>
        <v>0</v>
      </c>
      <c r="P70" s="143">
        <f>SUMIFS('апрель 2026'!$G$2:$G$2719,'апрель 2026'!$D$2:$D$2719,$B70,'апрель 2026'!$J$2:$J$2719,P$1)</f>
        <v>0</v>
      </c>
      <c r="Q70" s="143">
        <f>SUMIFS('апрель 2026'!$G$2:$G$2719,'апрель 2026'!$D$2:$D$2719,$B70,'апрель 2026'!$J$2:$J$2719,Q$1)</f>
        <v>0</v>
      </c>
      <c r="R70" s="143">
        <f>SUMIFS('апрель 2026'!$G$2:$G$2719,'апрель 2026'!$D$2:$D$2719,$B70,'апрель 2026'!$J$2:$J$2719,R$1)</f>
        <v>0</v>
      </c>
      <c r="S70" s="143">
        <f>SUMIFS('апрель 2026'!$G$2:$G$2719,'апрель 2026'!$D$2:$D$2719,$B70,'апрель 2026'!$J$2:$J$2719,S$1)</f>
        <v>0</v>
      </c>
      <c r="T70" s="143">
        <f>SUMIFS('апрель 2026'!$G$2:$G$2719,'апрель 2026'!$D$2:$D$2719,$B70,'апрель 2026'!$J$2:$J$2719,T$1)</f>
        <v>0</v>
      </c>
      <c r="U70" s="143">
        <f>SUMIFS('апрель 2026'!$G$2:$G$2719,'апрель 2026'!$D$2:$D$2719,$B70,'апрель 2026'!$J$2:$J$2719,U$1)</f>
        <v>0</v>
      </c>
      <c r="V70" s="143">
        <f>SUMIFS('апрель 2026'!$G$2:$G$2719,'апрель 2026'!$D$2:$D$2719,$B70,'апрель 2026'!$J$2:$J$2719,V$1)</f>
        <v>0</v>
      </c>
      <c r="W70" s="143">
        <f>SUMIFS('апрель 2026'!$G$2:$G$2719,'апрель 2026'!$D$2:$D$2719,$B70,'апрель 2026'!$J$2:$J$2719,W$1)</f>
        <v>0</v>
      </c>
      <c r="X70" s="143">
        <f>SUMIFS('апрель 2026'!$G$2:$G$2719,'апрель 2026'!$D$2:$D$2719,$B70,'апрель 2026'!$J$2:$J$2719,X$1)</f>
        <v>0</v>
      </c>
      <c r="Y70" s="143">
        <f>SUMIFS('апрель 2026'!$G$2:$G$2719,'апрель 2026'!$D$2:$D$2719,$B70,'апрель 2026'!$J$2:$J$2719,Y$1)</f>
        <v>0</v>
      </c>
      <c r="Z70" s="143">
        <f>SUMIFS('апрель 2026'!$G$2:$G$2719,'апрель 2026'!$D$2:$D$2719,$B70,'апрель 2026'!$J$2:$J$2719,Z$1)</f>
        <v>0</v>
      </c>
      <c r="AA70" s="143">
        <f>SUMIFS('апрель 2026'!$G$2:$G$2719,'апрель 2026'!$D$2:$D$2719,$B70,'апрель 2026'!$J$2:$J$2719,AA$1)</f>
        <v>0</v>
      </c>
      <c r="AB70" s="143">
        <f>SUMIFS('апрель 2026'!$G$2:$G$2719,'апрель 2026'!$D$2:$D$2719,$B70,'апрель 2026'!$J$2:$J$2719,AB$1)</f>
        <v>0</v>
      </c>
      <c r="AC70" s="143">
        <f>SUMIFS('апрель 2026'!$G$2:$G$2719,'апрель 2026'!$D$2:$D$2719,$B70,'апрель 2026'!$J$2:$J$2719,AC$1)</f>
        <v>0</v>
      </c>
      <c r="AD70" s="143">
        <f>SUMIFS('апрель 2026'!$G$2:$G$2719,'апрель 2026'!$D$2:$D$2719,$B70,'апрель 2026'!$J$2:$J$2719,AD$1)</f>
        <v>0</v>
      </c>
      <c r="AE70" s="143">
        <f>SUMIFS('апрель 2026'!$G$2:$G$2719,'апрель 2026'!$D$2:$D$2719,$B70,'апрель 2026'!$J$2:$J$2719,AE$1)</f>
        <v>0</v>
      </c>
      <c r="AF70" s="143">
        <f>SUMIFS('апрель 2026'!$G$2:$G$2719,'апрель 2026'!$D$2:$D$2719,$B70,'апрель 2026'!$J$2:$J$2719,AF$1)</f>
        <v>0</v>
      </c>
      <c r="AG70" s="143">
        <f>SUMIFS('апрель 2026'!$G$2:$G$2719,'апрель 2026'!$D$2:$D$2719,$B70,'апрель 2026'!$J$2:$J$2719,AG$1)</f>
        <v>0</v>
      </c>
      <c r="AH70" s="143">
        <f>SUMIFS('апрель 2026'!$G$2:$G$2719,'апрель 2026'!$D$2:$D$2719,$B70,'апрель 2026'!$J$2:$J$2719,AH$1)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SUMIFS('апрель 2026'!$G$2:$G$2719,'апрель 2026'!$D$2:$D$2719,$B71,'апрель 2026'!$J$2:$J$2719,D$1)</f>
        <v>0</v>
      </c>
      <c r="E71" s="143">
        <f>SUMIFS('апрель 2026'!$G$2:$G$2719,'апрель 2026'!$D$2:$D$2719,$B71,'апрель 2026'!$J$2:$J$2719,E$1)</f>
        <v>0</v>
      </c>
      <c r="F71" s="143">
        <f>SUMIFS('апрель 2026'!$G$2:$G$2719,'апрель 2026'!$D$2:$D$2719,$B71,'апрель 2026'!$J$2:$J$2719,F$1)</f>
        <v>0</v>
      </c>
      <c r="G71" s="143">
        <f>SUMIFS('апрель 2026'!$G$2:$G$2719,'апрель 2026'!$D$2:$D$2719,$B71,'апрель 2026'!$J$2:$J$2719,G$1)</f>
        <v>0</v>
      </c>
      <c r="H71" s="143">
        <f>SUMIFS('апрель 2026'!$G$2:$G$2719,'апрель 2026'!$D$2:$D$2719,$B71,'апрель 2026'!$J$2:$J$2719,H$1)</f>
        <v>0</v>
      </c>
      <c r="I71" s="143">
        <f>SUMIFS('апрель 2026'!$G$2:$G$2719,'апрель 2026'!$D$2:$D$2719,$B71,'апрель 2026'!$J$2:$J$2719,I$1)</f>
        <v>0</v>
      </c>
      <c r="J71" s="143">
        <f>SUMIFS('апрель 2026'!$G$2:$G$2719,'апрель 2026'!$D$2:$D$2719,$B71,'апрель 2026'!$J$2:$J$2719,J$1)</f>
        <v>0</v>
      </c>
      <c r="K71" s="143">
        <f>SUMIFS('апрель 2026'!$G$2:$G$2719,'апрель 2026'!$D$2:$D$2719,$B71,'апрель 2026'!$J$2:$J$2719,K$1)</f>
        <v>0</v>
      </c>
      <c r="L71" s="143">
        <f>SUMIFS('апрель 2026'!$G$2:$G$2719,'апрель 2026'!$D$2:$D$2719,$B71,'апрель 2026'!$J$2:$J$2719,L$1)</f>
        <v>0</v>
      </c>
      <c r="M71" s="143">
        <f>SUMIFS('апрель 2026'!$G$2:$G$2719,'апрель 2026'!$D$2:$D$2719,$B71,'апрель 2026'!$J$2:$J$2719,M$1)</f>
        <v>0</v>
      </c>
      <c r="N71" s="143">
        <f>SUMIFS('апрель 2026'!$G$2:$G$2719,'апрель 2026'!$D$2:$D$2719,$B71,'апрель 2026'!$J$2:$J$2719,N$1)</f>
        <v>0</v>
      </c>
      <c r="O71" s="143">
        <f>SUMIFS('апрель 2026'!$G$2:$G$2719,'апрель 2026'!$D$2:$D$2719,$B71,'апрель 2026'!$J$2:$J$2719,O$1)</f>
        <v>0</v>
      </c>
      <c r="P71" s="143">
        <f>SUMIFS('апрель 2026'!$G$2:$G$2719,'апрель 2026'!$D$2:$D$2719,$B71,'апрель 2026'!$J$2:$J$2719,P$1)</f>
        <v>0</v>
      </c>
      <c r="Q71" s="143">
        <f>SUMIFS('апрель 2026'!$G$2:$G$2719,'апрель 2026'!$D$2:$D$2719,$B71,'апрель 2026'!$J$2:$J$2719,Q$1)</f>
        <v>0</v>
      </c>
      <c r="R71" s="143">
        <f>SUMIFS('апрель 2026'!$G$2:$G$2719,'апрель 2026'!$D$2:$D$2719,$B71,'апрель 2026'!$J$2:$J$2719,R$1)</f>
        <v>0</v>
      </c>
      <c r="S71" s="143">
        <f>SUMIFS('апрель 2026'!$G$2:$G$2719,'апрель 2026'!$D$2:$D$2719,$B71,'апрель 2026'!$J$2:$J$2719,S$1)</f>
        <v>0</v>
      </c>
      <c r="T71" s="143">
        <f>SUMIFS('апрель 2026'!$G$2:$G$2719,'апрель 2026'!$D$2:$D$2719,$B71,'апрель 2026'!$J$2:$J$2719,T$1)</f>
        <v>0</v>
      </c>
      <c r="U71" s="143">
        <f>SUMIFS('апрель 2026'!$G$2:$G$2719,'апрель 2026'!$D$2:$D$2719,$B71,'апрель 2026'!$J$2:$J$2719,U$1)</f>
        <v>0</v>
      </c>
      <c r="V71" s="143">
        <f>SUMIFS('апрель 2026'!$G$2:$G$2719,'апрель 2026'!$D$2:$D$2719,$B71,'апрель 2026'!$J$2:$J$2719,V$1)</f>
        <v>0</v>
      </c>
      <c r="W71" s="143">
        <f>SUMIFS('апрель 2026'!$G$2:$G$2719,'апрель 2026'!$D$2:$D$2719,$B71,'апрель 2026'!$J$2:$J$2719,W$1)</f>
        <v>0</v>
      </c>
      <c r="X71" s="143">
        <f>SUMIFS('апрель 2026'!$G$2:$G$2719,'апрель 2026'!$D$2:$D$2719,$B71,'апрель 2026'!$J$2:$J$2719,X$1)</f>
        <v>0</v>
      </c>
      <c r="Y71" s="143">
        <f>SUMIFS('апрель 2026'!$G$2:$G$2719,'апрель 2026'!$D$2:$D$2719,$B71,'апрель 2026'!$J$2:$J$2719,Y$1)</f>
        <v>0</v>
      </c>
      <c r="Z71" s="143">
        <f>SUMIFS('апрель 2026'!$G$2:$G$2719,'апрель 2026'!$D$2:$D$2719,$B71,'апрель 2026'!$J$2:$J$2719,Z$1)</f>
        <v>0</v>
      </c>
      <c r="AA71" s="143">
        <f>SUMIFS('апрель 2026'!$G$2:$G$2719,'апрель 2026'!$D$2:$D$2719,$B71,'апрель 2026'!$J$2:$J$2719,AA$1)</f>
        <v>0</v>
      </c>
      <c r="AB71" s="143">
        <f>SUMIFS('апрель 2026'!$G$2:$G$2719,'апрель 2026'!$D$2:$D$2719,$B71,'апрель 2026'!$J$2:$J$2719,AB$1)</f>
        <v>0</v>
      </c>
      <c r="AC71" s="143">
        <f>SUMIFS('апрель 2026'!$G$2:$G$2719,'апрель 2026'!$D$2:$D$2719,$B71,'апрель 2026'!$J$2:$J$2719,AC$1)</f>
        <v>0</v>
      </c>
      <c r="AD71" s="143">
        <f>SUMIFS('апрель 2026'!$G$2:$G$2719,'апрель 2026'!$D$2:$D$2719,$B71,'апрель 2026'!$J$2:$J$2719,AD$1)</f>
        <v>0</v>
      </c>
      <c r="AE71" s="143">
        <f>SUMIFS('апрель 2026'!$G$2:$G$2719,'апрель 2026'!$D$2:$D$2719,$B71,'апрель 2026'!$J$2:$J$2719,AE$1)</f>
        <v>0</v>
      </c>
      <c r="AF71" s="143">
        <f>SUMIFS('апрель 2026'!$G$2:$G$2719,'апрель 2026'!$D$2:$D$2719,$B71,'апрель 2026'!$J$2:$J$2719,AF$1)</f>
        <v>0</v>
      </c>
      <c r="AG71" s="143">
        <f>SUMIFS('апрель 2026'!$G$2:$G$2719,'апрель 2026'!$D$2:$D$2719,$B71,'апрель 2026'!$J$2:$J$2719,AG$1)</f>
        <v>0</v>
      </c>
      <c r="AH71" s="143">
        <f>SUMIFS('апрель 2026'!$G$2:$G$2719,'апрель 2026'!$D$2:$D$2719,$B71,'апрель 2026'!$J$2:$J$2719,AH$1)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SUMIFS('апрель 2026'!$G$2:$G$2719,'апрель 2026'!$D$2:$D$2719,$B72,'апрель 2026'!$J$2:$J$2719,D$1)</f>
        <v>0</v>
      </c>
      <c r="E72" s="144">
        <f>SUMIFS('апрель 2026'!$G$2:$G$2719,'апрель 2026'!$D$2:$D$2719,$B72,'апрель 2026'!$J$2:$J$2719,E$1)</f>
        <v>0</v>
      </c>
      <c r="F72" s="144">
        <f>SUMIFS('апрель 2026'!$G$2:$G$2719,'апрель 2026'!$D$2:$D$2719,$B72,'апрель 2026'!$J$2:$J$2719,F$1)</f>
        <v>0</v>
      </c>
      <c r="G72" s="144">
        <f>SUMIFS('апрель 2026'!$G$2:$G$2719,'апрель 2026'!$D$2:$D$2719,$B72,'апрель 2026'!$J$2:$J$2719,G$1)</f>
        <v>0</v>
      </c>
      <c r="H72" s="144">
        <f>SUMIFS('апрель 2026'!$G$2:$G$2719,'апрель 2026'!$D$2:$D$2719,$B72,'апрель 2026'!$J$2:$J$2719,H$1)</f>
        <v>0</v>
      </c>
      <c r="I72" s="144">
        <f>SUMIFS('апрель 2026'!$G$2:$G$2719,'апрель 2026'!$D$2:$D$2719,$B72,'апрель 2026'!$J$2:$J$2719,I$1)</f>
        <v>0</v>
      </c>
      <c r="J72" s="144">
        <f>SUMIFS('апрель 2026'!$G$2:$G$2719,'апрель 2026'!$D$2:$D$2719,$B72,'апрель 2026'!$J$2:$J$2719,J$1)</f>
        <v>0</v>
      </c>
      <c r="K72" s="144">
        <f>SUMIFS('апрель 2026'!$G$2:$G$2719,'апрель 2026'!$D$2:$D$2719,$B72,'апрель 2026'!$J$2:$J$2719,K$1)</f>
        <v>0</v>
      </c>
      <c r="L72" s="144">
        <f>SUMIFS('апрель 2026'!$G$2:$G$2719,'апрель 2026'!$D$2:$D$2719,$B72,'апрель 2026'!$J$2:$J$2719,L$1)</f>
        <v>0</v>
      </c>
      <c r="M72" s="144">
        <f>SUMIFS('апрель 2026'!$G$2:$G$2719,'апрель 2026'!$D$2:$D$2719,$B72,'апрель 2026'!$J$2:$J$2719,M$1)</f>
        <v>0</v>
      </c>
      <c r="N72" s="144">
        <f>SUMIFS('апрель 2026'!$G$2:$G$2719,'апрель 2026'!$D$2:$D$2719,$B72,'апрель 2026'!$J$2:$J$2719,N$1)</f>
        <v>0</v>
      </c>
      <c r="O72" s="144">
        <f>SUMIFS('апрель 2026'!$G$2:$G$2719,'апрель 2026'!$D$2:$D$2719,$B72,'апрель 2026'!$J$2:$J$2719,O$1)</f>
        <v>0</v>
      </c>
      <c r="P72" s="144">
        <f>SUMIFS('апрель 2026'!$G$2:$G$2719,'апрель 2026'!$D$2:$D$2719,$B72,'апрель 2026'!$J$2:$J$2719,P$1)</f>
        <v>0</v>
      </c>
      <c r="Q72" s="144">
        <f>SUMIFS('апрель 2026'!$G$2:$G$2719,'апрель 2026'!$D$2:$D$2719,$B72,'апрель 2026'!$J$2:$J$2719,Q$1)</f>
        <v>0</v>
      </c>
      <c r="R72" s="144">
        <f>SUMIFS('апрель 2026'!$G$2:$G$2719,'апрель 2026'!$D$2:$D$2719,$B72,'апрель 2026'!$J$2:$J$2719,R$1)</f>
        <v>0</v>
      </c>
      <c r="S72" s="144">
        <f>SUMIFS('апрель 2026'!$G$2:$G$2719,'апрель 2026'!$D$2:$D$2719,$B72,'апрель 2026'!$J$2:$J$2719,S$1)</f>
        <v>0</v>
      </c>
      <c r="T72" s="144">
        <f>SUMIFS('апрель 2026'!$G$2:$G$2719,'апрель 2026'!$D$2:$D$2719,$B72,'апрель 2026'!$J$2:$J$2719,T$1)</f>
        <v>0</v>
      </c>
      <c r="U72" s="144">
        <f>SUMIFS('апрель 2026'!$G$2:$G$2719,'апрель 2026'!$D$2:$D$2719,$B72,'апрель 2026'!$J$2:$J$2719,U$1)</f>
        <v>0</v>
      </c>
      <c r="V72" s="144">
        <f>SUMIFS('апрель 2026'!$G$2:$G$2719,'апрель 2026'!$D$2:$D$2719,$B72,'апрель 2026'!$J$2:$J$2719,V$1)</f>
        <v>0</v>
      </c>
      <c r="W72" s="144">
        <f>SUMIFS('апрель 2026'!$G$2:$G$2719,'апрель 2026'!$D$2:$D$2719,$B72,'апрель 2026'!$J$2:$J$2719,W$1)</f>
        <v>0</v>
      </c>
      <c r="X72" s="144">
        <f>SUMIFS('апрель 2026'!$G$2:$G$2719,'апрель 2026'!$D$2:$D$2719,$B72,'апрель 2026'!$J$2:$J$2719,X$1)</f>
        <v>0</v>
      </c>
      <c r="Y72" s="144">
        <f>SUMIFS('апрель 2026'!$G$2:$G$2719,'апрель 2026'!$D$2:$D$2719,$B72,'апрель 2026'!$J$2:$J$2719,Y$1)</f>
        <v>0</v>
      </c>
      <c r="Z72" s="144">
        <f>SUMIFS('апрель 2026'!$G$2:$G$2719,'апрель 2026'!$D$2:$D$2719,$B72,'апрель 2026'!$J$2:$J$2719,Z$1)</f>
        <v>0</v>
      </c>
      <c r="AA72" s="144">
        <f>SUMIFS('апрель 2026'!$G$2:$G$2719,'апрель 2026'!$D$2:$D$2719,$B72,'апрель 2026'!$J$2:$J$2719,AA$1)</f>
        <v>0</v>
      </c>
      <c r="AB72" s="144">
        <f>SUMIFS('апрель 2026'!$G$2:$G$2719,'апрель 2026'!$D$2:$D$2719,$B72,'апрель 2026'!$J$2:$J$2719,AB$1)</f>
        <v>0</v>
      </c>
      <c r="AC72" s="144">
        <f>SUMIFS('апрель 2026'!$G$2:$G$2719,'апрель 2026'!$D$2:$D$2719,$B72,'апрель 2026'!$J$2:$J$2719,AC$1)</f>
        <v>0</v>
      </c>
      <c r="AD72" s="144">
        <f>SUMIFS('апрель 2026'!$G$2:$G$2719,'апрель 2026'!$D$2:$D$2719,$B72,'апрель 2026'!$J$2:$J$2719,AD$1)</f>
        <v>0</v>
      </c>
      <c r="AE72" s="144">
        <f>SUMIFS('апрель 2026'!$G$2:$G$2719,'апрель 2026'!$D$2:$D$2719,$B72,'апрель 2026'!$J$2:$J$2719,AE$1)</f>
        <v>0</v>
      </c>
      <c r="AF72" s="144">
        <f>SUMIFS('апрель 2026'!$G$2:$G$2719,'апрель 2026'!$D$2:$D$2719,$B72,'апрель 2026'!$J$2:$J$2719,AF$1)</f>
        <v>0</v>
      </c>
      <c r="AG72" s="144">
        <f>SUMIFS('апрель 2026'!$G$2:$G$2719,'апрель 2026'!$D$2:$D$2719,$B72,'апрель 2026'!$J$2:$J$2719,AG$1)</f>
        <v>0</v>
      </c>
      <c r="AH72" s="144">
        <f>SUMIFS('апрель 2026'!$G$2:$G$2719,'апрель 2026'!$D$2:$D$2719,$B72,'апрель 2026'!$J$2:$J$2719,AH$1)</f>
        <v>0</v>
      </c>
      <c r="AI72" s="20">
        <f t="shared" si="1"/>
        <v>0</v>
      </c>
    </row>
    <row r="73" spans="2:35" ht="15" customHeight="1" x14ac:dyDescent="0.25">
      <c r="B73" s="84" t="s">
        <v>295</v>
      </c>
      <c r="C73" s="83">
        <v>50</v>
      </c>
      <c r="D73" s="144">
        <f>SUMIFS('апрель 2026'!$G$2:$G$2719,'апрель 2026'!$D$2:$D$2719,$B73,'апрель 2026'!$J$2:$J$2719,D$1)</f>
        <v>0</v>
      </c>
      <c r="E73" s="144">
        <f>SUMIFS('апрель 2026'!$G$2:$G$2719,'апрель 2026'!$D$2:$D$2719,$B73,'апрель 2026'!$J$2:$J$2719,E$1)</f>
        <v>0</v>
      </c>
      <c r="F73" s="144">
        <f>SUMIFS('апрель 2026'!$G$2:$G$2719,'апрель 2026'!$D$2:$D$2719,$B73,'апрель 2026'!$J$2:$J$2719,F$1)</f>
        <v>0</v>
      </c>
      <c r="G73" s="144">
        <f>SUMIFS('апрель 2026'!$G$2:$G$2719,'апрель 2026'!$D$2:$D$2719,$B73,'апрель 2026'!$J$2:$J$2719,G$1)</f>
        <v>0</v>
      </c>
      <c r="H73" s="144">
        <f>SUMIFS('апрель 2026'!$G$2:$G$2719,'апрель 2026'!$D$2:$D$2719,$B73,'апрель 2026'!$J$2:$J$2719,H$1)</f>
        <v>0</v>
      </c>
      <c r="I73" s="144">
        <f>SUMIFS('апрель 2026'!$G$2:$G$2719,'апрель 2026'!$D$2:$D$2719,$B73,'апрель 2026'!$J$2:$J$2719,I$1)</f>
        <v>0</v>
      </c>
      <c r="J73" s="144">
        <f>SUMIFS('апрель 2026'!$G$2:$G$2719,'апрель 2026'!$D$2:$D$2719,$B73,'апрель 2026'!$J$2:$J$2719,J$1)</f>
        <v>0</v>
      </c>
      <c r="K73" s="144">
        <f>SUMIFS('апрель 2026'!$G$2:$G$2719,'апрель 2026'!$D$2:$D$2719,$B73,'апрель 2026'!$J$2:$J$2719,K$1)</f>
        <v>0</v>
      </c>
      <c r="L73" s="144">
        <f>SUMIFS('апрель 2026'!$G$2:$G$2719,'апрель 2026'!$D$2:$D$2719,$B73,'апрель 2026'!$J$2:$J$2719,L$1)</f>
        <v>0</v>
      </c>
      <c r="M73" s="144">
        <f>SUMIFS('апрель 2026'!$G$2:$G$2719,'апрель 2026'!$D$2:$D$2719,$B73,'апрель 2026'!$J$2:$J$2719,M$1)</f>
        <v>0</v>
      </c>
      <c r="N73" s="144">
        <f>SUMIFS('апрель 2026'!$G$2:$G$2719,'апрель 2026'!$D$2:$D$2719,$B73,'апрель 2026'!$J$2:$J$2719,N$1)</f>
        <v>0</v>
      </c>
      <c r="O73" s="144">
        <f>SUMIFS('апрель 2026'!$G$2:$G$2719,'апрель 2026'!$D$2:$D$2719,$B73,'апрель 2026'!$J$2:$J$2719,O$1)</f>
        <v>0</v>
      </c>
      <c r="P73" s="144">
        <f>SUMIFS('апрель 2026'!$G$2:$G$2719,'апрель 2026'!$D$2:$D$2719,$B73,'апрель 2026'!$J$2:$J$2719,P$1)</f>
        <v>0</v>
      </c>
      <c r="Q73" s="144">
        <f>SUMIFS('апрель 2026'!$G$2:$G$2719,'апрель 2026'!$D$2:$D$2719,$B73,'апрель 2026'!$J$2:$J$2719,Q$1)</f>
        <v>0</v>
      </c>
      <c r="R73" s="144">
        <f>SUMIFS('апрель 2026'!$G$2:$G$2719,'апрель 2026'!$D$2:$D$2719,$B73,'апрель 2026'!$J$2:$J$2719,R$1)</f>
        <v>0</v>
      </c>
      <c r="S73" s="144">
        <f>SUMIFS('апрель 2026'!$G$2:$G$2719,'апрель 2026'!$D$2:$D$2719,$B73,'апрель 2026'!$J$2:$J$2719,S$1)</f>
        <v>0</v>
      </c>
      <c r="T73" s="144">
        <f>SUMIFS('апрель 2026'!$G$2:$G$2719,'апрель 2026'!$D$2:$D$2719,$B73,'апрель 2026'!$J$2:$J$2719,T$1)</f>
        <v>0</v>
      </c>
      <c r="U73" s="144">
        <f>SUMIFS('апрель 2026'!$G$2:$G$2719,'апрель 2026'!$D$2:$D$2719,$B73,'апрель 2026'!$J$2:$J$2719,U$1)</f>
        <v>0</v>
      </c>
      <c r="V73" s="144">
        <f>SUMIFS('апрель 2026'!$G$2:$G$2719,'апрель 2026'!$D$2:$D$2719,$B73,'апрель 2026'!$J$2:$J$2719,V$1)</f>
        <v>0</v>
      </c>
      <c r="W73" s="144">
        <f>SUMIFS('апрель 2026'!$G$2:$G$2719,'апрель 2026'!$D$2:$D$2719,$B73,'апрель 2026'!$J$2:$J$2719,W$1)</f>
        <v>0</v>
      </c>
      <c r="X73" s="144">
        <f>SUMIFS('апрель 2026'!$G$2:$G$2719,'апрель 2026'!$D$2:$D$2719,$B73,'апрель 2026'!$J$2:$J$2719,X$1)</f>
        <v>0</v>
      </c>
      <c r="Y73" s="144">
        <f>SUMIFS('апрель 2026'!$G$2:$G$2719,'апрель 2026'!$D$2:$D$2719,$B73,'апрель 2026'!$J$2:$J$2719,Y$1)</f>
        <v>0</v>
      </c>
      <c r="Z73" s="144">
        <f>SUMIFS('апрель 2026'!$G$2:$G$2719,'апрель 2026'!$D$2:$D$2719,$B73,'апрель 2026'!$J$2:$J$2719,Z$1)</f>
        <v>0</v>
      </c>
      <c r="AA73" s="144">
        <f>SUMIFS('апрель 2026'!$G$2:$G$2719,'апрель 2026'!$D$2:$D$2719,$B73,'апрель 2026'!$J$2:$J$2719,AA$1)</f>
        <v>0</v>
      </c>
      <c r="AB73" s="144">
        <f>SUMIFS('апрель 2026'!$G$2:$G$2719,'апрель 2026'!$D$2:$D$2719,$B73,'апрель 2026'!$J$2:$J$2719,AB$1)</f>
        <v>0</v>
      </c>
      <c r="AC73" s="144">
        <f>SUMIFS('апрель 2026'!$G$2:$G$2719,'апрель 2026'!$D$2:$D$2719,$B73,'апрель 2026'!$J$2:$J$2719,AC$1)</f>
        <v>0</v>
      </c>
      <c r="AD73" s="144">
        <f>SUMIFS('апрель 2026'!$G$2:$G$2719,'апрель 2026'!$D$2:$D$2719,$B73,'апрель 2026'!$J$2:$J$2719,AD$1)</f>
        <v>0</v>
      </c>
      <c r="AE73" s="144">
        <f>SUMIFS('апрель 2026'!$G$2:$G$2719,'апрель 2026'!$D$2:$D$2719,$B73,'апрель 2026'!$J$2:$J$2719,AE$1)</f>
        <v>0</v>
      </c>
      <c r="AF73" s="144">
        <f>SUMIFS('апрель 2026'!$G$2:$G$2719,'апрель 2026'!$D$2:$D$2719,$B73,'апрель 2026'!$J$2:$J$2719,AF$1)</f>
        <v>0</v>
      </c>
      <c r="AG73" s="144">
        <f>SUMIFS('апрель 2026'!$G$2:$G$2719,'апрель 2026'!$D$2:$D$2719,$B73,'апрель 2026'!$J$2:$J$2719,AG$1)</f>
        <v>0</v>
      </c>
      <c r="AH73" s="144">
        <f>SUMIFS('апрель 2026'!$G$2:$G$2719,'апрель 2026'!$D$2:$D$2719,$B73,'апрель 2026'!$J$2:$J$2719,AH$1)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SUMIFS('апрель 2026'!$G$2:$G$2719,'апрель 2026'!$D$2:$D$2719,$B74,'апрель 2026'!$J$2:$J$2719,D$1)</f>
        <v>0</v>
      </c>
      <c r="E74" s="144">
        <f>SUMIFS('апрель 2026'!$G$2:$G$2719,'апрель 2026'!$D$2:$D$2719,$B74,'апрель 2026'!$J$2:$J$2719,E$1)</f>
        <v>0</v>
      </c>
      <c r="F74" s="144">
        <f>SUMIFS('апрель 2026'!$G$2:$G$2719,'апрель 2026'!$D$2:$D$2719,$B74,'апрель 2026'!$J$2:$J$2719,F$1)</f>
        <v>0</v>
      </c>
      <c r="G74" s="144">
        <f>SUMIFS('апрель 2026'!$G$2:$G$2719,'апрель 2026'!$D$2:$D$2719,$B74,'апрель 2026'!$J$2:$J$2719,G$1)</f>
        <v>0</v>
      </c>
      <c r="H74" s="144">
        <f>SUMIFS('апрель 2026'!$G$2:$G$2719,'апрель 2026'!$D$2:$D$2719,$B74,'апрель 2026'!$J$2:$J$2719,H$1)</f>
        <v>0</v>
      </c>
      <c r="I74" s="144">
        <f>SUMIFS('апрель 2026'!$G$2:$G$2719,'апрель 2026'!$D$2:$D$2719,$B74,'апрель 2026'!$J$2:$J$2719,I$1)</f>
        <v>0</v>
      </c>
      <c r="J74" s="144">
        <f>SUMIFS('апрель 2026'!$G$2:$G$2719,'апрель 2026'!$D$2:$D$2719,$B74,'апрель 2026'!$J$2:$J$2719,J$1)</f>
        <v>0</v>
      </c>
      <c r="K74" s="144">
        <f>SUMIFS('апрель 2026'!$G$2:$G$2719,'апрель 2026'!$D$2:$D$2719,$B74,'апрель 2026'!$J$2:$J$2719,K$1)</f>
        <v>0</v>
      </c>
      <c r="L74" s="144">
        <f>SUMIFS('апрель 2026'!$G$2:$G$2719,'апрель 2026'!$D$2:$D$2719,$B74,'апрель 2026'!$J$2:$J$2719,L$1)</f>
        <v>0</v>
      </c>
      <c r="M74" s="144">
        <f>SUMIFS('апрель 2026'!$G$2:$G$2719,'апрель 2026'!$D$2:$D$2719,$B74,'апрель 2026'!$J$2:$J$2719,M$1)</f>
        <v>0</v>
      </c>
      <c r="N74" s="144">
        <f>SUMIFS('апрель 2026'!$G$2:$G$2719,'апрель 2026'!$D$2:$D$2719,$B74,'апрель 2026'!$J$2:$J$2719,N$1)</f>
        <v>0</v>
      </c>
      <c r="O74" s="144">
        <f>SUMIFS('апрель 2026'!$G$2:$G$2719,'апрель 2026'!$D$2:$D$2719,$B74,'апрель 2026'!$J$2:$J$2719,O$1)</f>
        <v>0</v>
      </c>
      <c r="P74" s="144">
        <f>SUMIFS('апрель 2026'!$G$2:$G$2719,'апрель 2026'!$D$2:$D$2719,$B74,'апрель 2026'!$J$2:$J$2719,P$1)</f>
        <v>0</v>
      </c>
      <c r="Q74" s="144">
        <f>SUMIFS('апрель 2026'!$G$2:$G$2719,'апрель 2026'!$D$2:$D$2719,$B74,'апрель 2026'!$J$2:$J$2719,Q$1)</f>
        <v>0</v>
      </c>
      <c r="R74" s="144">
        <f>SUMIFS('апрель 2026'!$G$2:$G$2719,'апрель 2026'!$D$2:$D$2719,$B74,'апрель 2026'!$J$2:$J$2719,R$1)</f>
        <v>0</v>
      </c>
      <c r="S74" s="144">
        <f>SUMIFS('апрель 2026'!$G$2:$G$2719,'апрель 2026'!$D$2:$D$2719,$B74,'апрель 2026'!$J$2:$J$2719,S$1)</f>
        <v>0</v>
      </c>
      <c r="T74" s="144">
        <f>SUMIFS('апрель 2026'!$G$2:$G$2719,'апрель 2026'!$D$2:$D$2719,$B74,'апрель 2026'!$J$2:$J$2719,T$1)</f>
        <v>0</v>
      </c>
      <c r="U74" s="144">
        <f>SUMIFS('апрель 2026'!$G$2:$G$2719,'апрель 2026'!$D$2:$D$2719,$B74,'апрель 2026'!$J$2:$J$2719,U$1)</f>
        <v>0</v>
      </c>
      <c r="V74" s="144">
        <f>SUMIFS('апрель 2026'!$G$2:$G$2719,'апрель 2026'!$D$2:$D$2719,$B74,'апрель 2026'!$J$2:$J$2719,V$1)</f>
        <v>0</v>
      </c>
      <c r="W74" s="144">
        <f>SUMIFS('апрель 2026'!$G$2:$G$2719,'апрель 2026'!$D$2:$D$2719,$B74,'апрель 2026'!$J$2:$J$2719,W$1)</f>
        <v>0</v>
      </c>
      <c r="X74" s="144">
        <f>SUMIFS('апрель 2026'!$G$2:$G$2719,'апрель 2026'!$D$2:$D$2719,$B74,'апрель 2026'!$J$2:$J$2719,X$1)</f>
        <v>0</v>
      </c>
      <c r="Y74" s="144">
        <f>SUMIFS('апрель 2026'!$G$2:$G$2719,'апрель 2026'!$D$2:$D$2719,$B74,'апрель 2026'!$J$2:$J$2719,Y$1)</f>
        <v>0</v>
      </c>
      <c r="Z74" s="144">
        <f>SUMIFS('апрель 2026'!$G$2:$G$2719,'апрель 2026'!$D$2:$D$2719,$B74,'апрель 2026'!$J$2:$J$2719,Z$1)</f>
        <v>0</v>
      </c>
      <c r="AA74" s="144">
        <f>SUMIFS('апрель 2026'!$G$2:$G$2719,'апрель 2026'!$D$2:$D$2719,$B74,'апрель 2026'!$J$2:$J$2719,AA$1)</f>
        <v>0</v>
      </c>
      <c r="AB74" s="144">
        <f>SUMIFS('апрель 2026'!$G$2:$G$2719,'апрель 2026'!$D$2:$D$2719,$B74,'апрель 2026'!$J$2:$J$2719,AB$1)</f>
        <v>0</v>
      </c>
      <c r="AC74" s="144">
        <f>SUMIFS('апрель 2026'!$G$2:$G$2719,'апрель 2026'!$D$2:$D$2719,$B74,'апрель 2026'!$J$2:$J$2719,AC$1)</f>
        <v>0</v>
      </c>
      <c r="AD74" s="144">
        <f>SUMIFS('апрель 2026'!$G$2:$G$2719,'апрель 2026'!$D$2:$D$2719,$B74,'апрель 2026'!$J$2:$J$2719,AD$1)</f>
        <v>0</v>
      </c>
      <c r="AE74" s="144">
        <f>SUMIFS('апрель 2026'!$G$2:$G$2719,'апрель 2026'!$D$2:$D$2719,$B74,'апрель 2026'!$J$2:$J$2719,AE$1)</f>
        <v>0</v>
      </c>
      <c r="AF74" s="144">
        <f>SUMIFS('апрель 2026'!$G$2:$G$2719,'апрель 2026'!$D$2:$D$2719,$B74,'апрель 2026'!$J$2:$J$2719,AF$1)</f>
        <v>0</v>
      </c>
      <c r="AG74" s="144">
        <f>SUMIFS('апрель 2026'!$G$2:$G$2719,'апрель 2026'!$D$2:$D$2719,$B74,'апрель 2026'!$J$2:$J$2719,AG$1)</f>
        <v>0</v>
      </c>
      <c r="AH74" s="144">
        <f>SUMIFS('апрель 2026'!$G$2:$G$2719,'апрель 2026'!$D$2:$D$2719,$B74,'апрель 2026'!$J$2:$J$2719,AH$1)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SUMIFS('апрель 2026'!$G$2:$G$2719,'апрель 2026'!$D$2:$D$2719,$B75,'апрель 2026'!$J$2:$J$2719,D$1)</f>
        <v>0</v>
      </c>
      <c r="E75" s="144">
        <f>SUMIFS('апрель 2026'!$G$2:$G$2719,'апрель 2026'!$D$2:$D$2719,$B75,'апрель 2026'!$J$2:$J$2719,E$1)</f>
        <v>0</v>
      </c>
      <c r="F75" s="144">
        <f>SUMIFS('апрель 2026'!$G$2:$G$2719,'апрель 2026'!$D$2:$D$2719,$B75,'апрель 2026'!$J$2:$J$2719,F$1)</f>
        <v>0</v>
      </c>
      <c r="G75" s="144">
        <f>SUMIFS('апрель 2026'!$G$2:$G$2719,'апрель 2026'!$D$2:$D$2719,$B75,'апрель 2026'!$J$2:$J$2719,G$1)</f>
        <v>0</v>
      </c>
      <c r="H75" s="144">
        <f>SUMIFS('апрель 2026'!$G$2:$G$2719,'апрель 2026'!$D$2:$D$2719,$B75,'апрель 2026'!$J$2:$J$2719,H$1)</f>
        <v>0</v>
      </c>
      <c r="I75" s="144">
        <f>SUMIFS('апрель 2026'!$G$2:$G$2719,'апрель 2026'!$D$2:$D$2719,$B75,'апрель 2026'!$J$2:$J$2719,I$1)</f>
        <v>0</v>
      </c>
      <c r="J75" s="144">
        <f>SUMIFS('апрель 2026'!$G$2:$G$2719,'апрель 2026'!$D$2:$D$2719,$B75,'апрель 2026'!$J$2:$J$2719,J$1)</f>
        <v>0</v>
      </c>
      <c r="K75" s="144">
        <f>SUMIFS('апрель 2026'!$G$2:$G$2719,'апрель 2026'!$D$2:$D$2719,$B75,'апрель 2026'!$J$2:$J$2719,K$1)</f>
        <v>0</v>
      </c>
      <c r="L75" s="144">
        <f>SUMIFS('апрель 2026'!$G$2:$G$2719,'апрель 2026'!$D$2:$D$2719,$B75,'апрель 2026'!$J$2:$J$2719,L$1)</f>
        <v>0</v>
      </c>
      <c r="M75" s="144">
        <f>SUMIFS('апрель 2026'!$G$2:$G$2719,'апрель 2026'!$D$2:$D$2719,$B75,'апрель 2026'!$J$2:$J$2719,M$1)</f>
        <v>0</v>
      </c>
      <c r="N75" s="144">
        <f>SUMIFS('апрель 2026'!$G$2:$G$2719,'апрель 2026'!$D$2:$D$2719,$B75,'апрель 2026'!$J$2:$J$2719,N$1)</f>
        <v>0</v>
      </c>
      <c r="O75" s="144">
        <f>SUMIFS('апрель 2026'!$G$2:$G$2719,'апрель 2026'!$D$2:$D$2719,$B75,'апрель 2026'!$J$2:$J$2719,O$1)</f>
        <v>0</v>
      </c>
      <c r="P75" s="144">
        <f>SUMIFS('апрель 2026'!$G$2:$G$2719,'апрель 2026'!$D$2:$D$2719,$B75,'апрель 2026'!$J$2:$J$2719,P$1)</f>
        <v>0</v>
      </c>
      <c r="Q75" s="144">
        <f>SUMIFS('апрель 2026'!$G$2:$G$2719,'апрель 2026'!$D$2:$D$2719,$B75,'апрель 2026'!$J$2:$J$2719,Q$1)</f>
        <v>0</v>
      </c>
      <c r="R75" s="144">
        <f>SUMIFS('апрель 2026'!$G$2:$G$2719,'апрель 2026'!$D$2:$D$2719,$B75,'апрель 2026'!$J$2:$J$2719,R$1)</f>
        <v>0</v>
      </c>
      <c r="S75" s="144">
        <f>SUMIFS('апрель 2026'!$G$2:$G$2719,'апрель 2026'!$D$2:$D$2719,$B75,'апрель 2026'!$J$2:$J$2719,S$1)</f>
        <v>0</v>
      </c>
      <c r="T75" s="144">
        <f>SUMIFS('апрель 2026'!$G$2:$G$2719,'апрель 2026'!$D$2:$D$2719,$B75,'апрель 2026'!$J$2:$J$2719,T$1)</f>
        <v>0</v>
      </c>
      <c r="U75" s="144">
        <f>SUMIFS('апрель 2026'!$G$2:$G$2719,'апрель 2026'!$D$2:$D$2719,$B75,'апрель 2026'!$J$2:$J$2719,U$1)</f>
        <v>0</v>
      </c>
      <c r="V75" s="144">
        <f>SUMIFS('апрель 2026'!$G$2:$G$2719,'апрель 2026'!$D$2:$D$2719,$B75,'апрель 2026'!$J$2:$J$2719,V$1)</f>
        <v>0</v>
      </c>
      <c r="W75" s="144">
        <f>SUMIFS('апрель 2026'!$G$2:$G$2719,'апрель 2026'!$D$2:$D$2719,$B75,'апрель 2026'!$J$2:$J$2719,W$1)</f>
        <v>0</v>
      </c>
      <c r="X75" s="144">
        <f>SUMIFS('апрель 2026'!$G$2:$G$2719,'апрель 2026'!$D$2:$D$2719,$B75,'апрель 2026'!$J$2:$J$2719,X$1)</f>
        <v>0</v>
      </c>
      <c r="Y75" s="144">
        <f>SUMIFS('апрель 2026'!$G$2:$G$2719,'апрель 2026'!$D$2:$D$2719,$B75,'апрель 2026'!$J$2:$J$2719,Y$1)</f>
        <v>0</v>
      </c>
      <c r="Z75" s="144">
        <f>SUMIFS('апрель 2026'!$G$2:$G$2719,'апрель 2026'!$D$2:$D$2719,$B75,'апрель 2026'!$J$2:$J$2719,Z$1)</f>
        <v>0</v>
      </c>
      <c r="AA75" s="144">
        <f>SUMIFS('апрель 2026'!$G$2:$G$2719,'апрель 2026'!$D$2:$D$2719,$B75,'апрель 2026'!$J$2:$J$2719,AA$1)</f>
        <v>0</v>
      </c>
      <c r="AB75" s="144">
        <f>SUMIFS('апрель 2026'!$G$2:$G$2719,'апрель 2026'!$D$2:$D$2719,$B75,'апрель 2026'!$J$2:$J$2719,AB$1)</f>
        <v>0</v>
      </c>
      <c r="AC75" s="144">
        <f>SUMIFS('апрель 2026'!$G$2:$G$2719,'апрель 2026'!$D$2:$D$2719,$B75,'апрель 2026'!$J$2:$J$2719,AC$1)</f>
        <v>0</v>
      </c>
      <c r="AD75" s="144">
        <f>SUMIFS('апрель 2026'!$G$2:$G$2719,'апрель 2026'!$D$2:$D$2719,$B75,'апрель 2026'!$J$2:$J$2719,AD$1)</f>
        <v>0</v>
      </c>
      <c r="AE75" s="144">
        <f>SUMIFS('апрель 2026'!$G$2:$G$2719,'апрель 2026'!$D$2:$D$2719,$B75,'апрель 2026'!$J$2:$J$2719,AE$1)</f>
        <v>0</v>
      </c>
      <c r="AF75" s="144">
        <f>SUMIFS('апрель 2026'!$G$2:$G$2719,'апрель 2026'!$D$2:$D$2719,$B75,'апрель 2026'!$J$2:$J$2719,AF$1)</f>
        <v>0</v>
      </c>
      <c r="AG75" s="144">
        <f>SUMIFS('апрель 2026'!$G$2:$G$2719,'апрель 2026'!$D$2:$D$2719,$B75,'апрель 2026'!$J$2:$J$2719,AG$1)</f>
        <v>0</v>
      </c>
      <c r="AH75" s="144">
        <f>SUMIFS('апрель 2026'!$G$2:$G$2719,'апрель 2026'!$D$2:$D$2719,$B75,'апрель 2026'!$J$2:$J$2719,AH$1)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SUMIFS('апрель 2026'!$G$2:$G$2719,'апрель 2026'!$D$2:$D$2719,$B76,'апрель 2026'!$J$2:$J$2719,D$1)</f>
        <v>0</v>
      </c>
      <c r="E76" s="144">
        <f>SUMIFS('апрель 2026'!$G$2:$G$2719,'апрель 2026'!$D$2:$D$2719,$B76,'апрель 2026'!$J$2:$J$2719,E$1)</f>
        <v>0</v>
      </c>
      <c r="F76" s="144">
        <f>SUMIFS('апрель 2026'!$G$2:$G$2719,'апрель 2026'!$D$2:$D$2719,$B76,'апрель 2026'!$J$2:$J$2719,F$1)</f>
        <v>0</v>
      </c>
      <c r="G76" s="144">
        <f>SUMIFS('апрель 2026'!$G$2:$G$2719,'апрель 2026'!$D$2:$D$2719,$B76,'апрель 2026'!$J$2:$J$2719,G$1)</f>
        <v>0</v>
      </c>
      <c r="H76" s="144">
        <f>SUMIFS('апрель 2026'!$G$2:$G$2719,'апрель 2026'!$D$2:$D$2719,$B76,'апрель 2026'!$J$2:$J$2719,H$1)</f>
        <v>0</v>
      </c>
      <c r="I76" s="144">
        <f>SUMIFS('апрель 2026'!$G$2:$G$2719,'апрель 2026'!$D$2:$D$2719,$B76,'апрель 2026'!$J$2:$J$2719,I$1)</f>
        <v>0</v>
      </c>
      <c r="J76" s="144">
        <f>SUMIFS('апрель 2026'!$G$2:$G$2719,'апрель 2026'!$D$2:$D$2719,$B76,'апрель 2026'!$J$2:$J$2719,J$1)</f>
        <v>0</v>
      </c>
      <c r="K76" s="144">
        <f>SUMIFS('апрель 2026'!$G$2:$G$2719,'апрель 2026'!$D$2:$D$2719,$B76,'апрель 2026'!$J$2:$J$2719,K$1)</f>
        <v>0</v>
      </c>
      <c r="L76" s="144">
        <f>SUMIFS('апрель 2026'!$G$2:$G$2719,'апрель 2026'!$D$2:$D$2719,$B76,'апрель 2026'!$J$2:$J$2719,L$1)</f>
        <v>0</v>
      </c>
      <c r="M76" s="144">
        <f>SUMIFS('апрель 2026'!$G$2:$G$2719,'апрель 2026'!$D$2:$D$2719,$B76,'апрель 2026'!$J$2:$J$2719,M$1)</f>
        <v>0</v>
      </c>
      <c r="N76" s="144">
        <f>SUMIFS('апрель 2026'!$G$2:$G$2719,'апрель 2026'!$D$2:$D$2719,$B76,'апрель 2026'!$J$2:$J$2719,N$1)</f>
        <v>0</v>
      </c>
      <c r="O76" s="144">
        <f>SUMIFS('апрель 2026'!$G$2:$G$2719,'апрель 2026'!$D$2:$D$2719,$B76,'апрель 2026'!$J$2:$J$2719,O$1)</f>
        <v>0</v>
      </c>
      <c r="P76" s="144">
        <f>SUMIFS('апрель 2026'!$G$2:$G$2719,'апрель 2026'!$D$2:$D$2719,$B76,'апрель 2026'!$J$2:$J$2719,P$1)</f>
        <v>0</v>
      </c>
      <c r="Q76" s="144">
        <f>SUMIFS('апрель 2026'!$G$2:$G$2719,'апрель 2026'!$D$2:$D$2719,$B76,'апрель 2026'!$J$2:$J$2719,Q$1)</f>
        <v>0</v>
      </c>
      <c r="R76" s="144">
        <f>SUMIFS('апрель 2026'!$G$2:$G$2719,'апрель 2026'!$D$2:$D$2719,$B76,'апрель 2026'!$J$2:$J$2719,R$1)</f>
        <v>0</v>
      </c>
      <c r="S76" s="144">
        <f>SUMIFS('апрель 2026'!$G$2:$G$2719,'апрель 2026'!$D$2:$D$2719,$B76,'апрель 2026'!$J$2:$J$2719,S$1)</f>
        <v>0</v>
      </c>
      <c r="T76" s="144">
        <f>SUMIFS('апрель 2026'!$G$2:$G$2719,'апрель 2026'!$D$2:$D$2719,$B76,'апрель 2026'!$J$2:$J$2719,T$1)</f>
        <v>0</v>
      </c>
      <c r="U76" s="144">
        <f>SUMIFS('апрель 2026'!$G$2:$G$2719,'апрель 2026'!$D$2:$D$2719,$B76,'апрель 2026'!$J$2:$J$2719,U$1)</f>
        <v>0</v>
      </c>
      <c r="V76" s="144">
        <f>SUMIFS('апрель 2026'!$G$2:$G$2719,'апрель 2026'!$D$2:$D$2719,$B76,'апрель 2026'!$J$2:$J$2719,V$1)</f>
        <v>0</v>
      </c>
      <c r="W76" s="144">
        <f>SUMIFS('апрель 2026'!$G$2:$G$2719,'апрель 2026'!$D$2:$D$2719,$B76,'апрель 2026'!$J$2:$J$2719,W$1)</f>
        <v>0</v>
      </c>
      <c r="X76" s="144">
        <f>SUMIFS('апрель 2026'!$G$2:$G$2719,'апрель 2026'!$D$2:$D$2719,$B76,'апрель 2026'!$J$2:$J$2719,X$1)</f>
        <v>0</v>
      </c>
      <c r="Y76" s="144">
        <f>SUMIFS('апрель 2026'!$G$2:$G$2719,'апрель 2026'!$D$2:$D$2719,$B76,'апрель 2026'!$J$2:$J$2719,Y$1)</f>
        <v>0</v>
      </c>
      <c r="Z76" s="144">
        <f>SUMIFS('апрель 2026'!$G$2:$G$2719,'апрель 2026'!$D$2:$D$2719,$B76,'апрель 2026'!$J$2:$J$2719,Z$1)</f>
        <v>0</v>
      </c>
      <c r="AA76" s="144">
        <f>SUMIFS('апрель 2026'!$G$2:$G$2719,'апрель 2026'!$D$2:$D$2719,$B76,'апрель 2026'!$J$2:$J$2719,AA$1)</f>
        <v>0</v>
      </c>
      <c r="AB76" s="144">
        <f>SUMIFS('апрель 2026'!$G$2:$G$2719,'апрель 2026'!$D$2:$D$2719,$B76,'апрель 2026'!$J$2:$J$2719,AB$1)</f>
        <v>0</v>
      </c>
      <c r="AC76" s="144">
        <f>SUMIFS('апрель 2026'!$G$2:$G$2719,'апрель 2026'!$D$2:$D$2719,$B76,'апрель 2026'!$J$2:$J$2719,AC$1)</f>
        <v>0</v>
      </c>
      <c r="AD76" s="144">
        <f>SUMIFS('апрель 2026'!$G$2:$G$2719,'апрель 2026'!$D$2:$D$2719,$B76,'апрель 2026'!$J$2:$J$2719,AD$1)</f>
        <v>0</v>
      </c>
      <c r="AE76" s="144">
        <f>SUMIFS('апрель 2026'!$G$2:$G$2719,'апрель 2026'!$D$2:$D$2719,$B76,'апрель 2026'!$J$2:$J$2719,AE$1)</f>
        <v>0</v>
      </c>
      <c r="AF76" s="144">
        <f>SUMIFS('апрель 2026'!$G$2:$G$2719,'апрель 2026'!$D$2:$D$2719,$B76,'апрель 2026'!$J$2:$J$2719,AF$1)</f>
        <v>0</v>
      </c>
      <c r="AG76" s="144">
        <f>SUMIFS('апрель 2026'!$G$2:$G$2719,'апрель 2026'!$D$2:$D$2719,$B76,'апрель 2026'!$J$2:$J$2719,AG$1)</f>
        <v>0</v>
      </c>
      <c r="AH76" s="144">
        <f>SUMIFS('апрель 2026'!$G$2:$G$2719,'апрель 2026'!$D$2:$D$2719,$B76,'апрель 2026'!$J$2:$J$2719,AH$1)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SUMIFS('апрель 2026'!$G$2:$G$2719,'апрель 2026'!$D$2:$D$2719,$B77,'апрель 2026'!$J$2:$J$2719,D$1)</f>
        <v>0</v>
      </c>
      <c r="E77" s="144">
        <f>SUMIFS('апрель 2026'!$G$2:$G$2719,'апрель 2026'!$D$2:$D$2719,$B77,'апрель 2026'!$J$2:$J$2719,E$1)</f>
        <v>0</v>
      </c>
      <c r="F77" s="144">
        <f>SUMIFS('апрель 2026'!$G$2:$G$2719,'апрель 2026'!$D$2:$D$2719,$B77,'апрель 2026'!$J$2:$J$2719,F$1)</f>
        <v>0</v>
      </c>
      <c r="G77" s="144">
        <f>SUMIFS('апрель 2026'!$G$2:$G$2719,'апрель 2026'!$D$2:$D$2719,$B77,'апрель 2026'!$J$2:$J$2719,G$1)</f>
        <v>0</v>
      </c>
      <c r="H77" s="144">
        <f>SUMIFS('апрель 2026'!$G$2:$G$2719,'апрель 2026'!$D$2:$D$2719,$B77,'апрель 2026'!$J$2:$J$2719,H$1)</f>
        <v>0</v>
      </c>
      <c r="I77" s="144">
        <f>SUMIFS('апрель 2026'!$G$2:$G$2719,'апрель 2026'!$D$2:$D$2719,$B77,'апрель 2026'!$J$2:$J$2719,I$1)</f>
        <v>0</v>
      </c>
      <c r="J77" s="144">
        <f>SUMIFS('апрель 2026'!$G$2:$G$2719,'апрель 2026'!$D$2:$D$2719,$B77,'апрель 2026'!$J$2:$J$2719,J$1)</f>
        <v>0</v>
      </c>
      <c r="K77" s="144">
        <f>SUMIFS('апрель 2026'!$G$2:$G$2719,'апрель 2026'!$D$2:$D$2719,$B77,'апрель 2026'!$J$2:$J$2719,K$1)</f>
        <v>0</v>
      </c>
      <c r="L77" s="144">
        <f>SUMIFS('апрель 2026'!$G$2:$G$2719,'апрель 2026'!$D$2:$D$2719,$B77,'апрель 2026'!$J$2:$J$2719,L$1)</f>
        <v>0</v>
      </c>
      <c r="M77" s="144">
        <f>SUMIFS('апрель 2026'!$G$2:$G$2719,'апрель 2026'!$D$2:$D$2719,$B77,'апрель 2026'!$J$2:$J$2719,M$1)</f>
        <v>0</v>
      </c>
      <c r="N77" s="144">
        <f>SUMIFS('апрель 2026'!$G$2:$G$2719,'апрель 2026'!$D$2:$D$2719,$B77,'апрель 2026'!$J$2:$J$2719,N$1)</f>
        <v>0</v>
      </c>
      <c r="O77" s="144">
        <f>SUMIFS('апрель 2026'!$G$2:$G$2719,'апрель 2026'!$D$2:$D$2719,$B77,'апрель 2026'!$J$2:$J$2719,O$1)</f>
        <v>0</v>
      </c>
      <c r="P77" s="144">
        <f>SUMIFS('апрель 2026'!$G$2:$G$2719,'апрель 2026'!$D$2:$D$2719,$B77,'апрель 2026'!$J$2:$J$2719,P$1)</f>
        <v>0</v>
      </c>
      <c r="Q77" s="144">
        <f>SUMIFS('апрель 2026'!$G$2:$G$2719,'апрель 2026'!$D$2:$D$2719,$B77,'апрель 2026'!$J$2:$J$2719,Q$1)</f>
        <v>0</v>
      </c>
      <c r="R77" s="144">
        <f>SUMIFS('апрель 2026'!$G$2:$G$2719,'апрель 2026'!$D$2:$D$2719,$B77,'апрель 2026'!$J$2:$J$2719,R$1)</f>
        <v>0</v>
      </c>
      <c r="S77" s="144">
        <f>SUMIFS('апрель 2026'!$G$2:$G$2719,'апрель 2026'!$D$2:$D$2719,$B77,'апрель 2026'!$J$2:$J$2719,S$1)</f>
        <v>0</v>
      </c>
      <c r="T77" s="144">
        <f>SUMIFS('апрель 2026'!$G$2:$G$2719,'апрель 2026'!$D$2:$D$2719,$B77,'апрель 2026'!$J$2:$J$2719,T$1)</f>
        <v>0</v>
      </c>
      <c r="U77" s="144">
        <f>SUMIFS('апрель 2026'!$G$2:$G$2719,'апрель 2026'!$D$2:$D$2719,$B77,'апрель 2026'!$J$2:$J$2719,U$1)</f>
        <v>0</v>
      </c>
      <c r="V77" s="144">
        <f>SUMIFS('апрель 2026'!$G$2:$G$2719,'апрель 2026'!$D$2:$D$2719,$B77,'апрель 2026'!$J$2:$J$2719,V$1)</f>
        <v>0</v>
      </c>
      <c r="W77" s="144">
        <f>SUMIFS('апрель 2026'!$G$2:$G$2719,'апрель 2026'!$D$2:$D$2719,$B77,'апрель 2026'!$J$2:$J$2719,W$1)</f>
        <v>0</v>
      </c>
      <c r="X77" s="144">
        <f>SUMIFS('апрель 2026'!$G$2:$G$2719,'апрель 2026'!$D$2:$D$2719,$B77,'апрель 2026'!$J$2:$J$2719,X$1)</f>
        <v>0</v>
      </c>
      <c r="Y77" s="144">
        <f>SUMIFS('апрель 2026'!$G$2:$G$2719,'апрель 2026'!$D$2:$D$2719,$B77,'апрель 2026'!$J$2:$J$2719,Y$1)</f>
        <v>0</v>
      </c>
      <c r="Z77" s="144">
        <f>SUMIFS('апрель 2026'!$G$2:$G$2719,'апрель 2026'!$D$2:$D$2719,$B77,'апрель 2026'!$J$2:$J$2719,Z$1)</f>
        <v>0</v>
      </c>
      <c r="AA77" s="144">
        <f>SUMIFS('апрель 2026'!$G$2:$G$2719,'апрель 2026'!$D$2:$D$2719,$B77,'апрель 2026'!$J$2:$J$2719,AA$1)</f>
        <v>0</v>
      </c>
      <c r="AB77" s="144">
        <f>SUMIFS('апрель 2026'!$G$2:$G$2719,'апрель 2026'!$D$2:$D$2719,$B77,'апрель 2026'!$J$2:$J$2719,AB$1)</f>
        <v>0</v>
      </c>
      <c r="AC77" s="144">
        <f>SUMIFS('апрель 2026'!$G$2:$G$2719,'апрель 2026'!$D$2:$D$2719,$B77,'апрель 2026'!$J$2:$J$2719,AC$1)</f>
        <v>0</v>
      </c>
      <c r="AD77" s="144">
        <f>SUMIFS('апрель 2026'!$G$2:$G$2719,'апрель 2026'!$D$2:$D$2719,$B77,'апрель 2026'!$J$2:$J$2719,AD$1)</f>
        <v>0</v>
      </c>
      <c r="AE77" s="144">
        <f>SUMIFS('апрель 2026'!$G$2:$G$2719,'апрель 2026'!$D$2:$D$2719,$B77,'апрель 2026'!$J$2:$J$2719,AE$1)</f>
        <v>0</v>
      </c>
      <c r="AF77" s="144">
        <f>SUMIFS('апрель 2026'!$G$2:$G$2719,'апрель 2026'!$D$2:$D$2719,$B77,'апрель 2026'!$J$2:$J$2719,AF$1)</f>
        <v>0</v>
      </c>
      <c r="AG77" s="144">
        <f>SUMIFS('апрель 2026'!$G$2:$G$2719,'апрель 2026'!$D$2:$D$2719,$B77,'апрель 2026'!$J$2:$J$2719,AG$1)</f>
        <v>0</v>
      </c>
      <c r="AH77" s="144">
        <f>SUMIFS('апрель 2026'!$G$2:$G$2719,'апрель 2026'!$D$2:$D$2719,$B77,'апрель 2026'!$J$2:$J$2719,AH$1)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SUMIFS('апрель 2026'!$G$2:$G$2719,'апрель 2026'!$D$2:$D$2719,$B78,'апрель 2026'!$J$2:$J$2719,D$1)</f>
        <v>0</v>
      </c>
      <c r="E78" s="144">
        <f>SUMIFS('апрель 2026'!$G$2:$G$2719,'апрель 2026'!$D$2:$D$2719,$B78,'апрель 2026'!$J$2:$J$2719,E$1)</f>
        <v>1</v>
      </c>
      <c r="F78" s="144">
        <f>SUMIFS('апрель 2026'!$G$2:$G$2719,'апрель 2026'!$D$2:$D$2719,$B78,'апрель 2026'!$J$2:$J$2719,F$1)</f>
        <v>0</v>
      </c>
      <c r="G78" s="144">
        <f>SUMIFS('апрель 2026'!$G$2:$G$2719,'апрель 2026'!$D$2:$D$2719,$B78,'апрель 2026'!$J$2:$J$2719,G$1)</f>
        <v>0</v>
      </c>
      <c r="H78" s="144">
        <f>SUMIFS('апрель 2026'!$G$2:$G$2719,'апрель 2026'!$D$2:$D$2719,$B78,'апрель 2026'!$J$2:$J$2719,H$1)</f>
        <v>0</v>
      </c>
      <c r="I78" s="144">
        <f>SUMIFS('апрель 2026'!$G$2:$G$2719,'апрель 2026'!$D$2:$D$2719,$B78,'апрель 2026'!$J$2:$J$2719,I$1)</f>
        <v>0</v>
      </c>
      <c r="J78" s="144">
        <f>SUMIFS('апрель 2026'!$G$2:$G$2719,'апрель 2026'!$D$2:$D$2719,$B78,'апрель 2026'!$J$2:$J$2719,J$1)</f>
        <v>0</v>
      </c>
      <c r="K78" s="144">
        <f>SUMIFS('апрель 2026'!$G$2:$G$2719,'апрель 2026'!$D$2:$D$2719,$B78,'апрель 2026'!$J$2:$J$2719,K$1)</f>
        <v>0</v>
      </c>
      <c r="L78" s="144">
        <f>SUMIFS('апрель 2026'!$G$2:$G$2719,'апрель 2026'!$D$2:$D$2719,$B78,'апрель 2026'!$J$2:$J$2719,L$1)</f>
        <v>0</v>
      </c>
      <c r="M78" s="144">
        <f>SUMIFS('апрель 2026'!$G$2:$G$2719,'апрель 2026'!$D$2:$D$2719,$B78,'апрель 2026'!$J$2:$J$2719,M$1)</f>
        <v>0</v>
      </c>
      <c r="N78" s="144">
        <f>SUMIFS('апрель 2026'!$G$2:$G$2719,'апрель 2026'!$D$2:$D$2719,$B78,'апрель 2026'!$J$2:$J$2719,N$1)</f>
        <v>0</v>
      </c>
      <c r="O78" s="144">
        <f>SUMIFS('апрель 2026'!$G$2:$G$2719,'апрель 2026'!$D$2:$D$2719,$B78,'апрель 2026'!$J$2:$J$2719,O$1)</f>
        <v>0</v>
      </c>
      <c r="P78" s="144">
        <f>SUMIFS('апрель 2026'!$G$2:$G$2719,'апрель 2026'!$D$2:$D$2719,$B78,'апрель 2026'!$J$2:$J$2719,P$1)</f>
        <v>0</v>
      </c>
      <c r="Q78" s="144">
        <f>SUMIFS('апрель 2026'!$G$2:$G$2719,'апрель 2026'!$D$2:$D$2719,$B78,'апрель 2026'!$J$2:$J$2719,Q$1)</f>
        <v>0</v>
      </c>
      <c r="R78" s="144">
        <f>SUMIFS('апрель 2026'!$G$2:$G$2719,'апрель 2026'!$D$2:$D$2719,$B78,'апрель 2026'!$J$2:$J$2719,R$1)</f>
        <v>0</v>
      </c>
      <c r="S78" s="144">
        <f>SUMIFS('апрель 2026'!$G$2:$G$2719,'апрель 2026'!$D$2:$D$2719,$B78,'апрель 2026'!$J$2:$J$2719,S$1)</f>
        <v>0</v>
      </c>
      <c r="T78" s="144">
        <f>SUMIFS('апрель 2026'!$G$2:$G$2719,'апрель 2026'!$D$2:$D$2719,$B78,'апрель 2026'!$J$2:$J$2719,T$1)</f>
        <v>0</v>
      </c>
      <c r="U78" s="144">
        <f>SUMIFS('апрель 2026'!$G$2:$G$2719,'апрель 2026'!$D$2:$D$2719,$B78,'апрель 2026'!$J$2:$J$2719,U$1)</f>
        <v>0</v>
      </c>
      <c r="V78" s="144">
        <f>SUMIFS('апрель 2026'!$G$2:$G$2719,'апрель 2026'!$D$2:$D$2719,$B78,'апрель 2026'!$J$2:$J$2719,V$1)</f>
        <v>0</v>
      </c>
      <c r="W78" s="144">
        <f>SUMIFS('апрель 2026'!$G$2:$G$2719,'апрель 2026'!$D$2:$D$2719,$B78,'апрель 2026'!$J$2:$J$2719,W$1)</f>
        <v>0</v>
      </c>
      <c r="X78" s="144">
        <f>SUMIFS('апрель 2026'!$G$2:$G$2719,'апрель 2026'!$D$2:$D$2719,$B78,'апрель 2026'!$J$2:$J$2719,X$1)</f>
        <v>0</v>
      </c>
      <c r="Y78" s="144">
        <f>SUMIFS('апрель 2026'!$G$2:$G$2719,'апрель 2026'!$D$2:$D$2719,$B78,'апрель 2026'!$J$2:$J$2719,Y$1)</f>
        <v>0</v>
      </c>
      <c r="Z78" s="144">
        <f>SUMIFS('апрель 2026'!$G$2:$G$2719,'апрель 2026'!$D$2:$D$2719,$B78,'апрель 2026'!$J$2:$J$2719,Z$1)</f>
        <v>0</v>
      </c>
      <c r="AA78" s="144">
        <f>SUMIFS('апрель 2026'!$G$2:$G$2719,'апрель 2026'!$D$2:$D$2719,$B78,'апрель 2026'!$J$2:$J$2719,AA$1)</f>
        <v>0</v>
      </c>
      <c r="AB78" s="144">
        <f>SUMIFS('апрель 2026'!$G$2:$G$2719,'апрель 2026'!$D$2:$D$2719,$B78,'апрель 2026'!$J$2:$J$2719,AB$1)</f>
        <v>0</v>
      </c>
      <c r="AC78" s="144">
        <f>SUMIFS('апрель 2026'!$G$2:$G$2719,'апрель 2026'!$D$2:$D$2719,$B78,'апрель 2026'!$J$2:$J$2719,AC$1)</f>
        <v>0</v>
      </c>
      <c r="AD78" s="144">
        <f>SUMIFS('апрель 2026'!$G$2:$G$2719,'апрель 2026'!$D$2:$D$2719,$B78,'апрель 2026'!$J$2:$J$2719,AD$1)</f>
        <v>0</v>
      </c>
      <c r="AE78" s="144">
        <f>SUMIFS('апрель 2026'!$G$2:$G$2719,'апрель 2026'!$D$2:$D$2719,$B78,'апрель 2026'!$J$2:$J$2719,AE$1)</f>
        <v>0</v>
      </c>
      <c r="AF78" s="144">
        <f>SUMIFS('апрель 2026'!$G$2:$G$2719,'апрель 2026'!$D$2:$D$2719,$B78,'апрель 2026'!$J$2:$J$2719,AF$1)</f>
        <v>0</v>
      </c>
      <c r="AG78" s="144">
        <f>SUMIFS('апрель 2026'!$G$2:$G$2719,'апрель 2026'!$D$2:$D$2719,$B78,'апрель 2026'!$J$2:$J$2719,AG$1)</f>
        <v>0</v>
      </c>
      <c r="AH78" s="144">
        <f>SUMIFS('апрель 2026'!$G$2:$G$2719,'апрель 2026'!$D$2:$D$2719,$B78,'апрель 2026'!$J$2:$J$2719,AH$1)</f>
        <v>0</v>
      </c>
      <c r="AI78" s="20">
        <f t="shared" si="1"/>
        <v>1</v>
      </c>
    </row>
    <row r="79" spans="2:35" ht="15.75" x14ac:dyDescent="0.25">
      <c r="B79" s="85" t="s">
        <v>287</v>
      </c>
      <c r="C79" s="83">
        <v>200</v>
      </c>
      <c r="D79" s="144">
        <f>SUMIFS('апрель 2026'!$G$2:$G$2719,'апрель 2026'!$D$2:$D$2719,$B79,'апрель 2026'!$J$2:$J$2719,D$1)</f>
        <v>0</v>
      </c>
      <c r="E79" s="144">
        <f>SUMIFS('апрель 2026'!$G$2:$G$2719,'апрель 2026'!$D$2:$D$2719,$B79,'апрель 2026'!$J$2:$J$2719,E$1)</f>
        <v>0</v>
      </c>
      <c r="F79" s="144">
        <f>SUMIFS('апрель 2026'!$G$2:$G$2719,'апрель 2026'!$D$2:$D$2719,$B79,'апрель 2026'!$J$2:$J$2719,F$1)</f>
        <v>0</v>
      </c>
      <c r="G79" s="144">
        <f>SUMIFS('апрель 2026'!$G$2:$G$2719,'апрель 2026'!$D$2:$D$2719,$B79,'апрель 2026'!$J$2:$J$2719,G$1)</f>
        <v>0</v>
      </c>
      <c r="H79" s="144">
        <f>SUMIFS('апрель 2026'!$G$2:$G$2719,'апрель 2026'!$D$2:$D$2719,$B79,'апрель 2026'!$J$2:$J$2719,H$1)</f>
        <v>0</v>
      </c>
      <c r="I79" s="144">
        <f>SUMIFS('апрель 2026'!$G$2:$G$2719,'апрель 2026'!$D$2:$D$2719,$B79,'апрель 2026'!$J$2:$J$2719,I$1)</f>
        <v>0</v>
      </c>
      <c r="J79" s="144">
        <f>SUMIFS('апрель 2026'!$G$2:$G$2719,'апрель 2026'!$D$2:$D$2719,$B79,'апрель 2026'!$J$2:$J$2719,J$1)</f>
        <v>0</v>
      </c>
      <c r="K79" s="144">
        <f>SUMIFS('апрель 2026'!$G$2:$G$2719,'апрель 2026'!$D$2:$D$2719,$B79,'апрель 2026'!$J$2:$J$2719,K$1)</f>
        <v>0</v>
      </c>
      <c r="L79" s="144">
        <f>SUMIFS('апрель 2026'!$G$2:$G$2719,'апрель 2026'!$D$2:$D$2719,$B79,'апрель 2026'!$J$2:$J$2719,L$1)</f>
        <v>0</v>
      </c>
      <c r="M79" s="144">
        <f>SUMIFS('апрель 2026'!$G$2:$G$2719,'апрель 2026'!$D$2:$D$2719,$B79,'апрель 2026'!$J$2:$J$2719,M$1)</f>
        <v>0</v>
      </c>
      <c r="N79" s="144">
        <f>SUMIFS('апрель 2026'!$G$2:$G$2719,'апрель 2026'!$D$2:$D$2719,$B79,'апрель 2026'!$J$2:$J$2719,N$1)</f>
        <v>0</v>
      </c>
      <c r="O79" s="144">
        <f>SUMIFS('апрель 2026'!$G$2:$G$2719,'апрель 2026'!$D$2:$D$2719,$B79,'апрель 2026'!$J$2:$J$2719,O$1)</f>
        <v>0</v>
      </c>
      <c r="P79" s="144">
        <f>SUMIFS('апрель 2026'!$G$2:$G$2719,'апрель 2026'!$D$2:$D$2719,$B79,'апрель 2026'!$J$2:$J$2719,P$1)</f>
        <v>0</v>
      </c>
      <c r="Q79" s="144">
        <f>SUMIFS('апрель 2026'!$G$2:$G$2719,'апрель 2026'!$D$2:$D$2719,$B79,'апрель 2026'!$J$2:$J$2719,Q$1)</f>
        <v>0</v>
      </c>
      <c r="R79" s="144">
        <f>SUMIFS('апрель 2026'!$G$2:$G$2719,'апрель 2026'!$D$2:$D$2719,$B79,'апрель 2026'!$J$2:$J$2719,R$1)</f>
        <v>0</v>
      </c>
      <c r="S79" s="144">
        <f>SUMIFS('апрель 2026'!$G$2:$G$2719,'апрель 2026'!$D$2:$D$2719,$B79,'апрель 2026'!$J$2:$J$2719,S$1)</f>
        <v>0</v>
      </c>
      <c r="T79" s="144">
        <f>SUMIFS('апрель 2026'!$G$2:$G$2719,'апрель 2026'!$D$2:$D$2719,$B79,'апрель 2026'!$J$2:$J$2719,T$1)</f>
        <v>0</v>
      </c>
      <c r="U79" s="144">
        <f>SUMIFS('апрель 2026'!$G$2:$G$2719,'апрель 2026'!$D$2:$D$2719,$B79,'апрель 2026'!$J$2:$J$2719,U$1)</f>
        <v>0</v>
      </c>
      <c r="V79" s="144">
        <f>SUMIFS('апрель 2026'!$G$2:$G$2719,'апрель 2026'!$D$2:$D$2719,$B79,'апрель 2026'!$J$2:$J$2719,V$1)</f>
        <v>0</v>
      </c>
      <c r="W79" s="144">
        <f>SUMIFS('апрель 2026'!$G$2:$G$2719,'апрель 2026'!$D$2:$D$2719,$B79,'апрель 2026'!$J$2:$J$2719,W$1)</f>
        <v>0</v>
      </c>
      <c r="X79" s="144">
        <f>SUMIFS('апрель 2026'!$G$2:$G$2719,'апрель 2026'!$D$2:$D$2719,$B79,'апрель 2026'!$J$2:$J$2719,X$1)</f>
        <v>0</v>
      </c>
      <c r="Y79" s="144">
        <f>SUMIFS('апрель 2026'!$G$2:$G$2719,'апрель 2026'!$D$2:$D$2719,$B79,'апрель 2026'!$J$2:$J$2719,Y$1)</f>
        <v>0</v>
      </c>
      <c r="Z79" s="144">
        <f>SUMIFS('апрель 2026'!$G$2:$G$2719,'апрель 2026'!$D$2:$D$2719,$B79,'апрель 2026'!$J$2:$J$2719,Z$1)</f>
        <v>0</v>
      </c>
      <c r="AA79" s="144">
        <f>SUMIFS('апрель 2026'!$G$2:$G$2719,'апрель 2026'!$D$2:$D$2719,$B79,'апрель 2026'!$J$2:$J$2719,AA$1)</f>
        <v>0</v>
      </c>
      <c r="AB79" s="144">
        <f>SUMIFS('апрель 2026'!$G$2:$G$2719,'апрель 2026'!$D$2:$D$2719,$B79,'апрель 2026'!$J$2:$J$2719,AB$1)</f>
        <v>0</v>
      </c>
      <c r="AC79" s="144">
        <f>SUMIFS('апрель 2026'!$G$2:$G$2719,'апрель 2026'!$D$2:$D$2719,$B79,'апрель 2026'!$J$2:$J$2719,AC$1)</f>
        <v>0</v>
      </c>
      <c r="AD79" s="144">
        <f>SUMIFS('апрель 2026'!$G$2:$G$2719,'апрель 2026'!$D$2:$D$2719,$B79,'апрель 2026'!$J$2:$J$2719,AD$1)</f>
        <v>0</v>
      </c>
      <c r="AE79" s="144">
        <f>SUMIFS('апрель 2026'!$G$2:$G$2719,'апрель 2026'!$D$2:$D$2719,$B79,'апрель 2026'!$J$2:$J$2719,AE$1)</f>
        <v>0</v>
      </c>
      <c r="AF79" s="144">
        <f>SUMIFS('апрель 2026'!$G$2:$G$2719,'апрель 2026'!$D$2:$D$2719,$B79,'апрель 2026'!$J$2:$J$2719,AF$1)</f>
        <v>0</v>
      </c>
      <c r="AG79" s="144">
        <f>SUMIFS('апрель 2026'!$G$2:$G$2719,'апрель 2026'!$D$2:$D$2719,$B79,'апрель 2026'!$J$2:$J$2719,AG$1)</f>
        <v>0</v>
      </c>
      <c r="AH79" s="144">
        <f>SUMIFS('апрель 2026'!$G$2:$G$2719,'апрель 2026'!$D$2:$D$2719,$B79,'апрель 2026'!$J$2:$J$2719,AH$1)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SUMIFS('апрель 2026'!$G$2:$G$2719,'апрель 2026'!$D$2:$D$2719,$B80,'апрель 2026'!$J$2:$J$2719,D$1)</f>
        <v>0</v>
      </c>
      <c r="E80" s="144">
        <f>SUMIFS('апрель 2026'!$G$2:$G$2719,'апрель 2026'!$D$2:$D$2719,$B80,'апрель 2026'!$J$2:$J$2719,E$1)</f>
        <v>0</v>
      </c>
      <c r="F80" s="144">
        <f>SUMIFS('апрель 2026'!$G$2:$G$2719,'апрель 2026'!$D$2:$D$2719,$B80,'апрель 2026'!$J$2:$J$2719,F$1)</f>
        <v>0</v>
      </c>
      <c r="G80" s="144">
        <f>SUMIFS('апрель 2026'!$G$2:$G$2719,'апрель 2026'!$D$2:$D$2719,$B80,'апрель 2026'!$J$2:$J$2719,G$1)</f>
        <v>0</v>
      </c>
      <c r="H80" s="144">
        <f>SUMIFS('апрель 2026'!$G$2:$G$2719,'апрель 2026'!$D$2:$D$2719,$B80,'апрель 2026'!$J$2:$J$2719,H$1)</f>
        <v>0</v>
      </c>
      <c r="I80" s="144">
        <f>SUMIFS('апрель 2026'!$G$2:$G$2719,'апрель 2026'!$D$2:$D$2719,$B80,'апрель 2026'!$J$2:$J$2719,I$1)</f>
        <v>0</v>
      </c>
      <c r="J80" s="144">
        <f>SUMIFS('апрель 2026'!$G$2:$G$2719,'апрель 2026'!$D$2:$D$2719,$B80,'апрель 2026'!$J$2:$J$2719,J$1)</f>
        <v>0</v>
      </c>
      <c r="K80" s="144">
        <f>SUMIFS('апрель 2026'!$G$2:$G$2719,'апрель 2026'!$D$2:$D$2719,$B80,'апрель 2026'!$J$2:$J$2719,K$1)</f>
        <v>0</v>
      </c>
      <c r="L80" s="144">
        <f>SUMIFS('апрель 2026'!$G$2:$G$2719,'апрель 2026'!$D$2:$D$2719,$B80,'апрель 2026'!$J$2:$J$2719,L$1)</f>
        <v>0</v>
      </c>
      <c r="M80" s="144">
        <f>SUMIFS('апрель 2026'!$G$2:$G$2719,'апрель 2026'!$D$2:$D$2719,$B80,'апрель 2026'!$J$2:$J$2719,M$1)</f>
        <v>0</v>
      </c>
      <c r="N80" s="144">
        <f>SUMIFS('апрель 2026'!$G$2:$G$2719,'апрель 2026'!$D$2:$D$2719,$B80,'апрель 2026'!$J$2:$J$2719,N$1)</f>
        <v>0</v>
      </c>
      <c r="O80" s="144">
        <f>SUMIFS('апрель 2026'!$G$2:$G$2719,'апрель 2026'!$D$2:$D$2719,$B80,'апрель 2026'!$J$2:$J$2719,O$1)</f>
        <v>0</v>
      </c>
      <c r="P80" s="144">
        <f>SUMIFS('апрель 2026'!$G$2:$G$2719,'апрель 2026'!$D$2:$D$2719,$B80,'апрель 2026'!$J$2:$J$2719,P$1)</f>
        <v>0</v>
      </c>
      <c r="Q80" s="144">
        <f>SUMIFS('апрель 2026'!$G$2:$G$2719,'апрель 2026'!$D$2:$D$2719,$B80,'апрель 2026'!$J$2:$J$2719,Q$1)</f>
        <v>0</v>
      </c>
      <c r="R80" s="144">
        <f>SUMIFS('апрель 2026'!$G$2:$G$2719,'апрель 2026'!$D$2:$D$2719,$B80,'апрель 2026'!$J$2:$J$2719,R$1)</f>
        <v>0</v>
      </c>
      <c r="S80" s="144">
        <f>SUMIFS('апрель 2026'!$G$2:$G$2719,'апрель 2026'!$D$2:$D$2719,$B80,'апрель 2026'!$J$2:$J$2719,S$1)</f>
        <v>0</v>
      </c>
      <c r="T80" s="144">
        <f>SUMIFS('апрель 2026'!$G$2:$G$2719,'апрель 2026'!$D$2:$D$2719,$B80,'апрель 2026'!$J$2:$J$2719,T$1)</f>
        <v>0</v>
      </c>
      <c r="U80" s="144">
        <f>SUMIFS('апрель 2026'!$G$2:$G$2719,'апрель 2026'!$D$2:$D$2719,$B80,'апрель 2026'!$J$2:$J$2719,U$1)</f>
        <v>0</v>
      </c>
      <c r="V80" s="144">
        <f>SUMIFS('апрель 2026'!$G$2:$G$2719,'апрель 2026'!$D$2:$D$2719,$B80,'апрель 2026'!$J$2:$J$2719,V$1)</f>
        <v>0</v>
      </c>
      <c r="W80" s="144">
        <f>SUMIFS('апрель 2026'!$G$2:$G$2719,'апрель 2026'!$D$2:$D$2719,$B80,'апрель 2026'!$J$2:$J$2719,W$1)</f>
        <v>0</v>
      </c>
      <c r="X80" s="144">
        <f>SUMIFS('апрель 2026'!$G$2:$G$2719,'апрель 2026'!$D$2:$D$2719,$B80,'апрель 2026'!$J$2:$J$2719,X$1)</f>
        <v>0</v>
      </c>
      <c r="Y80" s="144">
        <f>SUMIFS('апрель 2026'!$G$2:$G$2719,'апрель 2026'!$D$2:$D$2719,$B80,'апрель 2026'!$J$2:$J$2719,Y$1)</f>
        <v>0</v>
      </c>
      <c r="Z80" s="144">
        <f>SUMIFS('апрель 2026'!$G$2:$G$2719,'апрель 2026'!$D$2:$D$2719,$B80,'апрель 2026'!$J$2:$J$2719,Z$1)</f>
        <v>0</v>
      </c>
      <c r="AA80" s="144">
        <f>SUMIFS('апрель 2026'!$G$2:$G$2719,'апрель 2026'!$D$2:$D$2719,$B80,'апрель 2026'!$J$2:$J$2719,AA$1)</f>
        <v>0</v>
      </c>
      <c r="AB80" s="144">
        <f>SUMIFS('апрель 2026'!$G$2:$G$2719,'апрель 2026'!$D$2:$D$2719,$B80,'апрель 2026'!$J$2:$J$2719,AB$1)</f>
        <v>0</v>
      </c>
      <c r="AC80" s="144">
        <f>SUMIFS('апрель 2026'!$G$2:$G$2719,'апрель 2026'!$D$2:$D$2719,$B80,'апрель 2026'!$J$2:$J$2719,AC$1)</f>
        <v>0</v>
      </c>
      <c r="AD80" s="144">
        <f>SUMIFS('апрель 2026'!$G$2:$G$2719,'апрель 2026'!$D$2:$D$2719,$B80,'апрель 2026'!$J$2:$J$2719,AD$1)</f>
        <v>0</v>
      </c>
      <c r="AE80" s="144">
        <f>SUMIFS('апрель 2026'!$G$2:$G$2719,'апрель 2026'!$D$2:$D$2719,$B80,'апрель 2026'!$J$2:$J$2719,AE$1)</f>
        <v>0</v>
      </c>
      <c r="AF80" s="144">
        <f>SUMIFS('апрель 2026'!$G$2:$G$2719,'апрель 2026'!$D$2:$D$2719,$B80,'апрель 2026'!$J$2:$J$2719,AF$1)</f>
        <v>0</v>
      </c>
      <c r="AG80" s="144">
        <f>SUMIFS('апрель 2026'!$G$2:$G$2719,'апрель 2026'!$D$2:$D$2719,$B80,'апрель 2026'!$J$2:$J$2719,AG$1)</f>
        <v>0</v>
      </c>
      <c r="AH80" s="144">
        <f>SUMIFS('апрель 2026'!$G$2:$G$2719,'апрель 2026'!$D$2:$D$2719,$B80,'апрель 2026'!$J$2:$J$2719,AH$1)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SUMIFS('апрель 2026'!$G$2:$G$2719,'апрель 2026'!$D$2:$D$2719,$B81,'апрель 2026'!$J$2:$J$2719,D$1)</f>
        <v>0</v>
      </c>
      <c r="E81" s="144">
        <f>SUMIFS('апрель 2026'!$G$2:$G$2719,'апрель 2026'!$D$2:$D$2719,$B81,'апрель 2026'!$J$2:$J$2719,E$1)</f>
        <v>0</v>
      </c>
      <c r="F81" s="144">
        <f>SUMIFS('апрель 2026'!$G$2:$G$2719,'апрель 2026'!$D$2:$D$2719,$B81,'апрель 2026'!$J$2:$J$2719,F$1)</f>
        <v>0</v>
      </c>
      <c r="G81" s="144">
        <f>SUMIFS('апрель 2026'!$G$2:$G$2719,'апрель 2026'!$D$2:$D$2719,$B81,'апрель 2026'!$J$2:$J$2719,G$1)</f>
        <v>0</v>
      </c>
      <c r="H81" s="144">
        <f>SUMIFS('апрель 2026'!$G$2:$G$2719,'апрель 2026'!$D$2:$D$2719,$B81,'апрель 2026'!$J$2:$J$2719,H$1)</f>
        <v>0</v>
      </c>
      <c r="I81" s="144">
        <f>SUMIFS('апрель 2026'!$G$2:$G$2719,'апрель 2026'!$D$2:$D$2719,$B81,'апрель 2026'!$J$2:$J$2719,I$1)</f>
        <v>0</v>
      </c>
      <c r="J81" s="144">
        <f>SUMIFS('апрель 2026'!$G$2:$G$2719,'апрель 2026'!$D$2:$D$2719,$B81,'апрель 2026'!$J$2:$J$2719,J$1)</f>
        <v>0</v>
      </c>
      <c r="K81" s="144">
        <f>SUMIFS('апрель 2026'!$G$2:$G$2719,'апрель 2026'!$D$2:$D$2719,$B81,'апрель 2026'!$J$2:$J$2719,K$1)</f>
        <v>0</v>
      </c>
      <c r="L81" s="144">
        <f>SUMIFS('апрель 2026'!$G$2:$G$2719,'апрель 2026'!$D$2:$D$2719,$B81,'апрель 2026'!$J$2:$J$2719,L$1)</f>
        <v>0</v>
      </c>
      <c r="M81" s="144">
        <f>SUMIFS('апрель 2026'!$G$2:$G$2719,'апрель 2026'!$D$2:$D$2719,$B81,'апрель 2026'!$J$2:$J$2719,M$1)</f>
        <v>0</v>
      </c>
      <c r="N81" s="144">
        <f>SUMIFS('апрель 2026'!$G$2:$G$2719,'апрель 2026'!$D$2:$D$2719,$B81,'апрель 2026'!$J$2:$J$2719,N$1)</f>
        <v>0</v>
      </c>
      <c r="O81" s="144">
        <f>SUMIFS('апрель 2026'!$G$2:$G$2719,'апрель 2026'!$D$2:$D$2719,$B81,'апрель 2026'!$J$2:$J$2719,O$1)</f>
        <v>0</v>
      </c>
      <c r="P81" s="144">
        <f>SUMIFS('апрель 2026'!$G$2:$G$2719,'апрель 2026'!$D$2:$D$2719,$B81,'апрель 2026'!$J$2:$J$2719,P$1)</f>
        <v>0</v>
      </c>
      <c r="Q81" s="144">
        <f>SUMIFS('апрель 2026'!$G$2:$G$2719,'апрель 2026'!$D$2:$D$2719,$B81,'апрель 2026'!$J$2:$J$2719,Q$1)</f>
        <v>0</v>
      </c>
      <c r="R81" s="144">
        <f>SUMIFS('апрель 2026'!$G$2:$G$2719,'апрель 2026'!$D$2:$D$2719,$B81,'апрель 2026'!$J$2:$J$2719,R$1)</f>
        <v>0</v>
      </c>
      <c r="S81" s="144">
        <f>SUMIFS('апрель 2026'!$G$2:$G$2719,'апрель 2026'!$D$2:$D$2719,$B81,'апрель 2026'!$J$2:$J$2719,S$1)</f>
        <v>0</v>
      </c>
      <c r="T81" s="144">
        <f>SUMIFS('апрель 2026'!$G$2:$G$2719,'апрель 2026'!$D$2:$D$2719,$B81,'апрель 2026'!$J$2:$J$2719,T$1)</f>
        <v>0</v>
      </c>
      <c r="U81" s="144">
        <f>SUMIFS('апрель 2026'!$G$2:$G$2719,'апрель 2026'!$D$2:$D$2719,$B81,'апрель 2026'!$J$2:$J$2719,U$1)</f>
        <v>0</v>
      </c>
      <c r="V81" s="144">
        <f>SUMIFS('апрель 2026'!$G$2:$G$2719,'апрель 2026'!$D$2:$D$2719,$B81,'апрель 2026'!$J$2:$J$2719,V$1)</f>
        <v>0</v>
      </c>
      <c r="W81" s="144">
        <f>SUMIFS('апрель 2026'!$G$2:$G$2719,'апрель 2026'!$D$2:$D$2719,$B81,'апрель 2026'!$J$2:$J$2719,W$1)</f>
        <v>0</v>
      </c>
      <c r="X81" s="144">
        <f>SUMIFS('апрель 2026'!$G$2:$G$2719,'апрель 2026'!$D$2:$D$2719,$B81,'апрель 2026'!$J$2:$J$2719,X$1)</f>
        <v>0</v>
      </c>
      <c r="Y81" s="144">
        <f>SUMIFS('апрель 2026'!$G$2:$G$2719,'апрель 2026'!$D$2:$D$2719,$B81,'апрель 2026'!$J$2:$J$2719,Y$1)</f>
        <v>0</v>
      </c>
      <c r="Z81" s="144">
        <f>SUMIFS('апрель 2026'!$G$2:$G$2719,'апрель 2026'!$D$2:$D$2719,$B81,'апрель 2026'!$J$2:$J$2719,Z$1)</f>
        <v>0</v>
      </c>
      <c r="AA81" s="144">
        <f>SUMIFS('апрель 2026'!$G$2:$G$2719,'апрель 2026'!$D$2:$D$2719,$B81,'апрель 2026'!$J$2:$J$2719,AA$1)</f>
        <v>0</v>
      </c>
      <c r="AB81" s="144">
        <f>SUMIFS('апрель 2026'!$G$2:$G$2719,'апрель 2026'!$D$2:$D$2719,$B81,'апрель 2026'!$J$2:$J$2719,AB$1)</f>
        <v>0</v>
      </c>
      <c r="AC81" s="144">
        <f>SUMIFS('апрель 2026'!$G$2:$G$2719,'апрель 2026'!$D$2:$D$2719,$B81,'апрель 2026'!$J$2:$J$2719,AC$1)</f>
        <v>0</v>
      </c>
      <c r="AD81" s="144">
        <f>SUMIFS('апрель 2026'!$G$2:$G$2719,'апрель 2026'!$D$2:$D$2719,$B81,'апрель 2026'!$J$2:$J$2719,AD$1)</f>
        <v>0</v>
      </c>
      <c r="AE81" s="144">
        <f>SUMIFS('апрель 2026'!$G$2:$G$2719,'апрель 2026'!$D$2:$D$2719,$B81,'апрель 2026'!$J$2:$J$2719,AE$1)</f>
        <v>0</v>
      </c>
      <c r="AF81" s="144">
        <f>SUMIFS('апрель 2026'!$G$2:$G$2719,'апрель 2026'!$D$2:$D$2719,$B81,'апрель 2026'!$J$2:$J$2719,AF$1)</f>
        <v>0</v>
      </c>
      <c r="AG81" s="144">
        <f>SUMIFS('апрель 2026'!$G$2:$G$2719,'апрель 2026'!$D$2:$D$2719,$B81,'апрель 2026'!$J$2:$J$2719,AG$1)</f>
        <v>0</v>
      </c>
      <c r="AH81" s="144">
        <f>SUMIFS('апрель 2026'!$G$2:$G$2719,'апрель 2026'!$D$2:$D$2719,$B81,'апрель 2026'!$J$2:$J$2719,AH$1)</f>
        <v>0</v>
      </c>
      <c r="AI81" s="20">
        <f t="shared" si="1"/>
        <v>0</v>
      </c>
    </row>
    <row r="82" spans="2:35" ht="15" customHeight="1" x14ac:dyDescent="0.25">
      <c r="B82" s="85" t="s">
        <v>515</v>
      </c>
      <c r="C82" s="83">
        <v>180</v>
      </c>
      <c r="D82" s="144">
        <f>SUMIFS('апрель 2026'!$G$2:$G$2719,'апрель 2026'!$D$2:$D$2719,$B82,'апрель 2026'!$J$2:$J$2719,D$1)</f>
        <v>0</v>
      </c>
      <c r="E82" s="144">
        <f>SUMIFS('апрель 2026'!$G$2:$G$2719,'апрель 2026'!$D$2:$D$2719,$B82,'апрель 2026'!$J$2:$J$2719,E$1)</f>
        <v>0</v>
      </c>
      <c r="F82" s="144">
        <f>SUMIFS('апрель 2026'!$G$2:$G$2719,'апрель 2026'!$D$2:$D$2719,$B82,'апрель 2026'!$J$2:$J$2719,F$1)</f>
        <v>0</v>
      </c>
      <c r="G82" s="144">
        <f>SUMIFS('апрель 2026'!$G$2:$G$2719,'апрель 2026'!$D$2:$D$2719,$B82,'апрель 2026'!$J$2:$J$2719,G$1)</f>
        <v>0</v>
      </c>
      <c r="H82" s="144">
        <f>SUMIFS('апрель 2026'!$G$2:$G$2719,'апрель 2026'!$D$2:$D$2719,$B82,'апрель 2026'!$J$2:$J$2719,H$1)</f>
        <v>0</v>
      </c>
      <c r="I82" s="144">
        <f>SUMIFS('апрель 2026'!$G$2:$G$2719,'апрель 2026'!$D$2:$D$2719,$B82,'апрель 2026'!$J$2:$J$2719,I$1)</f>
        <v>0</v>
      </c>
      <c r="J82" s="144">
        <f>SUMIFS('апрель 2026'!$G$2:$G$2719,'апрель 2026'!$D$2:$D$2719,$B82,'апрель 2026'!$J$2:$J$2719,J$1)</f>
        <v>0</v>
      </c>
      <c r="K82" s="144">
        <f>SUMIFS('апрель 2026'!$G$2:$G$2719,'апрель 2026'!$D$2:$D$2719,$B82,'апрель 2026'!$J$2:$J$2719,K$1)</f>
        <v>0</v>
      </c>
      <c r="L82" s="144">
        <f>SUMIFS('апрель 2026'!$G$2:$G$2719,'апрель 2026'!$D$2:$D$2719,$B82,'апрель 2026'!$J$2:$J$2719,L$1)</f>
        <v>0</v>
      </c>
      <c r="M82" s="144">
        <f>SUMIFS('апрель 2026'!$G$2:$G$2719,'апрель 2026'!$D$2:$D$2719,$B82,'апрель 2026'!$J$2:$J$2719,M$1)</f>
        <v>0</v>
      </c>
      <c r="N82" s="144">
        <f>SUMIFS('апрель 2026'!$G$2:$G$2719,'апрель 2026'!$D$2:$D$2719,$B82,'апрель 2026'!$J$2:$J$2719,N$1)</f>
        <v>0</v>
      </c>
      <c r="O82" s="144">
        <f>SUMIFS('апрель 2026'!$G$2:$G$2719,'апрель 2026'!$D$2:$D$2719,$B82,'апрель 2026'!$J$2:$J$2719,O$1)</f>
        <v>0</v>
      </c>
      <c r="P82" s="144">
        <f>SUMIFS('апрель 2026'!$G$2:$G$2719,'апрель 2026'!$D$2:$D$2719,$B82,'апрель 2026'!$J$2:$J$2719,P$1)</f>
        <v>0</v>
      </c>
      <c r="Q82" s="144">
        <f>SUMIFS('апрель 2026'!$G$2:$G$2719,'апрель 2026'!$D$2:$D$2719,$B82,'апрель 2026'!$J$2:$J$2719,Q$1)</f>
        <v>0</v>
      </c>
      <c r="R82" s="144">
        <f>SUMIFS('апрель 2026'!$G$2:$G$2719,'апрель 2026'!$D$2:$D$2719,$B82,'апрель 2026'!$J$2:$J$2719,R$1)</f>
        <v>0</v>
      </c>
      <c r="S82" s="144">
        <f>SUMIFS('апрель 2026'!$G$2:$G$2719,'апрель 2026'!$D$2:$D$2719,$B82,'апрель 2026'!$J$2:$J$2719,S$1)</f>
        <v>0</v>
      </c>
      <c r="T82" s="144">
        <f>SUMIFS('апрель 2026'!$G$2:$G$2719,'апрель 2026'!$D$2:$D$2719,$B82,'апрель 2026'!$J$2:$J$2719,T$1)</f>
        <v>0</v>
      </c>
      <c r="U82" s="144">
        <f>SUMIFS('апрель 2026'!$G$2:$G$2719,'апрель 2026'!$D$2:$D$2719,$B82,'апрель 2026'!$J$2:$J$2719,U$1)</f>
        <v>0</v>
      </c>
      <c r="V82" s="144">
        <f>SUMIFS('апрель 2026'!$G$2:$G$2719,'апрель 2026'!$D$2:$D$2719,$B82,'апрель 2026'!$J$2:$J$2719,V$1)</f>
        <v>0</v>
      </c>
      <c r="W82" s="144">
        <f>SUMIFS('апрель 2026'!$G$2:$G$2719,'апрель 2026'!$D$2:$D$2719,$B82,'апрель 2026'!$J$2:$J$2719,W$1)</f>
        <v>0</v>
      </c>
      <c r="X82" s="144">
        <f>SUMIFS('апрель 2026'!$G$2:$G$2719,'апрель 2026'!$D$2:$D$2719,$B82,'апрель 2026'!$J$2:$J$2719,X$1)</f>
        <v>0</v>
      </c>
      <c r="Y82" s="144">
        <f>SUMIFS('апрель 2026'!$G$2:$G$2719,'апрель 2026'!$D$2:$D$2719,$B82,'апрель 2026'!$J$2:$J$2719,Y$1)</f>
        <v>0</v>
      </c>
      <c r="Z82" s="144">
        <f>SUMIFS('апрель 2026'!$G$2:$G$2719,'апрель 2026'!$D$2:$D$2719,$B82,'апрель 2026'!$J$2:$J$2719,Z$1)</f>
        <v>0</v>
      </c>
      <c r="AA82" s="144">
        <f>SUMIFS('апрель 2026'!$G$2:$G$2719,'апрель 2026'!$D$2:$D$2719,$B82,'апрель 2026'!$J$2:$J$2719,AA$1)</f>
        <v>0</v>
      </c>
      <c r="AB82" s="144">
        <f>SUMIFS('апрель 2026'!$G$2:$G$2719,'апрель 2026'!$D$2:$D$2719,$B82,'апрель 2026'!$J$2:$J$2719,AB$1)</f>
        <v>0</v>
      </c>
      <c r="AC82" s="144">
        <f>SUMIFS('апрель 2026'!$G$2:$G$2719,'апрель 2026'!$D$2:$D$2719,$B82,'апрель 2026'!$J$2:$J$2719,AC$1)</f>
        <v>0</v>
      </c>
      <c r="AD82" s="144">
        <f>SUMIFS('апрель 2026'!$G$2:$G$2719,'апрель 2026'!$D$2:$D$2719,$B82,'апрель 2026'!$J$2:$J$2719,AD$1)</f>
        <v>0</v>
      </c>
      <c r="AE82" s="144">
        <f>SUMIFS('апрель 2026'!$G$2:$G$2719,'апрель 2026'!$D$2:$D$2719,$B82,'апрель 2026'!$J$2:$J$2719,AE$1)</f>
        <v>0</v>
      </c>
      <c r="AF82" s="144">
        <f>SUMIFS('апрель 2026'!$G$2:$G$2719,'апрель 2026'!$D$2:$D$2719,$B82,'апрель 2026'!$J$2:$J$2719,AF$1)</f>
        <v>0</v>
      </c>
      <c r="AG82" s="144">
        <f>SUMIFS('апрель 2026'!$G$2:$G$2719,'апрель 2026'!$D$2:$D$2719,$B82,'апрель 2026'!$J$2:$J$2719,AG$1)</f>
        <v>0</v>
      </c>
      <c r="AH82" s="144">
        <f>SUMIFS('апрель 2026'!$G$2:$G$2719,'апрель 2026'!$D$2:$D$2719,$B82,'апрель 2026'!$J$2:$J$2719,AH$1)</f>
        <v>0</v>
      </c>
      <c r="AI82" s="20">
        <f>SUM(D82:AH82)</f>
        <v>0</v>
      </c>
    </row>
    <row r="83" spans="2:35" ht="15" customHeight="1" x14ac:dyDescent="0.25">
      <c r="B83" s="85" t="s">
        <v>185</v>
      </c>
      <c r="C83" s="83">
        <v>200</v>
      </c>
      <c r="D83" s="144">
        <f>SUMIFS('апрель 2026'!$G$2:$G$2719,'апрель 2026'!$D$2:$D$2719,$B83,'апрель 2026'!$J$2:$J$2719,D$1)</f>
        <v>0</v>
      </c>
      <c r="E83" s="144">
        <f>SUMIFS('апрель 2026'!$G$2:$G$2719,'апрель 2026'!$D$2:$D$2719,$B83,'апрель 2026'!$J$2:$J$2719,E$1)</f>
        <v>0</v>
      </c>
      <c r="F83" s="144">
        <f>SUMIFS('апрель 2026'!$G$2:$G$2719,'апрель 2026'!$D$2:$D$2719,$B83,'апрель 2026'!$J$2:$J$2719,F$1)</f>
        <v>0</v>
      </c>
      <c r="G83" s="144">
        <f>SUMIFS('апрель 2026'!$G$2:$G$2719,'апрель 2026'!$D$2:$D$2719,$B83,'апрель 2026'!$J$2:$J$2719,G$1)</f>
        <v>0</v>
      </c>
      <c r="H83" s="144">
        <f>SUMIFS('апрель 2026'!$G$2:$G$2719,'апрель 2026'!$D$2:$D$2719,$B83,'апрель 2026'!$J$2:$J$2719,H$1)</f>
        <v>0</v>
      </c>
      <c r="I83" s="144">
        <f>SUMIFS('апрель 2026'!$G$2:$G$2719,'апрель 2026'!$D$2:$D$2719,$B83,'апрель 2026'!$J$2:$J$2719,I$1)</f>
        <v>0</v>
      </c>
      <c r="J83" s="144">
        <f>SUMIFS('апрель 2026'!$G$2:$G$2719,'апрель 2026'!$D$2:$D$2719,$B83,'апрель 2026'!$J$2:$J$2719,J$1)</f>
        <v>0</v>
      </c>
      <c r="K83" s="144">
        <f>SUMIFS('апрель 2026'!$G$2:$G$2719,'апрель 2026'!$D$2:$D$2719,$B83,'апрель 2026'!$J$2:$J$2719,K$1)</f>
        <v>0</v>
      </c>
      <c r="L83" s="144">
        <f>SUMIFS('апрель 2026'!$G$2:$G$2719,'апрель 2026'!$D$2:$D$2719,$B83,'апрель 2026'!$J$2:$J$2719,L$1)</f>
        <v>0</v>
      </c>
      <c r="M83" s="144">
        <f>SUMIFS('апрель 2026'!$G$2:$G$2719,'апрель 2026'!$D$2:$D$2719,$B83,'апрель 2026'!$J$2:$J$2719,M$1)</f>
        <v>0</v>
      </c>
      <c r="N83" s="144">
        <f>SUMIFS('апрель 2026'!$G$2:$G$2719,'апрель 2026'!$D$2:$D$2719,$B83,'апрель 2026'!$J$2:$J$2719,N$1)</f>
        <v>0</v>
      </c>
      <c r="O83" s="144">
        <f>SUMIFS('апрель 2026'!$G$2:$G$2719,'апрель 2026'!$D$2:$D$2719,$B83,'апрель 2026'!$J$2:$J$2719,O$1)</f>
        <v>0</v>
      </c>
      <c r="P83" s="144">
        <f>SUMIFS('апрель 2026'!$G$2:$G$2719,'апрель 2026'!$D$2:$D$2719,$B83,'апрель 2026'!$J$2:$J$2719,P$1)</f>
        <v>0</v>
      </c>
      <c r="Q83" s="144">
        <f>SUMIFS('апрель 2026'!$G$2:$G$2719,'апрель 2026'!$D$2:$D$2719,$B83,'апрель 2026'!$J$2:$J$2719,Q$1)</f>
        <v>0</v>
      </c>
      <c r="R83" s="144">
        <f>SUMIFS('апрель 2026'!$G$2:$G$2719,'апрель 2026'!$D$2:$D$2719,$B83,'апрель 2026'!$J$2:$J$2719,R$1)</f>
        <v>0</v>
      </c>
      <c r="S83" s="144">
        <f>SUMIFS('апрель 2026'!$G$2:$G$2719,'апрель 2026'!$D$2:$D$2719,$B83,'апрель 2026'!$J$2:$J$2719,S$1)</f>
        <v>0</v>
      </c>
      <c r="T83" s="144">
        <f>SUMIFS('апрель 2026'!$G$2:$G$2719,'апрель 2026'!$D$2:$D$2719,$B83,'апрель 2026'!$J$2:$J$2719,T$1)</f>
        <v>0</v>
      </c>
      <c r="U83" s="144">
        <f>SUMIFS('апрель 2026'!$G$2:$G$2719,'апрель 2026'!$D$2:$D$2719,$B83,'апрель 2026'!$J$2:$J$2719,U$1)</f>
        <v>0</v>
      </c>
      <c r="V83" s="144">
        <f>SUMIFS('апрель 2026'!$G$2:$G$2719,'апрель 2026'!$D$2:$D$2719,$B83,'апрель 2026'!$J$2:$J$2719,V$1)</f>
        <v>0</v>
      </c>
      <c r="W83" s="144">
        <f>SUMIFS('апрель 2026'!$G$2:$G$2719,'апрель 2026'!$D$2:$D$2719,$B83,'апрель 2026'!$J$2:$J$2719,W$1)</f>
        <v>0</v>
      </c>
      <c r="X83" s="144">
        <f>SUMIFS('апрель 2026'!$G$2:$G$2719,'апрель 2026'!$D$2:$D$2719,$B83,'апрель 2026'!$J$2:$J$2719,X$1)</f>
        <v>0</v>
      </c>
      <c r="Y83" s="144">
        <f>SUMIFS('апрель 2026'!$G$2:$G$2719,'апрель 2026'!$D$2:$D$2719,$B83,'апрель 2026'!$J$2:$J$2719,Y$1)</f>
        <v>0</v>
      </c>
      <c r="Z83" s="144">
        <f>SUMIFS('апрель 2026'!$G$2:$G$2719,'апрель 2026'!$D$2:$D$2719,$B83,'апрель 2026'!$J$2:$J$2719,Z$1)</f>
        <v>0</v>
      </c>
      <c r="AA83" s="144">
        <f>SUMIFS('апрель 2026'!$G$2:$G$2719,'апрель 2026'!$D$2:$D$2719,$B83,'апрель 2026'!$J$2:$J$2719,AA$1)</f>
        <v>0</v>
      </c>
      <c r="AB83" s="144">
        <f>SUMIFS('апрель 2026'!$G$2:$G$2719,'апрель 2026'!$D$2:$D$2719,$B83,'апрель 2026'!$J$2:$J$2719,AB$1)</f>
        <v>0</v>
      </c>
      <c r="AC83" s="144">
        <f>SUMIFS('апрель 2026'!$G$2:$G$2719,'апрель 2026'!$D$2:$D$2719,$B83,'апрель 2026'!$J$2:$J$2719,AC$1)</f>
        <v>0</v>
      </c>
      <c r="AD83" s="144">
        <f>SUMIFS('апрель 2026'!$G$2:$G$2719,'апрель 2026'!$D$2:$D$2719,$B83,'апрель 2026'!$J$2:$J$2719,AD$1)</f>
        <v>0</v>
      </c>
      <c r="AE83" s="144">
        <f>SUMIFS('апрель 2026'!$G$2:$G$2719,'апрель 2026'!$D$2:$D$2719,$B83,'апрель 2026'!$J$2:$J$2719,AE$1)</f>
        <v>0</v>
      </c>
      <c r="AF83" s="144">
        <f>SUMIFS('апрель 2026'!$G$2:$G$2719,'апрель 2026'!$D$2:$D$2719,$B83,'апрель 2026'!$J$2:$J$2719,AF$1)</f>
        <v>0</v>
      </c>
      <c r="AG83" s="144">
        <f>SUMIFS('апрель 2026'!$G$2:$G$2719,'апрель 2026'!$D$2:$D$2719,$B83,'апрель 2026'!$J$2:$J$2719,AG$1)</f>
        <v>0</v>
      </c>
      <c r="AH83" s="144">
        <f>SUMIFS('апрель 2026'!$G$2:$G$2719,'апрель 2026'!$D$2:$D$2719,$B83,'апрель 2026'!$J$2:$J$2719,AH$1)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SUMIFS('апрель 2026'!$G$2:$G$2719,'апрель 2026'!$D$2:$D$2719,$B84,'апрель 2026'!$J$2:$J$2719,D$1)</f>
        <v>0</v>
      </c>
      <c r="E84" s="144">
        <f>SUMIFS('апрель 2026'!$G$2:$G$2719,'апрель 2026'!$D$2:$D$2719,$B84,'апрель 2026'!$J$2:$J$2719,E$1)</f>
        <v>0</v>
      </c>
      <c r="F84" s="144">
        <f>SUMIFS('апрель 2026'!$G$2:$G$2719,'апрель 2026'!$D$2:$D$2719,$B84,'апрель 2026'!$J$2:$J$2719,F$1)</f>
        <v>0</v>
      </c>
      <c r="G84" s="144">
        <f>SUMIFS('апрель 2026'!$G$2:$G$2719,'апрель 2026'!$D$2:$D$2719,$B84,'апрель 2026'!$J$2:$J$2719,G$1)</f>
        <v>0</v>
      </c>
      <c r="H84" s="144">
        <f>SUMIFS('апрель 2026'!$G$2:$G$2719,'апрель 2026'!$D$2:$D$2719,$B84,'апрель 2026'!$J$2:$J$2719,H$1)</f>
        <v>0</v>
      </c>
      <c r="I84" s="144">
        <f>SUMIFS('апрель 2026'!$G$2:$G$2719,'апрель 2026'!$D$2:$D$2719,$B84,'апрель 2026'!$J$2:$J$2719,I$1)</f>
        <v>0</v>
      </c>
      <c r="J84" s="144">
        <f>SUMIFS('апрель 2026'!$G$2:$G$2719,'апрель 2026'!$D$2:$D$2719,$B84,'апрель 2026'!$J$2:$J$2719,J$1)</f>
        <v>0</v>
      </c>
      <c r="K84" s="144">
        <f>SUMIFS('апрель 2026'!$G$2:$G$2719,'апрель 2026'!$D$2:$D$2719,$B84,'апрель 2026'!$J$2:$J$2719,K$1)</f>
        <v>0</v>
      </c>
      <c r="L84" s="144">
        <f>SUMIFS('апрель 2026'!$G$2:$G$2719,'апрель 2026'!$D$2:$D$2719,$B84,'апрель 2026'!$J$2:$J$2719,L$1)</f>
        <v>0</v>
      </c>
      <c r="M84" s="144">
        <f>SUMIFS('апрель 2026'!$G$2:$G$2719,'апрель 2026'!$D$2:$D$2719,$B84,'апрель 2026'!$J$2:$J$2719,M$1)</f>
        <v>0</v>
      </c>
      <c r="N84" s="144">
        <f>SUMIFS('апрель 2026'!$G$2:$G$2719,'апрель 2026'!$D$2:$D$2719,$B84,'апрель 2026'!$J$2:$J$2719,N$1)</f>
        <v>0</v>
      </c>
      <c r="O84" s="144">
        <f>SUMIFS('апрель 2026'!$G$2:$G$2719,'апрель 2026'!$D$2:$D$2719,$B84,'апрель 2026'!$J$2:$J$2719,O$1)</f>
        <v>0</v>
      </c>
      <c r="P84" s="144">
        <f>SUMIFS('апрель 2026'!$G$2:$G$2719,'апрель 2026'!$D$2:$D$2719,$B84,'апрель 2026'!$J$2:$J$2719,P$1)</f>
        <v>0</v>
      </c>
      <c r="Q84" s="144">
        <f>SUMIFS('апрель 2026'!$G$2:$G$2719,'апрель 2026'!$D$2:$D$2719,$B84,'апрель 2026'!$J$2:$J$2719,Q$1)</f>
        <v>0</v>
      </c>
      <c r="R84" s="144">
        <f>SUMIFS('апрель 2026'!$G$2:$G$2719,'апрель 2026'!$D$2:$D$2719,$B84,'апрель 2026'!$J$2:$J$2719,R$1)</f>
        <v>0</v>
      </c>
      <c r="S84" s="144">
        <f>SUMIFS('апрель 2026'!$G$2:$G$2719,'апрель 2026'!$D$2:$D$2719,$B84,'апрель 2026'!$J$2:$J$2719,S$1)</f>
        <v>0</v>
      </c>
      <c r="T84" s="144">
        <f>SUMIFS('апрель 2026'!$G$2:$G$2719,'апрель 2026'!$D$2:$D$2719,$B84,'апрель 2026'!$J$2:$J$2719,T$1)</f>
        <v>0</v>
      </c>
      <c r="U84" s="144">
        <f>SUMIFS('апрель 2026'!$G$2:$G$2719,'апрель 2026'!$D$2:$D$2719,$B84,'апрель 2026'!$J$2:$J$2719,U$1)</f>
        <v>0</v>
      </c>
      <c r="V84" s="144">
        <f>SUMIFS('апрель 2026'!$G$2:$G$2719,'апрель 2026'!$D$2:$D$2719,$B84,'апрель 2026'!$J$2:$J$2719,V$1)</f>
        <v>0</v>
      </c>
      <c r="W84" s="144">
        <f>SUMIFS('апрель 2026'!$G$2:$G$2719,'апрель 2026'!$D$2:$D$2719,$B84,'апрель 2026'!$J$2:$J$2719,W$1)</f>
        <v>0</v>
      </c>
      <c r="X84" s="144">
        <f>SUMIFS('апрель 2026'!$G$2:$G$2719,'апрель 2026'!$D$2:$D$2719,$B84,'апрель 2026'!$J$2:$J$2719,X$1)</f>
        <v>0</v>
      </c>
      <c r="Y84" s="144">
        <f>SUMIFS('апрель 2026'!$G$2:$G$2719,'апрель 2026'!$D$2:$D$2719,$B84,'апрель 2026'!$J$2:$J$2719,Y$1)</f>
        <v>0</v>
      </c>
      <c r="Z84" s="144">
        <f>SUMIFS('апрель 2026'!$G$2:$G$2719,'апрель 2026'!$D$2:$D$2719,$B84,'апрель 2026'!$J$2:$J$2719,Z$1)</f>
        <v>0</v>
      </c>
      <c r="AA84" s="144">
        <f>SUMIFS('апрель 2026'!$G$2:$G$2719,'апрель 2026'!$D$2:$D$2719,$B84,'апрель 2026'!$J$2:$J$2719,AA$1)</f>
        <v>0</v>
      </c>
      <c r="AB84" s="144">
        <f>SUMIFS('апрель 2026'!$G$2:$G$2719,'апрель 2026'!$D$2:$D$2719,$B84,'апрель 2026'!$J$2:$J$2719,AB$1)</f>
        <v>0</v>
      </c>
      <c r="AC84" s="144">
        <f>SUMIFS('апрель 2026'!$G$2:$G$2719,'апрель 2026'!$D$2:$D$2719,$B84,'апрель 2026'!$J$2:$J$2719,AC$1)</f>
        <v>0</v>
      </c>
      <c r="AD84" s="144">
        <f>SUMIFS('апрель 2026'!$G$2:$G$2719,'апрель 2026'!$D$2:$D$2719,$B84,'апрель 2026'!$J$2:$J$2719,AD$1)</f>
        <v>0</v>
      </c>
      <c r="AE84" s="144">
        <f>SUMIFS('апрель 2026'!$G$2:$G$2719,'апрель 2026'!$D$2:$D$2719,$B84,'апрель 2026'!$J$2:$J$2719,AE$1)</f>
        <v>0</v>
      </c>
      <c r="AF84" s="144">
        <f>SUMIFS('апрель 2026'!$G$2:$G$2719,'апрель 2026'!$D$2:$D$2719,$B84,'апрель 2026'!$J$2:$J$2719,AF$1)</f>
        <v>0</v>
      </c>
      <c r="AG84" s="144">
        <f>SUMIFS('апрель 2026'!$G$2:$G$2719,'апрель 2026'!$D$2:$D$2719,$B84,'апрель 2026'!$J$2:$J$2719,AG$1)</f>
        <v>0</v>
      </c>
      <c r="AH84" s="144">
        <f>SUMIFS('апрель 2026'!$G$2:$G$2719,'апрель 2026'!$D$2:$D$2719,$B84,'апрель 2026'!$J$2:$J$2719,AH$1)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SUMIFS('апрель 2026'!$G$2:$G$2719,'апрель 2026'!$D$2:$D$2719,$B85,'апрель 2026'!$J$2:$J$2719,D$1)</f>
        <v>0</v>
      </c>
      <c r="E85" s="144">
        <f>SUMIFS('апрель 2026'!$G$2:$G$2719,'апрель 2026'!$D$2:$D$2719,$B85,'апрель 2026'!$J$2:$J$2719,E$1)</f>
        <v>0</v>
      </c>
      <c r="F85" s="144">
        <f>SUMIFS('апрель 2026'!$G$2:$G$2719,'апрель 2026'!$D$2:$D$2719,$B85,'апрель 2026'!$J$2:$J$2719,F$1)</f>
        <v>0</v>
      </c>
      <c r="G85" s="144">
        <f>SUMIFS('апрель 2026'!$G$2:$G$2719,'апрель 2026'!$D$2:$D$2719,$B85,'апрель 2026'!$J$2:$J$2719,G$1)</f>
        <v>0</v>
      </c>
      <c r="H85" s="144">
        <f>SUMIFS('апрель 2026'!$G$2:$G$2719,'апрель 2026'!$D$2:$D$2719,$B85,'апрель 2026'!$J$2:$J$2719,H$1)</f>
        <v>0</v>
      </c>
      <c r="I85" s="144">
        <f>SUMIFS('апрель 2026'!$G$2:$G$2719,'апрель 2026'!$D$2:$D$2719,$B85,'апрель 2026'!$J$2:$J$2719,I$1)</f>
        <v>0</v>
      </c>
      <c r="J85" s="144">
        <f>SUMIFS('апрель 2026'!$G$2:$G$2719,'апрель 2026'!$D$2:$D$2719,$B85,'апрель 2026'!$J$2:$J$2719,J$1)</f>
        <v>0</v>
      </c>
      <c r="K85" s="144">
        <f>SUMIFS('апрель 2026'!$G$2:$G$2719,'апрель 2026'!$D$2:$D$2719,$B85,'апрель 2026'!$J$2:$J$2719,K$1)</f>
        <v>0</v>
      </c>
      <c r="L85" s="144">
        <f>SUMIFS('апрель 2026'!$G$2:$G$2719,'апрель 2026'!$D$2:$D$2719,$B85,'апрель 2026'!$J$2:$J$2719,L$1)</f>
        <v>0</v>
      </c>
      <c r="M85" s="144">
        <f>SUMIFS('апрель 2026'!$G$2:$G$2719,'апрель 2026'!$D$2:$D$2719,$B85,'апрель 2026'!$J$2:$J$2719,M$1)</f>
        <v>0</v>
      </c>
      <c r="N85" s="144">
        <f>SUMIFS('апрель 2026'!$G$2:$G$2719,'апрель 2026'!$D$2:$D$2719,$B85,'апрель 2026'!$J$2:$J$2719,N$1)</f>
        <v>0</v>
      </c>
      <c r="O85" s="144">
        <f>SUMIFS('апрель 2026'!$G$2:$G$2719,'апрель 2026'!$D$2:$D$2719,$B85,'апрель 2026'!$J$2:$J$2719,O$1)</f>
        <v>0</v>
      </c>
      <c r="P85" s="144">
        <f>SUMIFS('апрель 2026'!$G$2:$G$2719,'апрель 2026'!$D$2:$D$2719,$B85,'апрель 2026'!$J$2:$J$2719,P$1)</f>
        <v>0</v>
      </c>
      <c r="Q85" s="144">
        <f>SUMIFS('апрель 2026'!$G$2:$G$2719,'апрель 2026'!$D$2:$D$2719,$B85,'апрель 2026'!$J$2:$J$2719,Q$1)</f>
        <v>0</v>
      </c>
      <c r="R85" s="144">
        <f>SUMIFS('апрель 2026'!$G$2:$G$2719,'апрель 2026'!$D$2:$D$2719,$B85,'апрель 2026'!$J$2:$J$2719,R$1)</f>
        <v>0</v>
      </c>
      <c r="S85" s="144">
        <f>SUMIFS('апрель 2026'!$G$2:$G$2719,'апрель 2026'!$D$2:$D$2719,$B85,'апрель 2026'!$J$2:$J$2719,S$1)</f>
        <v>0</v>
      </c>
      <c r="T85" s="144">
        <f>SUMIFS('апрель 2026'!$G$2:$G$2719,'апрель 2026'!$D$2:$D$2719,$B85,'апрель 2026'!$J$2:$J$2719,T$1)</f>
        <v>0</v>
      </c>
      <c r="U85" s="144">
        <f>SUMIFS('апрель 2026'!$G$2:$G$2719,'апрель 2026'!$D$2:$D$2719,$B85,'апрель 2026'!$J$2:$J$2719,U$1)</f>
        <v>0</v>
      </c>
      <c r="V85" s="144">
        <f>SUMIFS('апрель 2026'!$G$2:$G$2719,'апрель 2026'!$D$2:$D$2719,$B85,'апрель 2026'!$J$2:$J$2719,V$1)</f>
        <v>0</v>
      </c>
      <c r="W85" s="144">
        <f>SUMIFS('апрель 2026'!$G$2:$G$2719,'апрель 2026'!$D$2:$D$2719,$B85,'апрель 2026'!$J$2:$J$2719,W$1)</f>
        <v>0</v>
      </c>
      <c r="X85" s="144">
        <f>SUMIFS('апрель 2026'!$G$2:$G$2719,'апрель 2026'!$D$2:$D$2719,$B85,'апрель 2026'!$J$2:$J$2719,X$1)</f>
        <v>0</v>
      </c>
      <c r="Y85" s="144">
        <f>SUMIFS('апрель 2026'!$G$2:$G$2719,'апрель 2026'!$D$2:$D$2719,$B85,'апрель 2026'!$J$2:$J$2719,Y$1)</f>
        <v>0</v>
      </c>
      <c r="Z85" s="144">
        <f>SUMIFS('апрель 2026'!$G$2:$G$2719,'апрель 2026'!$D$2:$D$2719,$B85,'апрель 2026'!$J$2:$J$2719,Z$1)</f>
        <v>0</v>
      </c>
      <c r="AA85" s="144">
        <f>SUMIFS('апрель 2026'!$G$2:$G$2719,'апрель 2026'!$D$2:$D$2719,$B85,'апрель 2026'!$J$2:$J$2719,AA$1)</f>
        <v>0</v>
      </c>
      <c r="AB85" s="144">
        <f>SUMIFS('апрель 2026'!$G$2:$G$2719,'апрель 2026'!$D$2:$D$2719,$B85,'апрель 2026'!$J$2:$J$2719,AB$1)</f>
        <v>0</v>
      </c>
      <c r="AC85" s="144">
        <f>SUMIFS('апрель 2026'!$G$2:$G$2719,'апрель 2026'!$D$2:$D$2719,$B85,'апрель 2026'!$J$2:$J$2719,AC$1)</f>
        <v>0</v>
      </c>
      <c r="AD85" s="144">
        <f>SUMIFS('апрель 2026'!$G$2:$G$2719,'апрель 2026'!$D$2:$D$2719,$B85,'апрель 2026'!$J$2:$J$2719,AD$1)</f>
        <v>0</v>
      </c>
      <c r="AE85" s="144">
        <f>SUMIFS('апрель 2026'!$G$2:$G$2719,'апрель 2026'!$D$2:$D$2719,$B85,'апрель 2026'!$J$2:$J$2719,AE$1)</f>
        <v>0</v>
      </c>
      <c r="AF85" s="144">
        <f>SUMIFS('апрель 2026'!$G$2:$G$2719,'апрель 2026'!$D$2:$D$2719,$B85,'апрель 2026'!$J$2:$J$2719,AF$1)</f>
        <v>0</v>
      </c>
      <c r="AG85" s="144">
        <f>SUMIFS('апрель 2026'!$G$2:$G$2719,'апрель 2026'!$D$2:$D$2719,$B85,'апрель 2026'!$J$2:$J$2719,AG$1)</f>
        <v>0</v>
      </c>
      <c r="AH85" s="144">
        <f>SUMIFS('апрель 2026'!$G$2:$G$2719,'апрель 2026'!$D$2:$D$2719,$B85,'апрель 2026'!$J$2:$J$2719,AH$1)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SUMIFS('апрель 2026'!$G$2:$G$2719,'апрель 2026'!$D$2:$D$2719,$B86,'апрель 2026'!$J$2:$J$2719,D$1)</f>
        <v>0</v>
      </c>
      <c r="E86" s="144">
        <f>SUMIFS('апрель 2026'!$G$2:$G$2719,'апрель 2026'!$D$2:$D$2719,$B86,'апрель 2026'!$J$2:$J$2719,E$1)</f>
        <v>0</v>
      </c>
      <c r="F86" s="144">
        <f>SUMIFS('апрель 2026'!$G$2:$G$2719,'апрель 2026'!$D$2:$D$2719,$B86,'апрель 2026'!$J$2:$J$2719,F$1)</f>
        <v>0</v>
      </c>
      <c r="G86" s="144">
        <f>SUMIFS('апрель 2026'!$G$2:$G$2719,'апрель 2026'!$D$2:$D$2719,$B86,'апрель 2026'!$J$2:$J$2719,G$1)</f>
        <v>0</v>
      </c>
      <c r="H86" s="144">
        <f>SUMIFS('апрель 2026'!$G$2:$G$2719,'апрель 2026'!$D$2:$D$2719,$B86,'апрель 2026'!$J$2:$J$2719,H$1)</f>
        <v>0</v>
      </c>
      <c r="I86" s="144">
        <f>SUMIFS('апрель 2026'!$G$2:$G$2719,'апрель 2026'!$D$2:$D$2719,$B86,'апрель 2026'!$J$2:$J$2719,I$1)</f>
        <v>0</v>
      </c>
      <c r="J86" s="144">
        <f>SUMIFS('апрель 2026'!$G$2:$G$2719,'апрель 2026'!$D$2:$D$2719,$B86,'апрель 2026'!$J$2:$J$2719,J$1)</f>
        <v>0</v>
      </c>
      <c r="K86" s="144">
        <f>SUMIFS('апрель 2026'!$G$2:$G$2719,'апрель 2026'!$D$2:$D$2719,$B86,'апрель 2026'!$J$2:$J$2719,K$1)</f>
        <v>0</v>
      </c>
      <c r="L86" s="144">
        <f>SUMIFS('апрель 2026'!$G$2:$G$2719,'апрель 2026'!$D$2:$D$2719,$B86,'апрель 2026'!$J$2:$J$2719,L$1)</f>
        <v>0</v>
      </c>
      <c r="M86" s="144">
        <f>SUMIFS('апрель 2026'!$G$2:$G$2719,'апрель 2026'!$D$2:$D$2719,$B86,'апрель 2026'!$J$2:$J$2719,M$1)</f>
        <v>0</v>
      </c>
      <c r="N86" s="144">
        <f>SUMIFS('апрель 2026'!$G$2:$G$2719,'апрель 2026'!$D$2:$D$2719,$B86,'апрель 2026'!$J$2:$J$2719,N$1)</f>
        <v>0</v>
      </c>
      <c r="O86" s="144">
        <f>SUMIFS('апрель 2026'!$G$2:$G$2719,'апрель 2026'!$D$2:$D$2719,$B86,'апрель 2026'!$J$2:$J$2719,O$1)</f>
        <v>0</v>
      </c>
      <c r="P86" s="144">
        <f>SUMIFS('апрель 2026'!$G$2:$G$2719,'апрель 2026'!$D$2:$D$2719,$B86,'апрель 2026'!$J$2:$J$2719,P$1)</f>
        <v>0</v>
      </c>
      <c r="Q86" s="144">
        <f>SUMIFS('апрель 2026'!$G$2:$G$2719,'апрель 2026'!$D$2:$D$2719,$B86,'апрель 2026'!$J$2:$J$2719,Q$1)</f>
        <v>0</v>
      </c>
      <c r="R86" s="144">
        <f>SUMIFS('апрель 2026'!$G$2:$G$2719,'апрель 2026'!$D$2:$D$2719,$B86,'апрель 2026'!$J$2:$J$2719,R$1)</f>
        <v>0</v>
      </c>
      <c r="S86" s="144">
        <f>SUMIFS('апрель 2026'!$G$2:$G$2719,'апрель 2026'!$D$2:$D$2719,$B86,'апрель 2026'!$J$2:$J$2719,S$1)</f>
        <v>0</v>
      </c>
      <c r="T86" s="144">
        <f>SUMIFS('апрель 2026'!$G$2:$G$2719,'апрель 2026'!$D$2:$D$2719,$B86,'апрель 2026'!$J$2:$J$2719,T$1)</f>
        <v>0</v>
      </c>
      <c r="U86" s="144">
        <f>SUMIFS('апрель 2026'!$G$2:$G$2719,'апрель 2026'!$D$2:$D$2719,$B86,'апрель 2026'!$J$2:$J$2719,U$1)</f>
        <v>0</v>
      </c>
      <c r="V86" s="144">
        <f>SUMIFS('апрель 2026'!$G$2:$G$2719,'апрель 2026'!$D$2:$D$2719,$B86,'апрель 2026'!$J$2:$J$2719,V$1)</f>
        <v>0</v>
      </c>
      <c r="W86" s="144">
        <f>SUMIFS('апрель 2026'!$G$2:$G$2719,'апрель 2026'!$D$2:$D$2719,$B86,'апрель 2026'!$J$2:$J$2719,W$1)</f>
        <v>0</v>
      </c>
      <c r="X86" s="144">
        <f>SUMIFS('апрель 2026'!$G$2:$G$2719,'апрель 2026'!$D$2:$D$2719,$B86,'апрель 2026'!$J$2:$J$2719,X$1)</f>
        <v>0</v>
      </c>
      <c r="Y86" s="144">
        <f>SUMIFS('апрель 2026'!$G$2:$G$2719,'апрель 2026'!$D$2:$D$2719,$B86,'апрель 2026'!$J$2:$J$2719,Y$1)</f>
        <v>0</v>
      </c>
      <c r="Z86" s="144">
        <f>SUMIFS('апрель 2026'!$G$2:$G$2719,'апрель 2026'!$D$2:$D$2719,$B86,'апрель 2026'!$J$2:$J$2719,Z$1)</f>
        <v>0</v>
      </c>
      <c r="AA86" s="144">
        <f>SUMIFS('апрель 2026'!$G$2:$G$2719,'апрель 2026'!$D$2:$D$2719,$B86,'апрель 2026'!$J$2:$J$2719,AA$1)</f>
        <v>0</v>
      </c>
      <c r="AB86" s="144">
        <f>SUMIFS('апрель 2026'!$G$2:$G$2719,'апрель 2026'!$D$2:$D$2719,$B86,'апрель 2026'!$J$2:$J$2719,AB$1)</f>
        <v>0</v>
      </c>
      <c r="AC86" s="144">
        <f>SUMIFS('апрель 2026'!$G$2:$G$2719,'апрель 2026'!$D$2:$D$2719,$B86,'апрель 2026'!$J$2:$J$2719,AC$1)</f>
        <v>0</v>
      </c>
      <c r="AD86" s="144">
        <f>SUMIFS('апрель 2026'!$G$2:$G$2719,'апрель 2026'!$D$2:$D$2719,$B86,'апрель 2026'!$J$2:$J$2719,AD$1)</f>
        <v>0</v>
      </c>
      <c r="AE86" s="144">
        <f>SUMIFS('апрель 2026'!$G$2:$G$2719,'апрель 2026'!$D$2:$D$2719,$B86,'апрель 2026'!$J$2:$J$2719,AE$1)</f>
        <v>0</v>
      </c>
      <c r="AF86" s="144">
        <f>SUMIFS('апрель 2026'!$G$2:$G$2719,'апрель 2026'!$D$2:$D$2719,$B86,'апрель 2026'!$J$2:$J$2719,AF$1)</f>
        <v>0</v>
      </c>
      <c r="AG86" s="144">
        <f>SUMIFS('апрель 2026'!$G$2:$G$2719,'апрель 2026'!$D$2:$D$2719,$B86,'апрель 2026'!$J$2:$J$2719,AG$1)</f>
        <v>0</v>
      </c>
      <c r="AH86" s="144">
        <f>SUMIFS('апрель 2026'!$G$2:$G$2719,'апрель 2026'!$D$2:$D$2719,$B86,'апрель 2026'!$J$2:$J$2719,AH$1)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SUMIFS('апрель 2026'!$G$2:$G$2719,'апрель 2026'!$D$2:$D$2719,$B87,'апрель 2026'!$J$2:$J$2719,D$1)</f>
        <v>0</v>
      </c>
      <c r="E87" s="144">
        <f>SUMIFS('апрель 2026'!$G$2:$G$2719,'апрель 2026'!$D$2:$D$2719,$B87,'апрель 2026'!$J$2:$J$2719,E$1)</f>
        <v>0</v>
      </c>
      <c r="F87" s="144">
        <f>SUMIFS('апрель 2026'!$G$2:$G$2719,'апрель 2026'!$D$2:$D$2719,$B87,'апрель 2026'!$J$2:$J$2719,F$1)</f>
        <v>0</v>
      </c>
      <c r="G87" s="144">
        <f>SUMIFS('апрель 2026'!$G$2:$G$2719,'апрель 2026'!$D$2:$D$2719,$B87,'апрель 2026'!$J$2:$J$2719,G$1)</f>
        <v>0</v>
      </c>
      <c r="H87" s="144">
        <f>SUMIFS('апрель 2026'!$G$2:$G$2719,'апрель 2026'!$D$2:$D$2719,$B87,'апрель 2026'!$J$2:$J$2719,H$1)</f>
        <v>0</v>
      </c>
      <c r="I87" s="144">
        <f>SUMIFS('апрель 2026'!$G$2:$G$2719,'апрель 2026'!$D$2:$D$2719,$B87,'апрель 2026'!$J$2:$J$2719,I$1)</f>
        <v>0</v>
      </c>
      <c r="J87" s="144">
        <f>SUMIFS('апрель 2026'!$G$2:$G$2719,'апрель 2026'!$D$2:$D$2719,$B87,'апрель 2026'!$J$2:$J$2719,J$1)</f>
        <v>0</v>
      </c>
      <c r="K87" s="144">
        <f>SUMIFS('апрель 2026'!$G$2:$G$2719,'апрель 2026'!$D$2:$D$2719,$B87,'апрель 2026'!$J$2:$J$2719,K$1)</f>
        <v>0</v>
      </c>
      <c r="L87" s="144">
        <f>SUMIFS('апрель 2026'!$G$2:$G$2719,'апрель 2026'!$D$2:$D$2719,$B87,'апрель 2026'!$J$2:$J$2719,L$1)</f>
        <v>0</v>
      </c>
      <c r="M87" s="144">
        <f>SUMIFS('апрель 2026'!$G$2:$G$2719,'апрель 2026'!$D$2:$D$2719,$B87,'апрель 2026'!$J$2:$J$2719,M$1)</f>
        <v>0</v>
      </c>
      <c r="N87" s="144">
        <f>SUMIFS('апрель 2026'!$G$2:$G$2719,'апрель 2026'!$D$2:$D$2719,$B87,'апрель 2026'!$J$2:$J$2719,N$1)</f>
        <v>0</v>
      </c>
      <c r="O87" s="144">
        <f>SUMIFS('апрель 2026'!$G$2:$G$2719,'апрель 2026'!$D$2:$D$2719,$B87,'апрель 2026'!$J$2:$J$2719,O$1)</f>
        <v>0</v>
      </c>
      <c r="P87" s="144">
        <f>SUMIFS('апрель 2026'!$G$2:$G$2719,'апрель 2026'!$D$2:$D$2719,$B87,'апрель 2026'!$J$2:$J$2719,P$1)</f>
        <v>0</v>
      </c>
      <c r="Q87" s="144">
        <f>SUMIFS('апрель 2026'!$G$2:$G$2719,'апрель 2026'!$D$2:$D$2719,$B87,'апрель 2026'!$J$2:$J$2719,Q$1)</f>
        <v>0</v>
      </c>
      <c r="R87" s="144">
        <f>SUMIFS('апрель 2026'!$G$2:$G$2719,'апрель 2026'!$D$2:$D$2719,$B87,'апрель 2026'!$J$2:$J$2719,R$1)</f>
        <v>0</v>
      </c>
      <c r="S87" s="144">
        <f>SUMIFS('апрель 2026'!$G$2:$G$2719,'апрель 2026'!$D$2:$D$2719,$B87,'апрель 2026'!$J$2:$J$2719,S$1)</f>
        <v>0</v>
      </c>
      <c r="T87" s="144">
        <f>SUMIFS('апрель 2026'!$G$2:$G$2719,'апрель 2026'!$D$2:$D$2719,$B87,'апрель 2026'!$J$2:$J$2719,T$1)</f>
        <v>0</v>
      </c>
      <c r="U87" s="144">
        <f>SUMIFS('апрель 2026'!$G$2:$G$2719,'апрель 2026'!$D$2:$D$2719,$B87,'апрель 2026'!$J$2:$J$2719,U$1)</f>
        <v>0</v>
      </c>
      <c r="V87" s="144">
        <f>SUMIFS('апрель 2026'!$G$2:$G$2719,'апрель 2026'!$D$2:$D$2719,$B87,'апрель 2026'!$J$2:$J$2719,V$1)</f>
        <v>0</v>
      </c>
      <c r="W87" s="144">
        <f>SUMIFS('апрель 2026'!$G$2:$G$2719,'апрель 2026'!$D$2:$D$2719,$B87,'апрель 2026'!$J$2:$J$2719,W$1)</f>
        <v>0</v>
      </c>
      <c r="X87" s="144">
        <f>SUMIFS('апрель 2026'!$G$2:$G$2719,'апрель 2026'!$D$2:$D$2719,$B87,'апрель 2026'!$J$2:$J$2719,X$1)</f>
        <v>0</v>
      </c>
      <c r="Y87" s="144">
        <f>SUMIFS('апрель 2026'!$G$2:$G$2719,'апрель 2026'!$D$2:$D$2719,$B87,'апрель 2026'!$J$2:$J$2719,Y$1)</f>
        <v>0</v>
      </c>
      <c r="Z87" s="144">
        <f>SUMIFS('апрель 2026'!$G$2:$G$2719,'апрель 2026'!$D$2:$D$2719,$B87,'апрель 2026'!$J$2:$J$2719,Z$1)</f>
        <v>0</v>
      </c>
      <c r="AA87" s="144">
        <f>SUMIFS('апрель 2026'!$G$2:$G$2719,'апрель 2026'!$D$2:$D$2719,$B87,'апрель 2026'!$J$2:$J$2719,AA$1)</f>
        <v>0</v>
      </c>
      <c r="AB87" s="144">
        <f>SUMIFS('апрель 2026'!$G$2:$G$2719,'апрель 2026'!$D$2:$D$2719,$B87,'апрель 2026'!$J$2:$J$2719,AB$1)</f>
        <v>0</v>
      </c>
      <c r="AC87" s="144">
        <f>SUMIFS('апрель 2026'!$G$2:$G$2719,'апрель 2026'!$D$2:$D$2719,$B87,'апрель 2026'!$J$2:$J$2719,AC$1)</f>
        <v>0</v>
      </c>
      <c r="AD87" s="144">
        <f>SUMIFS('апрель 2026'!$G$2:$G$2719,'апрель 2026'!$D$2:$D$2719,$B87,'апрель 2026'!$J$2:$J$2719,AD$1)</f>
        <v>0</v>
      </c>
      <c r="AE87" s="144">
        <f>SUMIFS('апрель 2026'!$G$2:$G$2719,'апрель 2026'!$D$2:$D$2719,$B87,'апрель 2026'!$J$2:$J$2719,AE$1)</f>
        <v>0</v>
      </c>
      <c r="AF87" s="144">
        <f>SUMIFS('апрель 2026'!$G$2:$G$2719,'апрель 2026'!$D$2:$D$2719,$B87,'апрель 2026'!$J$2:$J$2719,AF$1)</f>
        <v>0</v>
      </c>
      <c r="AG87" s="144">
        <f>SUMIFS('апрель 2026'!$G$2:$G$2719,'апрель 2026'!$D$2:$D$2719,$B87,'апрель 2026'!$J$2:$J$2719,AG$1)</f>
        <v>0</v>
      </c>
      <c r="AH87" s="144">
        <f>SUMIFS('апрель 2026'!$G$2:$G$2719,'апрель 2026'!$D$2:$D$2719,$B87,'апрель 2026'!$J$2:$J$2719,AH$1)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SUMIFS('апрель 2026'!$G$2:$G$2719,'апрель 2026'!$D$2:$D$2719,$B88,'апрель 2026'!$J$2:$J$2719,D$1)</f>
        <v>0</v>
      </c>
      <c r="E88" s="144">
        <f>SUMIFS('апрель 2026'!$G$2:$G$2719,'апрель 2026'!$D$2:$D$2719,$B88,'апрель 2026'!$J$2:$J$2719,E$1)</f>
        <v>0</v>
      </c>
      <c r="F88" s="144">
        <f>SUMIFS('апрель 2026'!$G$2:$G$2719,'апрель 2026'!$D$2:$D$2719,$B88,'апрель 2026'!$J$2:$J$2719,F$1)</f>
        <v>0</v>
      </c>
      <c r="G88" s="144">
        <f>SUMIFS('апрель 2026'!$G$2:$G$2719,'апрель 2026'!$D$2:$D$2719,$B88,'апрель 2026'!$J$2:$J$2719,G$1)</f>
        <v>0</v>
      </c>
      <c r="H88" s="144">
        <f>SUMIFS('апрель 2026'!$G$2:$G$2719,'апрель 2026'!$D$2:$D$2719,$B88,'апрель 2026'!$J$2:$J$2719,H$1)</f>
        <v>0</v>
      </c>
      <c r="I88" s="144">
        <f>SUMIFS('апрель 2026'!$G$2:$G$2719,'апрель 2026'!$D$2:$D$2719,$B88,'апрель 2026'!$J$2:$J$2719,I$1)</f>
        <v>0</v>
      </c>
      <c r="J88" s="144">
        <f>SUMIFS('апрель 2026'!$G$2:$G$2719,'апрель 2026'!$D$2:$D$2719,$B88,'апрель 2026'!$J$2:$J$2719,J$1)</f>
        <v>0</v>
      </c>
      <c r="K88" s="144">
        <f>SUMIFS('апрель 2026'!$G$2:$G$2719,'апрель 2026'!$D$2:$D$2719,$B88,'апрель 2026'!$J$2:$J$2719,K$1)</f>
        <v>0</v>
      </c>
      <c r="L88" s="144">
        <f>SUMIFS('апрель 2026'!$G$2:$G$2719,'апрель 2026'!$D$2:$D$2719,$B88,'апрель 2026'!$J$2:$J$2719,L$1)</f>
        <v>0</v>
      </c>
      <c r="M88" s="144">
        <f>SUMIFS('апрель 2026'!$G$2:$G$2719,'апрель 2026'!$D$2:$D$2719,$B88,'апрель 2026'!$J$2:$J$2719,M$1)</f>
        <v>0</v>
      </c>
      <c r="N88" s="144">
        <f>SUMIFS('апрель 2026'!$G$2:$G$2719,'апрель 2026'!$D$2:$D$2719,$B88,'апрель 2026'!$J$2:$J$2719,N$1)</f>
        <v>0</v>
      </c>
      <c r="O88" s="144">
        <f>SUMIFS('апрель 2026'!$G$2:$G$2719,'апрель 2026'!$D$2:$D$2719,$B88,'апрель 2026'!$J$2:$J$2719,O$1)</f>
        <v>0</v>
      </c>
      <c r="P88" s="144">
        <f>SUMIFS('апрель 2026'!$G$2:$G$2719,'апрель 2026'!$D$2:$D$2719,$B88,'апрель 2026'!$J$2:$J$2719,P$1)</f>
        <v>0</v>
      </c>
      <c r="Q88" s="144">
        <f>SUMIFS('апрель 2026'!$G$2:$G$2719,'апрель 2026'!$D$2:$D$2719,$B88,'апрель 2026'!$J$2:$J$2719,Q$1)</f>
        <v>0</v>
      </c>
      <c r="R88" s="144">
        <f>SUMIFS('апрель 2026'!$G$2:$G$2719,'апрель 2026'!$D$2:$D$2719,$B88,'апрель 2026'!$J$2:$J$2719,R$1)</f>
        <v>0</v>
      </c>
      <c r="S88" s="144">
        <f>SUMIFS('апрель 2026'!$G$2:$G$2719,'апрель 2026'!$D$2:$D$2719,$B88,'апрель 2026'!$J$2:$J$2719,S$1)</f>
        <v>0</v>
      </c>
      <c r="T88" s="144">
        <f>SUMIFS('апрель 2026'!$G$2:$G$2719,'апрель 2026'!$D$2:$D$2719,$B88,'апрель 2026'!$J$2:$J$2719,T$1)</f>
        <v>0</v>
      </c>
      <c r="U88" s="144">
        <f>SUMIFS('апрель 2026'!$G$2:$G$2719,'апрель 2026'!$D$2:$D$2719,$B88,'апрель 2026'!$J$2:$J$2719,U$1)</f>
        <v>0</v>
      </c>
      <c r="V88" s="144">
        <f>SUMIFS('апрель 2026'!$G$2:$G$2719,'апрель 2026'!$D$2:$D$2719,$B88,'апрель 2026'!$J$2:$J$2719,V$1)</f>
        <v>0</v>
      </c>
      <c r="W88" s="144">
        <f>SUMIFS('апрель 2026'!$G$2:$G$2719,'апрель 2026'!$D$2:$D$2719,$B88,'апрель 2026'!$J$2:$J$2719,W$1)</f>
        <v>0</v>
      </c>
      <c r="X88" s="144">
        <f>SUMIFS('апрель 2026'!$G$2:$G$2719,'апрель 2026'!$D$2:$D$2719,$B88,'апрель 2026'!$J$2:$J$2719,X$1)</f>
        <v>0</v>
      </c>
      <c r="Y88" s="144">
        <f>SUMIFS('апрель 2026'!$G$2:$G$2719,'апрель 2026'!$D$2:$D$2719,$B88,'апрель 2026'!$J$2:$J$2719,Y$1)</f>
        <v>0</v>
      </c>
      <c r="Z88" s="144">
        <f>SUMIFS('апрель 2026'!$G$2:$G$2719,'апрель 2026'!$D$2:$D$2719,$B88,'апрель 2026'!$J$2:$J$2719,Z$1)</f>
        <v>0</v>
      </c>
      <c r="AA88" s="144">
        <f>SUMIFS('апрель 2026'!$G$2:$G$2719,'апрель 2026'!$D$2:$D$2719,$B88,'апрель 2026'!$J$2:$J$2719,AA$1)</f>
        <v>0</v>
      </c>
      <c r="AB88" s="144">
        <f>SUMIFS('апрель 2026'!$G$2:$G$2719,'апрель 2026'!$D$2:$D$2719,$B88,'апрель 2026'!$J$2:$J$2719,AB$1)</f>
        <v>0</v>
      </c>
      <c r="AC88" s="144">
        <f>SUMIFS('апрель 2026'!$G$2:$G$2719,'апрель 2026'!$D$2:$D$2719,$B88,'апрель 2026'!$J$2:$J$2719,AC$1)</f>
        <v>0</v>
      </c>
      <c r="AD88" s="144">
        <f>SUMIFS('апрель 2026'!$G$2:$G$2719,'апрель 2026'!$D$2:$D$2719,$B88,'апрель 2026'!$J$2:$J$2719,AD$1)</f>
        <v>0</v>
      </c>
      <c r="AE88" s="144">
        <f>SUMIFS('апрель 2026'!$G$2:$G$2719,'апрель 2026'!$D$2:$D$2719,$B88,'апрель 2026'!$J$2:$J$2719,AE$1)</f>
        <v>0</v>
      </c>
      <c r="AF88" s="144">
        <f>SUMIFS('апрель 2026'!$G$2:$G$2719,'апрель 2026'!$D$2:$D$2719,$B88,'апрель 2026'!$J$2:$J$2719,AF$1)</f>
        <v>0</v>
      </c>
      <c r="AG88" s="144">
        <f>SUMIFS('апрель 2026'!$G$2:$G$2719,'апрель 2026'!$D$2:$D$2719,$B88,'апрель 2026'!$J$2:$J$2719,AG$1)</f>
        <v>0</v>
      </c>
      <c r="AH88" s="144">
        <f>SUMIFS('апрель 2026'!$G$2:$G$2719,'апрель 2026'!$D$2:$D$2719,$B88,'апрель 2026'!$J$2:$J$2719,AH$1)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SUMIFS('апрель 2026'!$G$2:$G$2719,'апрель 2026'!$D$2:$D$2719,$B89,'апрель 2026'!$J$2:$J$2719,D$1)</f>
        <v>0</v>
      </c>
      <c r="E89" s="144">
        <f>SUMIFS('апрель 2026'!$G$2:$G$2719,'апрель 2026'!$D$2:$D$2719,$B89,'апрель 2026'!$J$2:$J$2719,E$1)</f>
        <v>0</v>
      </c>
      <c r="F89" s="144">
        <f>SUMIFS('апрель 2026'!$G$2:$G$2719,'апрель 2026'!$D$2:$D$2719,$B89,'апрель 2026'!$J$2:$J$2719,F$1)</f>
        <v>0</v>
      </c>
      <c r="G89" s="144">
        <f>SUMIFS('апрель 2026'!$G$2:$G$2719,'апрель 2026'!$D$2:$D$2719,$B89,'апрель 2026'!$J$2:$J$2719,G$1)</f>
        <v>0</v>
      </c>
      <c r="H89" s="144">
        <f>SUMIFS('апрель 2026'!$G$2:$G$2719,'апрель 2026'!$D$2:$D$2719,$B89,'апрель 2026'!$J$2:$J$2719,H$1)</f>
        <v>0</v>
      </c>
      <c r="I89" s="144">
        <f>SUMIFS('апрель 2026'!$G$2:$G$2719,'апрель 2026'!$D$2:$D$2719,$B89,'апрель 2026'!$J$2:$J$2719,I$1)</f>
        <v>0</v>
      </c>
      <c r="J89" s="144">
        <f>SUMIFS('апрель 2026'!$G$2:$G$2719,'апрель 2026'!$D$2:$D$2719,$B89,'апрель 2026'!$J$2:$J$2719,J$1)</f>
        <v>0</v>
      </c>
      <c r="K89" s="144">
        <f>SUMIFS('апрель 2026'!$G$2:$G$2719,'апрель 2026'!$D$2:$D$2719,$B89,'апрель 2026'!$J$2:$J$2719,K$1)</f>
        <v>0</v>
      </c>
      <c r="L89" s="144">
        <f>SUMIFS('апрель 2026'!$G$2:$G$2719,'апрель 2026'!$D$2:$D$2719,$B89,'апрель 2026'!$J$2:$J$2719,L$1)</f>
        <v>0</v>
      </c>
      <c r="M89" s="144">
        <f>SUMIFS('апрель 2026'!$G$2:$G$2719,'апрель 2026'!$D$2:$D$2719,$B89,'апрель 2026'!$J$2:$J$2719,M$1)</f>
        <v>0</v>
      </c>
      <c r="N89" s="144">
        <f>SUMIFS('апрель 2026'!$G$2:$G$2719,'апрель 2026'!$D$2:$D$2719,$B89,'апрель 2026'!$J$2:$J$2719,N$1)</f>
        <v>0</v>
      </c>
      <c r="O89" s="144">
        <f>SUMIFS('апрель 2026'!$G$2:$G$2719,'апрель 2026'!$D$2:$D$2719,$B89,'апрель 2026'!$J$2:$J$2719,O$1)</f>
        <v>0</v>
      </c>
      <c r="P89" s="144">
        <f>SUMIFS('апрель 2026'!$G$2:$G$2719,'апрель 2026'!$D$2:$D$2719,$B89,'апрель 2026'!$J$2:$J$2719,P$1)</f>
        <v>0</v>
      </c>
      <c r="Q89" s="144">
        <f>SUMIFS('апрель 2026'!$G$2:$G$2719,'апрель 2026'!$D$2:$D$2719,$B89,'апрель 2026'!$J$2:$J$2719,Q$1)</f>
        <v>0</v>
      </c>
      <c r="R89" s="144">
        <f>SUMIFS('апрель 2026'!$G$2:$G$2719,'апрель 2026'!$D$2:$D$2719,$B89,'апрель 2026'!$J$2:$J$2719,R$1)</f>
        <v>0</v>
      </c>
      <c r="S89" s="144">
        <f>SUMIFS('апрель 2026'!$G$2:$G$2719,'апрель 2026'!$D$2:$D$2719,$B89,'апрель 2026'!$J$2:$J$2719,S$1)</f>
        <v>0</v>
      </c>
      <c r="T89" s="144">
        <f>SUMIFS('апрель 2026'!$G$2:$G$2719,'апрель 2026'!$D$2:$D$2719,$B89,'апрель 2026'!$J$2:$J$2719,T$1)</f>
        <v>0</v>
      </c>
      <c r="U89" s="144">
        <f>SUMIFS('апрель 2026'!$G$2:$G$2719,'апрель 2026'!$D$2:$D$2719,$B89,'апрель 2026'!$J$2:$J$2719,U$1)</f>
        <v>0</v>
      </c>
      <c r="V89" s="144">
        <f>SUMIFS('апрель 2026'!$G$2:$G$2719,'апрель 2026'!$D$2:$D$2719,$B89,'апрель 2026'!$J$2:$J$2719,V$1)</f>
        <v>0</v>
      </c>
      <c r="W89" s="144">
        <f>SUMIFS('апрель 2026'!$G$2:$G$2719,'апрель 2026'!$D$2:$D$2719,$B89,'апрель 2026'!$J$2:$J$2719,W$1)</f>
        <v>0</v>
      </c>
      <c r="X89" s="144">
        <f>SUMIFS('апрель 2026'!$G$2:$G$2719,'апрель 2026'!$D$2:$D$2719,$B89,'апрель 2026'!$J$2:$J$2719,X$1)</f>
        <v>0</v>
      </c>
      <c r="Y89" s="144">
        <f>SUMIFS('апрель 2026'!$G$2:$G$2719,'апрель 2026'!$D$2:$D$2719,$B89,'апрель 2026'!$J$2:$J$2719,Y$1)</f>
        <v>0</v>
      </c>
      <c r="Z89" s="144">
        <f>SUMIFS('апрель 2026'!$G$2:$G$2719,'апрель 2026'!$D$2:$D$2719,$B89,'апрель 2026'!$J$2:$J$2719,Z$1)</f>
        <v>0</v>
      </c>
      <c r="AA89" s="144">
        <f>SUMIFS('апрель 2026'!$G$2:$G$2719,'апрель 2026'!$D$2:$D$2719,$B89,'апрель 2026'!$J$2:$J$2719,AA$1)</f>
        <v>0</v>
      </c>
      <c r="AB89" s="144">
        <f>SUMIFS('апрель 2026'!$G$2:$G$2719,'апрель 2026'!$D$2:$D$2719,$B89,'апрель 2026'!$J$2:$J$2719,AB$1)</f>
        <v>0</v>
      </c>
      <c r="AC89" s="144">
        <f>SUMIFS('апрель 2026'!$G$2:$G$2719,'апрель 2026'!$D$2:$D$2719,$B89,'апрель 2026'!$J$2:$J$2719,AC$1)</f>
        <v>0</v>
      </c>
      <c r="AD89" s="144">
        <f>SUMIFS('апрель 2026'!$G$2:$G$2719,'апрель 2026'!$D$2:$D$2719,$B89,'апрель 2026'!$J$2:$J$2719,AD$1)</f>
        <v>0</v>
      </c>
      <c r="AE89" s="144">
        <f>SUMIFS('апрель 2026'!$G$2:$G$2719,'апрель 2026'!$D$2:$D$2719,$B89,'апрель 2026'!$J$2:$J$2719,AE$1)</f>
        <v>0</v>
      </c>
      <c r="AF89" s="144">
        <f>SUMIFS('апрель 2026'!$G$2:$G$2719,'апрель 2026'!$D$2:$D$2719,$B89,'апрель 2026'!$J$2:$J$2719,AF$1)</f>
        <v>0</v>
      </c>
      <c r="AG89" s="144">
        <f>SUMIFS('апрель 2026'!$G$2:$G$2719,'апрель 2026'!$D$2:$D$2719,$B89,'апрель 2026'!$J$2:$J$2719,AG$1)</f>
        <v>0</v>
      </c>
      <c r="AH89" s="144">
        <f>SUMIFS('апрель 2026'!$G$2:$G$2719,'апрель 2026'!$D$2:$D$2719,$B89,'апрель 2026'!$J$2:$J$2719,AH$1)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SUMIFS('апрель 2026'!$G$2:$G$2719,'апрель 2026'!$D$2:$D$2719,$B90,'апрель 2026'!$J$2:$J$2719,D$1)</f>
        <v>0</v>
      </c>
      <c r="E90" s="144">
        <f>SUMIFS('апрель 2026'!$G$2:$G$2719,'апрель 2026'!$D$2:$D$2719,$B90,'апрель 2026'!$J$2:$J$2719,E$1)</f>
        <v>2</v>
      </c>
      <c r="F90" s="144">
        <f>SUMIFS('апрель 2026'!$G$2:$G$2719,'апрель 2026'!$D$2:$D$2719,$B90,'апрель 2026'!$J$2:$J$2719,F$1)</f>
        <v>0</v>
      </c>
      <c r="G90" s="144">
        <f>SUMIFS('апрель 2026'!$G$2:$G$2719,'апрель 2026'!$D$2:$D$2719,$B90,'апрель 2026'!$J$2:$J$2719,G$1)</f>
        <v>0</v>
      </c>
      <c r="H90" s="144">
        <f>SUMIFS('апрель 2026'!$G$2:$G$2719,'апрель 2026'!$D$2:$D$2719,$B90,'апрель 2026'!$J$2:$J$2719,H$1)</f>
        <v>0</v>
      </c>
      <c r="I90" s="144">
        <f>SUMIFS('апрель 2026'!$G$2:$G$2719,'апрель 2026'!$D$2:$D$2719,$B90,'апрель 2026'!$J$2:$J$2719,I$1)</f>
        <v>0</v>
      </c>
      <c r="J90" s="144">
        <f>SUMIFS('апрель 2026'!$G$2:$G$2719,'апрель 2026'!$D$2:$D$2719,$B90,'апрель 2026'!$J$2:$J$2719,J$1)</f>
        <v>0</v>
      </c>
      <c r="K90" s="144">
        <f>SUMIFS('апрель 2026'!$G$2:$G$2719,'апрель 2026'!$D$2:$D$2719,$B90,'апрель 2026'!$J$2:$J$2719,K$1)</f>
        <v>0</v>
      </c>
      <c r="L90" s="144">
        <f>SUMIFS('апрель 2026'!$G$2:$G$2719,'апрель 2026'!$D$2:$D$2719,$B90,'апрель 2026'!$J$2:$J$2719,L$1)</f>
        <v>0</v>
      </c>
      <c r="M90" s="144">
        <f>SUMIFS('апрель 2026'!$G$2:$G$2719,'апрель 2026'!$D$2:$D$2719,$B90,'апрель 2026'!$J$2:$J$2719,M$1)</f>
        <v>0</v>
      </c>
      <c r="N90" s="144">
        <f>SUMIFS('апрель 2026'!$G$2:$G$2719,'апрель 2026'!$D$2:$D$2719,$B90,'апрель 2026'!$J$2:$J$2719,N$1)</f>
        <v>0</v>
      </c>
      <c r="O90" s="144">
        <f>SUMIFS('апрель 2026'!$G$2:$G$2719,'апрель 2026'!$D$2:$D$2719,$B90,'апрель 2026'!$J$2:$J$2719,O$1)</f>
        <v>0</v>
      </c>
      <c r="P90" s="144">
        <f>SUMIFS('апрель 2026'!$G$2:$G$2719,'апрель 2026'!$D$2:$D$2719,$B90,'апрель 2026'!$J$2:$J$2719,P$1)</f>
        <v>0</v>
      </c>
      <c r="Q90" s="144">
        <f>SUMIFS('апрель 2026'!$G$2:$G$2719,'апрель 2026'!$D$2:$D$2719,$B90,'апрель 2026'!$J$2:$J$2719,Q$1)</f>
        <v>0</v>
      </c>
      <c r="R90" s="144">
        <f>SUMIFS('апрель 2026'!$G$2:$G$2719,'апрель 2026'!$D$2:$D$2719,$B90,'апрель 2026'!$J$2:$J$2719,R$1)</f>
        <v>88</v>
      </c>
      <c r="S90" s="144">
        <f>SUMIFS('апрель 2026'!$G$2:$G$2719,'апрель 2026'!$D$2:$D$2719,$B90,'апрель 2026'!$J$2:$J$2719,S$1)</f>
        <v>0</v>
      </c>
      <c r="T90" s="144">
        <f>SUMIFS('апрель 2026'!$G$2:$G$2719,'апрель 2026'!$D$2:$D$2719,$B90,'апрель 2026'!$J$2:$J$2719,T$1)</f>
        <v>0</v>
      </c>
      <c r="U90" s="144">
        <f>SUMIFS('апрель 2026'!$G$2:$G$2719,'апрель 2026'!$D$2:$D$2719,$B90,'апрель 2026'!$J$2:$J$2719,U$1)</f>
        <v>0</v>
      </c>
      <c r="V90" s="144">
        <f>SUMIFS('апрель 2026'!$G$2:$G$2719,'апрель 2026'!$D$2:$D$2719,$B90,'апрель 2026'!$J$2:$J$2719,V$1)</f>
        <v>0</v>
      </c>
      <c r="W90" s="144">
        <f>SUMIFS('апрель 2026'!$G$2:$G$2719,'апрель 2026'!$D$2:$D$2719,$B90,'апрель 2026'!$J$2:$J$2719,W$1)</f>
        <v>0</v>
      </c>
      <c r="X90" s="144">
        <f>SUMIFS('апрель 2026'!$G$2:$G$2719,'апрель 2026'!$D$2:$D$2719,$B90,'апрель 2026'!$J$2:$J$2719,X$1)</f>
        <v>0</v>
      </c>
      <c r="Y90" s="144">
        <f>SUMIFS('апрель 2026'!$G$2:$G$2719,'апрель 2026'!$D$2:$D$2719,$B90,'апрель 2026'!$J$2:$J$2719,Y$1)</f>
        <v>0</v>
      </c>
      <c r="Z90" s="144">
        <f>SUMIFS('апрель 2026'!$G$2:$G$2719,'апрель 2026'!$D$2:$D$2719,$B90,'апрель 2026'!$J$2:$J$2719,Z$1)</f>
        <v>0</v>
      </c>
      <c r="AA90" s="144">
        <f>SUMIFS('апрель 2026'!$G$2:$G$2719,'апрель 2026'!$D$2:$D$2719,$B90,'апрель 2026'!$J$2:$J$2719,AA$1)</f>
        <v>0</v>
      </c>
      <c r="AB90" s="144">
        <f>SUMIFS('апрель 2026'!$G$2:$G$2719,'апрель 2026'!$D$2:$D$2719,$B90,'апрель 2026'!$J$2:$J$2719,AB$1)</f>
        <v>0</v>
      </c>
      <c r="AC90" s="144">
        <f>SUMIFS('апрель 2026'!$G$2:$G$2719,'апрель 2026'!$D$2:$D$2719,$B90,'апрель 2026'!$J$2:$J$2719,AC$1)</f>
        <v>0</v>
      </c>
      <c r="AD90" s="144">
        <f>SUMIFS('апрель 2026'!$G$2:$G$2719,'апрель 2026'!$D$2:$D$2719,$B90,'апрель 2026'!$J$2:$J$2719,AD$1)</f>
        <v>0</v>
      </c>
      <c r="AE90" s="144">
        <f>SUMIFS('апрель 2026'!$G$2:$G$2719,'апрель 2026'!$D$2:$D$2719,$B90,'апрель 2026'!$J$2:$J$2719,AE$1)</f>
        <v>0</v>
      </c>
      <c r="AF90" s="144">
        <f>SUMIFS('апрель 2026'!$G$2:$G$2719,'апрель 2026'!$D$2:$D$2719,$B90,'апрель 2026'!$J$2:$J$2719,AF$1)</f>
        <v>0</v>
      </c>
      <c r="AG90" s="144">
        <f>SUMIFS('апрель 2026'!$G$2:$G$2719,'апрель 2026'!$D$2:$D$2719,$B90,'апрель 2026'!$J$2:$J$2719,AG$1)</f>
        <v>0</v>
      </c>
      <c r="AH90" s="144">
        <f>SUMIFS('апрель 2026'!$G$2:$G$2719,'апрель 2026'!$D$2:$D$2719,$B90,'апрель 2026'!$J$2:$J$2719,AH$1)</f>
        <v>0</v>
      </c>
      <c r="AI90" s="20">
        <f t="shared" si="1"/>
        <v>90</v>
      </c>
    </row>
    <row r="91" spans="2:35" ht="15" customHeight="1" x14ac:dyDescent="0.25">
      <c r="B91" s="85" t="s">
        <v>346</v>
      </c>
      <c r="C91" s="83">
        <v>215.5</v>
      </c>
      <c r="D91" s="144">
        <f>SUMIFS('апрель 2026'!$G$2:$G$2719,'апрель 2026'!$D$2:$D$2719,$B91,'апрель 2026'!$J$2:$J$2719,D$1)</f>
        <v>0</v>
      </c>
      <c r="E91" s="144">
        <f>SUMIFS('апрель 2026'!$G$2:$G$2719,'апрель 2026'!$D$2:$D$2719,$B91,'апрель 2026'!$J$2:$J$2719,E$1)</f>
        <v>0</v>
      </c>
      <c r="F91" s="144">
        <f>SUMIFS('апрель 2026'!$G$2:$G$2719,'апрель 2026'!$D$2:$D$2719,$B91,'апрель 2026'!$J$2:$J$2719,F$1)</f>
        <v>0</v>
      </c>
      <c r="G91" s="144">
        <f>SUMIFS('апрель 2026'!$G$2:$G$2719,'апрель 2026'!$D$2:$D$2719,$B91,'апрель 2026'!$J$2:$J$2719,G$1)</f>
        <v>0</v>
      </c>
      <c r="H91" s="144">
        <f>SUMIFS('апрель 2026'!$G$2:$G$2719,'апрель 2026'!$D$2:$D$2719,$B91,'апрель 2026'!$J$2:$J$2719,H$1)</f>
        <v>0</v>
      </c>
      <c r="I91" s="144">
        <f>SUMIFS('апрель 2026'!$G$2:$G$2719,'апрель 2026'!$D$2:$D$2719,$B91,'апрель 2026'!$J$2:$J$2719,I$1)</f>
        <v>0</v>
      </c>
      <c r="J91" s="144">
        <f>SUMIFS('апрель 2026'!$G$2:$G$2719,'апрель 2026'!$D$2:$D$2719,$B91,'апрель 2026'!$J$2:$J$2719,J$1)</f>
        <v>0</v>
      </c>
      <c r="K91" s="144">
        <f>SUMIFS('апрель 2026'!$G$2:$G$2719,'апрель 2026'!$D$2:$D$2719,$B91,'апрель 2026'!$J$2:$J$2719,K$1)</f>
        <v>0</v>
      </c>
      <c r="L91" s="144">
        <f>SUMIFS('апрель 2026'!$G$2:$G$2719,'апрель 2026'!$D$2:$D$2719,$B91,'апрель 2026'!$J$2:$J$2719,L$1)</f>
        <v>0</v>
      </c>
      <c r="M91" s="144">
        <f>SUMIFS('апрель 2026'!$G$2:$G$2719,'апрель 2026'!$D$2:$D$2719,$B91,'апрель 2026'!$J$2:$J$2719,M$1)</f>
        <v>0</v>
      </c>
      <c r="N91" s="144">
        <f>SUMIFS('апрель 2026'!$G$2:$G$2719,'апрель 2026'!$D$2:$D$2719,$B91,'апрель 2026'!$J$2:$J$2719,N$1)</f>
        <v>0</v>
      </c>
      <c r="O91" s="144">
        <f>SUMIFS('апрель 2026'!$G$2:$G$2719,'апрель 2026'!$D$2:$D$2719,$B91,'апрель 2026'!$J$2:$J$2719,O$1)</f>
        <v>0</v>
      </c>
      <c r="P91" s="144">
        <f>SUMIFS('апрель 2026'!$G$2:$G$2719,'апрель 2026'!$D$2:$D$2719,$B91,'апрель 2026'!$J$2:$J$2719,P$1)</f>
        <v>0</v>
      </c>
      <c r="Q91" s="144">
        <f>SUMIFS('апрель 2026'!$G$2:$G$2719,'апрель 2026'!$D$2:$D$2719,$B91,'апрель 2026'!$J$2:$J$2719,Q$1)</f>
        <v>0</v>
      </c>
      <c r="R91" s="144">
        <f>SUMIFS('апрель 2026'!$G$2:$G$2719,'апрель 2026'!$D$2:$D$2719,$B91,'апрель 2026'!$J$2:$J$2719,R$1)</f>
        <v>0</v>
      </c>
      <c r="S91" s="144">
        <f>SUMIFS('апрель 2026'!$G$2:$G$2719,'апрель 2026'!$D$2:$D$2719,$B91,'апрель 2026'!$J$2:$J$2719,S$1)</f>
        <v>0</v>
      </c>
      <c r="T91" s="144">
        <f>SUMIFS('апрель 2026'!$G$2:$G$2719,'апрель 2026'!$D$2:$D$2719,$B91,'апрель 2026'!$J$2:$J$2719,T$1)</f>
        <v>0</v>
      </c>
      <c r="U91" s="144">
        <f>SUMIFS('апрель 2026'!$G$2:$G$2719,'апрель 2026'!$D$2:$D$2719,$B91,'апрель 2026'!$J$2:$J$2719,U$1)</f>
        <v>0</v>
      </c>
      <c r="V91" s="144">
        <f>SUMIFS('апрель 2026'!$G$2:$G$2719,'апрель 2026'!$D$2:$D$2719,$B91,'апрель 2026'!$J$2:$J$2719,V$1)</f>
        <v>0</v>
      </c>
      <c r="W91" s="144">
        <f>SUMIFS('апрель 2026'!$G$2:$G$2719,'апрель 2026'!$D$2:$D$2719,$B91,'апрель 2026'!$J$2:$J$2719,W$1)</f>
        <v>0</v>
      </c>
      <c r="X91" s="144">
        <f>SUMIFS('апрель 2026'!$G$2:$G$2719,'апрель 2026'!$D$2:$D$2719,$B91,'апрель 2026'!$J$2:$J$2719,X$1)</f>
        <v>0</v>
      </c>
      <c r="Y91" s="144">
        <f>SUMIFS('апрель 2026'!$G$2:$G$2719,'апрель 2026'!$D$2:$D$2719,$B91,'апрель 2026'!$J$2:$J$2719,Y$1)</f>
        <v>0</v>
      </c>
      <c r="Z91" s="144">
        <f>SUMIFS('апрель 2026'!$G$2:$G$2719,'апрель 2026'!$D$2:$D$2719,$B91,'апрель 2026'!$J$2:$J$2719,Z$1)</f>
        <v>0</v>
      </c>
      <c r="AA91" s="144">
        <f>SUMIFS('апрель 2026'!$G$2:$G$2719,'апрель 2026'!$D$2:$D$2719,$B91,'апрель 2026'!$J$2:$J$2719,AA$1)</f>
        <v>0</v>
      </c>
      <c r="AB91" s="144">
        <f>SUMIFS('апрель 2026'!$G$2:$G$2719,'апрель 2026'!$D$2:$D$2719,$B91,'апрель 2026'!$J$2:$J$2719,AB$1)</f>
        <v>0</v>
      </c>
      <c r="AC91" s="144">
        <f>SUMIFS('апрель 2026'!$G$2:$G$2719,'апрель 2026'!$D$2:$D$2719,$B91,'апрель 2026'!$J$2:$J$2719,AC$1)</f>
        <v>0</v>
      </c>
      <c r="AD91" s="144">
        <f>SUMIFS('апрель 2026'!$G$2:$G$2719,'апрель 2026'!$D$2:$D$2719,$B91,'апрель 2026'!$J$2:$J$2719,AD$1)</f>
        <v>0</v>
      </c>
      <c r="AE91" s="144">
        <f>SUMIFS('апрель 2026'!$G$2:$G$2719,'апрель 2026'!$D$2:$D$2719,$B91,'апрель 2026'!$J$2:$J$2719,AE$1)</f>
        <v>0</v>
      </c>
      <c r="AF91" s="144">
        <f>SUMIFS('апрель 2026'!$G$2:$G$2719,'апрель 2026'!$D$2:$D$2719,$B91,'апрель 2026'!$J$2:$J$2719,AF$1)</f>
        <v>0</v>
      </c>
      <c r="AG91" s="144">
        <f>SUMIFS('апрель 2026'!$G$2:$G$2719,'апрель 2026'!$D$2:$D$2719,$B91,'апрель 2026'!$J$2:$J$2719,AG$1)</f>
        <v>0</v>
      </c>
      <c r="AH91" s="144">
        <f>SUMIFS('апрель 2026'!$G$2:$G$2719,'апрель 2026'!$D$2:$D$2719,$B91,'апрель 2026'!$J$2:$J$2719,AH$1)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SUMIFS('апрель 2026'!$G$2:$G$2719,'апрель 2026'!$D$2:$D$2719,$B92,'апрель 2026'!$J$2:$J$2719,D$1)</f>
        <v>0</v>
      </c>
      <c r="E92" s="144">
        <f>SUMIFS('апрель 2026'!$G$2:$G$2719,'апрель 2026'!$D$2:$D$2719,$B92,'апрель 2026'!$J$2:$J$2719,E$1)</f>
        <v>0</v>
      </c>
      <c r="F92" s="144">
        <f>SUMIFS('апрель 2026'!$G$2:$G$2719,'апрель 2026'!$D$2:$D$2719,$B92,'апрель 2026'!$J$2:$J$2719,F$1)</f>
        <v>0</v>
      </c>
      <c r="G92" s="144">
        <f>SUMIFS('апрель 2026'!$G$2:$G$2719,'апрель 2026'!$D$2:$D$2719,$B92,'апрель 2026'!$J$2:$J$2719,G$1)</f>
        <v>0</v>
      </c>
      <c r="H92" s="144">
        <f>SUMIFS('апрель 2026'!$G$2:$G$2719,'апрель 2026'!$D$2:$D$2719,$B92,'апрель 2026'!$J$2:$J$2719,H$1)</f>
        <v>0</v>
      </c>
      <c r="I92" s="144">
        <f>SUMIFS('апрель 2026'!$G$2:$G$2719,'апрель 2026'!$D$2:$D$2719,$B92,'апрель 2026'!$J$2:$J$2719,I$1)</f>
        <v>0</v>
      </c>
      <c r="J92" s="144">
        <f>SUMIFS('апрель 2026'!$G$2:$G$2719,'апрель 2026'!$D$2:$D$2719,$B92,'апрель 2026'!$J$2:$J$2719,J$1)</f>
        <v>0</v>
      </c>
      <c r="K92" s="144">
        <f>SUMIFS('апрель 2026'!$G$2:$G$2719,'апрель 2026'!$D$2:$D$2719,$B92,'апрель 2026'!$J$2:$J$2719,K$1)</f>
        <v>0</v>
      </c>
      <c r="L92" s="144">
        <f>SUMIFS('апрель 2026'!$G$2:$G$2719,'апрель 2026'!$D$2:$D$2719,$B92,'апрель 2026'!$J$2:$J$2719,L$1)</f>
        <v>0</v>
      </c>
      <c r="M92" s="144">
        <f>SUMIFS('апрель 2026'!$G$2:$G$2719,'апрель 2026'!$D$2:$D$2719,$B92,'апрель 2026'!$J$2:$J$2719,M$1)</f>
        <v>0</v>
      </c>
      <c r="N92" s="144">
        <f>SUMIFS('апрель 2026'!$G$2:$G$2719,'апрель 2026'!$D$2:$D$2719,$B92,'апрель 2026'!$J$2:$J$2719,N$1)</f>
        <v>0</v>
      </c>
      <c r="O92" s="144">
        <f>SUMIFS('апрель 2026'!$G$2:$G$2719,'апрель 2026'!$D$2:$D$2719,$B92,'апрель 2026'!$J$2:$J$2719,O$1)</f>
        <v>0</v>
      </c>
      <c r="P92" s="144">
        <f>SUMIFS('апрель 2026'!$G$2:$G$2719,'апрель 2026'!$D$2:$D$2719,$B92,'апрель 2026'!$J$2:$J$2719,P$1)</f>
        <v>0</v>
      </c>
      <c r="Q92" s="144">
        <f>SUMIFS('апрель 2026'!$G$2:$G$2719,'апрель 2026'!$D$2:$D$2719,$B92,'апрель 2026'!$J$2:$J$2719,Q$1)</f>
        <v>0</v>
      </c>
      <c r="R92" s="144">
        <f>SUMIFS('апрель 2026'!$G$2:$G$2719,'апрель 2026'!$D$2:$D$2719,$B92,'апрель 2026'!$J$2:$J$2719,R$1)</f>
        <v>0</v>
      </c>
      <c r="S92" s="144">
        <f>SUMIFS('апрель 2026'!$G$2:$G$2719,'апрель 2026'!$D$2:$D$2719,$B92,'апрель 2026'!$J$2:$J$2719,S$1)</f>
        <v>0</v>
      </c>
      <c r="T92" s="144">
        <f>SUMIFS('апрель 2026'!$G$2:$G$2719,'апрель 2026'!$D$2:$D$2719,$B92,'апрель 2026'!$J$2:$J$2719,T$1)</f>
        <v>0</v>
      </c>
      <c r="U92" s="144">
        <f>SUMIFS('апрель 2026'!$G$2:$G$2719,'апрель 2026'!$D$2:$D$2719,$B92,'апрель 2026'!$J$2:$J$2719,U$1)</f>
        <v>0</v>
      </c>
      <c r="V92" s="144">
        <f>SUMIFS('апрель 2026'!$G$2:$G$2719,'апрель 2026'!$D$2:$D$2719,$B92,'апрель 2026'!$J$2:$J$2719,V$1)</f>
        <v>0</v>
      </c>
      <c r="W92" s="144">
        <f>SUMIFS('апрель 2026'!$G$2:$G$2719,'апрель 2026'!$D$2:$D$2719,$B92,'апрель 2026'!$J$2:$J$2719,W$1)</f>
        <v>0</v>
      </c>
      <c r="X92" s="144">
        <f>SUMIFS('апрель 2026'!$G$2:$G$2719,'апрель 2026'!$D$2:$D$2719,$B92,'апрель 2026'!$J$2:$J$2719,X$1)</f>
        <v>0</v>
      </c>
      <c r="Y92" s="144">
        <f>SUMIFS('апрель 2026'!$G$2:$G$2719,'апрель 2026'!$D$2:$D$2719,$B92,'апрель 2026'!$J$2:$J$2719,Y$1)</f>
        <v>0</v>
      </c>
      <c r="Z92" s="144">
        <f>SUMIFS('апрель 2026'!$G$2:$G$2719,'апрель 2026'!$D$2:$D$2719,$B92,'апрель 2026'!$J$2:$J$2719,Z$1)</f>
        <v>0</v>
      </c>
      <c r="AA92" s="144">
        <f>SUMIFS('апрель 2026'!$G$2:$G$2719,'апрель 2026'!$D$2:$D$2719,$B92,'апрель 2026'!$J$2:$J$2719,AA$1)</f>
        <v>0</v>
      </c>
      <c r="AB92" s="144">
        <f>SUMIFS('апрель 2026'!$G$2:$G$2719,'апрель 2026'!$D$2:$D$2719,$B92,'апрель 2026'!$J$2:$J$2719,AB$1)</f>
        <v>0</v>
      </c>
      <c r="AC92" s="144">
        <f>SUMIFS('апрель 2026'!$G$2:$G$2719,'апрель 2026'!$D$2:$D$2719,$B92,'апрель 2026'!$J$2:$J$2719,AC$1)</f>
        <v>0</v>
      </c>
      <c r="AD92" s="144">
        <f>SUMIFS('апрель 2026'!$G$2:$G$2719,'апрель 2026'!$D$2:$D$2719,$B92,'апрель 2026'!$J$2:$J$2719,AD$1)</f>
        <v>0</v>
      </c>
      <c r="AE92" s="144">
        <f>SUMIFS('апрель 2026'!$G$2:$G$2719,'апрель 2026'!$D$2:$D$2719,$B92,'апрель 2026'!$J$2:$J$2719,AE$1)</f>
        <v>0</v>
      </c>
      <c r="AF92" s="144">
        <f>SUMIFS('апрель 2026'!$G$2:$G$2719,'апрель 2026'!$D$2:$D$2719,$B92,'апрель 2026'!$J$2:$J$2719,AF$1)</f>
        <v>0</v>
      </c>
      <c r="AG92" s="144">
        <f>SUMIFS('апрель 2026'!$G$2:$G$2719,'апрель 2026'!$D$2:$D$2719,$B92,'апрель 2026'!$J$2:$J$2719,AG$1)</f>
        <v>0</v>
      </c>
      <c r="AH92" s="144">
        <f>SUMIFS('апрель 2026'!$G$2:$G$2719,'апрель 2026'!$D$2:$D$2719,$B92,'апрель 2026'!$J$2:$J$2719,AH$1)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SUMIFS('апрель 2026'!$G$2:$G$2719,'апрель 2026'!$D$2:$D$2719,$B93,'апрель 2026'!$J$2:$J$2719,D$1)</f>
        <v>0</v>
      </c>
      <c r="E93" s="144">
        <f>SUMIFS('апрель 2026'!$G$2:$G$2719,'апрель 2026'!$D$2:$D$2719,$B93,'апрель 2026'!$J$2:$J$2719,E$1)</f>
        <v>0</v>
      </c>
      <c r="F93" s="144">
        <f>SUMIFS('апрель 2026'!$G$2:$G$2719,'апрель 2026'!$D$2:$D$2719,$B93,'апрель 2026'!$J$2:$J$2719,F$1)</f>
        <v>0</v>
      </c>
      <c r="G93" s="144">
        <f>SUMIFS('апрель 2026'!$G$2:$G$2719,'апрель 2026'!$D$2:$D$2719,$B93,'апрель 2026'!$J$2:$J$2719,G$1)</f>
        <v>0</v>
      </c>
      <c r="H93" s="144">
        <f>SUMIFS('апрель 2026'!$G$2:$G$2719,'апрель 2026'!$D$2:$D$2719,$B93,'апрель 2026'!$J$2:$J$2719,H$1)</f>
        <v>0</v>
      </c>
      <c r="I93" s="144">
        <f>SUMIFS('апрель 2026'!$G$2:$G$2719,'апрель 2026'!$D$2:$D$2719,$B93,'апрель 2026'!$J$2:$J$2719,I$1)</f>
        <v>0</v>
      </c>
      <c r="J93" s="144">
        <f>SUMIFS('апрель 2026'!$G$2:$G$2719,'апрель 2026'!$D$2:$D$2719,$B93,'апрель 2026'!$J$2:$J$2719,J$1)</f>
        <v>0</v>
      </c>
      <c r="K93" s="144">
        <f>SUMIFS('апрель 2026'!$G$2:$G$2719,'апрель 2026'!$D$2:$D$2719,$B93,'апрель 2026'!$J$2:$J$2719,K$1)</f>
        <v>0</v>
      </c>
      <c r="L93" s="144">
        <f>SUMIFS('апрель 2026'!$G$2:$G$2719,'апрель 2026'!$D$2:$D$2719,$B93,'апрель 2026'!$J$2:$J$2719,L$1)</f>
        <v>0</v>
      </c>
      <c r="M93" s="144">
        <f>SUMIFS('апрель 2026'!$G$2:$G$2719,'апрель 2026'!$D$2:$D$2719,$B93,'апрель 2026'!$J$2:$J$2719,M$1)</f>
        <v>0</v>
      </c>
      <c r="N93" s="144">
        <f>SUMIFS('апрель 2026'!$G$2:$G$2719,'апрель 2026'!$D$2:$D$2719,$B93,'апрель 2026'!$J$2:$J$2719,N$1)</f>
        <v>0</v>
      </c>
      <c r="O93" s="144">
        <f>SUMIFS('апрель 2026'!$G$2:$G$2719,'апрель 2026'!$D$2:$D$2719,$B93,'апрель 2026'!$J$2:$J$2719,O$1)</f>
        <v>0</v>
      </c>
      <c r="P93" s="144">
        <f>SUMIFS('апрель 2026'!$G$2:$G$2719,'апрель 2026'!$D$2:$D$2719,$B93,'апрель 2026'!$J$2:$J$2719,P$1)</f>
        <v>0</v>
      </c>
      <c r="Q93" s="144">
        <f>SUMIFS('апрель 2026'!$G$2:$G$2719,'апрель 2026'!$D$2:$D$2719,$B93,'апрель 2026'!$J$2:$J$2719,Q$1)</f>
        <v>0</v>
      </c>
      <c r="R93" s="144">
        <f>SUMIFS('апрель 2026'!$G$2:$G$2719,'апрель 2026'!$D$2:$D$2719,$B93,'апрель 2026'!$J$2:$J$2719,R$1)</f>
        <v>0</v>
      </c>
      <c r="S93" s="144">
        <f>SUMIFS('апрель 2026'!$G$2:$G$2719,'апрель 2026'!$D$2:$D$2719,$B93,'апрель 2026'!$J$2:$J$2719,S$1)</f>
        <v>0</v>
      </c>
      <c r="T93" s="144">
        <f>SUMIFS('апрель 2026'!$G$2:$G$2719,'апрель 2026'!$D$2:$D$2719,$B93,'апрель 2026'!$J$2:$J$2719,T$1)</f>
        <v>0</v>
      </c>
      <c r="U93" s="144">
        <f>SUMIFS('апрель 2026'!$G$2:$G$2719,'апрель 2026'!$D$2:$D$2719,$B93,'апрель 2026'!$J$2:$J$2719,U$1)</f>
        <v>0</v>
      </c>
      <c r="V93" s="144">
        <f>SUMIFS('апрель 2026'!$G$2:$G$2719,'апрель 2026'!$D$2:$D$2719,$B93,'апрель 2026'!$J$2:$J$2719,V$1)</f>
        <v>0</v>
      </c>
      <c r="W93" s="144">
        <f>SUMIFS('апрель 2026'!$G$2:$G$2719,'апрель 2026'!$D$2:$D$2719,$B93,'апрель 2026'!$J$2:$J$2719,W$1)</f>
        <v>0</v>
      </c>
      <c r="X93" s="144">
        <f>SUMIFS('апрель 2026'!$G$2:$G$2719,'апрель 2026'!$D$2:$D$2719,$B93,'апрель 2026'!$J$2:$J$2719,X$1)</f>
        <v>0</v>
      </c>
      <c r="Y93" s="144">
        <f>SUMIFS('апрель 2026'!$G$2:$G$2719,'апрель 2026'!$D$2:$D$2719,$B93,'апрель 2026'!$J$2:$J$2719,Y$1)</f>
        <v>0</v>
      </c>
      <c r="Z93" s="144">
        <f>SUMIFS('апрель 2026'!$G$2:$G$2719,'апрель 2026'!$D$2:$D$2719,$B93,'апрель 2026'!$J$2:$J$2719,Z$1)</f>
        <v>0</v>
      </c>
      <c r="AA93" s="144">
        <f>SUMIFS('апрель 2026'!$G$2:$G$2719,'апрель 2026'!$D$2:$D$2719,$B93,'апрель 2026'!$J$2:$J$2719,AA$1)</f>
        <v>0</v>
      </c>
      <c r="AB93" s="144">
        <f>SUMIFS('апрель 2026'!$G$2:$G$2719,'апрель 2026'!$D$2:$D$2719,$B93,'апрель 2026'!$J$2:$J$2719,AB$1)</f>
        <v>0</v>
      </c>
      <c r="AC93" s="144">
        <f>SUMIFS('апрель 2026'!$G$2:$G$2719,'апрель 2026'!$D$2:$D$2719,$B93,'апрель 2026'!$J$2:$J$2719,AC$1)</f>
        <v>0</v>
      </c>
      <c r="AD93" s="144">
        <f>SUMIFS('апрель 2026'!$G$2:$G$2719,'апрель 2026'!$D$2:$D$2719,$B93,'апрель 2026'!$J$2:$J$2719,AD$1)</f>
        <v>0</v>
      </c>
      <c r="AE93" s="144">
        <f>SUMIFS('апрель 2026'!$G$2:$G$2719,'апрель 2026'!$D$2:$D$2719,$B93,'апрель 2026'!$J$2:$J$2719,AE$1)</f>
        <v>0</v>
      </c>
      <c r="AF93" s="144">
        <f>SUMIFS('апрель 2026'!$G$2:$G$2719,'апрель 2026'!$D$2:$D$2719,$B93,'апрель 2026'!$J$2:$J$2719,AF$1)</f>
        <v>0</v>
      </c>
      <c r="AG93" s="144">
        <f>SUMIFS('апрель 2026'!$G$2:$G$2719,'апрель 2026'!$D$2:$D$2719,$B93,'апрель 2026'!$J$2:$J$2719,AG$1)</f>
        <v>0</v>
      </c>
      <c r="AH93" s="144">
        <f>SUMIFS('апрель 2026'!$G$2:$G$2719,'апрель 2026'!$D$2:$D$2719,$B93,'апрель 2026'!$J$2:$J$2719,AH$1)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SUMIFS('апрель 2026'!$G$2:$G$2719,'апрель 2026'!$D$2:$D$2719,$B94,'апрель 2026'!$J$2:$J$2719,D$1)</f>
        <v>0</v>
      </c>
      <c r="E94" s="144">
        <f>SUMIFS('апрель 2026'!$G$2:$G$2719,'апрель 2026'!$D$2:$D$2719,$B94,'апрель 2026'!$J$2:$J$2719,E$1)</f>
        <v>0</v>
      </c>
      <c r="F94" s="144">
        <f>SUMIFS('апрель 2026'!$G$2:$G$2719,'апрель 2026'!$D$2:$D$2719,$B94,'апрель 2026'!$J$2:$J$2719,F$1)</f>
        <v>0</v>
      </c>
      <c r="G94" s="144">
        <f>SUMIFS('апрель 2026'!$G$2:$G$2719,'апрель 2026'!$D$2:$D$2719,$B94,'апрель 2026'!$J$2:$J$2719,G$1)</f>
        <v>0</v>
      </c>
      <c r="H94" s="144">
        <f>SUMIFS('апрель 2026'!$G$2:$G$2719,'апрель 2026'!$D$2:$D$2719,$B94,'апрель 2026'!$J$2:$J$2719,H$1)</f>
        <v>0</v>
      </c>
      <c r="I94" s="144">
        <f>SUMIFS('апрель 2026'!$G$2:$G$2719,'апрель 2026'!$D$2:$D$2719,$B94,'апрель 2026'!$J$2:$J$2719,I$1)</f>
        <v>0</v>
      </c>
      <c r="J94" s="144">
        <f>SUMIFS('апрель 2026'!$G$2:$G$2719,'апрель 2026'!$D$2:$D$2719,$B94,'апрель 2026'!$J$2:$J$2719,J$1)</f>
        <v>0</v>
      </c>
      <c r="K94" s="144">
        <f>SUMIFS('апрель 2026'!$G$2:$G$2719,'апрель 2026'!$D$2:$D$2719,$B94,'апрель 2026'!$J$2:$J$2719,K$1)</f>
        <v>0</v>
      </c>
      <c r="L94" s="144">
        <f>SUMIFS('апрель 2026'!$G$2:$G$2719,'апрель 2026'!$D$2:$D$2719,$B94,'апрель 2026'!$J$2:$J$2719,L$1)</f>
        <v>0</v>
      </c>
      <c r="M94" s="144">
        <f>SUMIFS('апрель 2026'!$G$2:$G$2719,'апрель 2026'!$D$2:$D$2719,$B94,'апрель 2026'!$J$2:$J$2719,M$1)</f>
        <v>0</v>
      </c>
      <c r="N94" s="144">
        <f>SUMIFS('апрель 2026'!$G$2:$G$2719,'апрель 2026'!$D$2:$D$2719,$B94,'апрель 2026'!$J$2:$J$2719,N$1)</f>
        <v>0</v>
      </c>
      <c r="O94" s="144">
        <f>SUMIFS('апрель 2026'!$G$2:$G$2719,'апрель 2026'!$D$2:$D$2719,$B94,'апрель 2026'!$J$2:$J$2719,O$1)</f>
        <v>0</v>
      </c>
      <c r="P94" s="144">
        <f>SUMIFS('апрель 2026'!$G$2:$G$2719,'апрель 2026'!$D$2:$D$2719,$B94,'апрель 2026'!$J$2:$J$2719,P$1)</f>
        <v>0</v>
      </c>
      <c r="Q94" s="144">
        <f>SUMIFS('апрель 2026'!$G$2:$G$2719,'апрель 2026'!$D$2:$D$2719,$B94,'апрель 2026'!$J$2:$J$2719,Q$1)</f>
        <v>0</v>
      </c>
      <c r="R94" s="144">
        <f>SUMIFS('апрель 2026'!$G$2:$G$2719,'апрель 2026'!$D$2:$D$2719,$B94,'апрель 2026'!$J$2:$J$2719,R$1)</f>
        <v>0</v>
      </c>
      <c r="S94" s="144">
        <f>SUMIFS('апрель 2026'!$G$2:$G$2719,'апрель 2026'!$D$2:$D$2719,$B94,'апрель 2026'!$J$2:$J$2719,S$1)</f>
        <v>0</v>
      </c>
      <c r="T94" s="144">
        <f>SUMIFS('апрель 2026'!$G$2:$G$2719,'апрель 2026'!$D$2:$D$2719,$B94,'апрель 2026'!$J$2:$J$2719,T$1)</f>
        <v>0</v>
      </c>
      <c r="U94" s="144">
        <f>SUMIFS('апрель 2026'!$G$2:$G$2719,'апрель 2026'!$D$2:$D$2719,$B94,'апрель 2026'!$J$2:$J$2719,U$1)</f>
        <v>0</v>
      </c>
      <c r="V94" s="144">
        <f>SUMIFS('апрель 2026'!$G$2:$G$2719,'апрель 2026'!$D$2:$D$2719,$B94,'апрель 2026'!$J$2:$J$2719,V$1)</f>
        <v>0</v>
      </c>
      <c r="W94" s="144">
        <f>SUMIFS('апрель 2026'!$G$2:$G$2719,'апрель 2026'!$D$2:$D$2719,$B94,'апрель 2026'!$J$2:$J$2719,W$1)</f>
        <v>0</v>
      </c>
      <c r="X94" s="144">
        <f>SUMIFS('апрель 2026'!$G$2:$G$2719,'апрель 2026'!$D$2:$D$2719,$B94,'апрель 2026'!$J$2:$J$2719,X$1)</f>
        <v>0</v>
      </c>
      <c r="Y94" s="144">
        <f>SUMIFS('апрель 2026'!$G$2:$G$2719,'апрель 2026'!$D$2:$D$2719,$B94,'апрель 2026'!$J$2:$J$2719,Y$1)</f>
        <v>0</v>
      </c>
      <c r="Z94" s="144">
        <f>SUMIFS('апрель 2026'!$G$2:$G$2719,'апрель 2026'!$D$2:$D$2719,$B94,'апрель 2026'!$J$2:$J$2719,Z$1)</f>
        <v>0</v>
      </c>
      <c r="AA94" s="144">
        <f>SUMIFS('апрель 2026'!$G$2:$G$2719,'апрель 2026'!$D$2:$D$2719,$B94,'апрель 2026'!$J$2:$J$2719,AA$1)</f>
        <v>0</v>
      </c>
      <c r="AB94" s="144">
        <f>SUMIFS('апрель 2026'!$G$2:$G$2719,'апрель 2026'!$D$2:$D$2719,$B94,'апрель 2026'!$J$2:$J$2719,AB$1)</f>
        <v>0</v>
      </c>
      <c r="AC94" s="144">
        <f>SUMIFS('апрель 2026'!$G$2:$G$2719,'апрель 2026'!$D$2:$D$2719,$B94,'апрель 2026'!$J$2:$J$2719,AC$1)</f>
        <v>0</v>
      </c>
      <c r="AD94" s="144">
        <f>SUMIFS('апрель 2026'!$G$2:$G$2719,'апрель 2026'!$D$2:$D$2719,$B94,'апрель 2026'!$J$2:$J$2719,AD$1)</f>
        <v>0</v>
      </c>
      <c r="AE94" s="144">
        <f>SUMIFS('апрель 2026'!$G$2:$G$2719,'апрель 2026'!$D$2:$D$2719,$B94,'апрель 2026'!$J$2:$J$2719,AE$1)</f>
        <v>0</v>
      </c>
      <c r="AF94" s="144">
        <f>SUMIFS('апрель 2026'!$G$2:$G$2719,'апрель 2026'!$D$2:$D$2719,$B94,'апрель 2026'!$J$2:$J$2719,AF$1)</f>
        <v>0</v>
      </c>
      <c r="AG94" s="144">
        <f>SUMIFS('апрель 2026'!$G$2:$G$2719,'апрель 2026'!$D$2:$D$2719,$B94,'апрель 2026'!$J$2:$J$2719,AG$1)</f>
        <v>0</v>
      </c>
      <c r="AH94" s="144">
        <f>SUMIFS('апрель 2026'!$G$2:$G$2719,'апрель 2026'!$D$2:$D$2719,$B94,'апрель 2026'!$J$2:$J$2719,AH$1)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SUMIFS('апрель 2026'!$G$2:$G$2719,'апрель 2026'!$D$2:$D$2719,$B95,'апрель 2026'!$J$2:$J$2719,D$1)</f>
        <v>0</v>
      </c>
      <c r="E95" s="144">
        <f>SUMIFS('апрель 2026'!$G$2:$G$2719,'апрель 2026'!$D$2:$D$2719,$B95,'апрель 2026'!$J$2:$J$2719,E$1)</f>
        <v>0</v>
      </c>
      <c r="F95" s="144">
        <f>SUMIFS('апрель 2026'!$G$2:$G$2719,'апрель 2026'!$D$2:$D$2719,$B95,'апрель 2026'!$J$2:$J$2719,F$1)</f>
        <v>0</v>
      </c>
      <c r="G95" s="144">
        <f>SUMIFS('апрель 2026'!$G$2:$G$2719,'апрель 2026'!$D$2:$D$2719,$B95,'апрель 2026'!$J$2:$J$2719,G$1)</f>
        <v>0</v>
      </c>
      <c r="H95" s="144">
        <f>SUMIFS('апрель 2026'!$G$2:$G$2719,'апрель 2026'!$D$2:$D$2719,$B95,'апрель 2026'!$J$2:$J$2719,H$1)</f>
        <v>0</v>
      </c>
      <c r="I95" s="144">
        <f>SUMIFS('апрель 2026'!$G$2:$G$2719,'апрель 2026'!$D$2:$D$2719,$B95,'апрель 2026'!$J$2:$J$2719,I$1)</f>
        <v>0</v>
      </c>
      <c r="J95" s="144">
        <f>SUMIFS('апрель 2026'!$G$2:$G$2719,'апрель 2026'!$D$2:$D$2719,$B95,'апрель 2026'!$J$2:$J$2719,J$1)</f>
        <v>0</v>
      </c>
      <c r="K95" s="144">
        <f>SUMIFS('апрель 2026'!$G$2:$G$2719,'апрель 2026'!$D$2:$D$2719,$B95,'апрель 2026'!$J$2:$J$2719,K$1)</f>
        <v>0</v>
      </c>
      <c r="L95" s="144">
        <f>SUMIFS('апрель 2026'!$G$2:$G$2719,'апрель 2026'!$D$2:$D$2719,$B95,'апрель 2026'!$J$2:$J$2719,L$1)</f>
        <v>0</v>
      </c>
      <c r="M95" s="144">
        <f>SUMIFS('апрель 2026'!$G$2:$G$2719,'апрель 2026'!$D$2:$D$2719,$B95,'апрель 2026'!$J$2:$J$2719,M$1)</f>
        <v>0</v>
      </c>
      <c r="N95" s="144">
        <f>SUMIFS('апрель 2026'!$G$2:$G$2719,'апрель 2026'!$D$2:$D$2719,$B95,'апрель 2026'!$J$2:$J$2719,N$1)</f>
        <v>0</v>
      </c>
      <c r="O95" s="144">
        <f>SUMIFS('апрель 2026'!$G$2:$G$2719,'апрель 2026'!$D$2:$D$2719,$B95,'апрель 2026'!$J$2:$J$2719,O$1)</f>
        <v>0</v>
      </c>
      <c r="P95" s="144">
        <f>SUMIFS('апрель 2026'!$G$2:$G$2719,'апрель 2026'!$D$2:$D$2719,$B95,'апрель 2026'!$J$2:$J$2719,P$1)</f>
        <v>0</v>
      </c>
      <c r="Q95" s="144">
        <f>SUMIFS('апрель 2026'!$G$2:$G$2719,'апрель 2026'!$D$2:$D$2719,$B95,'апрель 2026'!$J$2:$J$2719,Q$1)</f>
        <v>0</v>
      </c>
      <c r="R95" s="144">
        <f>SUMIFS('апрель 2026'!$G$2:$G$2719,'апрель 2026'!$D$2:$D$2719,$B95,'апрель 2026'!$J$2:$J$2719,R$1)</f>
        <v>0</v>
      </c>
      <c r="S95" s="144">
        <f>SUMIFS('апрель 2026'!$G$2:$G$2719,'апрель 2026'!$D$2:$D$2719,$B95,'апрель 2026'!$J$2:$J$2719,S$1)</f>
        <v>0</v>
      </c>
      <c r="T95" s="144">
        <f>SUMIFS('апрель 2026'!$G$2:$G$2719,'апрель 2026'!$D$2:$D$2719,$B95,'апрель 2026'!$J$2:$J$2719,T$1)</f>
        <v>0</v>
      </c>
      <c r="U95" s="144">
        <f>SUMIFS('апрель 2026'!$G$2:$G$2719,'апрель 2026'!$D$2:$D$2719,$B95,'апрель 2026'!$J$2:$J$2719,U$1)</f>
        <v>0</v>
      </c>
      <c r="V95" s="144">
        <f>SUMIFS('апрель 2026'!$G$2:$G$2719,'апрель 2026'!$D$2:$D$2719,$B95,'апрель 2026'!$J$2:$J$2719,V$1)</f>
        <v>0</v>
      </c>
      <c r="W95" s="144">
        <f>SUMIFS('апрель 2026'!$G$2:$G$2719,'апрель 2026'!$D$2:$D$2719,$B95,'апрель 2026'!$J$2:$J$2719,W$1)</f>
        <v>0</v>
      </c>
      <c r="X95" s="144">
        <f>SUMIFS('апрель 2026'!$G$2:$G$2719,'апрель 2026'!$D$2:$D$2719,$B95,'апрель 2026'!$J$2:$J$2719,X$1)</f>
        <v>0</v>
      </c>
      <c r="Y95" s="144">
        <f>SUMIFS('апрель 2026'!$G$2:$G$2719,'апрель 2026'!$D$2:$D$2719,$B95,'апрель 2026'!$J$2:$J$2719,Y$1)</f>
        <v>0</v>
      </c>
      <c r="Z95" s="144">
        <f>SUMIFS('апрель 2026'!$G$2:$G$2719,'апрель 2026'!$D$2:$D$2719,$B95,'апрель 2026'!$J$2:$J$2719,Z$1)</f>
        <v>0</v>
      </c>
      <c r="AA95" s="144">
        <f>SUMIFS('апрель 2026'!$G$2:$G$2719,'апрель 2026'!$D$2:$D$2719,$B95,'апрель 2026'!$J$2:$J$2719,AA$1)</f>
        <v>0</v>
      </c>
      <c r="AB95" s="144">
        <f>SUMIFS('апрель 2026'!$G$2:$G$2719,'апрель 2026'!$D$2:$D$2719,$B95,'апрель 2026'!$J$2:$J$2719,AB$1)</f>
        <v>0</v>
      </c>
      <c r="AC95" s="144">
        <f>SUMIFS('апрель 2026'!$G$2:$G$2719,'апрель 2026'!$D$2:$D$2719,$B95,'апрель 2026'!$J$2:$J$2719,AC$1)</f>
        <v>0</v>
      </c>
      <c r="AD95" s="144">
        <f>SUMIFS('апрель 2026'!$G$2:$G$2719,'апрель 2026'!$D$2:$D$2719,$B95,'апрель 2026'!$J$2:$J$2719,AD$1)</f>
        <v>0</v>
      </c>
      <c r="AE95" s="144">
        <f>SUMIFS('апрель 2026'!$G$2:$G$2719,'апрель 2026'!$D$2:$D$2719,$B95,'апрель 2026'!$J$2:$J$2719,AE$1)</f>
        <v>0</v>
      </c>
      <c r="AF95" s="144">
        <f>SUMIFS('апрель 2026'!$G$2:$G$2719,'апрель 2026'!$D$2:$D$2719,$B95,'апрель 2026'!$J$2:$J$2719,AF$1)</f>
        <v>0</v>
      </c>
      <c r="AG95" s="144">
        <f>SUMIFS('апрель 2026'!$G$2:$G$2719,'апрель 2026'!$D$2:$D$2719,$B95,'апрель 2026'!$J$2:$J$2719,AG$1)</f>
        <v>0</v>
      </c>
      <c r="AH95" s="144">
        <f>SUMIFS('апрель 2026'!$G$2:$G$2719,'апрель 2026'!$D$2:$D$2719,$B95,'апрель 2026'!$J$2:$J$2719,AH$1)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SUMIFS('апрель 2026'!$G$2:$G$2719,'апрель 2026'!$D$2:$D$2719,$B96,'апрель 2026'!$J$2:$J$2719,D$1)</f>
        <v>0</v>
      </c>
      <c r="E96" s="144">
        <f>SUMIFS('апрель 2026'!$G$2:$G$2719,'апрель 2026'!$D$2:$D$2719,$B96,'апрель 2026'!$J$2:$J$2719,E$1)</f>
        <v>0</v>
      </c>
      <c r="F96" s="144">
        <f>SUMIFS('апрель 2026'!$G$2:$G$2719,'апрель 2026'!$D$2:$D$2719,$B96,'апрель 2026'!$J$2:$J$2719,F$1)</f>
        <v>0</v>
      </c>
      <c r="G96" s="144">
        <f>SUMIFS('апрель 2026'!$G$2:$G$2719,'апрель 2026'!$D$2:$D$2719,$B96,'апрель 2026'!$J$2:$J$2719,G$1)</f>
        <v>0</v>
      </c>
      <c r="H96" s="144">
        <f>SUMIFS('апрель 2026'!$G$2:$G$2719,'апрель 2026'!$D$2:$D$2719,$B96,'апрель 2026'!$J$2:$J$2719,H$1)</f>
        <v>0</v>
      </c>
      <c r="I96" s="144">
        <f>SUMIFS('апрель 2026'!$G$2:$G$2719,'апрель 2026'!$D$2:$D$2719,$B96,'апрель 2026'!$J$2:$J$2719,I$1)</f>
        <v>0</v>
      </c>
      <c r="J96" s="144">
        <f>SUMIFS('апрель 2026'!$G$2:$G$2719,'апрель 2026'!$D$2:$D$2719,$B96,'апрель 2026'!$J$2:$J$2719,J$1)</f>
        <v>0</v>
      </c>
      <c r="K96" s="144">
        <f>SUMIFS('апрель 2026'!$G$2:$G$2719,'апрель 2026'!$D$2:$D$2719,$B96,'апрель 2026'!$J$2:$J$2719,K$1)</f>
        <v>0</v>
      </c>
      <c r="L96" s="144">
        <f>SUMIFS('апрель 2026'!$G$2:$G$2719,'апрель 2026'!$D$2:$D$2719,$B96,'апрель 2026'!$J$2:$J$2719,L$1)</f>
        <v>0</v>
      </c>
      <c r="M96" s="144">
        <f>SUMIFS('апрель 2026'!$G$2:$G$2719,'апрель 2026'!$D$2:$D$2719,$B96,'апрель 2026'!$J$2:$J$2719,M$1)</f>
        <v>0</v>
      </c>
      <c r="N96" s="144">
        <f>SUMIFS('апрель 2026'!$G$2:$G$2719,'апрель 2026'!$D$2:$D$2719,$B96,'апрель 2026'!$J$2:$J$2719,N$1)</f>
        <v>0</v>
      </c>
      <c r="O96" s="144">
        <f>SUMIFS('апрель 2026'!$G$2:$G$2719,'апрель 2026'!$D$2:$D$2719,$B96,'апрель 2026'!$J$2:$J$2719,O$1)</f>
        <v>0</v>
      </c>
      <c r="P96" s="144">
        <f>SUMIFS('апрель 2026'!$G$2:$G$2719,'апрель 2026'!$D$2:$D$2719,$B96,'апрель 2026'!$J$2:$J$2719,P$1)</f>
        <v>0</v>
      </c>
      <c r="Q96" s="144">
        <f>SUMIFS('апрель 2026'!$G$2:$G$2719,'апрель 2026'!$D$2:$D$2719,$B96,'апрель 2026'!$J$2:$J$2719,Q$1)</f>
        <v>0</v>
      </c>
      <c r="R96" s="144">
        <f>SUMIFS('апрель 2026'!$G$2:$G$2719,'апрель 2026'!$D$2:$D$2719,$B96,'апрель 2026'!$J$2:$J$2719,R$1)</f>
        <v>0</v>
      </c>
      <c r="S96" s="144">
        <f>SUMIFS('апрель 2026'!$G$2:$G$2719,'апрель 2026'!$D$2:$D$2719,$B96,'апрель 2026'!$J$2:$J$2719,S$1)</f>
        <v>0</v>
      </c>
      <c r="T96" s="144">
        <f>SUMIFS('апрель 2026'!$G$2:$G$2719,'апрель 2026'!$D$2:$D$2719,$B96,'апрель 2026'!$J$2:$J$2719,T$1)</f>
        <v>0</v>
      </c>
      <c r="U96" s="144">
        <f>SUMIFS('апрель 2026'!$G$2:$G$2719,'апрель 2026'!$D$2:$D$2719,$B96,'апрель 2026'!$J$2:$J$2719,U$1)</f>
        <v>0</v>
      </c>
      <c r="V96" s="144">
        <f>SUMIFS('апрель 2026'!$G$2:$G$2719,'апрель 2026'!$D$2:$D$2719,$B96,'апрель 2026'!$J$2:$J$2719,V$1)</f>
        <v>0</v>
      </c>
      <c r="W96" s="144">
        <f>SUMIFS('апрель 2026'!$G$2:$G$2719,'апрель 2026'!$D$2:$D$2719,$B96,'апрель 2026'!$J$2:$J$2719,W$1)</f>
        <v>0</v>
      </c>
      <c r="X96" s="144">
        <f>SUMIFS('апрель 2026'!$G$2:$G$2719,'апрель 2026'!$D$2:$D$2719,$B96,'апрель 2026'!$J$2:$J$2719,X$1)</f>
        <v>0</v>
      </c>
      <c r="Y96" s="144">
        <f>SUMIFS('апрель 2026'!$G$2:$G$2719,'апрель 2026'!$D$2:$D$2719,$B96,'апрель 2026'!$J$2:$J$2719,Y$1)</f>
        <v>0</v>
      </c>
      <c r="Z96" s="144">
        <f>SUMIFS('апрель 2026'!$G$2:$G$2719,'апрель 2026'!$D$2:$D$2719,$B96,'апрель 2026'!$J$2:$J$2719,Z$1)</f>
        <v>0</v>
      </c>
      <c r="AA96" s="144">
        <f>SUMIFS('апрель 2026'!$G$2:$G$2719,'апрель 2026'!$D$2:$D$2719,$B96,'апрель 2026'!$J$2:$J$2719,AA$1)</f>
        <v>0</v>
      </c>
      <c r="AB96" s="144">
        <f>SUMIFS('апрель 2026'!$G$2:$G$2719,'апрель 2026'!$D$2:$D$2719,$B96,'апрель 2026'!$J$2:$J$2719,AB$1)</f>
        <v>0</v>
      </c>
      <c r="AC96" s="144">
        <f>SUMIFS('апрель 2026'!$G$2:$G$2719,'апрель 2026'!$D$2:$D$2719,$B96,'апрель 2026'!$J$2:$J$2719,AC$1)</f>
        <v>0</v>
      </c>
      <c r="AD96" s="144">
        <f>SUMIFS('апрель 2026'!$G$2:$G$2719,'апрель 2026'!$D$2:$D$2719,$B96,'апрель 2026'!$J$2:$J$2719,AD$1)</f>
        <v>0</v>
      </c>
      <c r="AE96" s="144">
        <f>SUMIFS('апрель 2026'!$G$2:$G$2719,'апрель 2026'!$D$2:$D$2719,$B96,'апрель 2026'!$J$2:$J$2719,AE$1)</f>
        <v>0</v>
      </c>
      <c r="AF96" s="144">
        <f>SUMIFS('апрель 2026'!$G$2:$G$2719,'апрель 2026'!$D$2:$D$2719,$B96,'апрель 2026'!$J$2:$J$2719,AF$1)</f>
        <v>0</v>
      </c>
      <c r="AG96" s="144">
        <f>SUMIFS('апрель 2026'!$G$2:$G$2719,'апрель 2026'!$D$2:$D$2719,$B96,'апрель 2026'!$J$2:$J$2719,AG$1)</f>
        <v>0</v>
      </c>
      <c r="AH96" s="144">
        <f>SUMIFS('апрель 2026'!$G$2:$G$2719,'апрель 2026'!$D$2:$D$2719,$B96,'апрель 2026'!$J$2:$J$2719,AH$1)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SUMIFS('апрель 2026'!$G$2:$G$2719,'апрель 2026'!$D$2:$D$2719,$B97,'апрель 2026'!$J$2:$J$2719,D$1)</f>
        <v>0</v>
      </c>
      <c r="E97" s="144">
        <f>SUMIFS('апрель 2026'!$G$2:$G$2719,'апрель 2026'!$D$2:$D$2719,$B97,'апрель 2026'!$J$2:$J$2719,E$1)</f>
        <v>0</v>
      </c>
      <c r="F97" s="144">
        <f>SUMIFS('апрель 2026'!$G$2:$G$2719,'апрель 2026'!$D$2:$D$2719,$B97,'апрель 2026'!$J$2:$J$2719,F$1)</f>
        <v>80</v>
      </c>
      <c r="G97" s="144">
        <f>SUMIFS('апрель 2026'!$G$2:$G$2719,'апрель 2026'!$D$2:$D$2719,$B97,'апрель 2026'!$J$2:$J$2719,G$1)</f>
        <v>0</v>
      </c>
      <c r="H97" s="144">
        <f>SUMIFS('апрель 2026'!$G$2:$G$2719,'апрель 2026'!$D$2:$D$2719,$B97,'апрель 2026'!$J$2:$J$2719,H$1)</f>
        <v>0</v>
      </c>
      <c r="I97" s="144">
        <f>SUMIFS('апрель 2026'!$G$2:$G$2719,'апрель 2026'!$D$2:$D$2719,$B97,'апрель 2026'!$J$2:$J$2719,I$1)</f>
        <v>0</v>
      </c>
      <c r="J97" s="144">
        <f>SUMIFS('апрель 2026'!$G$2:$G$2719,'апрель 2026'!$D$2:$D$2719,$B97,'апрель 2026'!$J$2:$J$2719,J$1)</f>
        <v>0</v>
      </c>
      <c r="K97" s="144">
        <f>SUMIFS('апрель 2026'!$G$2:$G$2719,'апрель 2026'!$D$2:$D$2719,$B97,'апрель 2026'!$J$2:$J$2719,K$1)</f>
        <v>0</v>
      </c>
      <c r="L97" s="144">
        <f>SUMIFS('апрель 2026'!$G$2:$G$2719,'апрель 2026'!$D$2:$D$2719,$B97,'апрель 2026'!$J$2:$J$2719,L$1)</f>
        <v>0</v>
      </c>
      <c r="M97" s="144">
        <f>SUMIFS('апрель 2026'!$G$2:$G$2719,'апрель 2026'!$D$2:$D$2719,$B97,'апрель 2026'!$J$2:$J$2719,M$1)</f>
        <v>0</v>
      </c>
      <c r="N97" s="144">
        <f>SUMIFS('апрель 2026'!$G$2:$G$2719,'апрель 2026'!$D$2:$D$2719,$B97,'апрель 2026'!$J$2:$J$2719,N$1)</f>
        <v>0</v>
      </c>
      <c r="O97" s="144">
        <f>SUMIFS('апрель 2026'!$G$2:$G$2719,'апрель 2026'!$D$2:$D$2719,$B97,'апрель 2026'!$J$2:$J$2719,O$1)</f>
        <v>0</v>
      </c>
      <c r="P97" s="144">
        <f>SUMIFS('апрель 2026'!$G$2:$G$2719,'апрель 2026'!$D$2:$D$2719,$B97,'апрель 2026'!$J$2:$J$2719,P$1)</f>
        <v>80</v>
      </c>
      <c r="Q97" s="144">
        <f>SUMIFS('апрель 2026'!$G$2:$G$2719,'апрель 2026'!$D$2:$D$2719,$B97,'апрель 2026'!$J$2:$J$2719,Q$1)</f>
        <v>0</v>
      </c>
      <c r="R97" s="144">
        <f>SUMIFS('апрель 2026'!$G$2:$G$2719,'апрель 2026'!$D$2:$D$2719,$B97,'апрель 2026'!$J$2:$J$2719,R$1)</f>
        <v>160</v>
      </c>
      <c r="S97" s="144">
        <f>SUMIFS('апрель 2026'!$G$2:$G$2719,'апрель 2026'!$D$2:$D$2719,$B97,'апрель 2026'!$J$2:$J$2719,S$1)</f>
        <v>0</v>
      </c>
      <c r="T97" s="144">
        <f>SUMIFS('апрель 2026'!$G$2:$G$2719,'апрель 2026'!$D$2:$D$2719,$B97,'апрель 2026'!$J$2:$J$2719,T$1)</f>
        <v>0</v>
      </c>
      <c r="U97" s="144">
        <f>SUMIFS('апрель 2026'!$G$2:$G$2719,'апрель 2026'!$D$2:$D$2719,$B97,'апрель 2026'!$J$2:$J$2719,U$1)</f>
        <v>0</v>
      </c>
      <c r="V97" s="144">
        <f>SUMIFS('апрель 2026'!$G$2:$G$2719,'апрель 2026'!$D$2:$D$2719,$B97,'апрель 2026'!$J$2:$J$2719,V$1)</f>
        <v>0</v>
      </c>
      <c r="W97" s="144">
        <f>SUMIFS('апрель 2026'!$G$2:$G$2719,'апрель 2026'!$D$2:$D$2719,$B97,'апрель 2026'!$J$2:$J$2719,W$1)</f>
        <v>0</v>
      </c>
      <c r="X97" s="144">
        <f>SUMIFS('апрель 2026'!$G$2:$G$2719,'апрель 2026'!$D$2:$D$2719,$B97,'апрель 2026'!$J$2:$J$2719,X$1)</f>
        <v>0</v>
      </c>
      <c r="Y97" s="144">
        <f>SUMIFS('апрель 2026'!$G$2:$G$2719,'апрель 2026'!$D$2:$D$2719,$B97,'апрель 2026'!$J$2:$J$2719,Y$1)</f>
        <v>0</v>
      </c>
      <c r="Z97" s="144">
        <f>SUMIFS('апрель 2026'!$G$2:$G$2719,'апрель 2026'!$D$2:$D$2719,$B97,'апрель 2026'!$J$2:$J$2719,Z$1)</f>
        <v>0</v>
      </c>
      <c r="AA97" s="144">
        <f>SUMIFS('апрель 2026'!$G$2:$G$2719,'апрель 2026'!$D$2:$D$2719,$B97,'апрель 2026'!$J$2:$J$2719,AA$1)</f>
        <v>0</v>
      </c>
      <c r="AB97" s="144">
        <f>SUMIFS('апрель 2026'!$G$2:$G$2719,'апрель 2026'!$D$2:$D$2719,$B97,'апрель 2026'!$J$2:$J$2719,AB$1)</f>
        <v>0</v>
      </c>
      <c r="AC97" s="144">
        <f>SUMIFS('апрель 2026'!$G$2:$G$2719,'апрель 2026'!$D$2:$D$2719,$B97,'апрель 2026'!$J$2:$J$2719,AC$1)</f>
        <v>0</v>
      </c>
      <c r="AD97" s="144">
        <f>SUMIFS('апрель 2026'!$G$2:$G$2719,'апрель 2026'!$D$2:$D$2719,$B97,'апрель 2026'!$J$2:$J$2719,AD$1)</f>
        <v>0</v>
      </c>
      <c r="AE97" s="144">
        <f>SUMIFS('апрель 2026'!$G$2:$G$2719,'апрель 2026'!$D$2:$D$2719,$B97,'апрель 2026'!$J$2:$J$2719,AE$1)</f>
        <v>0</v>
      </c>
      <c r="AF97" s="144">
        <f>SUMIFS('апрель 2026'!$G$2:$G$2719,'апрель 2026'!$D$2:$D$2719,$B97,'апрель 2026'!$J$2:$J$2719,AF$1)</f>
        <v>0</v>
      </c>
      <c r="AG97" s="144">
        <f>SUMIFS('апрель 2026'!$G$2:$G$2719,'апрель 2026'!$D$2:$D$2719,$B97,'апрель 2026'!$J$2:$J$2719,AG$1)</f>
        <v>0</v>
      </c>
      <c r="AH97" s="144">
        <f>SUMIFS('апрель 2026'!$G$2:$G$2719,'апрель 2026'!$D$2:$D$2719,$B97,'апрель 2026'!$J$2:$J$2719,AH$1)</f>
        <v>0</v>
      </c>
      <c r="AI97" s="20">
        <f t="shared" si="1"/>
        <v>320</v>
      </c>
    </row>
    <row r="98" spans="2:35" ht="15" customHeight="1" x14ac:dyDescent="0.25">
      <c r="B98" s="85" t="s">
        <v>188</v>
      </c>
      <c r="C98" s="83">
        <v>190</v>
      </c>
      <c r="D98" s="144">
        <f>SUMIFS('апрель 2026'!$G$2:$G$2719,'апрель 2026'!$D$2:$D$2719,$B98,'апрель 2026'!$J$2:$J$2719,D$1)</f>
        <v>0</v>
      </c>
      <c r="E98" s="144">
        <f>SUMIFS('апрель 2026'!$G$2:$G$2719,'апрель 2026'!$D$2:$D$2719,$B98,'апрель 2026'!$J$2:$J$2719,E$1)</f>
        <v>0</v>
      </c>
      <c r="F98" s="144">
        <f>SUMIFS('апрель 2026'!$G$2:$G$2719,'апрель 2026'!$D$2:$D$2719,$B98,'апрель 2026'!$J$2:$J$2719,F$1)</f>
        <v>0</v>
      </c>
      <c r="G98" s="144">
        <f>SUMIFS('апрель 2026'!$G$2:$G$2719,'апрель 2026'!$D$2:$D$2719,$B98,'апрель 2026'!$J$2:$J$2719,G$1)</f>
        <v>0</v>
      </c>
      <c r="H98" s="144">
        <f>SUMIFS('апрель 2026'!$G$2:$G$2719,'апрель 2026'!$D$2:$D$2719,$B98,'апрель 2026'!$J$2:$J$2719,H$1)</f>
        <v>0</v>
      </c>
      <c r="I98" s="144">
        <f>SUMIFS('апрель 2026'!$G$2:$G$2719,'апрель 2026'!$D$2:$D$2719,$B98,'апрель 2026'!$J$2:$J$2719,I$1)</f>
        <v>0</v>
      </c>
      <c r="J98" s="144">
        <f>SUMIFS('апрель 2026'!$G$2:$G$2719,'апрель 2026'!$D$2:$D$2719,$B98,'апрель 2026'!$J$2:$J$2719,J$1)</f>
        <v>0</v>
      </c>
      <c r="K98" s="144">
        <f>SUMIFS('апрель 2026'!$G$2:$G$2719,'апрель 2026'!$D$2:$D$2719,$B98,'апрель 2026'!$J$2:$J$2719,K$1)</f>
        <v>0</v>
      </c>
      <c r="L98" s="144">
        <f>SUMIFS('апрель 2026'!$G$2:$G$2719,'апрель 2026'!$D$2:$D$2719,$B98,'апрель 2026'!$J$2:$J$2719,L$1)</f>
        <v>0</v>
      </c>
      <c r="M98" s="144">
        <f>SUMIFS('апрель 2026'!$G$2:$G$2719,'апрель 2026'!$D$2:$D$2719,$B98,'апрель 2026'!$J$2:$J$2719,M$1)</f>
        <v>0</v>
      </c>
      <c r="N98" s="144">
        <f>SUMIFS('апрель 2026'!$G$2:$G$2719,'апрель 2026'!$D$2:$D$2719,$B98,'апрель 2026'!$J$2:$J$2719,N$1)</f>
        <v>0</v>
      </c>
      <c r="O98" s="144">
        <f>SUMIFS('апрель 2026'!$G$2:$G$2719,'апрель 2026'!$D$2:$D$2719,$B98,'апрель 2026'!$J$2:$J$2719,O$1)</f>
        <v>0</v>
      </c>
      <c r="P98" s="144">
        <f>SUMIFS('апрель 2026'!$G$2:$G$2719,'апрель 2026'!$D$2:$D$2719,$B98,'апрель 2026'!$J$2:$J$2719,P$1)</f>
        <v>0</v>
      </c>
      <c r="Q98" s="144">
        <f>SUMIFS('апрель 2026'!$G$2:$G$2719,'апрель 2026'!$D$2:$D$2719,$B98,'апрель 2026'!$J$2:$J$2719,Q$1)</f>
        <v>0</v>
      </c>
      <c r="R98" s="144">
        <f>SUMIFS('апрель 2026'!$G$2:$G$2719,'апрель 2026'!$D$2:$D$2719,$B98,'апрель 2026'!$J$2:$J$2719,R$1)</f>
        <v>0</v>
      </c>
      <c r="S98" s="144">
        <f>SUMIFS('апрель 2026'!$G$2:$G$2719,'апрель 2026'!$D$2:$D$2719,$B98,'апрель 2026'!$J$2:$J$2719,S$1)</f>
        <v>0</v>
      </c>
      <c r="T98" s="144">
        <f>SUMIFS('апрель 2026'!$G$2:$G$2719,'апрель 2026'!$D$2:$D$2719,$B98,'апрель 2026'!$J$2:$J$2719,T$1)</f>
        <v>0</v>
      </c>
      <c r="U98" s="144">
        <f>SUMIFS('апрель 2026'!$G$2:$G$2719,'апрель 2026'!$D$2:$D$2719,$B98,'апрель 2026'!$J$2:$J$2719,U$1)</f>
        <v>0</v>
      </c>
      <c r="V98" s="144">
        <f>SUMIFS('апрель 2026'!$G$2:$G$2719,'апрель 2026'!$D$2:$D$2719,$B98,'апрель 2026'!$J$2:$J$2719,V$1)</f>
        <v>0</v>
      </c>
      <c r="W98" s="144">
        <f>SUMIFS('апрель 2026'!$G$2:$G$2719,'апрель 2026'!$D$2:$D$2719,$B98,'апрель 2026'!$J$2:$J$2719,W$1)</f>
        <v>0</v>
      </c>
      <c r="X98" s="144">
        <f>SUMIFS('апрель 2026'!$G$2:$G$2719,'апрель 2026'!$D$2:$D$2719,$B98,'апрель 2026'!$J$2:$J$2719,X$1)</f>
        <v>0</v>
      </c>
      <c r="Y98" s="144">
        <f>SUMIFS('апрель 2026'!$G$2:$G$2719,'апрель 2026'!$D$2:$D$2719,$B98,'апрель 2026'!$J$2:$J$2719,Y$1)</f>
        <v>0</v>
      </c>
      <c r="Z98" s="144">
        <f>SUMIFS('апрель 2026'!$G$2:$G$2719,'апрель 2026'!$D$2:$D$2719,$B98,'апрель 2026'!$J$2:$J$2719,Z$1)</f>
        <v>0</v>
      </c>
      <c r="AA98" s="144">
        <f>SUMIFS('апрель 2026'!$G$2:$G$2719,'апрель 2026'!$D$2:$D$2719,$B98,'апрель 2026'!$J$2:$J$2719,AA$1)</f>
        <v>0</v>
      </c>
      <c r="AB98" s="144">
        <f>SUMIFS('апрель 2026'!$G$2:$G$2719,'апрель 2026'!$D$2:$D$2719,$B98,'апрель 2026'!$J$2:$J$2719,AB$1)</f>
        <v>0</v>
      </c>
      <c r="AC98" s="144">
        <f>SUMIFS('апрель 2026'!$G$2:$G$2719,'апрель 2026'!$D$2:$D$2719,$B98,'апрель 2026'!$J$2:$J$2719,AC$1)</f>
        <v>0</v>
      </c>
      <c r="AD98" s="144">
        <f>SUMIFS('апрель 2026'!$G$2:$G$2719,'апрель 2026'!$D$2:$D$2719,$B98,'апрель 2026'!$J$2:$J$2719,AD$1)</f>
        <v>0</v>
      </c>
      <c r="AE98" s="144">
        <f>SUMIFS('апрель 2026'!$G$2:$G$2719,'апрель 2026'!$D$2:$D$2719,$B98,'апрель 2026'!$J$2:$J$2719,AE$1)</f>
        <v>0</v>
      </c>
      <c r="AF98" s="144">
        <f>SUMIFS('апрель 2026'!$G$2:$G$2719,'апрель 2026'!$D$2:$D$2719,$B98,'апрель 2026'!$J$2:$J$2719,AF$1)</f>
        <v>0</v>
      </c>
      <c r="AG98" s="144">
        <f>SUMIFS('апрель 2026'!$G$2:$G$2719,'апрель 2026'!$D$2:$D$2719,$B98,'апрель 2026'!$J$2:$J$2719,AG$1)</f>
        <v>0</v>
      </c>
      <c r="AH98" s="144">
        <f>SUMIFS('апрель 2026'!$G$2:$G$2719,'апрель 2026'!$D$2:$D$2719,$B98,'апрель 2026'!$J$2:$J$2719,AH$1)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SUMIFS('апрель 2026'!$G$2:$G$2719,'апрель 2026'!$D$2:$D$2719,$B99,'апрель 2026'!$J$2:$J$2719,D$1)</f>
        <v>0</v>
      </c>
      <c r="E99" s="144">
        <f>SUMIFS('апрель 2026'!$G$2:$G$2719,'апрель 2026'!$D$2:$D$2719,$B99,'апрель 2026'!$J$2:$J$2719,E$1)</f>
        <v>0</v>
      </c>
      <c r="F99" s="144">
        <f>SUMIFS('апрель 2026'!$G$2:$G$2719,'апрель 2026'!$D$2:$D$2719,$B99,'апрель 2026'!$J$2:$J$2719,F$1)</f>
        <v>0</v>
      </c>
      <c r="G99" s="144">
        <f>SUMIFS('апрель 2026'!$G$2:$G$2719,'апрель 2026'!$D$2:$D$2719,$B99,'апрель 2026'!$J$2:$J$2719,G$1)</f>
        <v>0</v>
      </c>
      <c r="H99" s="144">
        <f>SUMIFS('апрель 2026'!$G$2:$G$2719,'апрель 2026'!$D$2:$D$2719,$B99,'апрель 2026'!$J$2:$J$2719,H$1)</f>
        <v>0</v>
      </c>
      <c r="I99" s="144">
        <f>SUMIFS('апрель 2026'!$G$2:$G$2719,'апрель 2026'!$D$2:$D$2719,$B99,'апрель 2026'!$J$2:$J$2719,I$1)</f>
        <v>0</v>
      </c>
      <c r="J99" s="144">
        <f>SUMIFS('апрель 2026'!$G$2:$G$2719,'апрель 2026'!$D$2:$D$2719,$B99,'апрель 2026'!$J$2:$J$2719,J$1)</f>
        <v>0</v>
      </c>
      <c r="K99" s="144">
        <f>SUMIFS('апрель 2026'!$G$2:$G$2719,'апрель 2026'!$D$2:$D$2719,$B99,'апрель 2026'!$J$2:$J$2719,K$1)</f>
        <v>0</v>
      </c>
      <c r="L99" s="144">
        <f>SUMIFS('апрель 2026'!$G$2:$G$2719,'апрель 2026'!$D$2:$D$2719,$B99,'апрель 2026'!$J$2:$J$2719,L$1)</f>
        <v>0</v>
      </c>
      <c r="M99" s="144">
        <f>SUMIFS('апрель 2026'!$G$2:$G$2719,'апрель 2026'!$D$2:$D$2719,$B99,'апрель 2026'!$J$2:$J$2719,M$1)</f>
        <v>0</v>
      </c>
      <c r="N99" s="144">
        <f>SUMIFS('апрель 2026'!$G$2:$G$2719,'апрель 2026'!$D$2:$D$2719,$B99,'апрель 2026'!$J$2:$J$2719,N$1)</f>
        <v>0</v>
      </c>
      <c r="O99" s="144">
        <f>SUMIFS('апрель 2026'!$G$2:$G$2719,'апрель 2026'!$D$2:$D$2719,$B99,'апрель 2026'!$J$2:$J$2719,O$1)</f>
        <v>0</v>
      </c>
      <c r="P99" s="144">
        <f>SUMIFS('апрель 2026'!$G$2:$G$2719,'апрель 2026'!$D$2:$D$2719,$B99,'апрель 2026'!$J$2:$J$2719,P$1)</f>
        <v>0</v>
      </c>
      <c r="Q99" s="144">
        <f>SUMIFS('апрель 2026'!$G$2:$G$2719,'апрель 2026'!$D$2:$D$2719,$B99,'апрель 2026'!$J$2:$J$2719,Q$1)</f>
        <v>0</v>
      </c>
      <c r="R99" s="144">
        <f>SUMIFS('апрель 2026'!$G$2:$G$2719,'апрель 2026'!$D$2:$D$2719,$B99,'апрель 2026'!$J$2:$J$2719,R$1)</f>
        <v>0</v>
      </c>
      <c r="S99" s="144">
        <f>SUMIFS('апрель 2026'!$G$2:$G$2719,'апрель 2026'!$D$2:$D$2719,$B99,'апрель 2026'!$J$2:$J$2719,S$1)</f>
        <v>0</v>
      </c>
      <c r="T99" s="144">
        <f>SUMIFS('апрель 2026'!$G$2:$G$2719,'апрель 2026'!$D$2:$D$2719,$B99,'апрель 2026'!$J$2:$J$2719,T$1)</f>
        <v>0</v>
      </c>
      <c r="U99" s="144">
        <f>SUMIFS('апрель 2026'!$G$2:$G$2719,'апрель 2026'!$D$2:$D$2719,$B99,'апрель 2026'!$J$2:$J$2719,U$1)</f>
        <v>0</v>
      </c>
      <c r="V99" s="144">
        <f>SUMIFS('апрель 2026'!$G$2:$G$2719,'апрель 2026'!$D$2:$D$2719,$B99,'апрель 2026'!$J$2:$J$2719,V$1)</f>
        <v>0</v>
      </c>
      <c r="W99" s="144">
        <f>SUMIFS('апрель 2026'!$G$2:$G$2719,'апрель 2026'!$D$2:$D$2719,$B99,'апрель 2026'!$J$2:$J$2719,W$1)</f>
        <v>0</v>
      </c>
      <c r="X99" s="144">
        <f>SUMIFS('апрель 2026'!$G$2:$G$2719,'апрель 2026'!$D$2:$D$2719,$B99,'апрель 2026'!$J$2:$J$2719,X$1)</f>
        <v>0</v>
      </c>
      <c r="Y99" s="144">
        <f>SUMIFS('апрель 2026'!$G$2:$G$2719,'апрель 2026'!$D$2:$D$2719,$B99,'апрель 2026'!$J$2:$J$2719,Y$1)</f>
        <v>0</v>
      </c>
      <c r="Z99" s="144">
        <f>SUMIFS('апрель 2026'!$G$2:$G$2719,'апрель 2026'!$D$2:$D$2719,$B99,'апрель 2026'!$J$2:$J$2719,Z$1)</f>
        <v>0</v>
      </c>
      <c r="AA99" s="144">
        <f>SUMIFS('апрель 2026'!$G$2:$G$2719,'апрель 2026'!$D$2:$D$2719,$B99,'апрель 2026'!$J$2:$J$2719,AA$1)</f>
        <v>0</v>
      </c>
      <c r="AB99" s="144">
        <f>SUMIFS('апрель 2026'!$G$2:$G$2719,'апрель 2026'!$D$2:$D$2719,$B99,'апрель 2026'!$J$2:$J$2719,AB$1)</f>
        <v>0</v>
      </c>
      <c r="AC99" s="144">
        <f>SUMIFS('апрель 2026'!$G$2:$G$2719,'апрель 2026'!$D$2:$D$2719,$B99,'апрель 2026'!$J$2:$J$2719,AC$1)</f>
        <v>0</v>
      </c>
      <c r="AD99" s="144">
        <f>SUMIFS('апрель 2026'!$G$2:$G$2719,'апрель 2026'!$D$2:$D$2719,$B99,'апрель 2026'!$J$2:$J$2719,AD$1)</f>
        <v>0</v>
      </c>
      <c r="AE99" s="144">
        <f>SUMIFS('апрель 2026'!$G$2:$G$2719,'апрель 2026'!$D$2:$D$2719,$B99,'апрель 2026'!$J$2:$J$2719,AE$1)</f>
        <v>0</v>
      </c>
      <c r="AF99" s="144">
        <f>SUMIFS('апрель 2026'!$G$2:$G$2719,'апрель 2026'!$D$2:$D$2719,$B99,'апрель 2026'!$J$2:$J$2719,AF$1)</f>
        <v>0</v>
      </c>
      <c r="AG99" s="144">
        <f>SUMIFS('апрель 2026'!$G$2:$G$2719,'апрель 2026'!$D$2:$D$2719,$B99,'апрель 2026'!$J$2:$J$2719,AG$1)</f>
        <v>0</v>
      </c>
      <c r="AH99" s="144">
        <f>SUMIFS('апрель 2026'!$G$2:$G$2719,'апрель 2026'!$D$2:$D$2719,$B99,'апрель 2026'!$J$2:$J$2719,AH$1)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SUMIFS('апрель 2026'!$G$2:$G$2719,'апрель 2026'!$D$2:$D$2719,$B100,'апрель 2026'!$J$2:$J$2719,D$1)</f>
        <v>0</v>
      </c>
      <c r="E100" s="144">
        <f>SUMIFS('апрель 2026'!$G$2:$G$2719,'апрель 2026'!$D$2:$D$2719,$B100,'апрель 2026'!$J$2:$J$2719,E$1)</f>
        <v>0</v>
      </c>
      <c r="F100" s="144">
        <f>SUMIFS('апрель 2026'!$G$2:$G$2719,'апрель 2026'!$D$2:$D$2719,$B100,'апрель 2026'!$J$2:$J$2719,F$1)</f>
        <v>0</v>
      </c>
      <c r="G100" s="144">
        <f>SUMIFS('апрель 2026'!$G$2:$G$2719,'апрель 2026'!$D$2:$D$2719,$B100,'апрель 2026'!$J$2:$J$2719,G$1)</f>
        <v>0</v>
      </c>
      <c r="H100" s="144">
        <f>SUMIFS('апрель 2026'!$G$2:$G$2719,'апрель 2026'!$D$2:$D$2719,$B100,'апрель 2026'!$J$2:$J$2719,H$1)</f>
        <v>0</v>
      </c>
      <c r="I100" s="144">
        <f>SUMIFS('апрель 2026'!$G$2:$G$2719,'апрель 2026'!$D$2:$D$2719,$B100,'апрель 2026'!$J$2:$J$2719,I$1)</f>
        <v>0</v>
      </c>
      <c r="J100" s="144">
        <f>SUMIFS('апрель 2026'!$G$2:$G$2719,'апрель 2026'!$D$2:$D$2719,$B100,'апрель 2026'!$J$2:$J$2719,J$1)</f>
        <v>0</v>
      </c>
      <c r="K100" s="144">
        <f>SUMIFS('апрель 2026'!$G$2:$G$2719,'апрель 2026'!$D$2:$D$2719,$B100,'апрель 2026'!$J$2:$J$2719,K$1)</f>
        <v>0</v>
      </c>
      <c r="L100" s="144">
        <f>SUMIFS('апрель 2026'!$G$2:$G$2719,'апрель 2026'!$D$2:$D$2719,$B100,'апрель 2026'!$J$2:$J$2719,L$1)</f>
        <v>0</v>
      </c>
      <c r="M100" s="144">
        <f>SUMIFS('апрель 2026'!$G$2:$G$2719,'апрель 2026'!$D$2:$D$2719,$B100,'апрель 2026'!$J$2:$J$2719,M$1)</f>
        <v>0</v>
      </c>
      <c r="N100" s="144">
        <f>SUMIFS('апрель 2026'!$G$2:$G$2719,'апрель 2026'!$D$2:$D$2719,$B100,'апрель 2026'!$J$2:$J$2719,N$1)</f>
        <v>0</v>
      </c>
      <c r="O100" s="144">
        <f>SUMIFS('апрель 2026'!$G$2:$G$2719,'апрель 2026'!$D$2:$D$2719,$B100,'апрель 2026'!$J$2:$J$2719,O$1)</f>
        <v>0</v>
      </c>
      <c r="P100" s="144">
        <f>SUMIFS('апрель 2026'!$G$2:$G$2719,'апрель 2026'!$D$2:$D$2719,$B100,'апрель 2026'!$J$2:$J$2719,P$1)</f>
        <v>0</v>
      </c>
      <c r="Q100" s="144">
        <f>SUMIFS('апрель 2026'!$G$2:$G$2719,'апрель 2026'!$D$2:$D$2719,$B100,'апрель 2026'!$J$2:$J$2719,Q$1)</f>
        <v>0</v>
      </c>
      <c r="R100" s="144">
        <f>SUMIFS('апрель 2026'!$G$2:$G$2719,'апрель 2026'!$D$2:$D$2719,$B100,'апрель 2026'!$J$2:$J$2719,R$1)</f>
        <v>0</v>
      </c>
      <c r="S100" s="144">
        <f>SUMIFS('апрель 2026'!$G$2:$G$2719,'апрель 2026'!$D$2:$D$2719,$B100,'апрель 2026'!$J$2:$J$2719,S$1)</f>
        <v>0</v>
      </c>
      <c r="T100" s="144">
        <f>SUMIFS('апрель 2026'!$G$2:$G$2719,'апрель 2026'!$D$2:$D$2719,$B100,'апрель 2026'!$J$2:$J$2719,T$1)</f>
        <v>0</v>
      </c>
      <c r="U100" s="144">
        <f>SUMIFS('апрель 2026'!$G$2:$G$2719,'апрель 2026'!$D$2:$D$2719,$B100,'апрель 2026'!$J$2:$J$2719,U$1)</f>
        <v>0</v>
      </c>
      <c r="V100" s="144">
        <f>SUMIFS('апрель 2026'!$G$2:$G$2719,'апрель 2026'!$D$2:$D$2719,$B100,'апрель 2026'!$J$2:$J$2719,V$1)</f>
        <v>0</v>
      </c>
      <c r="W100" s="144">
        <f>SUMIFS('апрель 2026'!$G$2:$G$2719,'апрель 2026'!$D$2:$D$2719,$B100,'апрель 2026'!$J$2:$J$2719,W$1)</f>
        <v>0</v>
      </c>
      <c r="X100" s="144">
        <f>SUMIFS('апрель 2026'!$G$2:$G$2719,'апрель 2026'!$D$2:$D$2719,$B100,'апрель 2026'!$J$2:$J$2719,X$1)</f>
        <v>0</v>
      </c>
      <c r="Y100" s="144">
        <f>SUMIFS('апрель 2026'!$G$2:$G$2719,'апрель 2026'!$D$2:$D$2719,$B100,'апрель 2026'!$J$2:$J$2719,Y$1)</f>
        <v>0</v>
      </c>
      <c r="Z100" s="144">
        <f>SUMIFS('апрель 2026'!$G$2:$G$2719,'апрель 2026'!$D$2:$D$2719,$B100,'апрель 2026'!$J$2:$J$2719,Z$1)</f>
        <v>0</v>
      </c>
      <c r="AA100" s="144">
        <f>SUMIFS('апрель 2026'!$G$2:$G$2719,'апрель 2026'!$D$2:$D$2719,$B100,'апрель 2026'!$J$2:$J$2719,AA$1)</f>
        <v>0</v>
      </c>
      <c r="AB100" s="144">
        <f>SUMIFS('апрель 2026'!$G$2:$G$2719,'апрель 2026'!$D$2:$D$2719,$B100,'апрель 2026'!$J$2:$J$2719,AB$1)</f>
        <v>0</v>
      </c>
      <c r="AC100" s="144">
        <f>SUMIFS('апрель 2026'!$G$2:$G$2719,'апрель 2026'!$D$2:$D$2719,$B100,'апрель 2026'!$J$2:$J$2719,AC$1)</f>
        <v>0</v>
      </c>
      <c r="AD100" s="144">
        <f>SUMIFS('апрель 2026'!$G$2:$G$2719,'апрель 2026'!$D$2:$D$2719,$B100,'апрель 2026'!$J$2:$J$2719,AD$1)</f>
        <v>0</v>
      </c>
      <c r="AE100" s="144">
        <f>SUMIFS('апрель 2026'!$G$2:$G$2719,'апрель 2026'!$D$2:$D$2719,$B100,'апрель 2026'!$J$2:$J$2719,AE$1)</f>
        <v>0</v>
      </c>
      <c r="AF100" s="144">
        <f>SUMIFS('апрель 2026'!$G$2:$G$2719,'апрель 2026'!$D$2:$D$2719,$B100,'апрель 2026'!$J$2:$J$2719,AF$1)</f>
        <v>0</v>
      </c>
      <c r="AG100" s="144">
        <f>SUMIFS('апрель 2026'!$G$2:$G$2719,'апрель 2026'!$D$2:$D$2719,$B100,'апрель 2026'!$J$2:$J$2719,AG$1)</f>
        <v>0</v>
      </c>
      <c r="AH100" s="144">
        <f>SUMIFS('апрель 2026'!$G$2:$G$2719,'апрель 2026'!$D$2:$D$2719,$B100,'апрель 2026'!$J$2:$J$2719,AH$1)</f>
        <v>0</v>
      </c>
      <c r="AI100" s="20">
        <f t="shared" si="1"/>
        <v>0</v>
      </c>
    </row>
    <row r="101" spans="2:35" ht="15" customHeight="1" x14ac:dyDescent="0.25">
      <c r="B101" s="85" t="s">
        <v>190</v>
      </c>
      <c r="C101" s="83">
        <v>900</v>
      </c>
      <c r="D101" s="144">
        <f>SUMIFS('апрель 2026'!$G$2:$G$2719,'апрель 2026'!$D$2:$D$2719,$B101,'апрель 2026'!$J$2:$J$2719,D$1)</f>
        <v>0</v>
      </c>
      <c r="E101" s="144">
        <f>SUMIFS('апрель 2026'!$G$2:$G$2719,'апрель 2026'!$D$2:$D$2719,$B101,'апрель 2026'!$J$2:$J$2719,E$1)</f>
        <v>0</v>
      </c>
      <c r="F101" s="144">
        <f>SUMIFS('апрель 2026'!$G$2:$G$2719,'апрель 2026'!$D$2:$D$2719,$B101,'апрель 2026'!$J$2:$J$2719,F$1)</f>
        <v>0</v>
      </c>
      <c r="G101" s="144">
        <f>SUMIFS('апрель 2026'!$G$2:$G$2719,'апрель 2026'!$D$2:$D$2719,$B101,'апрель 2026'!$J$2:$J$2719,G$1)</f>
        <v>0</v>
      </c>
      <c r="H101" s="144">
        <f>SUMIFS('апрель 2026'!$G$2:$G$2719,'апрель 2026'!$D$2:$D$2719,$B101,'апрель 2026'!$J$2:$J$2719,H$1)</f>
        <v>0</v>
      </c>
      <c r="I101" s="144">
        <f>SUMIFS('апрель 2026'!$G$2:$G$2719,'апрель 2026'!$D$2:$D$2719,$B101,'апрель 2026'!$J$2:$J$2719,I$1)</f>
        <v>0</v>
      </c>
      <c r="J101" s="144">
        <f>SUMIFS('апрель 2026'!$G$2:$G$2719,'апрель 2026'!$D$2:$D$2719,$B101,'апрель 2026'!$J$2:$J$2719,J$1)</f>
        <v>0</v>
      </c>
      <c r="K101" s="144">
        <f>SUMIFS('апрель 2026'!$G$2:$G$2719,'апрель 2026'!$D$2:$D$2719,$B101,'апрель 2026'!$J$2:$J$2719,K$1)</f>
        <v>0</v>
      </c>
      <c r="L101" s="144">
        <f>SUMIFS('апрель 2026'!$G$2:$G$2719,'апрель 2026'!$D$2:$D$2719,$B101,'апрель 2026'!$J$2:$J$2719,L$1)</f>
        <v>0</v>
      </c>
      <c r="M101" s="144">
        <f>SUMIFS('апрель 2026'!$G$2:$G$2719,'апрель 2026'!$D$2:$D$2719,$B101,'апрель 2026'!$J$2:$J$2719,M$1)</f>
        <v>0</v>
      </c>
      <c r="N101" s="144">
        <f>SUMIFS('апрель 2026'!$G$2:$G$2719,'апрель 2026'!$D$2:$D$2719,$B101,'апрель 2026'!$J$2:$J$2719,N$1)</f>
        <v>0</v>
      </c>
      <c r="O101" s="144">
        <f>SUMIFS('апрель 2026'!$G$2:$G$2719,'апрель 2026'!$D$2:$D$2719,$B101,'апрель 2026'!$J$2:$J$2719,O$1)</f>
        <v>0</v>
      </c>
      <c r="P101" s="144">
        <f>SUMIFS('апрель 2026'!$G$2:$G$2719,'апрель 2026'!$D$2:$D$2719,$B101,'апрель 2026'!$J$2:$J$2719,P$1)</f>
        <v>0</v>
      </c>
      <c r="Q101" s="144">
        <f>SUMIFS('апрель 2026'!$G$2:$G$2719,'апрель 2026'!$D$2:$D$2719,$B101,'апрель 2026'!$J$2:$J$2719,Q$1)</f>
        <v>0</v>
      </c>
      <c r="R101" s="144">
        <f>SUMIFS('апрель 2026'!$G$2:$G$2719,'апрель 2026'!$D$2:$D$2719,$B101,'апрель 2026'!$J$2:$J$2719,R$1)</f>
        <v>0</v>
      </c>
      <c r="S101" s="144">
        <f>SUMIFS('апрель 2026'!$G$2:$G$2719,'апрель 2026'!$D$2:$D$2719,$B101,'апрель 2026'!$J$2:$J$2719,S$1)</f>
        <v>0</v>
      </c>
      <c r="T101" s="144">
        <f>SUMIFS('апрель 2026'!$G$2:$G$2719,'апрель 2026'!$D$2:$D$2719,$B101,'апрель 2026'!$J$2:$J$2719,T$1)</f>
        <v>0</v>
      </c>
      <c r="U101" s="144">
        <f>SUMIFS('апрель 2026'!$G$2:$G$2719,'апрель 2026'!$D$2:$D$2719,$B101,'апрель 2026'!$J$2:$J$2719,U$1)</f>
        <v>0</v>
      </c>
      <c r="V101" s="144">
        <f>SUMIFS('апрель 2026'!$G$2:$G$2719,'апрель 2026'!$D$2:$D$2719,$B101,'апрель 2026'!$J$2:$J$2719,V$1)</f>
        <v>0</v>
      </c>
      <c r="W101" s="144">
        <f>SUMIFS('апрель 2026'!$G$2:$G$2719,'апрель 2026'!$D$2:$D$2719,$B101,'апрель 2026'!$J$2:$J$2719,W$1)</f>
        <v>0</v>
      </c>
      <c r="X101" s="144">
        <f>SUMIFS('апрель 2026'!$G$2:$G$2719,'апрель 2026'!$D$2:$D$2719,$B101,'апрель 2026'!$J$2:$J$2719,X$1)</f>
        <v>0</v>
      </c>
      <c r="Y101" s="144">
        <f>SUMIFS('апрель 2026'!$G$2:$G$2719,'апрель 2026'!$D$2:$D$2719,$B101,'апрель 2026'!$J$2:$J$2719,Y$1)</f>
        <v>0</v>
      </c>
      <c r="Z101" s="144">
        <f>SUMIFS('апрель 2026'!$G$2:$G$2719,'апрель 2026'!$D$2:$D$2719,$B101,'апрель 2026'!$J$2:$J$2719,Z$1)</f>
        <v>0</v>
      </c>
      <c r="AA101" s="144">
        <f>SUMIFS('апрель 2026'!$G$2:$G$2719,'апрель 2026'!$D$2:$D$2719,$B101,'апрель 2026'!$J$2:$J$2719,AA$1)</f>
        <v>0</v>
      </c>
      <c r="AB101" s="144">
        <f>SUMIFS('апрель 2026'!$G$2:$G$2719,'апрель 2026'!$D$2:$D$2719,$B101,'апрель 2026'!$J$2:$J$2719,AB$1)</f>
        <v>0</v>
      </c>
      <c r="AC101" s="144">
        <f>SUMIFS('апрель 2026'!$G$2:$G$2719,'апрель 2026'!$D$2:$D$2719,$B101,'апрель 2026'!$J$2:$J$2719,AC$1)</f>
        <v>0</v>
      </c>
      <c r="AD101" s="144">
        <f>SUMIFS('апрель 2026'!$G$2:$G$2719,'апрель 2026'!$D$2:$D$2719,$B101,'апрель 2026'!$J$2:$J$2719,AD$1)</f>
        <v>0</v>
      </c>
      <c r="AE101" s="144">
        <f>SUMIFS('апрель 2026'!$G$2:$G$2719,'апрель 2026'!$D$2:$D$2719,$B101,'апрель 2026'!$J$2:$J$2719,AE$1)</f>
        <v>0</v>
      </c>
      <c r="AF101" s="144">
        <f>SUMIFS('апрель 2026'!$G$2:$G$2719,'апрель 2026'!$D$2:$D$2719,$B101,'апрель 2026'!$J$2:$J$2719,AF$1)</f>
        <v>0</v>
      </c>
      <c r="AG101" s="144">
        <f>SUMIFS('апрель 2026'!$G$2:$G$2719,'апрель 2026'!$D$2:$D$2719,$B101,'апрель 2026'!$J$2:$J$2719,AG$1)</f>
        <v>0</v>
      </c>
      <c r="AH101" s="144">
        <f>SUMIFS('апрель 2026'!$G$2:$G$2719,'апрель 2026'!$D$2:$D$2719,$B101,'апрель 2026'!$J$2:$J$2719,AH$1)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SUMIFS('апрель 2026'!$G$2:$G$2719,'апрель 2026'!$D$2:$D$2719,$B102,'апрель 2026'!$J$2:$J$2719,D$1)</f>
        <v>0</v>
      </c>
      <c r="E102" s="144">
        <f>SUMIFS('апрель 2026'!$G$2:$G$2719,'апрель 2026'!$D$2:$D$2719,$B102,'апрель 2026'!$J$2:$J$2719,E$1)</f>
        <v>0</v>
      </c>
      <c r="F102" s="144">
        <f>SUMIFS('апрель 2026'!$G$2:$G$2719,'апрель 2026'!$D$2:$D$2719,$B102,'апрель 2026'!$J$2:$J$2719,F$1)</f>
        <v>0</v>
      </c>
      <c r="G102" s="144">
        <f>SUMIFS('апрель 2026'!$G$2:$G$2719,'апрель 2026'!$D$2:$D$2719,$B102,'апрель 2026'!$J$2:$J$2719,G$1)</f>
        <v>0</v>
      </c>
      <c r="H102" s="144">
        <f>SUMIFS('апрель 2026'!$G$2:$G$2719,'апрель 2026'!$D$2:$D$2719,$B102,'апрель 2026'!$J$2:$J$2719,H$1)</f>
        <v>0</v>
      </c>
      <c r="I102" s="144">
        <f>SUMIFS('апрель 2026'!$G$2:$G$2719,'апрель 2026'!$D$2:$D$2719,$B102,'апрель 2026'!$J$2:$J$2719,I$1)</f>
        <v>0</v>
      </c>
      <c r="J102" s="144">
        <f>SUMIFS('апрель 2026'!$G$2:$G$2719,'апрель 2026'!$D$2:$D$2719,$B102,'апрель 2026'!$J$2:$J$2719,J$1)</f>
        <v>0</v>
      </c>
      <c r="K102" s="144">
        <f>SUMIFS('апрель 2026'!$G$2:$G$2719,'апрель 2026'!$D$2:$D$2719,$B102,'апрель 2026'!$J$2:$J$2719,K$1)</f>
        <v>0</v>
      </c>
      <c r="L102" s="144">
        <f>SUMIFS('апрель 2026'!$G$2:$G$2719,'апрель 2026'!$D$2:$D$2719,$B102,'апрель 2026'!$J$2:$J$2719,L$1)</f>
        <v>0</v>
      </c>
      <c r="M102" s="144">
        <f>SUMIFS('апрель 2026'!$G$2:$G$2719,'апрель 2026'!$D$2:$D$2719,$B102,'апрель 2026'!$J$2:$J$2719,M$1)</f>
        <v>0</v>
      </c>
      <c r="N102" s="144">
        <f>SUMIFS('апрель 2026'!$G$2:$G$2719,'апрель 2026'!$D$2:$D$2719,$B102,'апрель 2026'!$J$2:$J$2719,N$1)</f>
        <v>0</v>
      </c>
      <c r="O102" s="144">
        <f>SUMIFS('апрель 2026'!$G$2:$G$2719,'апрель 2026'!$D$2:$D$2719,$B102,'апрель 2026'!$J$2:$J$2719,O$1)</f>
        <v>0</v>
      </c>
      <c r="P102" s="144">
        <f>SUMIFS('апрель 2026'!$G$2:$G$2719,'апрель 2026'!$D$2:$D$2719,$B102,'апрель 2026'!$J$2:$J$2719,P$1)</f>
        <v>0</v>
      </c>
      <c r="Q102" s="144">
        <f>SUMIFS('апрель 2026'!$G$2:$G$2719,'апрель 2026'!$D$2:$D$2719,$B102,'апрель 2026'!$J$2:$J$2719,Q$1)</f>
        <v>0</v>
      </c>
      <c r="R102" s="144">
        <f>SUMIFS('апрель 2026'!$G$2:$G$2719,'апрель 2026'!$D$2:$D$2719,$B102,'апрель 2026'!$J$2:$J$2719,R$1)</f>
        <v>0</v>
      </c>
      <c r="S102" s="144">
        <f>SUMIFS('апрель 2026'!$G$2:$G$2719,'апрель 2026'!$D$2:$D$2719,$B102,'апрель 2026'!$J$2:$J$2719,S$1)</f>
        <v>0</v>
      </c>
      <c r="T102" s="144">
        <f>SUMIFS('апрель 2026'!$G$2:$G$2719,'апрель 2026'!$D$2:$D$2719,$B102,'апрель 2026'!$J$2:$J$2719,T$1)</f>
        <v>0</v>
      </c>
      <c r="U102" s="144">
        <f>SUMIFS('апрель 2026'!$G$2:$G$2719,'апрель 2026'!$D$2:$D$2719,$B102,'апрель 2026'!$J$2:$J$2719,U$1)</f>
        <v>0</v>
      </c>
      <c r="V102" s="144">
        <f>SUMIFS('апрель 2026'!$G$2:$G$2719,'апрель 2026'!$D$2:$D$2719,$B102,'апрель 2026'!$J$2:$J$2719,V$1)</f>
        <v>0</v>
      </c>
      <c r="W102" s="144">
        <f>SUMIFS('апрель 2026'!$G$2:$G$2719,'апрель 2026'!$D$2:$D$2719,$B102,'апрель 2026'!$J$2:$J$2719,W$1)</f>
        <v>0</v>
      </c>
      <c r="X102" s="144">
        <f>SUMIFS('апрель 2026'!$G$2:$G$2719,'апрель 2026'!$D$2:$D$2719,$B102,'апрель 2026'!$J$2:$J$2719,X$1)</f>
        <v>0</v>
      </c>
      <c r="Y102" s="144">
        <f>SUMIFS('апрель 2026'!$G$2:$G$2719,'апрель 2026'!$D$2:$D$2719,$B102,'апрель 2026'!$J$2:$J$2719,Y$1)</f>
        <v>0</v>
      </c>
      <c r="Z102" s="144">
        <f>SUMIFS('апрель 2026'!$G$2:$G$2719,'апрель 2026'!$D$2:$D$2719,$B102,'апрель 2026'!$J$2:$J$2719,Z$1)</f>
        <v>0</v>
      </c>
      <c r="AA102" s="144">
        <f>SUMIFS('апрель 2026'!$G$2:$G$2719,'апрель 2026'!$D$2:$D$2719,$B102,'апрель 2026'!$J$2:$J$2719,AA$1)</f>
        <v>0</v>
      </c>
      <c r="AB102" s="144">
        <f>SUMIFS('апрель 2026'!$G$2:$G$2719,'апрель 2026'!$D$2:$D$2719,$B102,'апрель 2026'!$J$2:$J$2719,AB$1)</f>
        <v>0</v>
      </c>
      <c r="AC102" s="144">
        <f>SUMIFS('апрель 2026'!$G$2:$G$2719,'апрель 2026'!$D$2:$D$2719,$B102,'апрель 2026'!$J$2:$J$2719,AC$1)</f>
        <v>0</v>
      </c>
      <c r="AD102" s="144">
        <f>SUMIFS('апрель 2026'!$G$2:$G$2719,'апрель 2026'!$D$2:$D$2719,$B102,'апрель 2026'!$J$2:$J$2719,AD$1)</f>
        <v>0</v>
      </c>
      <c r="AE102" s="144">
        <f>SUMIFS('апрель 2026'!$G$2:$G$2719,'апрель 2026'!$D$2:$D$2719,$B102,'апрель 2026'!$J$2:$J$2719,AE$1)</f>
        <v>0</v>
      </c>
      <c r="AF102" s="144">
        <f>SUMIFS('апрель 2026'!$G$2:$G$2719,'апрель 2026'!$D$2:$D$2719,$B102,'апрель 2026'!$J$2:$J$2719,AF$1)</f>
        <v>0</v>
      </c>
      <c r="AG102" s="144">
        <f>SUMIFS('апрель 2026'!$G$2:$G$2719,'апрель 2026'!$D$2:$D$2719,$B102,'апрель 2026'!$J$2:$J$2719,AG$1)</f>
        <v>0</v>
      </c>
      <c r="AH102" s="144">
        <f>SUMIFS('апрель 2026'!$G$2:$G$2719,'апрель 2026'!$D$2:$D$2719,$B102,'апрель 2026'!$J$2:$J$2719,AH$1)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SUMIFS('апрель 2026'!$G$2:$G$2719,'апрель 2026'!$D$2:$D$2719,$B103,'апрель 2026'!$J$2:$J$2719,D$1)</f>
        <v>0</v>
      </c>
      <c r="E103" s="144">
        <f>SUMIFS('апрель 2026'!$G$2:$G$2719,'апрель 2026'!$D$2:$D$2719,$B103,'апрель 2026'!$J$2:$J$2719,E$1)</f>
        <v>0</v>
      </c>
      <c r="F103" s="144">
        <f>SUMIFS('апрель 2026'!$G$2:$G$2719,'апрель 2026'!$D$2:$D$2719,$B103,'апрель 2026'!$J$2:$J$2719,F$1)</f>
        <v>0</v>
      </c>
      <c r="G103" s="144">
        <f>SUMIFS('апрель 2026'!$G$2:$G$2719,'апрель 2026'!$D$2:$D$2719,$B103,'апрель 2026'!$J$2:$J$2719,G$1)</f>
        <v>0</v>
      </c>
      <c r="H103" s="144">
        <f>SUMIFS('апрель 2026'!$G$2:$G$2719,'апрель 2026'!$D$2:$D$2719,$B103,'апрель 2026'!$J$2:$J$2719,H$1)</f>
        <v>0</v>
      </c>
      <c r="I103" s="144">
        <f>SUMIFS('апрель 2026'!$G$2:$G$2719,'апрель 2026'!$D$2:$D$2719,$B103,'апрель 2026'!$J$2:$J$2719,I$1)</f>
        <v>0</v>
      </c>
      <c r="J103" s="144">
        <f>SUMIFS('апрель 2026'!$G$2:$G$2719,'апрель 2026'!$D$2:$D$2719,$B103,'апрель 2026'!$J$2:$J$2719,J$1)</f>
        <v>0</v>
      </c>
      <c r="K103" s="144">
        <f>SUMIFS('апрель 2026'!$G$2:$G$2719,'апрель 2026'!$D$2:$D$2719,$B103,'апрель 2026'!$J$2:$J$2719,K$1)</f>
        <v>0</v>
      </c>
      <c r="L103" s="144">
        <f>SUMIFS('апрель 2026'!$G$2:$G$2719,'апрель 2026'!$D$2:$D$2719,$B103,'апрель 2026'!$J$2:$J$2719,L$1)</f>
        <v>0</v>
      </c>
      <c r="M103" s="144">
        <f>SUMIFS('апрель 2026'!$G$2:$G$2719,'апрель 2026'!$D$2:$D$2719,$B103,'апрель 2026'!$J$2:$J$2719,M$1)</f>
        <v>0</v>
      </c>
      <c r="N103" s="144">
        <f>SUMIFS('апрель 2026'!$G$2:$G$2719,'апрель 2026'!$D$2:$D$2719,$B103,'апрель 2026'!$J$2:$J$2719,N$1)</f>
        <v>0</v>
      </c>
      <c r="O103" s="144">
        <f>SUMIFS('апрель 2026'!$G$2:$G$2719,'апрель 2026'!$D$2:$D$2719,$B103,'апрель 2026'!$J$2:$J$2719,O$1)</f>
        <v>0</v>
      </c>
      <c r="P103" s="144">
        <f>SUMIFS('апрель 2026'!$G$2:$G$2719,'апрель 2026'!$D$2:$D$2719,$B103,'апрель 2026'!$J$2:$J$2719,P$1)</f>
        <v>0</v>
      </c>
      <c r="Q103" s="144">
        <f>SUMIFS('апрель 2026'!$G$2:$G$2719,'апрель 2026'!$D$2:$D$2719,$B103,'апрель 2026'!$J$2:$J$2719,Q$1)</f>
        <v>0</v>
      </c>
      <c r="R103" s="144">
        <f>SUMIFS('апрель 2026'!$G$2:$G$2719,'апрель 2026'!$D$2:$D$2719,$B103,'апрель 2026'!$J$2:$J$2719,R$1)</f>
        <v>0</v>
      </c>
      <c r="S103" s="144">
        <f>SUMIFS('апрель 2026'!$G$2:$G$2719,'апрель 2026'!$D$2:$D$2719,$B103,'апрель 2026'!$J$2:$J$2719,S$1)</f>
        <v>0</v>
      </c>
      <c r="T103" s="144">
        <f>SUMIFS('апрель 2026'!$G$2:$G$2719,'апрель 2026'!$D$2:$D$2719,$B103,'апрель 2026'!$J$2:$J$2719,T$1)</f>
        <v>0</v>
      </c>
      <c r="U103" s="144">
        <f>SUMIFS('апрель 2026'!$G$2:$G$2719,'апрель 2026'!$D$2:$D$2719,$B103,'апрель 2026'!$J$2:$J$2719,U$1)</f>
        <v>0</v>
      </c>
      <c r="V103" s="144">
        <f>SUMIFS('апрель 2026'!$G$2:$G$2719,'апрель 2026'!$D$2:$D$2719,$B103,'апрель 2026'!$J$2:$J$2719,V$1)</f>
        <v>0</v>
      </c>
      <c r="W103" s="144">
        <f>SUMIFS('апрель 2026'!$G$2:$G$2719,'апрель 2026'!$D$2:$D$2719,$B103,'апрель 2026'!$J$2:$J$2719,W$1)</f>
        <v>0</v>
      </c>
      <c r="X103" s="144">
        <f>SUMIFS('апрель 2026'!$G$2:$G$2719,'апрель 2026'!$D$2:$D$2719,$B103,'апрель 2026'!$J$2:$J$2719,X$1)</f>
        <v>0</v>
      </c>
      <c r="Y103" s="144">
        <f>SUMIFS('апрель 2026'!$G$2:$G$2719,'апрель 2026'!$D$2:$D$2719,$B103,'апрель 2026'!$J$2:$J$2719,Y$1)</f>
        <v>0</v>
      </c>
      <c r="Z103" s="144">
        <f>SUMIFS('апрель 2026'!$G$2:$G$2719,'апрель 2026'!$D$2:$D$2719,$B103,'апрель 2026'!$J$2:$J$2719,Z$1)</f>
        <v>0</v>
      </c>
      <c r="AA103" s="144">
        <f>SUMIFS('апрель 2026'!$G$2:$G$2719,'апрель 2026'!$D$2:$D$2719,$B103,'апрель 2026'!$J$2:$J$2719,AA$1)</f>
        <v>0</v>
      </c>
      <c r="AB103" s="144">
        <f>SUMIFS('апрель 2026'!$G$2:$G$2719,'апрель 2026'!$D$2:$D$2719,$B103,'апрель 2026'!$J$2:$J$2719,AB$1)</f>
        <v>0</v>
      </c>
      <c r="AC103" s="144">
        <f>SUMIFS('апрель 2026'!$G$2:$G$2719,'апрель 2026'!$D$2:$D$2719,$B103,'апрель 2026'!$J$2:$J$2719,AC$1)</f>
        <v>0</v>
      </c>
      <c r="AD103" s="144">
        <f>SUMIFS('апрель 2026'!$G$2:$G$2719,'апрель 2026'!$D$2:$D$2719,$B103,'апрель 2026'!$J$2:$J$2719,AD$1)</f>
        <v>0</v>
      </c>
      <c r="AE103" s="144">
        <f>SUMIFS('апрель 2026'!$G$2:$G$2719,'апрель 2026'!$D$2:$D$2719,$B103,'апрель 2026'!$J$2:$J$2719,AE$1)</f>
        <v>0</v>
      </c>
      <c r="AF103" s="144">
        <f>SUMIFS('апрель 2026'!$G$2:$G$2719,'апрель 2026'!$D$2:$D$2719,$B103,'апрель 2026'!$J$2:$J$2719,AF$1)</f>
        <v>0</v>
      </c>
      <c r="AG103" s="144">
        <f>SUMIFS('апрель 2026'!$G$2:$G$2719,'апрель 2026'!$D$2:$D$2719,$B103,'апрель 2026'!$J$2:$J$2719,AG$1)</f>
        <v>0</v>
      </c>
      <c r="AH103" s="144">
        <f>SUMIFS('апрель 2026'!$G$2:$G$2719,'апрель 2026'!$D$2:$D$2719,$B103,'апрель 2026'!$J$2:$J$2719,AH$1)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SUMIFS('апрель 2026'!$G$2:$G$2719,'апрель 2026'!$D$2:$D$2719,$B104,'апрель 2026'!$J$2:$J$2719,D$1)</f>
        <v>0</v>
      </c>
      <c r="E104" s="144">
        <f>SUMIFS('апрель 2026'!$G$2:$G$2719,'апрель 2026'!$D$2:$D$2719,$B104,'апрель 2026'!$J$2:$J$2719,E$1)</f>
        <v>0</v>
      </c>
      <c r="F104" s="144">
        <f>SUMIFS('апрель 2026'!$G$2:$G$2719,'апрель 2026'!$D$2:$D$2719,$B104,'апрель 2026'!$J$2:$J$2719,F$1)</f>
        <v>0</v>
      </c>
      <c r="G104" s="144">
        <f>SUMIFS('апрель 2026'!$G$2:$G$2719,'апрель 2026'!$D$2:$D$2719,$B104,'апрель 2026'!$J$2:$J$2719,G$1)</f>
        <v>0</v>
      </c>
      <c r="H104" s="144">
        <f>SUMIFS('апрель 2026'!$G$2:$G$2719,'апрель 2026'!$D$2:$D$2719,$B104,'апрель 2026'!$J$2:$J$2719,H$1)</f>
        <v>0</v>
      </c>
      <c r="I104" s="144">
        <f>SUMIFS('апрель 2026'!$G$2:$G$2719,'апрель 2026'!$D$2:$D$2719,$B104,'апрель 2026'!$J$2:$J$2719,I$1)</f>
        <v>0</v>
      </c>
      <c r="J104" s="144">
        <f>SUMIFS('апрель 2026'!$G$2:$G$2719,'апрель 2026'!$D$2:$D$2719,$B104,'апрель 2026'!$J$2:$J$2719,J$1)</f>
        <v>0</v>
      </c>
      <c r="K104" s="144">
        <f>SUMIFS('апрель 2026'!$G$2:$G$2719,'апрель 2026'!$D$2:$D$2719,$B104,'апрель 2026'!$J$2:$J$2719,K$1)</f>
        <v>0</v>
      </c>
      <c r="L104" s="144">
        <f>SUMIFS('апрель 2026'!$G$2:$G$2719,'апрель 2026'!$D$2:$D$2719,$B104,'апрель 2026'!$J$2:$J$2719,L$1)</f>
        <v>0</v>
      </c>
      <c r="M104" s="144">
        <f>SUMIFS('апрель 2026'!$G$2:$G$2719,'апрель 2026'!$D$2:$D$2719,$B104,'апрель 2026'!$J$2:$J$2719,M$1)</f>
        <v>0</v>
      </c>
      <c r="N104" s="144">
        <f>SUMIFS('апрель 2026'!$G$2:$G$2719,'апрель 2026'!$D$2:$D$2719,$B104,'апрель 2026'!$J$2:$J$2719,N$1)</f>
        <v>0</v>
      </c>
      <c r="O104" s="144">
        <f>SUMIFS('апрель 2026'!$G$2:$G$2719,'апрель 2026'!$D$2:$D$2719,$B104,'апрель 2026'!$J$2:$J$2719,O$1)</f>
        <v>0</v>
      </c>
      <c r="P104" s="144">
        <f>SUMIFS('апрель 2026'!$G$2:$G$2719,'апрель 2026'!$D$2:$D$2719,$B104,'апрель 2026'!$J$2:$J$2719,P$1)</f>
        <v>0</v>
      </c>
      <c r="Q104" s="144">
        <f>SUMIFS('апрель 2026'!$G$2:$G$2719,'апрель 2026'!$D$2:$D$2719,$B104,'апрель 2026'!$J$2:$J$2719,Q$1)</f>
        <v>0</v>
      </c>
      <c r="R104" s="144">
        <f>SUMIFS('апрель 2026'!$G$2:$G$2719,'апрель 2026'!$D$2:$D$2719,$B104,'апрель 2026'!$J$2:$J$2719,R$1)</f>
        <v>0</v>
      </c>
      <c r="S104" s="144">
        <f>SUMIFS('апрель 2026'!$G$2:$G$2719,'апрель 2026'!$D$2:$D$2719,$B104,'апрель 2026'!$J$2:$J$2719,S$1)</f>
        <v>0</v>
      </c>
      <c r="T104" s="144">
        <f>SUMIFS('апрель 2026'!$G$2:$G$2719,'апрель 2026'!$D$2:$D$2719,$B104,'апрель 2026'!$J$2:$J$2719,T$1)</f>
        <v>0</v>
      </c>
      <c r="U104" s="144">
        <f>SUMIFS('апрель 2026'!$G$2:$G$2719,'апрель 2026'!$D$2:$D$2719,$B104,'апрель 2026'!$J$2:$J$2719,U$1)</f>
        <v>0</v>
      </c>
      <c r="V104" s="144">
        <f>SUMIFS('апрель 2026'!$G$2:$G$2719,'апрель 2026'!$D$2:$D$2719,$B104,'апрель 2026'!$J$2:$J$2719,V$1)</f>
        <v>0</v>
      </c>
      <c r="W104" s="144">
        <f>SUMIFS('апрель 2026'!$G$2:$G$2719,'апрель 2026'!$D$2:$D$2719,$B104,'апрель 2026'!$J$2:$J$2719,W$1)</f>
        <v>0</v>
      </c>
      <c r="X104" s="144">
        <f>SUMIFS('апрель 2026'!$G$2:$G$2719,'апрель 2026'!$D$2:$D$2719,$B104,'апрель 2026'!$J$2:$J$2719,X$1)</f>
        <v>0</v>
      </c>
      <c r="Y104" s="144">
        <f>SUMIFS('апрель 2026'!$G$2:$G$2719,'апрель 2026'!$D$2:$D$2719,$B104,'апрель 2026'!$J$2:$J$2719,Y$1)</f>
        <v>0</v>
      </c>
      <c r="Z104" s="144">
        <f>SUMIFS('апрель 2026'!$G$2:$G$2719,'апрель 2026'!$D$2:$D$2719,$B104,'апрель 2026'!$J$2:$J$2719,Z$1)</f>
        <v>0</v>
      </c>
      <c r="AA104" s="144">
        <f>SUMIFS('апрель 2026'!$G$2:$G$2719,'апрель 2026'!$D$2:$D$2719,$B104,'апрель 2026'!$J$2:$J$2719,AA$1)</f>
        <v>0</v>
      </c>
      <c r="AB104" s="144">
        <f>SUMIFS('апрель 2026'!$G$2:$G$2719,'апрель 2026'!$D$2:$D$2719,$B104,'апрель 2026'!$J$2:$J$2719,AB$1)</f>
        <v>0</v>
      </c>
      <c r="AC104" s="144">
        <f>SUMIFS('апрель 2026'!$G$2:$G$2719,'апрель 2026'!$D$2:$D$2719,$B104,'апрель 2026'!$J$2:$J$2719,AC$1)</f>
        <v>0</v>
      </c>
      <c r="AD104" s="144">
        <f>SUMIFS('апрель 2026'!$G$2:$G$2719,'апрель 2026'!$D$2:$D$2719,$B104,'апрель 2026'!$J$2:$J$2719,AD$1)</f>
        <v>0</v>
      </c>
      <c r="AE104" s="144">
        <f>SUMIFS('апрель 2026'!$G$2:$G$2719,'апрель 2026'!$D$2:$D$2719,$B104,'апрель 2026'!$J$2:$J$2719,AE$1)</f>
        <v>0</v>
      </c>
      <c r="AF104" s="144">
        <f>SUMIFS('апрель 2026'!$G$2:$G$2719,'апрель 2026'!$D$2:$D$2719,$B104,'апрель 2026'!$J$2:$J$2719,AF$1)</f>
        <v>0</v>
      </c>
      <c r="AG104" s="144">
        <f>SUMIFS('апрель 2026'!$G$2:$G$2719,'апрель 2026'!$D$2:$D$2719,$B104,'апрель 2026'!$J$2:$J$2719,AG$1)</f>
        <v>0</v>
      </c>
      <c r="AH104" s="144">
        <f>SUMIFS('апрель 2026'!$G$2:$G$2719,'апрель 2026'!$D$2:$D$2719,$B104,'апрель 2026'!$J$2:$J$2719,AH$1)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SUMIFS('апрель 2026'!$G$2:$G$2719,'апрель 2026'!$D$2:$D$2719,$B105,'апрель 2026'!$J$2:$J$2719,D$1)</f>
        <v>0</v>
      </c>
      <c r="E105" s="144">
        <f>SUMIFS('апрель 2026'!$G$2:$G$2719,'апрель 2026'!$D$2:$D$2719,$B105,'апрель 2026'!$J$2:$J$2719,E$1)</f>
        <v>0</v>
      </c>
      <c r="F105" s="144">
        <f>SUMIFS('апрель 2026'!$G$2:$G$2719,'апрель 2026'!$D$2:$D$2719,$B105,'апрель 2026'!$J$2:$J$2719,F$1)</f>
        <v>0</v>
      </c>
      <c r="G105" s="144">
        <f>SUMIFS('апрель 2026'!$G$2:$G$2719,'апрель 2026'!$D$2:$D$2719,$B105,'апрель 2026'!$J$2:$J$2719,G$1)</f>
        <v>0</v>
      </c>
      <c r="H105" s="144">
        <f>SUMIFS('апрель 2026'!$G$2:$G$2719,'апрель 2026'!$D$2:$D$2719,$B105,'апрель 2026'!$J$2:$J$2719,H$1)</f>
        <v>0</v>
      </c>
      <c r="I105" s="144">
        <f>SUMIFS('апрель 2026'!$G$2:$G$2719,'апрель 2026'!$D$2:$D$2719,$B105,'апрель 2026'!$J$2:$J$2719,I$1)</f>
        <v>0</v>
      </c>
      <c r="J105" s="144">
        <f>SUMIFS('апрель 2026'!$G$2:$G$2719,'апрель 2026'!$D$2:$D$2719,$B105,'апрель 2026'!$J$2:$J$2719,J$1)</f>
        <v>0</v>
      </c>
      <c r="K105" s="144">
        <f>SUMIFS('апрель 2026'!$G$2:$G$2719,'апрель 2026'!$D$2:$D$2719,$B105,'апрель 2026'!$J$2:$J$2719,K$1)</f>
        <v>0</v>
      </c>
      <c r="L105" s="144">
        <f>SUMIFS('апрель 2026'!$G$2:$G$2719,'апрель 2026'!$D$2:$D$2719,$B105,'апрель 2026'!$J$2:$J$2719,L$1)</f>
        <v>0</v>
      </c>
      <c r="M105" s="144">
        <f>SUMIFS('апрель 2026'!$G$2:$G$2719,'апрель 2026'!$D$2:$D$2719,$B105,'апрель 2026'!$J$2:$J$2719,M$1)</f>
        <v>0</v>
      </c>
      <c r="N105" s="144">
        <f>SUMIFS('апрель 2026'!$G$2:$G$2719,'апрель 2026'!$D$2:$D$2719,$B105,'апрель 2026'!$J$2:$J$2719,N$1)</f>
        <v>0</v>
      </c>
      <c r="O105" s="144">
        <f>SUMIFS('апрель 2026'!$G$2:$G$2719,'апрель 2026'!$D$2:$D$2719,$B105,'апрель 2026'!$J$2:$J$2719,O$1)</f>
        <v>0</v>
      </c>
      <c r="P105" s="144">
        <f>SUMIFS('апрель 2026'!$G$2:$G$2719,'апрель 2026'!$D$2:$D$2719,$B105,'апрель 2026'!$J$2:$J$2719,P$1)</f>
        <v>0</v>
      </c>
      <c r="Q105" s="144">
        <f>SUMIFS('апрель 2026'!$G$2:$G$2719,'апрель 2026'!$D$2:$D$2719,$B105,'апрель 2026'!$J$2:$J$2719,Q$1)</f>
        <v>0</v>
      </c>
      <c r="R105" s="144">
        <f>SUMIFS('апрель 2026'!$G$2:$G$2719,'апрель 2026'!$D$2:$D$2719,$B105,'апрель 2026'!$J$2:$J$2719,R$1)</f>
        <v>0</v>
      </c>
      <c r="S105" s="144">
        <f>SUMIFS('апрель 2026'!$G$2:$G$2719,'апрель 2026'!$D$2:$D$2719,$B105,'апрель 2026'!$J$2:$J$2719,S$1)</f>
        <v>0</v>
      </c>
      <c r="T105" s="144">
        <f>SUMIFS('апрель 2026'!$G$2:$G$2719,'апрель 2026'!$D$2:$D$2719,$B105,'апрель 2026'!$J$2:$J$2719,T$1)</f>
        <v>0</v>
      </c>
      <c r="U105" s="144">
        <f>SUMIFS('апрель 2026'!$G$2:$G$2719,'апрель 2026'!$D$2:$D$2719,$B105,'апрель 2026'!$J$2:$J$2719,U$1)</f>
        <v>0</v>
      </c>
      <c r="V105" s="144">
        <f>SUMIFS('апрель 2026'!$G$2:$G$2719,'апрель 2026'!$D$2:$D$2719,$B105,'апрель 2026'!$J$2:$J$2719,V$1)</f>
        <v>0</v>
      </c>
      <c r="W105" s="144">
        <f>SUMIFS('апрель 2026'!$G$2:$G$2719,'апрель 2026'!$D$2:$D$2719,$B105,'апрель 2026'!$J$2:$J$2719,W$1)</f>
        <v>0</v>
      </c>
      <c r="X105" s="144">
        <f>SUMIFS('апрель 2026'!$G$2:$G$2719,'апрель 2026'!$D$2:$D$2719,$B105,'апрель 2026'!$J$2:$J$2719,X$1)</f>
        <v>0</v>
      </c>
      <c r="Y105" s="144">
        <f>SUMIFS('апрель 2026'!$G$2:$G$2719,'апрель 2026'!$D$2:$D$2719,$B105,'апрель 2026'!$J$2:$J$2719,Y$1)</f>
        <v>0</v>
      </c>
      <c r="Z105" s="144">
        <f>SUMIFS('апрель 2026'!$G$2:$G$2719,'апрель 2026'!$D$2:$D$2719,$B105,'апрель 2026'!$J$2:$J$2719,Z$1)</f>
        <v>0</v>
      </c>
      <c r="AA105" s="144">
        <f>SUMIFS('апрель 2026'!$G$2:$G$2719,'апрель 2026'!$D$2:$D$2719,$B105,'апрель 2026'!$J$2:$J$2719,AA$1)</f>
        <v>0</v>
      </c>
      <c r="AB105" s="144">
        <f>SUMIFS('апрель 2026'!$G$2:$G$2719,'апрель 2026'!$D$2:$D$2719,$B105,'апрель 2026'!$J$2:$J$2719,AB$1)</f>
        <v>0</v>
      </c>
      <c r="AC105" s="144">
        <f>SUMIFS('апрель 2026'!$G$2:$G$2719,'апрель 2026'!$D$2:$D$2719,$B105,'апрель 2026'!$J$2:$J$2719,AC$1)</f>
        <v>0</v>
      </c>
      <c r="AD105" s="144">
        <f>SUMIFS('апрель 2026'!$G$2:$G$2719,'апрель 2026'!$D$2:$D$2719,$B105,'апрель 2026'!$J$2:$J$2719,AD$1)</f>
        <v>0</v>
      </c>
      <c r="AE105" s="144">
        <f>SUMIFS('апрель 2026'!$G$2:$G$2719,'апрель 2026'!$D$2:$D$2719,$B105,'апрель 2026'!$J$2:$J$2719,AE$1)</f>
        <v>0</v>
      </c>
      <c r="AF105" s="144">
        <f>SUMIFS('апрель 2026'!$G$2:$G$2719,'апрель 2026'!$D$2:$D$2719,$B105,'апрель 2026'!$J$2:$J$2719,AF$1)</f>
        <v>0</v>
      </c>
      <c r="AG105" s="144">
        <f>SUMIFS('апрель 2026'!$G$2:$G$2719,'апрель 2026'!$D$2:$D$2719,$B105,'апрель 2026'!$J$2:$J$2719,AG$1)</f>
        <v>0</v>
      </c>
      <c r="AH105" s="144">
        <f>SUMIFS('апрель 2026'!$G$2:$G$2719,'апрель 2026'!$D$2:$D$2719,$B105,'апрель 2026'!$J$2:$J$2719,AH$1)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SUMIFS('апрель 2026'!$G$2:$G$2719,'апрель 2026'!$D$2:$D$2719,$B106,'апрель 2026'!$J$2:$J$2719,D$1)</f>
        <v>0</v>
      </c>
      <c r="E106" s="144">
        <f>SUMIFS('апрель 2026'!$G$2:$G$2719,'апрель 2026'!$D$2:$D$2719,$B106,'апрель 2026'!$J$2:$J$2719,E$1)</f>
        <v>0</v>
      </c>
      <c r="F106" s="144">
        <f>SUMIFS('апрель 2026'!$G$2:$G$2719,'апрель 2026'!$D$2:$D$2719,$B106,'апрель 2026'!$J$2:$J$2719,F$1)</f>
        <v>0</v>
      </c>
      <c r="G106" s="144">
        <f>SUMIFS('апрель 2026'!$G$2:$G$2719,'апрель 2026'!$D$2:$D$2719,$B106,'апрель 2026'!$J$2:$J$2719,G$1)</f>
        <v>0</v>
      </c>
      <c r="H106" s="144">
        <f>SUMIFS('апрель 2026'!$G$2:$G$2719,'апрель 2026'!$D$2:$D$2719,$B106,'апрель 2026'!$J$2:$J$2719,H$1)</f>
        <v>0</v>
      </c>
      <c r="I106" s="144">
        <f>SUMIFS('апрель 2026'!$G$2:$G$2719,'апрель 2026'!$D$2:$D$2719,$B106,'апрель 2026'!$J$2:$J$2719,I$1)</f>
        <v>0</v>
      </c>
      <c r="J106" s="144">
        <f>SUMIFS('апрель 2026'!$G$2:$G$2719,'апрель 2026'!$D$2:$D$2719,$B106,'апрель 2026'!$J$2:$J$2719,J$1)</f>
        <v>0</v>
      </c>
      <c r="K106" s="144">
        <f>SUMIFS('апрель 2026'!$G$2:$G$2719,'апрель 2026'!$D$2:$D$2719,$B106,'апрель 2026'!$J$2:$J$2719,K$1)</f>
        <v>0</v>
      </c>
      <c r="L106" s="144">
        <f>SUMIFS('апрель 2026'!$G$2:$G$2719,'апрель 2026'!$D$2:$D$2719,$B106,'апрель 2026'!$J$2:$J$2719,L$1)</f>
        <v>0</v>
      </c>
      <c r="M106" s="144">
        <f>SUMIFS('апрель 2026'!$G$2:$G$2719,'апрель 2026'!$D$2:$D$2719,$B106,'апрель 2026'!$J$2:$J$2719,M$1)</f>
        <v>0</v>
      </c>
      <c r="N106" s="144">
        <f>SUMIFS('апрель 2026'!$G$2:$G$2719,'апрель 2026'!$D$2:$D$2719,$B106,'апрель 2026'!$J$2:$J$2719,N$1)</f>
        <v>0</v>
      </c>
      <c r="O106" s="144">
        <f>SUMIFS('апрель 2026'!$G$2:$G$2719,'апрель 2026'!$D$2:$D$2719,$B106,'апрель 2026'!$J$2:$J$2719,O$1)</f>
        <v>0</v>
      </c>
      <c r="P106" s="144">
        <f>SUMIFS('апрель 2026'!$G$2:$G$2719,'апрель 2026'!$D$2:$D$2719,$B106,'апрель 2026'!$J$2:$J$2719,P$1)</f>
        <v>0</v>
      </c>
      <c r="Q106" s="144">
        <f>SUMIFS('апрель 2026'!$G$2:$G$2719,'апрель 2026'!$D$2:$D$2719,$B106,'апрель 2026'!$J$2:$J$2719,Q$1)</f>
        <v>0</v>
      </c>
      <c r="R106" s="144">
        <f>SUMIFS('апрель 2026'!$G$2:$G$2719,'апрель 2026'!$D$2:$D$2719,$B106,'апрель 2026'!$J$2:$J$2719,R$1)</f>
        <v>0</v>
      </c>
      <c r="S106" s="144">
        <f>SUMIFS('апрель 2026'!$G$2:$G$2719,'апрель 2026'!$D$2:$D$2719,$B106,'апрель 2026'!$J$2:$J$2719,S$1)</f>
        <v>0</v>
      </c>
      <c r="T106" s="144">
        <f>SUMIFS('апрель 2026'!$G$2:$G$2719,'апрель 2026'!$D$2:$D$2719,$B106,'апрель 2026'!$J$2:$J$2719,T$1)</f>
        <v>0</v>
      </c>
      <c r="U106" s="144">
        <f>SUMIFS('апрель 2026'!$G$2:$G$2719,'апрель 2026'!$D$2:$D$2719,$B106,'апрель 2026'!$J$2:$J$2719,U$1)</f>
        <v>0</v>
      </c>
      <c r="V106" s="144">
        <f>SUMIFS('апрель 2026'!$G$2:$G$2719,'апрель 2026'!$D$2:$D$2719,$B106,'апрель 2026'!$J$2:$J$2719,V$1)</f>
        <v>0</v>
      </c>
      <c r="W106" s="144">
        <f>SUMIFS('апрель 2026'!$G$2:$G$2719,'апрель 2026'!$D$2:$D$2719,$B106,'апрель 2026'!$J$2:$J$2719,W$1)</f>
        <v>0</v>
      </c>
      <c r="X106" s="144">
        <f>SUMIFS('апрель 2026'!$G$2:$G$2719,'апрель 2026'!$D$2:$D$2719,$B106,'апрель 2026'!$J$2:$J$2719,X$1)</f>
        <v>0</v>
      </c>
      <c r="Y106" s="144">
        <f>SUMIFS('апрель 2026'!$G$2:$G$2719,'апрель 2026'!$D$2:$D$2719,$B106,'апрель 2026'!$J$2:$J$2719,Y$1)</f>
        <v>0</v>
      </c>
      <c r="Z106" s="144">
        <f>SUMIFS('апрель 2026'!$G$2:$G$2719,'апрель 2026'!$D$2:$D$2719,$B106,'апрель 2026'!$J$2:$J$2719,Z$1)</f>
        <v>0</v>
      </c>
      <c r="AA106" s="144">
        <f>SUMIFS('апрель 2026'!$G$2:$G$2719,'апрель 2026'!$D$2:$D$2719,$B106,'апрель 2026'!$J$2:$J$2719,AA$1)</f>
        <v>0</v>
      </c>
      <c r="AB106" s="144">
        <f>SUMIFS('апрель 2026'!$G$2:$G$2719,'апрель 2026'!$D$2:$D$2719,$B106,'апрель 2026'!$J$2:$J$2719,AB$1)</f>
        <v>0</v>
      </c>
      <c r="AC106" s="144">
        <f>SUMIFS('апрель 2026'!$G$2:$G$2719,'апрель 2026'!$D$2:$D$2719,$B106,'апрель 2026'!$J$2:$J$2719,AC$1)</f>
        <v>0</v>
      </c>
      <c r="AD106" s="144">
        <f>SUMIFS('апрель 2026'!$G$2:$G$2719,'апрель 2026'!$D$2:$D$2719,$B106,'апрель 2026'!$J$2:$J$2719,AD$1)</f>
        <v>0</v>
      </c>
      <c r="AE106" s="144">
        <f>SUMIFS('апрель 2026'!$G$2:$G$2719,'апрель 2026'!$D$2:$D$2719,$B106,'апрель 2026'!$J$2:$J$2719,AE$1)</f>
        <v>0</v>
      </c>
      <c r="AF106" s="144">
        <f>SUMIFS('апрель 2026'!$G$2:$G$2719,'апрель 2026'!$D$2:$D$2719,$B106,'апрель 2026'!$J$2:$J$2719,AF$1)</f>
        <v>0</v>
      </c>
      <c r="AG106" s="144">
        <f>SUMIFS('апрель 2026'!$G$2:$G$2719,'апрель 2026'!$D$2:$D$2719,$B106,'апрель 2026'!$J$2:$J$2719,AG$1)</f>
        <v>0</v>
      </c>
      <c r="AH106" s="144">
        <f>SUMIFS('апрель 2026'!$G$2:$G$2719,'апрель 2026'!$D$2:$D$2719,$B106,'апрель 2026'!$J$2:$J$2719,AH$1)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SUMIFS('апрель 2026'!$G$2:$G$2719,'апрель 2026'!$D$2:$D$2719,$B107,'апрель 2026'!$J$2:$J$2719,D$1)</f>
        <v>0</v>
      </c>
      <c r="E107" s="144">
        <f>SUMIFS('апрель 2026'!$G$2:$G$2719,'апрель 2026'!$D$2:$D$2719,$B107,'апрель 2026'!$J$2:$J$2719,E$1)</f>
        <v>0</v>
      </c>
      <c r="F107" s="144">
        <f>SUMIFS('апрель 2026'!$G$2:$G$2719,'апрель 2026'!$D$2:$D$2719,$B107,'апрель 2026'!$J$2:$J$2719,F$1)</f>
        <v>0</v>
      </c>
      <c r="G107" s="144">
        <f>SUMIFS('апрель 2026'!$G$2:$G$2719,'апрель 2026'!$D$2:$D$2719,$B107,'апрель 2026'!$J$2:$J$2719,G$1)</f>
        <v>0</v>
      </c>
      <c r="H107" s="144">
        <f>SUMIFS('апрель 2026'!$G$2:$G$2719,'апрель 2026'!$D$2:$D$2719,$B107,'апрель 2026'!$J$2:$J$2719,H$1)</f>
        <v>0</v>
      </c>
      <c r="I107" s="144">
        <f>SUMIFS('апрель 2026'!$G$2:$G$2719,'апрель 2026'!$D$2:$D$2719,$B107,'апрель 2026'!$J$2:$J$2719,I$1)</f>
        <v>0</v>
      </c>
      <c r="J107" s="144">
        <f>SUMIFS('апрель 2026'!$G$2:$G$2719,'апрель 2026'!$D$2:$D$2719,$B107,'апрель 2026'!$J$2:$J$2719,J$1)</f>
        <v>0</v>
      </c>
      <c r="K107" s="144">
        <f>SUMIFS('апрель 2026'!$G$2:$G$2719,'апрель 2026'!$D$2:$D$2719,$B107,'апрель 2026'!$J$2:$J$2719,K$1)</f>
        <v>0</v>
      </c>
      <c r="L107" s="144">
        <f>SUMIFS('апрель 2026'!$G$2:$G$2719,'апрель 2026'!$D$2:$D$2719,$B107,'апрель 2026'!$J$2:$J$2719,L$1)</f>
        <v>0</v>
      </c>
      <c r="M107" s="144">
        <f>SUMIFS('апрель 2026'!$G$2:$G$2719,'апрель 2026'!$D$2:$D$2719,$B107,'апрель 2026'!$J$2:$J$2719,M$1)</f>
        <v>0</v>
      </c>
      <c r="N107" s="144">
        <f>SUMIFS('апрель 2026'!$G$2:$G$2719,'апрель 2026'!$D$2:$D$2719,$B107,'апрель 2026'!$J$2:$J$2719,N$1)</f>
        <v>0</v>
      </c>
      <c r="O107" s="144">
        <f>SUMIFS('апрель 2026'!$G$2:$G$2719,'апрель 2026'!$D$2:$D$2719,$B107,'апрель 2026'!$J$2:$J$2719,O$1)</f>
        <v>0</v>
      </c>
      <c r="P107" s="144">
        <f>SUMIFS('апрель 2026'!$G$2:$G$2719,'апрель 2026'!$D$2:$D$2719,$B107,'апрель 2026'!$J$2:$J$2719,P$1)</f>
        <v>0</v>
      </c>
      <c r="Q107" s="144">
        <f>SUMIFS('апрель 2026'!$G$2:$G$2719,'апрель 2026'!$D$2:$D$2719,$B107,'апрель 2026'!$J$2:$J$2719,Q$1)</f>
        <v>0</v>
      </c>
      <c r="R107" s="144">
        <f>SUMIFS('апрель 2026'!$G$2:$G$2719,'апрель 2026'!$D$2:$D$2719,$B107,'апрель 2026'!$J$2:$J$2719,R$1)</f>
        <v>0</v>
      </c>
      <c r="S107" s="144">
        <f>SUMIFS('апрель 2026'!$G$2:$G$2719,'апрель 2026'!$D$2:$D$2719,$B107,'апрель 2026'!$J$2:$J$2719,S$1)</f>
        <v>0</v>
      </c>
      <c r="T107" s="144">
        <f>SUMIFS('апрель 2026'!$G$2:$G$2719,'апрель 2026'!$D$2:$D$2719,$B107,'апрель 2026'!$J$2:$J$2719,T$1)</f>
        <v>0</v>
      </c>
      <c r="U107" s="144">
        <f>SUMIFS('апрель 2026'!$G$2:$G$2719,'апрель 2026'!$D$2:$D$2719,$B107,'апрель 2026'!$J$2:$J$2719,U$1)</f>
        <v>0</v>
      </c>
      <c r="V107" s="144">
        <f>SUMIFS('апрель 2026'!$G$2:$G$2719,'апрель 2026'!$D$2:$D$2719,$B107,'апрель 2026'!$J$2:$J$2719,V$1)</f>
        <v>0</v>
      </c>
      <c r="W107" s="144">
        <f>SUMIFS('апрель 2026'!$G$2:$G$2719,'апрель 2026'!$D$2:$D$2719,$B107,'апрель 2026'!$J$2:$J$2719,W$1)</f>
        <v>0</v>
      </c>
      <c r="X107" s="144">
        <f>SUMIFS('апрель 2026'!$G$2:$G$2719,'апрель 2026'!$D$2:$D$2719,$B107,'апрель 2026'!$J$2:$J$2719,X$1)</f>
        <v>0</v>
      </c>
      <c r="Y107" s="144">
        <f>SUMIFS('апрель 2026'!$G$2:$G$2719,'апрель 2026'!$D$2:$D$2719,$B107,'апрель 2026'!$J$2:$J$2719,Y$1)</f>
        <v>0</v>
      </c>
      <c r="Z107" s="144">
        <f>SUMIFS('апрель 2026'!$G$2:$G$2719,'апрель 2026'!$D$2:$D$2719,$B107,'апрель 2026'!$J$2:$J$2719,Z$1)</f>
        <v>0</v>
      </c>
      <c r="AA107" s="144">
        <f>SUMIFS('апрель 2026'!$G$2:$G$2719,'апрель 2026'!$D$2:$D$2719,$B107,'апрель 2026'!$J$2:$J$2719,AA$1)</f>
        <v>0</v>
      </c>
      <c r="AB107" s="144">
        <f>SUMIFS('апрель 2026'!$G$2:$G$2719,'апрель 2026'!$D$2:$D$2719,$B107,'апрель 2026'!$J$2:$J$2719,AB$1)</f>
        <v>0</v>
      </c>
      <c r="AC107" s="144">
        <f>SUMIFS('апрель 2026'!$G$2:$G$2719,'апрель 2026'!$D$2:$D$2719,$B107,'апрель 2026'!$J$2:$J$2719,AC$1)</f>
        <v>0</v>
      </c>
      <c r="AD107" s="144">
        <f>SUMIFS('апрель 2026'!$G$2:$G$2719,'апрель 2026'!$D$2:$D$2719,$B107,'апрель 2026'!$J$2:$J$2719,AD$1)</f>
        <v>0</v>
      </c>
      <c r="AE107" s="144">
        <f>SUMIFS('апрель 2026'!$G$2:$G$2719,'апрель 2026'!$D$2:$D$2719,$B107,'апрель 2026'!$J$2:$J$2719,AE$1)</f>
        <v>0</v>
      </c>
      <c r="AF107" s="144">
        <f>SUMIFS('апрель 2026'!$G$2:$G$2719,'апрель 2026'!$D$2:$D$2719,$B107,'апрель 2026'!$J$2:$J$2719,AF$1)</f>
        <v>0</v>
      </c>
      <c r="AG107" s="144">
        <f>SUMIFS('апрель 2026'!$G$2:$G$2719,'апрель 2026'!$D$2:$D$2719,$B107,'апрель 2026'!$J$2:$J$2719,AG$1)</f>
        <v>0</v>
      </c>
      <c r="AH107" s="144">
        <f>SUMIFS('апрель 2026'!$G$2:$G$2719,'апрель 2026'!$D$2:$D$2719,$B107,'апрель 2026'!$J$2:$J$2719,AH$1)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SUMIFS('апрель 2026'!$G$2:$G$2719,'апрель 2026'!$D$2:$D$2719,$B108,'апрель 2026'!$J$2:$J$2719,D$1)</f>
        <v>0</v>
      </c>
      <c r="E108" s="144">
        <f>SUMIFS('апрель 2026'!$G$2:$G$2719,'апрель 2026'!$D$2:$D$2719,$B108,'апрель 2026'!$J$2:$J$2719,E$1)</f>
        <v>0</v>
      </c>
      <c r="F108" s="144">
        <f>SUMIFS('апрель 2026'!$G$2:$G$2719,'апрель 2026'!$D$2:$D$2719,$B108,'апрель 2026'!$J$2:$J$2719,F$1)</f>
        <v>0</v>
      </c>
      <c r="G108" s="144">
        <f>SUMIFS('апрель 2026'!$G$2:$G$2719,'апрель 2026'!$D$2:$D$2719,$B108,'апрель 2026'!$J$2:$J$2719,G$1)</f>
        <v>0</v>
      </c>
      <c r="H108" s="144">
        <f>SUMIFS('апрель 2026'!$G$2:$G$2719,'апрель 2026'!$D$2:$D$2719,$B108,'апрель 2026'!$J$2:$J$2719,H$1)</f>
        <v>0</v>
      </c>
      <c r="I108" s="144">
        <f>SUMIFS('апрель 2026'!$G$2:$G$2719,'апрель 2026'!$D$2:$D$2719,$B108,'апрель 2026'!$J$2:$J$2719,I$1)</f>
        <v>0</v>
      </c>
      <c r="J108" s="144">
        <f>SUMIFS('апрель 2026'!$G$2:$G$2719,'апрель 2026'!$D$2:$D$2719,$B108,'апрель 2026'!$J$2:$J$2719,J$1)</f>
        <v>0</v>
      </c>
      <c r="K108" s="144">
        <f>SUMIFS('апрель 2026'!$G$2:$G$2719,'апрель 2026'!$D$2:$D$2719,$B108,'апрель 2026'!$J$2:$J$2719,K$1)</f>
        <v>0</v>
      </c>
      <c r="L108" s="144">
        <f>SUMIFS('апрель 2026'!$G$2:$G$2719,'апрель 2026'!$D$2:$D$2719,$B108,'апрель 2026'!$J$2:$J$2719,L$1)</f>
        <v>0</v>
      </c>
      <c r="M108" s="144">
        <f>SUMIFS('апрель 2026'!$G$2:$G$2719,'апрель 2026'!$D$2:$D$2719,$B108,'апрель 2026'!$J$2:$J$2719,M$1)</f>
        <v>0</v>
      </c>
      <c r="N108" s="144">
        <f>SUMIFS('апрель 2026'!$G$2:$G$2719,'апрель 2026'!$D$2:$D$2719,$B108,'апрель 2026'!$J$2:$J$2719,N$1)</f>
        <v>0</v>
      </c>
      <c r="O108" s="144">
        <f>SUMIFS('апрель 2026'!$G$2:$G$2719,'апрель 2026'!$D$2:$D$2719,$B108,'апрель 2026'!$J$2:$J$2719,O$1)</f>
        <v>0</v>
      </c>
      <c r="P108" s="144">
        <f>SUMIFS('апрель 2026'!$G$2:$G$2719,'апрель 2026'!$D$2:$D$2719,$B108,'апрель 2026'!$J$2:$J$2719,P$1)</f>
        <v>0</v>
      </c>
      <c r="Q108" s="144">
        <f>SUMIFS('апрель 2026'!$G$2:$G$2719,'апрель 2026'!$D$2:$D$2719,$B108,'апрель 2026'!$J$2:$J$2719,Q$1)</f>
        <v>0</v>
      </c>
      <c r="R108" s="144">
        <f>SUMIFS('апрель 2026'!$G$2:$G$2719,'апрель 2026'!$D$2:$D$2719,$B108,'апрель 2026'!$J$2:$J$2719,R$1)</f>
        <v>0</v>
      </c>
      <c r="S108" s="144">
        <f>SUMIFS('апрель 2026'!$G$2:$G$2719,'апрель 2026'!$D$2:$D$2719,$B108,'апрель 2026'!$J$2:$J$2719,S$1)</f>
        <v>0</v>
      </c>
      <c r="T108" s="144">
        <f>SUMIFS('апрель 2026'!$G$2:$G$2719,'апрель 2026'!$D$2:$D$2719,$B108,'апрель 2026'!$J$2:$J$2719,T$1)</f>
        <v>0</v>
      </c>
      <c r="U108" s="144">
        <f>SUMIFS('апрель 2026'!$G$2:$G$2719,'апрель 2026'!$D$2:$D$2719,$B108,'апрель 2026'!$J$2:$J$2719,U$1)</f>
        <v>0</v>
      </c>
      <c r="V108" s="144">
        <f>SUMIFS('апрель 2026'!$G$2:$G$2719,'апрель 2026'!$D$2:$D$2719,$B108,'апрель 2026'!$J$2:$J$2719,V$1)</f>
        <v>0</v>
      </c>
      <c r="W108" s="144">
        <f>SUMIFS('апрель 2026'!$G$2:$G$2719,'апрель 2026'!$D$2:$D$2719,$B108,'апрель 2026'!$J$2:$J$2719,W$1)</f>
        <v>0</v>
      </c>
      <c r="X108" s="144">
        <f>SUMIFS('апрель 2026'!$G$2:$G$2719,'апрель 2026'!$D$2:$D$2719,$B108,'апрель 2026'!$J$2:$J$2719,X$1)</f>
        <v>0</v>
      </c>
      <c r="Y108" s="144">
        <f>SUMIFS('апрель 2026'!$G$2:$G$2719,'апрель 2026'!$D$2:$D$2719,$B108,'апрель 2026'!$J$2:$J$2719,Y$1)</f>
        <v>0</v>
      </c>
      <c r="Z108" s="144">
        <f>SUMIFS('апрель 2026'!$G$2:$G$2719,'апрель 2026'!$D$2:$D$2719,$B108,'апрель 2026'!$J$2:$J$2719,Z$1)</f>
        <v>0</v>
      </c>
      <c r="AA108" s="144">
        <f>SUMIFS('апрель 2026'!$G$2:$G$2719,'апрель 2026'!$D$2:$D$2719,$B108,'апрель 2026'!$J$2:$J$2719,AA$1)</f>
        <v>0</v>
      </c>
      <c r="AB108" s="144">
        <f>SUMIFS('апрель 2026'!$G$2:$G$2719,'апрель 2026'!$D$2:$D$2719,$B108,'апрель 2026'!$J$2:$J$2719,AB$1)</f>
        <v>0</v>
      </c>
      <c r="AC108" s="144">
        <f>SUMIFS('апрель 2026'!$G$2:$G$2719,'апрель 2026'!$D$2:$D$2719,$B108,'апрель 2026'!$J$2:$J$2719,AC$1)</f>
        <v>0</v>
      </c>
      <c r="AD108" s="144">
        <f>SUMIFS('апрель 2026'!$G$2:$G$2719,'апрель 2026'!$D$2:$D$2719,$B108,'апрель 2026'!$J$2:$J$2719,AD$1)</f>
        <v>0</v>
      </c>
      <c r="AE108" s="144">
        <f>SUMIFS('апрель 2026'!$G$2:$G$2719,'апрель 2026'!$D$2:$D$2719,$B108,'апрель 2026'!$J$2:$J$2719,AE$1)</f>
        <v>0</v>
      </c>
      <c r="AF108" s="144">
        <f>SUMIFS('апрель 2026'!$G$2:$G$2719,'апрель 2026'!$D$2:$D$2719,$B108,'апрель 2026'!$J$2:$J$2719,AF$1)</f>
        <v>0</v>
      </c>
      <c r="AG108" s="144">
        <f>SUMIFS('апрель 2026'!$G$2:$G$2719,'апрель 2026'!$D$2:$D$2719,$B108,'апрель 2026'!$J$2:$J$2719,AG$1)</f>
        <v>0</v>
      </c>
      <c r="AH108" s="144">
        <f>SUMIFS('апрель 2026'!$G$2:$G$2719,'апрель 2026'!$D$2:$D$2719,$B108,'апрель 2026'!$J$2:$J$2719,AH$1)</f>
        <v>0</v>
      </c>
      <c r="AI108" s="20">
        <f t="shared" si="1"/>
        <v>0</v>
      </c>
    </row>
    <row r="109" spans="2:35" ht="15" customHeight="1" x14ac:dyDescent="0.25">
      <c r="B109" s="85" t="s">
        <v>756</v>
      </c>
      <c r="C109" s="83">
        <v>190</v>
      </c>
      <c r="D109" s="144">
        <f>SUMIFS('апрель 2026'!$G$2:$G$2719,'апрель 2026'!$D$2:$D$2719,$B109,'апрель 2026'!$J$2:$J$2719,D$1)</f>
        <v>0</v>
      </c>
      <c r="E109" s="144">
        <f>SUMIFS('апрель 2026'!$G$2:$G$2719,'апрель 2026'!$D$2:$D$2719,$B109,'апрель 2026'!$J$2:$J$2719,E$1)</f>
        <v>0</v>
      </c>
      <c r="F109" s="144">
        <f>SUMIFS('апрель 2026'!$G$2:$G$2719,'апрель 2026'!$D$2:$D$2719,$B109,'апрель 2026'!$J$2:$J$2719,F$1)</f>
        <v>0</v>
      </c>
      <c r="G109" s="144">
        <f>SUMIFS('апрель 2026'!$G$2:$G$2719,'апрель 2026'!$D$2:$D$2719,$B109,'апрель 2026'!$J$2:$J$2719,G$1)</f>
        <v>0</v>
      </c>
      <c r="H109" s="144">
        <f>SUMIFS('апрель 2026'!$G$2:$G$2719,'апрель 2026'!$D$2:$D$2719,$B109,'апрель 2026'!$J$2:$J$2719,H$1)</f>
        <v>0</v>
      </c>
      <c r="I109" s="144">
        <f>SUMIFS('апрель 2026'!$G$2:$G$2719,'апрель 2026'!$D$2:$D$2719,$B109,'апрель 2026'!$J$2:$J$2719,I$1)</f>
        <v>0</v>
      </c>
      <c r="J109" s="144">
        <f>SUMIFS('апрель 2026'!$G$2:$G$2719,'апрель 2026'!$D$2:$D$2719,$B109,'апрель 2026'!$J$2:$J$2719,J$1)</f>
        <v>0</v>
      </c>
      <c r="K109" s="144">
        <f>SUMIFS('апрель 2026'!$G$2:$G$2719,'апрель 2026'!$D$2:$D$2719,$B109,'апрель 2026'!$J$2:$J$2719,K$1)</f>
        <v>0</v>
      </c>
      <c r="L109" s="144">
        <f>SUMIFS('апрель 2026'!$G$2:$G$2719,'апрель 2026'!$D$2:$D$2719,$B109,'апрель 2026'!$J$2:$J$2719,L$1)</f>
        <v>0</v>
      </c>
      <c r="M109" s="144">
        <f>SUMIFS('апрель 2026'!$G$2:$G$2719,'апрель 2026'!$D$2:$D$2719,$B109,'апрель 2026'!$J$2:$J$2719,M$1)</f>
        <v>0</v>
      </c>
      <c r="N109" s="144">
        <f>SUMIFS('апрель 2026'!$G$2:$G$2719,'апрель 2026'!$D$2:$D$2719,$B109,'апрель 2026'!$J$2:$J$2719,N$1)</f>
        <v>0</v>
      </c>
      <c r="O109" s="144">
        <f>SUMIFS('апрель 2026'!$G$2:$G$2719,'апрель 2026'!$D$2:$D$2719,$B109,'апрель 2026'!$J$2:$J$2719,O$1)</f>
        <v>0</v>
      </c>
      <c r="P109" s="144">
        <f>SUMIFS('апрель 2026'!$G$2:$G$2719,'апрель 2026'!$D$2:$D$2719,$B109,'апрель 2026'!$J$2:$J$2719,P$1)</f>
        <v>0</v>
      </c>
      <c r="Q109" s="144">
        <f>SUMIFS('апрель 2026'!$G$2:$G$2719,'апрель 2026'!$D$2:$D$2719,$B109,'апрель 2026'!$J$2:$J$2719,Q$1)</f>
        <v>0</v>
      </c>
      <c r="R109" s="144">
        <f>SUMIFS('апрель 2026'!$G$2:$G$2719,'апрель 2026'!$D$2:$D$2719,$B109,'апрель 2026'!$J$2:$J$2719,R$1)</f>
        <v>0</v>
      </c>
      <c r="S109" s="144">
        <f>SUMIFS('апрель 2026'!$G$2:$G$2719,'апрель 2026'!$D$2:$D$2719,$B109,'апрель 2026'!$J$2:$J$2719,S$1)</f>
        <v>0</v>
      </c>
      <c r="T109" s="144">
        <f>SUMIFS('апрель 2026'!$G$2:$G$2719,'апрель 2026'!$D$2:$D$2719,$B109,'апрель 2026'!$J$2:$J$2719,T$1)</f>
        <v>0</v>
      </c>
      <c r="U109" s="144">
        <f>SUMIFS('апрель 2026'!$G$2:$G$2719,'апрель 2026'!$D$2:$D$2719,$B109,'апрель 2026'!$J$2:$J$2719,U$1)</f>
        <v>0</v>
      </c>
      <c r="V109" s="144">
        <f>SUMIFS('апрель 2026'!$G$2:$G$2719,'апрель 2026'!$D$2:$D$2719,$B109,'апрель 2026'!$J$2:$J$2719,V$1)</f>
        <v>0</v>
      </c>
      <c r="W109" s="144">
        <f>SUMIFS('апрель 2026'!$G$2:$G$2719,'апрель 2026'!$D$2:$D$2719,$B109,'апрель 2026'!$J$2:$J$2719,W$1)</f>
        <v>0</v>
      </c>
      <c r="X109" s="144">
        <f>SUMIFS('апрель 2026'!$G$2:$G$2719,'апрель 2026'!$D$2:$D$2719,$B109,'апрель 2026'!$J$2:$J$2719,X$1)</f>
        <v>0</v>
      </c>
      <c r="Y109" s="144">
        <f>SUMIFS('апрель 2026'!$G$2:$G$2719,'апрель 2026'!$D$2:$D$2719,$B109,'апрель 2026'!$J$2:$J$2719,Y$1)</f>
        <v>0</v>
      </c>
      <c r="Z109" s="144">
        <f>SUMIFS('апрель 2026'!$G$2:$G$2719,'апрель 2026'!$D$2:$D$2719,$B109,'апрель 2026'!$J$2:$J$2719,Z$1)</f>
        <v>0</v>
      </c>
      <c r="AA109" s="144">
        <f>SUMIFS('апрель 2026'!$G$2:$G$2719,'апрель 2026'!$D$2:$D$2719,$B109,'апрель 2026'!$J$2:$J$2719,AA$1)</f>
        <v>0</v>
      </c>
      <c r="AB109" s="144">
        <f>SUMIFS('апрель 2026'!$G$2:$G$2719,'апрель 2026'!$D$2:$D$2719,$B109,'апрель 2026'!$J$2:$J$2719,AB$1)</f>
        <v>0</v>
      </c>
      <c r="AC109" s="144">
        <f>SUMIFS('апрель 2026'!$G$2:$G$2719,'апрель 2026'!$D$2:$D$2719,$B109,'апрель 2026'!$J$2:$J$2719,AC$1)</f>
        <v>0</v>
      </c>
      <c r="AD109" s="144">
        <f>SUMIFS('апрель 2026'!$G$2:$G$2719,'апрель 2026'!$D$2:$D$2719,$B109,'апрель 2026'!$J$2:$J$2719,AD$1)</f>
        <v>0</v>
      </c>
      <c r="AE109" s="144">
        <f>SUMIFS('апрель 2026'!$G$2:$G$2719,'апрель 2026'!$D$2:$D$2719,$B109,'апрель 2026'!$J$2:$J$2719,AE$1)</f>
        <v>0</v>
      </c>
      <c r="AF109" s="144">
        <f>SUMIFS('апрель 2026'!$G$2:$G$2719,'апрель 2026'!$D$2:$D$2719,$B109,'апрель 2026'!$J$2:$J$2719,AF$1)</f>
        <v>0</v>
      </c>
      <c r="AG109" s="144">
        <f>SUMIFS('апрель 2026'!$G$2:$G$2719,'апрель 2026'!$D$2:$D$2719,$B109,'апрель 2026'!$J$2:$J$2719,AG$1)</f>
        <v>0</v>
      </c>
      <c r="AH109" s="144">
        <f>SUMIFS('апрель 2026'!$G$2:$G$2719,'апрель 2026'!$D$2:$D$2719,$B109,'апрель 2026'!$J$2:$J$2719,AH$1)</f>
        <v>0</v>
      </c>
      <c r="AI109" s="20">
        <f t="shared" si="1"/>
        <v>0</v>
      </c>
    </row>
    <row r="110" spans="2:35" ht="15" customHeight="1" x14ac:dyDescent="0.25">
      <c r="B110" s="85" t="s">
        <v>277</v>
      </c>
      <c r="C110" s="83">
        <v>190</v>
      </c>
      <c r="D110" s="144">
        <f>SUMIFS('апрель 2026'!$G$2:$G$2719,'апрель 2026'!$D$2:$D$2719,$B110,'апрель 2026'!$J$2:$J$2719,D$1)</f>
        <v>0</v>
      </c>
      <c r="E110" s="144">
        <f>SUMIFS('апрель 2026'!$G$2:$G$2719,'апрель 2026'!$D$2:$D$2719,$B110,'апрель 2026'!$J$2:$J$2719,E$1)</f>
        <v>0</v>
      </c>
      <c r="F110" s="144">
        <f>SUMIFS('апрель 2026'!$G$2:$G$2719,'апрель 2026'!$D$2:$D$2719,$B110,'апрель 2026'!$J$2:$J$2719,F$1)</f>
        <v>0</v>
      </c>
      <c r="G110" s="144">
        <f>SUMIFS('апрель 2026'!$G$2:$G$2719,'апрель 2026'!$D$2:$D$2719,$B110,'апрель 2026'!$J$2:$J$2719,G$1)</f>
        <v>0</v>
      </c>
      <c r="H110" s="144">
        <f>SUMIFS('апрель 2026'!$G$2:$G$2719,'апрель 2026'!$D$2:$D$2719,$B110,'апрель 2026'!$J$2:$J$2719,H$1)</f>
        <v>0</v>
      </c>
      <c r="I110" s="144">
        <f>SUMIFS('апрель 2026'!$G$2:$G$2719,'апрель 2026'!$D$2:$D$2719,$B110,'апрель 2026'!$J$2:$J$2719,I$1)</f>
        <v>0</v>
      </c>
      <c r="J110" s="144">
        <f>SUMIFS('апрель 2026'!$G$2:$G$2719,'апрель 2026'!$D$2:$D$2719,$B110,'апрель 2026'!$J$2:$J$2719,J$1)</f>
        <v>0</v>
      </c>
      <c r="K110" s="144">
        <f>SUMIFS('апрель 2026'!$G$2:$G$2719,'апрель 2026'!$D$2:$D$2719,$B110,'апрель 2026'!$J$2:$J$2719,K$1)</f>
        <v>0</v>
      </c>
      <c r="L110" s="144">
        <f>SUMIFS('апрель 2026'!$G$2:$G$2719,'апрель 2026'!$D$2:$D$2719,$B110,'апрель 2026'!$J$2:$J$2719,L$1)</f>
        <v>0</v>
      </c>
      <c r="M110" s="144">
        <f>SUMIFS('апрель 2026'!$G$2:$G$2719,'апрель 2026'!$D$2:$D$2719,$B110,'апрель 2026'!$J$2:$J$2719,M$1)</f>
        <v>0</v>
      </c>
      <c r="N110" s="144">
        <f>SUMIFS('апрель 2026'!$G$2:$G$2719,'апрель 2026'!$D$2:$D$2719,$B110,'апрель 2026'!$J$2:$J$2719,N$1)</f>
        <v>0</v>
      </c>
      <c r="O110" s="144">
        <f>SUMIFS('апрель 2026'!$G$2:$G$2719,'апрель 2026'!$D$2:$D$2719,$B110,'апрель 2026'!$J$2:$J$2719,O$1)</f>
        <v>0</v>
      </c>
      <c r="P110" s="144">
        <f>SUMIFS('апрель 2026'!$G$2:$G$2719,'апрель 2026'!$D$2:$D$2719,$B110,'апрель 2026'!$J$2:$J$2719,P$1)</f>
        <v>0</v>
      </c>
      <c r="Q110" s="144">
        <f>SUMIFS('апрель 2026'!$G$2:$G$2719,'апрель 2026'!$D$2:$D$2719,$B110,'апрель 2026'!$J$2:$J$2719,Q$1)</f>
        <v>0</v>
      </c>
      <c r="R110" s="144">
        <f>SUMIFS('апрель 2026'!$G$2:$G$2719,'апрель 2026'!$D$2:$D$2719,$B110,'апрель 2026'!$J$2:$J$2719,R$1)</f>
        <v>0</v>
      </c>
      <c r="S110" s="144">
        <f>SUMIFS('апрель 2026'!$G$2:$G$2719,'апрель 2026'!$D$2:$D$2719,$B110,'апрель 2026'!$J$2:$J$2719,S$1)</f>
        <v>0</v>
      </c>
      <c r="T110" s="144">
        <f>SUMIFS('апрель 2026'!$G$2:$G$2719,'апрель 2026'!$D$2:$D$2719,$B110,'апрель 2026'!$J$2:$J$2719,T$1)</f>
        <v>0</v>
      </c>
      <c r="U110" s="144">
        <f>SUMIFS('апрель 2026'!$G$2:$G$2719,'апрель 2026'!$D$2:$D$2719,$B110,'апрель 2026'!$J$2:$J$2719,U$1)</f>
        <v>0</v>
      </c>
      <c r="V110" s="144">
        <f>SUMIFS('апрель 2026'!$G$2:$G$2719,'апрель 2026'!$D$2:$D$2719,$B110,'апрель 2026'!$J$2:$J$2719,V$1)</f>
        <v>0</v>
      </c>
      <c r="W110" s="144">
        <f>SUMIFS('апрель 2026'!$G$2:$G$2719,'апрель 2026'!$D$2:$D$2719,$B110,'апрель 2026'!$J$2:$J$2719,W$1)</f>
        <v>0</v>
      </c>
      <c r="X110" s="144">
        <f>SUMIFS('апрель 2026'!$G$2:$G$2719,'апрель 2026'!$D$2:$D$2719,$B110,'апрель 2026'!$J$2:$J$2719,X$1)</f>
        <v>0</v>
      </c>
      <c r="Y110" s="144">
        <f>SUMIFS('апрель 2026'!$G$2:$G$2719,'апрель 2026'!$D$2:$D$2719,$B110,'апрель 2026'!$J$2:$J$2719,Y$1)</f>
        <v>0</v>
      </c>
      <c r="Z110" s="144">
        <f>SUMIFS('апрель 2026'!$G$2:$G$2719,'апрель 2026'!$D$2:$D$2719,$B110,'апрель 2026'!$J$2:$J$2719,Z$1)</f>
        <v>0</v>
      </c>
      <c r="AA110" s="144">
        <f>SUMIFS('апрель 2026'!$G$2:$G$2719,'апрель 2026'!$D$2:$D$2719,$B110,'апрель 2026'!$J$2:$J$2719,AA$1)</f>
        <v>0</v>
      </c>
      <c r="AB110" s="144">
        <f>SUMIFS('апрель 2026'!$G$2:$G$2719,'апрель 2026'!$D$2:$D$2719,$B110,'апрель 2026'!$J$2:$J$2719,AB$1)</f>
        <v>0</v>
      </c>
      <c r="AC110" s="144">
        <f>SUMIFS('апрель 2026'!$G$2:$G$2719,'апрель 2026'!$D$2:$D$2719,$B110,'апрель 2026'!$J$2:$J$2719,AC$1)</f>
        <v>0</v>
      </c>
      <c r="AD110" s="144">
        <f>SUMIFS('апрель 2026'!$G$2:$G$2719,'апрель 2026'!$D$2:$D$2719,$B110,'апрель 2026'!$J$2:$J$2719,AD$1)</f>
        <v>0</v>
      </c>
      <c r="AE110" s="144">
        <f>SUMIFS('апрель 2026'!$G$2:$G$2719,'апрель 2026'!$D$2:$D$2719,$B110,'апрель 2026'!$J$2:$J$2719,AE$1)</f>
        <v>0</v>
      </c>
      <c r="AF110" s="144">
        <f>SUMIFS('апрель 2026'!$G$2:$G$2719,'апрель 2026'!$D$2:$D$2719,$B110,'апрель 2026'!$J$2:$J$2719,AF$1)</f>
        <v>0</v>
      </c>
      <c r="AG110" s="144">
        <f>SUMIFS('апрель 2026'!$G$2:$G$2719,'апрель 2026'!$D$2:$D$2719,$B110,'апрель 2026'!$J$2:$J$2719,AG$1)</f>
        <v>0</v>
      </c>
      <c r="AH110" s="144">
        <f>SUMIFS('апрель 2026'!$G$2:$G$2719,'апрель 2026'!$D$2:$D$2719,$B110,'апрель 2026'!$J$2:$J$2719,AH$1)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SUMIFS('апрель 2026'!$G$2:$G$2719,'апрель 2026'!$D$2:$D$2719,$B111,'апрель 2026'!$J$2:$J$2719,D$1)</f>
        <v>0</v>
      </c>
      <c r="E111" s="144">
        <f>SUMIFS('апрель 2026'!$G$2:$G$2719,'апрель 2026'!$D$2:$D$2719,$B111,'апрель 2026'!$J$2:$J$2719,E$1)</f>
        <v>0</v>
      </c>
      <c r="F111" s="144">
        <f>SUMIFS('апрель 2026'!$G$2:$G$2719,'апрель 2026'!$D$2:$D$2719,$B111,'апрель 2026'!$J$2:$J$2719,F$1)</f>
        <v>0</v>
      </c>
      <c r="G111" s="144">
        <f>SUMIFS('апрель 2026'!$G$2:$G$2719,'апрель 2026'!$D$2:$D$2719,$B111,'апрель 2026'!$J$2:$J$2719,G$1)</f>
        <v>0</v>
      </c>
      <c r="H111" s="144">
        <f>SUMIFS('апрель 2026'!$G$2:$G$2719,'апрель 2026'!$D$2:$D$2719,$B111,'апрель 2026'!$J$2:$J$2719,H$1)</f>
        <v>0</v>
      </c>
      <c r="I111" s="144">
        <f>SUMIFS('апрель 2026'!$G$2:$G$2719,'апрель 2026'!$D$2:$D$2719,$B111,'апрель 2026'!$J$2:$J$2719,I$1)</f>
        <v>0</v>
      </c>
      <c r="J111" s="144">
        <f>SUMIFS('апрель 2026'!$G$2:$G$2719,'апрель 2026'!$D$2:$D$2719,$B111,'апрель 2026'!$J$2:$J$2719,J$1)</f>
        <v>0</v>
      </c>
      <c r="K111" s="144">
        <f>SUMIFS('апрель 2026'!$G$2:$G$2719,'апрель 2026'!$D$2:$D$2719,$B111,'апрель 2026'!$J$2:$J$2719,K$1)</f>
        <v>0</v>
      </c>
      <c r="L111" s="144">
        <f>SUMIFS('апрель 2026'!$G$2:$G$2719,'апрель 2026'!$D$2:$D$2719,$B111,'апрель 2026'!$J$2:$J$2719,L$1)</f>
        <v>0</v>
      </c>
      <c r="M111" s="144">
        <f>SUMIFS('апрель 2026'!$G$2:$G$2719,'апрель 2026'!$D$2:$D$2719,$B111,'апрель 2026'!$J$2:$J$2719,M$1)</f>
        <v>0</v>
      </c>
      <c r="N111" s="144">
        <f>SUMIFS('апрель 2026'!$G$2:$G$2719,'апрель 2026'!$D$2:$D$2719,$B111,'апрель 2026'!$J$2:$J$2719,N$1)</f>
        <v>0</v>
      </c>
      <c r="O111" s="144">
        <f>SUMIFS('апрель 2026'!$G$2:$G$2719,'апрель 2026'!$D$2:$D$2719,$B111,'апрель 2026'!$J$2:$J$2719,O$1)</f>
        <v>0</v>
      </c>
      <c r="P111" s="144">
        <f>SUMIFS('апрель 2026'!$G$2:$G$2719,'апрель 2026'!$D$2:$D$2719,$B111,'апрель 2026'!$J$2:$J$2719,P$1)</f>
        <v>0</v>
      </c>
      <c r="Q111" s="144">
        <f>SUMIFS('апрель 2026'!$G$2:$G$2719,'апрель 2026'!$D$2:$D$2719,$B111,'апрель 2026'!$J$2:$J$2719,Q$1)</f>
        <v>0</v>
      </c>
      <c r="R111" s="144">
        <f>SUMIFS('апрель 2026'!$G$2:$G$2719,'апрель 2026'!$D$2:$D$2719,$B111,'апрель 2026'!$J$2:$J$2719,R$1)</f>
        <v>0</v>
      </c>
      <c r="S111" s="144">
        <f>SUMIFS('апрель 2026'!$G$2:$G$2719,'апрель 2026'!$D$2:$D$2719,$B111,'апрель 2026'!$J$2:$J$2719,S$1)</f>
        <v>0</v>
      </c>
      <c r="T111" s="144">
        <f>SUMIFS('апрель 2026'!$G$2:$G$2719,'апрель 2026'!$D$2:$D$2719,$B111,'апрель 2026'!$J$2:$J$2719,T$1)</f>
        <v>0</v>
      </c>
      <c r="U111" s="144">
        <f>SUMIFS('апрель 2026'!$G$2:$G$2719,'апрель 2026'!$D$2:$D$2719,$B111,'апрель 2026'!$J$2:$J$2719,U$1)</f>
        <v>0</v>
      </c>
      <c r="V111" s="144">
        <f>SUMIFS('апрель 2026'!$G$2:$G$2719,'апрель 2026'!$D$2:$D$2719,$B111,'апрель 2026'!$J$2:$J$2719,V$1)</f>
        <v>0</v>
      </c>
      <c r="W111" s="144">
        <f>SUMIFS('апрель 2026'!$G$2:$G$2719,'апрель 2026'!$D$2:$D$2719,$B111,'апрель 2026'!$J$2:$J$2719,W$1)</f>
        <v>0</v>
      </c>
      <c r="X111" s="144">
        <f>SUMIFS('апрель 2026'!$G$2:$G$2719,'апрель 2026'!$D$2:$D$2719,$B111,'апрель 2026'!$J$2:$J$2719,X$1)</f>
        <v>0</v>
      </c>
      <c r="Y111" s="144">
        <f>SUMIFS('апрель 2026'!$G$2:$G$2719,'апрель 2026'!$D$2:$D$2719,$B111,'апрель 2026'!$J$2:$J$2719,Y$1)</f>
        <v>0</v>
      </c>
      <c r="Z111" s="144">
        <f>SUMIFS('апрель 2026'!$G$2:$G$2719,'апрель 2026'!$D$2:$D$2719,$B111,'апрель 2026'!$J$2:$J$2719,Z$1)</f>
        <v>0</v>
      </c>
      <c r="AA111" s="144">
        <f>SUMIFS('апрель 2026'!$G$2:$G$2719,'апрель 2026'!$D$2:$D$2719,$B111,'апрель 2026'!$J$2:$J$2719,AA$1)</f>
        <v>0</v>
      </c>
      <c r="AB111" s="144">
        <f>SUMIFS('апрель 2026'!$G$2:$G$2719,'апрель 2026'!$D$2:$D$2719,$B111,'апрель 2026'!$J$2:$J$2719,AB$1)</f>
        <v>0</v>
      </c>
      <c r="AC111" s="144">
        <f>SUMIFS('апрель 2026'!$G$2:$G$2719,'апрель 2026'!$D$2:$D$2719,$B111,'апрель 2026'!$J$2:$J$2719,AC$1)</f>
        <v>0</v>
      </c>
      <c r="AD111" s="144">
        <f>SUMIFS('апрель 2026'!$G$2:$G$2719,'апрель 2026'!$D$2:$D$2719,$B111,'апрель 2026'!$J$2:$J$2719,AD$1)</f>
        <v>0</v>
      </c>
      <c r="AE111" s="144">
        <f>SUMIFS('апрель 2026'!$G$2:$G$2719,'апрель 2026'!$D$2:$D$2719,$B111,'апрель 2026'!$J$2:$J$2719,AE$1)</f>
        <v>0</v>
      </c>
      <c r="AF111" s="144">
        <f>SUMIFS('апрель 2026'!$G$2:$G$2719,'апрель 2026'!$D$2:$D$2719,$B111,'апрель 2026'!$J$2:$J$2719,AF$1)</f>
        <v>0</v>
      </c>
      <c r="AG111" s="144">
        <f>SUMIFS('апрель 2026'!$G$2:$G$2719,'апрель 2026'!$D$2:$D$2719,$B111,'апрель 2026'!$J$2:$J$2719,AG$1)</f>
        <v>0</v>
      </c>
      <c r="AH111" s="144">
        <f>SUMIFS('апрель 2026'!$G$2:$G$2719,'апрель 2026'!$D$2:$D$2719,$B111,'апрель 2026'!$J$2:$J$2719,AH$1)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SUMIFS('апрель 2026'!$G$2:$G$2719,'апрель 2026'!$D$2:$D$2719,$B112,'апрель 2026'!$J$2:$J$2719,D$1)</f>
        <v>0</v>
      </c>
      <c r="E112" s="144">
        <f>SUMIFS('апрель 2026'!$G$2:$G$2719,'апрель 2026'!$D$2:$D$2719,$B112,'апрель 2026'!$J$2:$J$2719,E$1)</f>
        <v>0</v>
      </c>
      <c r="F112" s="144">
        <f>SUMIFS('апрель 2026'!$G$2:$G$2719,'апрель 2026'!$D$2:$D$2719,$B112,'апрель 2026'!$J$2:$J$2719,F$1)</f>
        <v>0</v>
      </c>
      <c r="G112" s="144">
        <f>SUMIFS('апрель 2026'!$G$2:$G$2719,'апрель 2026'!$D$2:$D$2719,$B112,'апрель 2026'!$J$2:$J$2719,G$1)</f>
        <v>0</v>
      </c>
      <c r="H112" s="144">
        <f>SUMIFS('апрель 2026'!$G$2:$G$2719,'апрель 2026'!$D$2:$D$2719,$B112,'апрель 2026'!$J$2:$J$2719,H$1)</f>
        <v>0</v>
      </c>
      <c r="I112" s="144">
        <f>SUMIFS('апрель 2026'!$G$2:$G$2719,'апрель 2026'!$D$2:$D$2719,$B112,'апрель 2026'!$J$2:$J$2719,I$1)</f>
        <v>0</v>
      </c>
      <c r="J112" s="144">
        <f>SUMIFS('апрель 2026'!$G$2:$G$2719,'апрель 2026'!$D$2:$D$2719,$B112,'апрель 2026'!$J$2:$J$2719,J$1)</f>
        <v>0</v>
      </c>
      <c r="K112" s="144">
        <f>SUMIFS('апрель 2026'!$G$2:$G$2719,'апрель 2026'!$D$2:$D$2719,$B112,'апрель 2026'!$J$2:$J$2719,K$1)</f>
        <v>0</v>
      </c>
      <c r="L112" s="144">
        <f>SUMIFS('апрель 2026'!$G$2:$G$2719,'апрель 2026'!$D$2:$D$2719,$B112,'апрель 2026'!$J$2:$J$2719,L$1)</f>
        <v>0</v>
      </c>
      <c r="M112" s="144">
        <f>SUMIFS('апрель 2026'!$G$2:$G$2719,'апрель 2026'!$D$2:$D$2719,$B112,'апрель 2026'!$J$2:$J$2719,M$1)</f>
        <v>0</v>
      </c>
      <c r="N112" s="144">
        <f>SUMIFS('апрель 2026'!$G$2:$G$2719,'апрель 2026'!$D$2:$D$2719,$B112,'апрель 2026'!$J$2:$J$2719,N$1)</f>
        <v>0</v>
      </c>
      <c r="O112" s="144">
        <f>SUMIFS('апрель 2026'!$G$2:$G$2719,'апрель 2026'!$D$2:$D$2719,$B112,'апрель 2026'!$J$2:$J$2719,O$1)</f>
        <v>0</v>
      </c>
      <c r="P112" s="144">
        <f>SUMIFS('апрель 2026'!$G$2:$G$2719,'апрель 2026'!$D$2:$D$2719,$B112,'апрель 2026'!$J$2:$J$2719,P$1)</f>
        <v>0</v>
      </c>
      <c r="Q112" s="144">
        <f>SUMIFS('апрель 2026'!$G$2:$G$2719,'апрель 2026'!$D$2:$D$2719,$B112,'апрель 2026'!$J$2:$J$2719,Q$1)</f>
        <v>0</v>
      </c>
      <c r="R112" s="144">
        <f>SUMIFS('апрель 2026'!$G$2:$G$2719,'апрель 2026'!$D$2:$D$2719,$B112,'апрель 2026'!$J$2:$J$2719,R$1)</f>
        <v>0</v>
      </c>
      <c r="S112" s="144">
        <f>SUMIFS('апрель 2026'!$G$2:$G$2719,'апрель 2026'!$D$2:$D$2719,$B112,'апрель 2026'!$J$2:$J$2719,S$1)</f>
        <v>0</v>
      </c>
      <c r="T112" s="144">
        <f>SUMIFS('апрель 2026'!$G$2:$G$2719,'апрель 2026'!$D$2:$D$2719,$B112,'апрель 2026'!$J$2:$J$2719,T$1)</f>
        <v>0</v>
      </c>
      <c r="U112" s="144">
        <f>SUMIFS('апрель 2026'!$G$2:$G$2719,'апрель 2026'!$D$2:$D$2719,$B112,'апрель 2026'!$J$2:$J$2719,U$1)</f>
        <v>0</v>
      </c>
      <c r="V112" s="144">
        <f>SUMIFS('апрель 2026'!$G$2:$G$2719,'апрель 2026'!$D$2:$D$2719,$B112,'апрель 2026'!$J$2:$J$2719,V$1)</f>
        <v>0</v>
      </c>
      <c r="W112" s="144">
        <f>SUMIFS('апрель 2026'!$G$2:$G$2719,'апрель 2026'!$D$2:$D$2719,$B112,'апрель 2026'!$J$2:$J$2719,W$1)</f>
        <v>0</v>
      </c>
      <c r="X112" s="144">
        <f>SUMIFS('апрель 2026'!$G$2:$G$2719,'апрель 2026'!$D$2:$D$2719,$B112,'апрель 2026'!$J$2:$J$2719,X$1)</f>
        <v>0</v>
      </c>
      <c r="Y112" s="144">
        <f>SUMIFS('апрель 2026'!$G$2:$G$2719,'апрель 2026'!$D$2:$D$2719,$B112,'апрель 2026'!$J$2:$J$2719,Y$1)</f>
        <v>0</v>
      </c>
      <c r="Z112" s="144">
        <f>SUMIFS('апрель 2026'!$G$2:$G$2719,'апрель 2026'!$D$2:$D$2719,$B112,'апрель 2026'!$J$2:$J$2719,Z$1)</f>
        <v>0</v>
      </c>
      <c r="AA112" s="144">
        <f>SUMIFS('апрель 2026'!$G$2:$G$2719,'апрель 2026'!$D$2:$D$2719,$B112,'апрель 2026'!$J$2:$J$2719,AA$1)</f>
        <v>0</v>
      </c>
      <c r="AB112" s="144">
        <f>SUMIFS('апрель 2026'!$G$2:$G$2719,'апрель 2026'!$D$2:$D$2719,$B112,'апрель 2026'!$J$2:$J$2719,AB$1)</f>
        <v>0</v>
      </c>
      <c r="AC112" s="144">
        <f>SUMIFS('апрель 2026'!$G$2:$G$2719,'апрель 2026'!$D$2:$D$2719,$B112,'апрель 2026'!$J$2:$J$2719,AC$1)</f>
        <v>0</v>
      </c>
      <c r="AD112" s="144">
        <f>SUMIFS('апрель 2026'!$G$2:$G$2719,'апрель 2026'!$D$2:$D$2719,$B112,'апрель 2026'!$J$2:$J$2719,AD$1)</f>
        <v>0</v>
      </c>
      <c r="AE112" s="144">
        <f>SUMIFS('апрель 2026'!$G$2:$G$2719,'апрель 2026'!$D$2:$D$2719,$B112,'апрель 2026'!$J$2:$J$2719,AE$1)</f>
        <v>0</v>
      </c>
      <c r="AF112" s="144">
        <f>SUMIFS('апрель 2026'!$G$2:$G$2719,'апрель 2026'!$D$2:$D$2719,$B112,'апрель 2026'!$J$2:$J$2719,AF$1)</f>
        <v>0</v>
      </c>
      <c r="AG112" s="144">
        <f>SUMIFS('апрель 2026'!$G$2:$G$2719,'апрель 2026'!$D$2:$D$2719,$B112,'апрель 2026'!$J$2:$J$2719,AG$1)</f>
        <v>0</v>
      </c>
      <c r="AH112" s="144">
        <f>SUMIFS('апрель 2026'!$G$2:$G$2719,'апрель 2026'!$D$2:$D$2719,$B112,'апрель 2026'!$J$2:$J$2719,AH$1)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SUMIFS('апрель 2026'!$G$2:$G$2719,'апрель 2026'!$D$2:$D$2719,$B113,'апрель 2026'!$J$2:$J$2719,D$1)</f>
        <v>0</v>
      </c>
      <c r="E113" s="144">
        <f>SUMIFS('апрель 2026'!$G$2:$G$2719,'апрель 2026'!$D$2:$D$2719,$B113,'апрель 2026'!$J$2:$J$2719,E$1)</f>
        <v>0</v>
      </c>
      <c r="F113" s="144">
        <f>SUMIFS('апрель 2026'!$G$2:$G$2719,'апрель 2026'!$D$2:$D$2719,$B113,'апрель 2026'!$J$2:$J$2719,F$1)</f>
        <v>0</v>
      </c>
      <c r="G113" s="144">
        <f>SUMIFS('апрель 2026'!$G$2:$G$2719,'апрель 2026'!$D$2:$D$2719,$B113,'апрель 2026'!$J$2:$J$2719,G$1)</f>
        <v>0</v>
      </c>
      <c r="H113" s="144">
        <f>SUMIFS('апрель 2026'!$G$2:$G$2719,'апрель 2026'!$D$2:$D$2719,$B113,'апрель 2026'!$J$2:$J$2719,H$1)</f>
        <v>0</v>
      </c>
      <c r="I113" s="144">
        <f>SUMIFS('апрель 2026'!$G$2:$G$2719,'апрель 2026'!$D$2:$D$2719,$B113,'апрель 2026'!$J$2:$J$2719,I$1)</f>
        <v>0</v>
      </c>
      <c r="J113" s="144">
        <f>SUMIFS('апрель 2026'!$G$2:$G$2719,'апрель 2026'!$D$2:$D$2719,$B113,'апрель 2026'!$J$2:$J$2719,J$1)</f>
        <v>0</v>
      </c>
      <c r="K113" s="144">
        <f>SUMIFS('апрель 2026'!$G$2:$G$2719,'апрель 2026'!$D$2:$D$2719,$B113,'апрель 2026'!$J$2:$J$2719,K$1)</f>
        <v>0</v>
      </c>
      <c r="L113" s="144">
        <f>SUMIFS('апрель 2026'!$G$2:$G$2719,'апрель 2026'!$D$2:$D$2719,$B113,'апрель 2026'!$J$2:$J$2719,L$1)</f>
        <v>0</v>
      </c>
      <c r="M113" s="144">
        <f>SUMIFS('апрель 2026'!$G$2:$G$2719,'апрель 2026'!$D$2:$D$2719,$B113,'апрель 2026'!$J$2:$J$2719,M$1)</f>
        <v>0</v>
      </c>
      <c r="N113" s="144">
        <f>SUMIFS('апрель 2026'!$G$2:$G$2719,'апрель 2026'!$D$2:$D$2719,$B113,'апрель 2026'!$J$2:$J$2719,N$1)</f>
        <v>0</v>
      </c>
      <c r="O113" s="144">
        <f>SUMIFS('апрель 2026'!$G$2:$G$2719,'апрель 2026'!$D$2:$D$2719,$B113,'апрель 2026'!$J$2:$J$2719,O$1)</f>
        <v>0</v>
      </c>
      <c r="P113" s="144">
        <f>SUMIFS('апрель 2026'!$G$2:$G$2719,'апрель 2026'!$D$2:$D$2719,$B113,'апрель 2026'!$J$2:$J$2719,P$1)</f>
        <v>0</v>
      </c>
      <c r="Q113" s="144">
        <f>SUMIFS('апрель 2026'!$G$2:$G$2719,'апрель 2026'!$D$2:$D$2719,$B113,'апрель 2026'!$J$2:$J$2719,Q$1)</f>
        <v>0</v>
      </c>
      <c r="R113" s="144">
        <f>SUMIFS('апрель 2026'!$G$2:$G$2719,'апрель 2026'!$D$2:$D$2719,$B113,'апрель 2026'!$J$2:$J$2719,R$1)</f>
        <v>0</v>
      </c>
      <c r="S113" s="144">
        <f>SUMIFS('апрель 2026'!$G$2:$G$2719,'апрель 2026'!$D$2:$D$2719,$B113,'апрель 2026'!$J$2:$J$2719,S$1)</f>
        <v>0</v>
      </c>
      <c r="T113" s="144">
        <f>SUMIFS('апрель 2026'!$G$2:$G$2719,'апрель 2026'!$D$2:$D$2719,$B113,'апрель 2026'!$J$2:$J$2719,T$1)</f>
        <v>0</v>
      </c>
      <c r="U113" s="144">
        <f>SUMIFS('апрель 2026'!$G$2:$G$2719,'апрель 2026'!$D$2:$D$2719,$B113,'апрель 2026'!$J$2:$J$2719,U$1)</f>
        <v>0</v>
      </c>
      <c r="V113" s="144">
        <f>SUMIFS('апрель 2026'!$G$2:$G$2719,'апрель 2026'!$D$2:$D$2719,$B113,'апрель 2026'!$J$2:$J$2719,V$1)</f>
        <v>0</v>
      </c>
      <c r="W113" s="144">
        <f>SUMIFS('апрель 2026'!$G$2:$G$2719,'апрель 2026'!$D$2:$D$2719,$B113,'апрель 2026'!$J$2:$J$2719,W$1)</f>
        <v>0</v>
      </c>
      <c r="X113" s="144">
        <f>SUMIFS('апрель 2026'!$G$2:$G$2719,'апрель 2026'!$D$2:$D$2719,$B113,'апрель 2026'!$J$2:$J$2719,X$1)</f>
        <v>0</v>
      </c>
      <c r="Y113" s="144">
        <f>SUMIFS('апрель 2026'!$G$2:$G$2719,'апрель 2026'!$D$2:$D$2719,$B113,'апрель 2026'!$J$2:$J$2719,Y$1)</f>
        <v>0</v>
      </c>
      <c r="Z113" s="144">
        <f>SUMIFS('апрель 2026'!$G$2:$G$2719,'апрель 2026'!$D$2:$D$2719,$B113,'апрель 2026'!$J$2:$J$2719,Z$1)</f>
        <v>0</v>
      </c>
      <c r="AA113" s="144">
        <f>SUMIFS('апрель 2026'!$G$2:$G$2719,'апрель 2026'!$D$2:$D$2719,$B113,'апрель 2026'!$J$2:$J$2719,AA$1)</f>
        <v>0</v>
      </c>
      <c r="AB113" s="144">
        <f>SUMIFS('апрель 2026'!$G$2:$G$2719,'апрель 2026'!$D$2:$D$2719,$B113,'апрель 2026'!$J$2:$J$2719,AB$1)</f>
        <v>0</v>
      </c>
      <c r="AC113" s="144">
        <f>SUMIFS('апрель 2026'!$G$2:$G$2719,'апрель 2026'!$D$2:$D$2719,$B113,'апрель 2026'!$J$2:$J$2719,AC$1)</f>
        <v>0</v>
      </c>
      <c r="AD113" s="144">
        <f>SUMIFS('апрель 2026'!$G$2:$G$2719,'апрель 2026'!$D$2:$D$2719,$B113,'апрель 2026'!$J$2:$J$2719,AD$1)</f>
        <v>0</v>
      </c>
      <c r="AE113" s="144">
        <f>SUMIFS('апрель 2026'!$G$2:$G$2719,'апрель 2026'!$D$2:$D$2719,$B113,'апрель 2026'!$J$2:$J$2719,AE$1)</f>
        <v>0</v>
      </c>
      <c r="AF113" s="144">
        <f>SUMIFS('апрель 2026'!$G$2:$G$2719,'апрель 2026'!$D$2:$D$2719,$B113,'апрель 2026'!$J$2:$J$2719,AF$1)</f>
        <v>0</v>
      </c>
      <c r="AG113" s="144">
        <f>SUMIFS('апрель 2026'!$G$2:$G$2719,'апрель 2026'!$D$2:$D$2719,$B113,'апрель 2026'!$J$2:$J$2719,AG$1)</f>
        <v>0</v>
      </c>
      <c r="AH113" s="144">
        <f>SUMIFS('апрель 2026'!$G$2:$G$2719,'апрель 2026'!$D$2:$D$2719,$B113,'апрель 2026'!$J$2:$J$2719,AH$1)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SUMIFS('апрель 2026'!$G$2:$G$2719,'апрель 2026'!$D$2:$D$2719,$B114,'апрель 2026'!$J$2:$J$2719,D$1)</f>
        <v>0</v>
      </c>
      <c r="E114" s="144">
        <f>SUMIFS('апрель 2026'!$G$2:$G$2719,'апрель 2026'!$D$2:$D$2719,$B114,'апрель 2026'!$J$2:$J$2719,E$1)</f>
        <v>0</v>
      </c>
      <c r="F114" s="144">
        <f>SUMIFS('апрель 2026'!$G$2:$G$2719,'апрель 2026'!$D$2:$D$2719,$B114,'апрель 2026'!$J$2:$J$2719,F$1)</f>
        <v>0</v>
      </c>
      <c r="G114" s="144">
        <f>SUMIFS('апрель 2026'!$G$2:$G$2719,'апрель 2026'!$D$2:$D$2719,$B114,'апрель 2026'!$J$2:$J$2719,G$1)</f>
        <v>0</v>
      </c>
      <c r="H114" s="144">
        <f>SUMIFS('апрель 2026'!$G$2:$G$2719,'апрель 2026'!$D$2:$D$2719,$B114,'апрель 2026'!$J$2:$J$2719,H$1)</f>
        <v>0</v>
      </c>
      <c r="I114" s="144">
        <f>SUMIFS('апрель 2026'!$G$2:$G$2719,'апрель 2026'!$D$2:$D$2719,$B114,'апрель 2026'!$J$2:$J$2719,I$1)</f>
        <v>0</v>
      </c>
      <c r="J114" s="144">
        <f>SUMIFS('апрель 2026'!$G$2:$G$2719,'апрель 2026'!$D$2:$D$2719,$B114,'апрель 2026'!$J$2:$J$2719,J$1)</f>
        <v>0</v>
      </c>
      <c r="K114" s="144">
        <f>SUMIFS('апрель 2026'!$G$2:$G$2719,'апрель 2026'!$D$2:$D$2719,$B114,'апрель 2026'!$J$2:$J$2719,K$1)</f>
        <v>0</v>
      </c>
      <c r="L114" s="144">
        <f>SUMIFS('апрель 2026'!$G$2:$G$2719,'апрель 2026'!$D$2:$D$2719,$B114,'апрель 2026'!$J$2:$J$2719,L$1)</f>
        <v>0</v>
      </c>
      <c r="M114" s="144">
        <f>SUMIFS('апрель 2026'!$G$2:$G$2719,'апрель 2026'!$D$2:$D$2719,$B114,'апрель 2026'!$J$2:$J$2719,M$1)</f>
        <v>0</v>
      </c>
      <c r="N114" s="144">
        <f>SUMIFS('апрель 2026'!$G$2:$G$2719,'апрель 2026'!$D$2:$D$2719,$B114,'апрель 2026'!$J$2:$J$2719,N$1)</f>
        <v>0</v>
      </c>
      <c r="O114" s="144">
        <f>SUMIFS('апрель 2026'!$G$2:$G$2719,'апрель 2026'!$D$2:$D$2719,$B114,'апрель 2026'!$J$2:$J$2719,O$1)</f>
        <v>0</v>
      </c>
      <c r="P114" s="144">
        <f>SUMIFS('апрель 2026'!$G$2:$G$2719,'апрель 2026'!$D$2:$D$2719,$B114,'апрель 2026'!$J$2:$J$2719,P$1)</f>
        <v>0</v>
      </c>
      <c r="Q114" s="144">
        <f>SUMIFS('апрель 2026'!$G$2:$G$2719,'апрель 2026'!$D$2:$D$2719,$B114,'апрель 2026'!$J$2:$J$2719,Q$1)</f>
        <v>0</v>
      </c>
      <c r="R114" s="144">
        <f>SUMIFS('апрель 2026'!$G$2:$G$2719,'апрель 2026'!$D$2:$D$2719,$B114,'апрель 2026'!$J$2:$J$2719,R$1)</f>
        <v>0</v>
      </c>
      <c r="S114" s="144">
        <f>SUMIFS('апрель 2026'!$G$2:$G$2719,'апрель 2026'!$D$2:$D$2719,$B114,'апрель 2026'!$J$2:$J$2719,S$1)</f>
        <v>0</v>
      </c>
      <c r="T114" s="144">
        <f>SUMIFS('апрель 2026'!$G$2:$G$2719,'апрель 2026'!$D$2:$D$2719,$B114,'апрель 2026'!$J$2:$J$2719,T$1)</f>
        <v>0</v>
      </c>
      <c r="U114" s="144">
        <f>SUMIFS('апрель 2026'!$G$2:$G$2719,'апрель 2026'!$D$2:$D$2719,$B114,'апрель 2026'!$J$2:$J$2719,U$1)</f>
        <v>0</v>
      </c>
      <c r="V114" s="144">
        <f>SUMIFS('апрель 2026'!$G$2:$G$2719,'апрель 2026'!$D$2:$D$2719,$B114,'апрель 2026'!$J$2:$J$2719,V$1)</f>
        <v>0</v>
      </c>
      <c r="W114" s="144">
        <f>SUMIFS('апрель 2026'!$G$2:$G$2719,'апрель 2026'!$D$2:$D$2719,$B114,'апрель 2026'!$J$2:$J$2719,W$1)</f>
        <v>0</v>
      </c>
      <c r="X114" s="144">
        <f>SUMIFS('апрель 2026'!$G$2:$G$2719,'апрель 2026'!$D$2:$D$2719,$B114,'апрель 2026'!$J$2:$J$2719,X$1)</f>
        <v>0</v>
      </c>
      <c r="Y114" s="144">
        <f>SUMIFS('апрель 2026'!$G$2:$G$2719,'апрель 2026'!$D$2:$D$2719,$B114,'апрель 2026'!$J$2:$J$2719,Y$1)</f>
        <v>0</v>
      </c>
      <c r="Z114" s="144">
        <f>SUMIFS('апрель 2026'!$G$2:$G$2719,'апрель 2026'!$D$2:$D$2719,$B114,'апрель 2026'!$J$2:$J$2719,Z$1)</f>
        <v>0</v>
      </c>
      <c r="AA114" s="144">
        <f>SUMIFS('апрель 2026'!$G$2:$G$2719,'апрель 2026'!$D$2:$D$2719,$B114,'апрель 2026'!$J$2:$J$2719,AA$1)</f>
        <v>0</v>
      </c>
      <c r="AB114" s="144">
        <f>SUMIFS('апрель 2026'!$G$2:$G$2719,'апрель 2026'!$D$2:$D$2719,$B114,'апрель 2026'!$J$2:$J$2719,AB$1)</f>
        <v>0</v>
      </c>
      <c r="AC114" s="144">
        <f>SUMIFS('апрель 2026'!$G$2:$G$2719,'апрель 2026'!$D$2:$D$2719,$B114,'апрель 2026'!$J$2:$J$2719,AC$1)</f>
        <v>0</v>
      </c>
      <c r="AD114" s="144">
        <f>SUMIFS('апрель 2026'!$G$2:$G$2719,'апрель 2026'!$D$2:$D$2719,$B114,'апрель 2026'!$J$2:$J$2719,AD$1)</f>
        <v>0</v>
      </c>
      <c r="AE114" s="144">
        <f>SUMIFS('апрель 2026'!$G$2:$G$2719,'апрель 2026'!$D$2:$D$2719,$B114,'апрель 2026'!$J$2:$J$2719,AE$1)</f>
        <v>0</v>
      </c>
      <c r="AF114" s="144">
        <f>SUMIFS('апрель 2026'!$G$2:$G$2719,'апрель 2026'!$D$2:$D$2719,$B114,'апрель 2026'!$J$2:$J$2719,AF$1)</f>
        <v>0</v>
      </c>
      <c r="AG114" s="144">
        <f>SUMIFS('апрель 2026'!$G$2:$G$2719,'апрель 2026'!$D$2:$D$2719,$B114,'апрель 2026'!$J$2:$J$2719,AG$1)</f>
        <v>0</v>
      </c>
      <c r="AH114" s="144">
        <f>SUMIFS('апрель 2026'!$G$2:$G$2719,'апрель 2026'!$D$2:$D$2719,$B114,'апрель 2026'!$J$2:$J$2719,AH$1)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SUMIFS('апрель 2026'!$G$2:$G$2719,'апрель 2026'!$D$2:$D$2719,$B115,'апрель 2026'!$J$2:$J$2719,D$1)</f>
        <v>0</v>
      </c>
      <c r="E115" s="144">
        <f>SUMIFS('апрель 2026'!$G$2:$G$2719,'апрель 2026'!$D$2:$D$2719,$B115,'апрель 2026'!$J$2:$J$2719,E$1)</f>
        <v>0</v>
      </c>
      <c r="F115" s="144">
        <f>SUMIFS('апрель 2026'!$G$2:$G$2719,'апрель 2026'!$D$2:$D$2719,$B115,'апрель 2026'!$J$2:$J$2719,F$1)</f>
        <v>0</v>
      </c>
      <c r="G115" s="144">
        <f>SUMIFS('апрель 2026'!$G$2:$G$2719,'апрель 2026'!$D$2:$D$2719,$B115,'апрель 2026'!$J$2:$J$2719,G$1)</f>
        <v>0</v>
      </c>
      <c r="H115" s="144">
        <f>SUMIFS('апрель 2026'!$G$2:$G$2719,'апрель 2026'!$D$2:$D$2719,$B115,'апрель 2026'!$J$2:$J$2719,H$1)</f>
        <v>0</v>
      </c>
      <c r="I115" s="144">
        <f>SUMIFS('апрель 2026'!$G$2:$G$2719,'апрель 2026'!$D$2:$D$2719,$B115,'апрель 2026'!$J$2:$J$2719,I$1)</f>
        <v>0</v>
      </c>
      <c r="J115" s="144">
        <f>SUMIFS('апрель 2026'!$G$2:$G$2719,'апрель 2026'!$D$2:$D$2719,$B115,'апрель 2026'!$J$2:$J$2719,J$1)</f>
        <v>0</v>
      </c>
      <c r="K115" s="144">
        <f>SUMIFS('апрель 2026'!$G$2:$G$2719,'апрель 2026'!$D$2:$D$2719,$B115,'апрель 2026'!$J$2:$J$2719,K$1)</f>
        <v>0</v>
      </c>
      <c r="L115" s="144">
        <f>SUMIFS('апрель 2026'!$G$2:$G$2719,'апрель 2026'!$D$2:$D$2719,$B115,'апрель 2026'!$J$2:$J$2719,L$1)</f>
        <v>0</v>
      </c>
      <c r="M115" s="144">
        <f>SUMIFS('апрель 2026'!$G$2:$G$2719,'апрель 2026'!$D$2:$D$2719,$B115,'апрель 2026'!$J$2:$J$2719,M$1)</f>
        <v>0</v>
      </c>
      <c r="N115" s="144">
        <f>SUMIFS('апрель 2026'!$G$2:$G$2719,'апрель 2026'!$D$2:$D$2719,$B115,'апрель 2026'!$J$2:$J$2719,N$1)</f>
        <v>0</v>
      </c>
      <c r="O115" s="144">
        <f>SUMIFS('апрель 2026'!$G$2:$G$2719,'апрель 2026'!$D$2:$D$2719,$B115,'апрель 2026'!$J$2:$J$2719,O$1)</f>
        <v>0</v>
      </c>
      <c r="P115" s="144">
        <f>SUMIFS('апрель 2026'!$G$2:$G$2719,'апрель 2026'!$D$2:$D$2719,$B115,'апрель 2026'!$J$2:$J$2719,P$1)</f>
        <v>0</v>
      </c>
      <c r="Q115" s="144">
        <f>SUMIFS('апрель 2026'!$G$2:$G$2719,'апрель 2026'!$D$2:$D$2719,$B115,'апрель 2026'!$J$2:$J$2719,Q$1)</f>
        <v>0</v>
      </c>
      <c r="R115" s="144">
        <f>SUMIFS('апрель 2026'!$G$2:$G$2719,'апрель 2026'!$D$2:$D$2719,$B115,'апрель 2026'!$J$2:$J$2719,R$1)</f>
        <v>0</v>
      </c>
      <c r="S115" s="144">
        <f>SUMIFS('апрель 2026'!$G$2:$G$2719,'апрель 2026'!$D$2:$D$2719,$B115,'апрель 2026'!$J$2:$J$2719,S$1)</f>
        <v>0</v>
      </c>
      <c r="T115" s="144">
        <f>SUMIFS('апрель 2026'!$G$2:$G$2719,'апрель 2026'!$D$2:$D$2719,$B115,'апрель 2026'!$J$2:$J$2719,T$1)</f>
        <v>0</v>
      </c>
      <c r="U115" s="144">
        <f>SUMIFS('апрель 2026'!$G$2:$G$2719,'апрель 2026'!$D$2:$D$2719,$B115,'апрель 2026'!$J$2:$J$2719,U$1)</f>
        <v>0</v>
      </c>
      <c r="V115" s="144">
        <f>SUMIFS('апрель 2026'!$G$2:$G$2719,'апрель 2026'!$D$2:$D$2719,$B115,'апрель 2026'!$J$2:$J$2719,V$1)</f>
        <v>0</v>
      </c>
      <c r="W115" s="144">
        <f>SUMIFS('апрель 2026'!$G$2:$G$2719,'апрель 2026'!$D$2:$D$2719,$B115,'апрель 2026'!$J$2:$J$2719,W$1)</f>
        <v>0</v>
      </c>
      <c r="X115" s="144">
        <f>SUMIFS('апрель 2026'!$G$2:$G$2719,'апрель 2026'!$D$2:$D$2719,$B115,'апрель 2026'!$J$2:$J$2719,X$1)</f>
        <v>0</v>
      </c>
      <c r="Y115" s="144">
        <f>SUMIFS('апрель 2026'!$G$2:$G$2719,'апрель 2026'!$D$2:$D$2719,$B115,'апрель 2026'!$J$2:$J$2719,Y$1)</f>
        <v>0</v>
      </c>
      <c r="Z115" s="144">
        <f>SUMIFS('апрель 2026'!$G$2:$G$2719,'апрель 2026'!$D$2:$D$2719,$B115,'апрель 2026'!$J$2:$J$2719,Z$1)</f>
        <v>0</v>
      </c>
      <c r="AA115" s="144">
        <f>SUMIFS('апрель 2026'!$G$2:$G$2719,'апрель 2026'!$D$2:$D$2719,$B115,'апрель 2026'!$J$2:$J$2719,AA$1)</f>
        <v>0</v>
      </c>
      <c r="AB115" s="144">
        <f>SUMIFS('апрель 2026'!$G$2:$G$2719,'апрель 2026'!$D$2:$D$2719,$B115,'апрель 2026'!$J$2:$J$2719,AB$1)</f>
        <v>0</v>
      </c>
      <c r="AC115" s="144">
        <f>SUMIFS('апрель 2026'!$G$2:$G$2719,'апрель 2026'!$D$2:$D$2719,$B115,'апрель 2026'!$J$2:$J$2719,AC$1)</f>
        <v>0</v>
      </c>
      <c r="AD115" s="144">
        <f>SUMIFS('апрель 2026'!$G$2:$G$2719,'апрель 2026'!$D$2:$D$2719,$B115,'апрель 2026'!$J$2:$J$2719,AD$1)</f>
        <v>0</v>
      </c>
      <c r="AE115" s="144">
        <f>SUMIFS('апрель 2026'!$G$2:$G$2719,'апрель 2026'!$D$2:$D$2719,$B115,'апрель 2026'!$J$2:$J$2719,AE$1)</f>
        <v>0</v>
      </c>
      <c r="AF115" s="144">
        <f>SUMIFS('апрель 2026'!$G$2:$G$2719,'апрель 2026'!$D$2:$D$2719,$B115,'апрель 2026'!$J$2:$J$2719,AF$1)</f>
        <v>0</v>
      </c>
      <c r="AG115" s="144">
        <f>SUMIFS('апрель 2026'!$G$2:$G$2719,'апрель 2026'!$D$2:$D$2719,$B115,'апрель 2026'!$J$2:$J$2719,AG$1)</f>
        <v>0</v>
      </c>
      <c r="AH115" s="144">
        <f>SUMIFS('апрель 2026'!$G$2:$G$2719,'апрель 2026'!$D$2:$D$2719,$B115,'апрель 2026'!$J$2:$J$2719,AH$1)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SUMIFS('апрель 2026'!$G$2:$G$2719,'апрель 2026'!$D$2:$D$2719,$B116,'апрель 2026'!$J$2:$J$2719,D$1)</f>
        <v>0</v>
      </c>
      <c r="E116" s="144">
        <f>SUMIFS('апрель 2026'!$G$2:$G$2719,'апрель 2026'!$D$2:$D$2719,$B116,'апрель 2026'!$J$2:$J$2719,E$1)</f>
        <v>0</v>
      </c>
      <c r="F116" s="144">
        <f>SUMIFS('апрель 2026'!$G$2:$G$2719,'апрель 2026'!$D$2:$D$2719,$B116,'апрель 2026'!$J$2:$J$2719,F$1)</f>
        <v>0</v>
      </c>
      <c r="G116" s="144">
        <f>SUMIFS('апрель 2026'!$G$2:$G$2719,'апрель 2026'!$D$2:$D$2719,$B116,'апрель 2026'!$J$2:$J$2719,G$1)</f>
        <v>0</v>
      </c>
      <c r="H116" s="144">
        <f>SUMIFS('апрель 2026'!$G$2:$G$2719,'апрель 2026'!$D$2:$D$2719,$B116,'апрель 2026'!$J$2:$J$2719,H$1)</f>
        <v>0</v>
      </c>
      <c r="I116" s="144">
        <f>SUMIFS('апрель 2026'!$G$2:$G$2719,'апрель 2026'!$D$2:$D$2719,$B116,'апрель 2026'!$J$2:$J$2719,I$1)</f>
        <v>0</v>
      </c>
      <c r="J116" s="144">
        <f>SUMIFS('апрель 2026'!$G$2:$G$2719,'апрель 2026'!$D$2:$D$2719,$B116,'апрель 2026'!$J$2:$J$2719,J$1)</f>
        <v>0</v>
      </c>
      <c r="K116" s="144">
        <f>SUMIFS('апрель 2026'!$G$2:$G$2719,'апрель 2026'!$D$2:$D$2719,$B116,'апрель 2026'!$J$2:$J$2719,K$1)</f>
        <v>0</v>
      </c>
      <c r="L116" s="144">
        <f>SUMIFS('апрель 2026'!$G$2:$G$2719,'апрель 2026'!$D$2:$D$2719,$B116,'апрель 2026'!$J$2:$J$2719,L$1)</f>
        <v>0</v>
      </c>
      <c r="M116" s="144">
        <f>SUMIFS('апрель 2026'!$G$2:$G$2719,'апрель 2026'!$D$2:$D$2719,$B116,'апрель 2026'!$J$2:$J$2719,M$1)</f>
        <v>0</v>
      </c>
      <c r="N116" s="144">
        <f>SUMIFS('апрель 2026'!$G$2:$G$2719,'апрель 2026'!$D$2:$D$2719,$B116,'апрель 2026'!$J$2:$J$2719,N$1)</f>
        <v>0</v>
      </c>
      <c r="O116" s="144">
        <f>SUMIFS('апрель 2026'!$G$2:$G$2719,'апрель 2026'!$D$2:$D$2719,$B116,'апрель 2026'!$J$2:$J$2719,O$1)</f>
        <v>0</v>
      </c>
      <c r="P116" s="144">
        <f>SUMIFS('апрель 2026'!$G$2:$G$2719,'апрель 2026'!$D$2:$D$2719,$B116,'апрель 2026'!$J$2:$J$2719,P$1)</f>
        <v>0</v>
      </c>
      <c r="Q116" s="144">
        <f>SUMIFS('апрель 2026'!$G$2:$G$2719,'апрель 2026'!$D$2:$D$2719,$B116,'апрель 2026'!$J$2:$J$2719,Q$1)</f>
        <v>0</v>
      </c>
      <c r="R116" s="144">
        <f>SUMIFS('апрель 2026'!$G$2:$G$2719,'апрель 2026'!$D$2:$D$2719,$B116,'апрель 2026'!$J$2:$J$2719,R$1)</f>
        <v>0</v>
      </c>
      <c r="S116" s="144">
        <f>SUMIFS('апрель 2026'!$G$2:$G$2719,'апрель 2026'!$D$2:$D$2719,$B116,'апрель 2026'!$J$2:$J$2719,S$1)</f>
        <v>0</v>
      </c>
      <c r="T116" s="144">
        <f>SUMIFS('апрель 2026'!$G$2:$G$2719,'апрель 2026'!$D$2:$D$2719,$B116,'апрель 2026'!$J$2:$J$2719,T$1)</f>
        <v>0</v>
      </c>
      <c r="U116" s="144">
        <f>SUMIFS('апрель 2026'!$G$2:$G$2719,'апрель 2026'!$D$2:$D$2719,$B116,'апрель 2026'!$J$2:$J$2719,U$1)</f>
        <v>0</v>
      </c>
      <c r="V116" s="144">
        <f>SUMIFS('апрель 2026'!$G$2:$G$2719,'апрель 2026'!$D$2:$D$2719,$B116,'апрель 2026'!$J$2:$J$2719,V$1)</f>
        <v>0</v>
      </c>
      <c r="W116" s="144">
        <f>SUMIFS('апрель 2026'!$G$2:$G$2719,'апрель 2026'!$D$2:$D$2719,$B116,'апрель 2026'!$J$2:$J$2719,W$1)</f>
        <v>0</v>
      </c>
      <c r="X116" s="144">
        <f>SUMIFS('апрель 2026'!$G$2:$G$2719,'апрель 2026'!$D$2:$D$2719,$B116,'апрель 2026'!$J$2:$J$2719,X$1)</f>
        <v>0</v>
      </c>
      <c r="Y116" s="144">
        <f>SUMIFS('апрель 2026'!$G$2:$G$2719,'апрель 2026'!$D$2:$D$2719,$B116,'апрель 2026'!$J$2:$J$2719,Y$1)</f>
        <v>0</v>
      </c>
      <c r="Z116" s="144">
        <f>SUMIFS('апрель 2026'!$G$2:$G$2719,'апрель 2026'!$D$2:$D$2719,$B116,'апрель 2026'!$J$2:$J$2719,Z$1)</f>
        <v>0</v>
      </c>
      <c r="AA116" s="144">
        <f>SUMIFS('апрель 2026'!$G$2:$G$2719,'апрель 2026'!$D$2:$D$2719,$B116,'апрель 2026'!$J$2:$J$2719,AA$1)</f>
        <v>0</v>
      </c>
      <c r="AB116" s="144">
        <f>SUMIFS('апрель 2026'!$G$2:$G$2719,'апрель 2026'!$D$2:$D$2719,$B116,'апрель 2026'!$J$2:$J$2719,AB$1)</f>
        <v>0</v>
      </c>
      <c r="AC116" s="144">
        <f>SUMIFS('апрель 2026'!$G$2:$G$2719,'апрель 2026'!$D$2:$D$2719,$B116,'апрель 2026'!$J$2:$J$2719,AC$1)</f>
        <v>0</v>
      </c>
      <c r="AD116" s="144">
        <f>SUMIFS('апрель 2026'!$G$2:$G$2719,'апрель 2026'!$D$2:$D$2719,$B116,'апрель 2026'!$J$2:$J$2719,AD$1)</f>
        <v>0</v>
      </c>
      <c r="AE116" s="144">
        <f>SUMIFS('апрель 2026'!$G$2:$G$2719,'апрель 2026'!$D$2:$D$2719,$B116,'апрель 2026'!$J$2:$J$2719,AE$1)</f>
        <v>0</v>
      </c>
      <c r="AF116" s="144">
        <f>SUMIFS('апрель 2026'!$G$2:$G$2719,'апрель 2026'!$D$2:$D$2719,$B116,'апрель 2026'!$J$2:$J$2719,AF$1)</f>
        <v>0</v>
      </c>
      <c r="AG116" s="144">
        <f>SUMIFS('апрель 2026'!$G$2:$G$2719,'апрель 2026'!$D$2:$D$2719,$B116,'апрель 2026'!$J$2:$J$2719,AG$1)</f>
        <v>0</v>
      </c>
      <c r="AH116" s="144">
        <f>SUMIFS('апрель 2026'!$G$2:$G$2719,'апрель 2026'!$D$2:$D$2719,$B116,'апрель 2026'!$J$2:$J$2719,AH$1)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SUMIFS('апрель 2026'!$G$2:$G$2719,'апрель 2026'!$D$2:$D$2719,$B117,'апрель 2026'!$J$2:$J$2719,D$1)</f>
        <v>0</v>
      </c>
      <c r="E117" s="144">
        <f>SUMIFS('апрель 2026'!$G$2:$G$2719,'апрель 2026'!$D$2:$D$2719,$B117,'апрель 2026'!$J$2:$J$2719,E$1)</f>
        <v>0</v>
      </c>
      <c r="F117" s="144">
        <f>SUMIFS('апрель 2026'!$G$2:$G$2719,'апрель 2026'!$D$2:$D$2719,$B117,'апрель 2026'!$J$2:$J$2719,F$1)</f>
        <v>0</v>
      </c>
      <c r="G117" s="144">
        <f>SUMIFS('апрель 2026'!$G$2:$G$2719,'апрель 2026'!$D$2:$D$2719,$B117,'апрель 2026'!$J$2:$J$2719,G$1)</f>
        <v>0</v>
      </c>
      <c r="H117" s="144">
        <f>SUMIFS('апрель 2026'!$G$2:$G$2719,'апрель 2026'!$D$2:$D$2719,$B117,'апрель 2026'!$J$2:$J$2719,H$1)</f>
        <v>0</v>
      </c>
      <c r="I117" s="144">
        <f>SUMIFS('апрель 2026'!$G$2:$G$2719,'апрель 2026'!$D$2:$D$2719,$B117,'апрель 2026'!$J$2:$J$2719,I$1)</f>
        <v>0</v>
      </c>
      <c r="J117" s="144">
        <f>SUMIFS('апрель 2026'!$G$2:$G$2719,'апрель 2026'!$D$2:$D$2719,$B117,'апрель 2026'!$J$2:$J$2719,J$1)</f>
        <v>0</v>
      </c>
      <c r="K117" s="144">
        <f>SUMIFS('апрель 2026'!$G$2:$G$2719,'апрель 2026'!$D$2:$D$2719,$B117,'апрель 2026'!$J$2:$J$2719,K$1)</f>
        <v>0</v>
      </c>
      <c r="L117" s="144">
        <f>SUMIFS('апрель 2026'!$G$2:$G$2719,'апрель 2026'!$D$2:$D$2719,$B117,'апрель 2026'!$J$2:$J$2719,L$1)</f>
        <v>0</v>
      </c>
      <c r="M117" s="144">
        <f>SUMIFS('апрель 2026'!$G$2:$G$2719,'апрель 2026'!$D$2:$D$2719,$B117,'апрель 2026'!$J$2:$J$2719,M$1)</f>
        <v>0</v>
      </c>
      <c r="N117" s="144">
        <f>SUMIFS('апрель 2026'!$G$2:$G$2719,'апрель 2026'!$D$2:$D$2719,$B117,'апрель 2026'!$J$2:$J$2719,N$1)</f>
        <v>0</v>
      </c>
      <c r="O117" s="144">
        <f>SUMIFS('апрель 2026'!$G$2:$G$2719,'апрель 2026'!$D$2:$D$2719,$B117,'апрель 2026'!$J$2:$J$2719,O$1)</f>
        <v>0</v>
      </c>
      <c r="P117" s="144">
        <f>SUMIFS('апрель 2026'!$G$2:$G$2719,'апрель 2026'!$D$2:$D$2719,$B117,'апрель 2026'!$J$2:$J$2719,P$1)</f>
        <v>0</v>
      </c>
      <c r="Q117" s="144">
        <f>SUMIFS('апрель 2026'!$G$2:$G$2719,'апрель 2026'!$D$2:$D$2719,$B117,'апрель 2026'!$J$2:$J$2719,Q$1)</f>
        <v>0</v>
      </c>
      <c r="R117" s="144">
        <f>SUMIFS('апрель 2026'!$G$2:$G$2719,'апрель 2026'!$D$2:$D$2719,$B117,'апрель 2026'!$J$2:$J$2719,R$1)</f>
        <v>0</v>
      </c>
      <c r="S117" s="144">
        <f>SUMIFS('апрель 2026'!$G$2:$G$2719,'апрель 2026'!$D$2:$D$2719,$B117,'апрель 2026'!$J$2:$J$2719,S$1)</f>
        <v>0</v>
      </c>
      <c r="T117" s="144">
        <f>SUMIFS('апрель 2026'!$G$2:$G$2719,'апрель 2026'!$D$2:$D$2719,$B117,'апрель 2026'!$J$2:$J$2719,T$1)</f>
        <v>0</v>
      </c>
      <c r="U117" s="144">
        <f>SUMIFS('апрель 2026'!$G$2:$G$2719,'апрель 2026'!$D$2:$D$2719,$B117,'апрель 2026'!$J$2:$J$2719,U$1)</f>
        <v>0</v>
      </c>
      <c r="V117" s="144">
        <f>SUMIFS('апрель 2026'!$G$2:$G$2719,'апрель 2026'!$D$2:$D$2719,$B117,'апрель 2026'!$J$2:$J$2719,V$1)</f>
        <v>0</v>
      </c>
      <c r="W117" s="144">
        <f>SUMIFS('апрель 2026'!$G$2:$G$2719,'апрель 2026'!$D$2:$D$2719,$B117,'апрель 2026'!$J$2:$J$2719,W$1)</f>
        <v>12</v>
      </c>
      <c r="X117" s="144">
        <f>SUMIFS('апрель 2026'!$G$2:$G$2719,'апрель 2026'!$D$2:$D$2719,$B117,'апрель 2026'!$J$2:$J$2719,X$1)</f>
        <v>0</v>
      </c>
      <c r="Y117" s="144">
        <f>SUMIFS('апрель 2026'!$G$2:$G$2719,'апрель 2026'!$D$2:$D$2719,$B117,'апрель 2026'!$J$2:$J$2719,Y$1)</f>
        <v>0</v>
      </c>
      <c r="Z117" s="144">
        <f>SUMIFS('апрель 2026'!$G$2:$G$2719,'апрель 2026'!$D$2:$D$2719,$B117,'апрель 2026'!$J$2:$J$2719,Z$1)</f>
        <v>0</v>
      </c>
      <c r="AA117" s="144">
        <f>SUMIFS('апрель 2026'!$G$2:$G$2719,'апрель 2026'!$D$2:$D$2719,$B117,'апрель 2026'!$J$2:$J$2719,AA$1)</f>
        <v>0</v>
      </c>
      <c r="AB117" s="144">
        <f>SUMIFS('апрель 2026'!$G$2:$G$2719,'апрель 2026'!$D$2:$D$2719,$B117,'апрель 2026'!$J$2:$J$2719,AB$1)</f>
        <v>0</v>
      </c>
      <c r="AC117" s="144">
        <f>SUMIFS('апрель 2026'!$G$2:$G$2719,'апрель 2026'!$D$2:$D$2719,$B117,'апрель 2026'!$J$2:$J$2719,AC$1)</f>
        <v>0</v>
      </c>
      <c r="AD117" s="144">
        <f>SUMIFS('апрель 2026'!$G$2:$G$2719,'апрель 2026'!$D$2:$D$2719,$B117,'апрель 2026'!$J$2:$J$2719,AD$1)</f>
        <v>0</v>
      </c>
      <c r="AE117" s="144">
        <f>SUMIFS('апрель 2026'!$G$2:$G$2719,'апрель 2026'!$D$2:$D$2719,$B117,'апрель 2026'!$J$2:$J$2719,AE$1)</f>
        <v>0</v>
      </c>
      <c r="AF117" s="144">
        <f>SUMIFS('апрель 2026'!$G$2:$G$2719,'апрель 2026'!$D$2:$D$2719,$B117,'апрель 2026'!$J$2:$J$2719,AF$1)</f>
        <v>0</v>
      </c>
      <c r="AG117" s="144">
        <f>SUMIFS('апрель 2026'!$G$2:$G$2719,'апрель 2026'!$D$2:$D$2719,$B117,'апрель 2026'!$J$2:$J$2719,AG$1)</f>
        <v>0</v>
      </c>
      <c r="AH117" s="144">
        <f>SUMIFS('апрель 2026'!$G$2:$G$2719,'апрель 2026'!$D$2:$D$2719,$B117,'апрель 2026'!$J$2:$J$2719,AH$1)</f>
        <v>0</v>
      </c>
      <c r="AI117" s="20">
        <f t="shared" si="1"/>
        <v>12</v>
      </c>
    </row>
    <row r="118" spans="2:35" ht="15" customHeight="1" x14ac:dyDescent="0.25">
      <c r="B118" s="84" t="s">
        <v>167</v>
      </c>
      <c r="C118" s="83">
        <v>180</v>
      </c>
      <c r="D118" s="144">
        <f>SUMIFS('апрель 2026'!$G$2:$G$2719,'апрель 2026'!$D$2:$D$2719,$B118,'апрель 2026'!$J$2:$J$2719,D$1)</f>
        <v>0</v>
      </c>
      <c r="E118" s="144">
        <f>SUMIFS('апрель 2026'!$G$2:$G$2719,'апрель 2026'!$D$2:$D$2719,$B118,'апрель 2026'!$J$2:$J$2719,E$1)</f>
        <v>0</v>
      </c>
      <c r="F118" s="144">
        <f>SUMIFS('апрель 2026'!$G$2:$G$2719,'апрель 2026'!$D$2:$D$2719,$B118,'апрель 2026'!$J$2:$J$2719,F$1)</f>
        <v>0</v>
      </c>
      <c r="G118" s="144">
        <f>SUMIFS('апрель 2026'!$G$2:$G$2719,'апрель 2026'!$D$2:$D$2719,$B118,'апрель 2026'!$J$2:$J$2719,G$1)</f>
        <v>0</v>
      </c>
      <c r="H118" s="144">
        <f>SUMIFS('апрель 2026'!$G$2:$G$2719,'апрель 2026'!$D$2:$D$2719,$B118,'апрель 2026'!$J$2:$J$2719,H$1)</f>
        <v>0</v>
      </c>
      <c r="I118" s="144">
        <f>SUMIFS('апрель 2026'!$G$2:$G$2719,'апрель 2026'!$D$2:$D$2719,$B118,'апрель 2026'!$J$2:$J$2719,I$1)</f>
        <v>0</v>
      </c>
      <c r="J118" s="144">
        <f>SUMIFS('апрель 2026'!$G$2:$G$2719,'апрель 2026'!$D$2:$D$2719,$B118,'апрель 2026'!$J$2:$J$2719,J$1)</f>
        <v>0</v>
      </c>
      <c r="K118" s="144">
        <f>SUMIFS('апрель 2026'!$G$2:$G$2719,'апрель 2026'!$D$2:$D$2719,$B118,'апрель 2026'!$J$2:$J$2719,K$1)</f>
        <v>0</v>
      </c>
      <c r="L118" s="144">
        <f>SUMIFS('апрель 2026'!$G$2:$G$2719,'апрель 2026'!$D$2:$D$2719,$B118,'апрель 2026'!$J$2:$J$2719,L$1)</f>
        <v>0</v>
      </c>
      <c r="M118" s="144">
        <f>SUMIFS('апрель 2026'!$G$2:$G$2719,'апрель 2026'!$D$2:$D$2719,$B118,'апрель 2026'!$J$2:$J$2719,M$1)</f>
        <v>0</v>
      </c>
      <c r="N118" s="144">
        <f>SUMIFS('апрель 2026'!$G$2:$G$2719,'апрель 2026'!$D$2:$D$2719,$B118,'апрель 2026'!$J$2:$J$2719,N$1)</f>
        <v>0</v>
      </c>
      <c r="O118" s="144">
        <f>SUMIFS('апрель 2026'!$G$2:$G$2719,'апрель 2026'!$D$2:$D$2719,$B118,'апрель 2026'!$J$2:$J$2719,O$1)</f>
        <v>0</v>
      </c>
      <c r="P118" s="144">
        <f>SUMIFS('апрель 2026'!$G$2:$G$2719,'апрель 2026'!$D$2:$D$2719,$B118,'апрель 2026'!$J$2:$J$2719,P$1)</f>
        <v>0</v>
      </c>
      <c r="Q118" s="144">
        <f>SUMIFS('апрель 2026'!$G$2:$G$2719,'апрель 2026'!$D$2:$D$2719,$B118,'апрель 2026'!$J$2:$J$2719,Q$1)</f>
        <v>0</v>
      </c>
      <c r="R118" s="144">
        <f>SUMIFS('апрель 2026'!$G$2:$G$2719,'апрель 2026'!$D$2:$D$2719,$B118,'апрель 2026'!$J$2:$J$2719,R$1)</f>
        <v>0</v>
      </c>
      <c r="S118" s="144">
        <f>SUMIFS('апрель 2026'!$G$2:$G$2719,'апрель 2026'!$D$2:$D$2719,$B118,'апрель 2026'!$J$2:$J$2719,S$1)</f>
        <v>0</v>
      </c>
      <c r="T118" s="144">
        <f>SUMIFS('апрель 2026'!$G$2:$G$2719,'апрель 2026'!$D$2:$D$2719,$B118,'апрель 2026'!$J$2:$J$2719,T$1)</f>
        <v>0</v>
      </c>
      <c r="U118" s="144">
        <f>SUMIFS('апрель 2026'!$G$2:$G$2719,'апрель 2026'!$D$2:$D$2719,$B118,'апрель 2026'!$J$2:$J$2719,U$1)</f>
        <v>0</v>
      </c>
      <c r="V118" s="144">
        <f>SUMIFS('апрель 2026'!$G$2:$G$2719,'апрель 2026'!$D$2:$D$2719,$B118,'апрель 2026'!$J$2:$J$2719,V$1)</f>
        <v>0</v>
      </c>
      <c r="W118" s="144">
        <f>SUMIFS('апрель 2026'!$G$2:$G$2719,'апрель 2026'!$D$2:$D$2719,$B118,'апрель 2026'!$J$2:$J$2719,W$1)</f>
        <v>0</v>
      </c>
      <c r="X118" s="144">
        <f>SUMIFS('апрель 2026'!$G$2:$G$2719,'апрель 2026'!$D$2:$D$2719,$B118,'апрель 2026'!$J$2:$J$2719,X$1)</f>
        <v>0</v>
      </c>
      <c r="Y118" s="144">
        <f>SUMIFS('апрель 2026'!$G$2:$G$2719,'апрель 2026'!$D$2:$D$2719,$B118,'апрель 2026'!$J$2:$J$2719,Y$1)</f>
        <v>0</v>
      </c>
      <c r="Z118" s="144">
        <f>SUMIFS('апрель 2026'!$G$2:$G$2719,'апрель 2026'!$D$2:$D$2719,$B118,'апрель 2026'!$J$2:$J$2719,Z$1)</f>
        <v>0</v>
      </c>
      <c r="AA118" s="144">
        <f>SUMIFS('апрель 2026'!$G$2:$G$2719,'апрель 2026'!$D$2:$D$2719,$B118,'апрель 2026'!$J$2:$J$2719,AA$1)</f>
        <v>0</v>
      </c>
      <c r="AB118" s="144">
        <f>SUMIFS('апрель 2026'!$G$2:$G$2719,'апрель 2026'!$D$2:$D$2719,$B118,'апрель 2026'!$J$2:$J$2719,AB$1)</f>
        <v>0</v>
      </c>
      <c r="AC118" s="144">
        <f>SUMIFS('апрель 2026'!$G$2:$G$2719,'апрель 2026'!$D$2:$D$2719,$B118,'апрель 2026'!$J$2:$J$2719,AC$1)</f>
        <v>0</v>
      </c>
      <c r="AD118" s="144">
        <f>SUMIFS('апрель 2026'!$G$2:$G$2719,'апрель 2026'!$D$2:$D$2719,$B118,'апрель 2026'!$J$2:$J$2719,AD$1)</f>
        <v>0</v>
      </c>
      <c r="AE118" s="144">
        <f>SUMIFS('апрель 2026'!$G$2:$G$2719,'апрель 2026'!$D$2:$D$2719,$B118,'апрель 2026'!$J$2:$J$2719,AE$1)</f>
        <v>0</v>
      </c>
      <c r="AF118" s="144">
        <f>SUMIFS('апрель 2026'!$G$2:$G$2719,'апрель 2026'!$D$2:$D$2719,$B118,'апрель 2026'!$J$2:$J$2719,AF$1)</f>
        <v>0</v>
      </c>
      <c r="AG118" s="144">
        <f>SUMIFS('апрель 2026'!$G$2:$G$2719,'апрель 2026'!$D$2:$D$2719,$B118,'апрель 2026'!$J$2:$J$2719,AG$1)</f>
        <v>0</v>
      </c>
      <c r="AH118" s="144">
        <f>SUMIFS('апрель 2026'!$G$2:$G$2719,'апрель 2026'!$D$2:$D$2719,$B118,'апрель 2026'!$J$2:$J$2719,AH$1)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SUMIFS('апрель 2026'!$G$2:$G$2719,'апрель 2026'!$D$2:$D$2719,$B119,'апрель 2026'!$J$2:$J$2719,D$1)</f>
        <v>0</v>
      </c>
      <c r="E119" s="144">
        <f>SUMIFS('апрель 2026'!$G$2:$G$2719,'апрель 2026'!$D$2:$D$2719,$B119,'апрель 2026'!$J$2:$J$2719,E$1)</f>
        <v>0</v>
      </c>
      <c r="F119" s="144">
        <f>SUMIFS('апрель 2026'!$G$2:$G$2719,'апрель 2026'!$D$2:$D$2719,$B119,'апрель 2026'!$J$2:$J$2719,F$1)</f>
        <v>0</v>
      </c>
      <c r="G119" s="144">
        <f>SUMIFS('апрель 2026'!$G$2:$G$2719,'апрель 2026'!$D$2:$D$2719,$B119,'апрель 2026'!$J$2:$J$2719,G$1)</f>
        <v>0</v>
      </c>
      <c r="H119" s="144">
        <f>SUMIFS('апрель 2026'!$G$2:$G$2719,'апрель 2026'!$D$2:$D$2719,$B119,'апрель 2026'!$J$2:$J$2719,H$1)</f>
        <v>0</v>
      </c>
      <c r="I119" s="144">
        <f>SUMIFS('апрель 2026'!$G$2:$G$2719,'апрель 2026'!$D$2:$D$2719,$B119,'апрель 2026'!$J$2:$J$2719,I$1)</f>
        <v>0</v>
      </c>
      <c r="J119" s="144">
        <f>SUMIFS('апрель 2026'!$G$2:$G$2719,'апрель 2026'!$D$2:$D$2719,$B119,'апрель 2026'!$J$2:$J$2719,J$1)</f>
        <v>0</v>
      </c>
      <c r="K119" s="144">
        <f>SUMIFS('апрель 2026'!$G$2:$G$2719,'апрель 2026'!$D$2:$D$2719,$B119,'апрель 2026'!$J$2:$J$2719,K$1)</f>
        <v>0</v>
      </c>
      <c r="L119" s="144">
        <f>SUMIFS('апрель 2026'!$G$2:$G$2719,'апрель 2026'!$D$2:$D$2719,$B119,'апрель 2026'!$J$2:$J$2719,L$1)</f>
        <v>0</v>
      </c>
      <c r="M119" s="144">
        <f>SUMIFS('апрель 2026'!$G$2:$G$2719,'апрель 2026'!$D$2:$D$2719,$B119,'апрель 2026'!$J$2:$J$2719,M$1)</f>
        <v>0</v>
      </c>
      <c r="N119" s="144">
        <f>SUMIFS('апрель 2026'!$G$2:$G$2719,'апрель 2026'!$D$2:$D$2719,$B119,'апрель 2026'!$J$2:$J$2719,N$1)</f>
        <v>0</v>
      </c>
      <c r="O119" s="144">
        <f>SUMIFS('апрель 2026'!$G$2:$G$2719,'апрель 2026'!$D$2:$D$2719,$B119,'апрель 2026'!$J$2:$J$2719,O$1)</f>
        <v>0</v>
      </c>
      <c r="P119" s="144">
        <f>SUMIFS('апрель 2026'!$G$2:$G$2719,'апрель 2026'!$D$2:$D$2719,$B119,'апрель 2026'!$J$2:$J$2719,P$1)</f>
        <v>0</v>
      </c>
      <c r="Q119" s="144">
        <f>SUMIFS('апрель 2026'!$G$2:$G$2719,'апрель 2026'!$D$2:$D$2719,$B119,'апрель 2026'!$J$2:$J$2719,Q$1)</f>
        <v>0</v>
      </c>
      <c r="R119" s="144">
        <f>SUMIFS('апрель 2026'!$G$2:$G$2719,'апрель 2026'!$D$2:$D$2719,$B119,'апрель 2026'!$J$2:$J$2719,R$1)</f>
        <v>0</v>
      </c>
      <c r="S119" s="144">
        <f>SUMIFS('апрель 2026'!$G$2:$G$2719,'апрель 2026'!$D$2:$D$2719,$B119,'апрель 2026'!$J$2:$J$2719,S$1)</f>
        <v>0</v>
      </c>
      <c r="T119" s="144">
        <f>SUMIFS('апрель 2026'!$G$2:$G$2719,'апрель 2026'!$D$2:$D$2719,$B119,'апрель 2026'!$J$2:$J$2719,T$1)</f>
        <v>0</v>
      </c>
      <c r="U119" s="144">
        <f>SUMIFS('апрель 2026'!$G$2:$G$2719,'апрель 2026'!$D$2:$D$2719,$B119,'апрель 2026'!$J$2:$J$2719,U$1)</f>
        <v>0</v>
      </c>
      <c r="V119" s="144">
        <f>SUMIFS('апрель 2026'!$G$2:$G$2719,'апрель 2026'!$D$2:$D$2719,$B119,'апрель 2026'!$J$2:$J$2719,V$1)</f>
        <v>0</v>
      </c>
      <c r="W119" s="144">
        <f>SUMIFS('апрель 2026'!$G$2:$G$2719,'апрель 2026'!$D$2:$D$2719,$B119,'апрель 2026'!$J$2:$J$2719,W$1)</f>
        <v>0</v>
      </c>
      <c r="X119" s="144">
        <f>SUMIFS('апрель 2026'!$G$2:$G$2719,'апрель 2026'!$D$2:$D$2719,$B119,'апрель 2026'!$J$2:$J$2719,X$1)</f>
        <v>0</v>
      </c>
      <c r="Y119" s="144">
        <f>SUMIFS('апрель 2026'!$G$2:$G$2719,'апрель 2026'!$D$2:$D$2719,$B119,'апрель 2026'!$J$2:$J$2719,Y$1)</f>
        <v>0</v>
      </c>
      <c r="Z119" s="144">
        <f>SUMIFS('апрель 2026'!$G$2:$G$2719,'апрель 2026'!$D$2:$D$2719,$B119,'апрель 2026'!$J$2:$J$2719,Z$1)</f>
        <v>0</v>
      </c>
      <c r="AA119" s="144">
        <f>SUMIFS('апрель 2026'!$G$2:$G$2719,'апрель 2026'!$D$2:$D$2719,$B119,'апрель 2026'!$J$2:$J$2719,AA$1)</f>
        <v>0</v>
      </c>
      <c r="AB119" s="144">
        <f>SUMIFS('апрель 2026'!$G$2:$G$2719,'апрель 2026'!$D$2:$D$2719,$B119,'апрель 2026'!$J$2:$J$2719,AB$1)</f>
        <v>0</v>
      </c>
      <c r="AC119" s="144">
        <f>SUMIFS('апрель 2026'!$G$2:$G$2719,'апрель 2026'!$D$2:$D$2719,$B119,'апрель 2026'!$J$2:$J$2719,AC$1)</f>
        <v>0</v>
      </c>
      <c r="AD119" s="144">
        <f>SUMIFS('апрель 2026'!$G$2:$G$2719,'апрель 2026'!$D$2:$D$2719,$B119,'апрель 2026'!$J$2:$J$2719,AD$1)</f>
        <v>0</v>
      </c>
      <c r="AE119" s="144">
        <f>SUMIFS('апрель 2026'!$G$2:$G$2719,'апрель 2026'!$D$2:$D$2719,$B119,'апрель 2026'!$J$2:$J$2719,AE$1)</f>
        <v>0</v>
      </c>
      <c r="AF119" s="144">
        <f>SUMIFS('апрель 2026'!$G$2:$G$2719,'апрель 2026'!$D$2:$D$2719,$B119,'апрель 2026'!$J$2:$J$2719,AF$1)</f>
        <v>0</v>
      </c>
      <c r="AG119" s="144">
        <f>SUMIFS('апрель 2026'!$G$2:$G$2719,'апрель 2026'!$D$2:$D$2719,$B119,'апрель 2026'!$J$2:$J$2719,AG$1)</f>
        <v>0</v>
      </c>
      <c r="AH119" s="144">
        <f>SUMIFS('апрель 2026'!$G$2:$G$2719,'апрель 2026'!$D$2:$D$2719,$B119,'апрель 2026'!$J$2:$J$2719,AH$1)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SUMIFS('апрель 2026'!$G$2:$G$2719,'апрель 2026'!$D$2:$D$2719,$B120,'апрель 2026'!$J$2:$J$2719,D$1)</f>
        <v>0</v>
      </c>
      <c r="E120" s="144">
        <f>SUMIFS('апрель 2026'!$G$2:$G$2719,'апрель 2026'!$D$2:$D$2719,$B120,'апрель 2026'!$J$2:$J$2719,E$1)</f>
        <v>0</v>
      </c>
      <c r="F120" s="144">
        <f>SUMIFS('апрель 2026'!$G$2:$G$2719,'апрель 2026'!$D$2:$D$2719,$B120,'апрель 2026'!$J$2:$J$2719,F$1)</f>
        <v>0</v>
      </c>
      <c r="G120" s="144">
        <f>SUMIFS('апрель 2026'!$G$2:$G$2719,'апрель 2026'!$D$2:$D$2719,$B120,'апрель 2026'!$J$2:$J$2719,G$1)</f>
        <v>0</v>
      </c>
      <c r="H120" s="144">
        <f>SUMIFS('апрель 2026'!$G$2:$G$2719,'апрель 2026'!$D$2:$D$2719,$B120,'апрель 2026'!$J$2:$J$2719,H$1)</f>
        <v>0</v>
      </c>
      <c r="I120" s="144">
        <f>SUMIFS('апрель 2026'!$G$2:$G$2719,'апрель 2026'!$D$2:$D$2719,$B120,'апрель 2026'!$J$2:$J$2719,I$1)</f>
        <v>0</v>
      </c>
      <c r="J120" s="144">
        <f>SUMIFS('апрель 2026'!$G$2:$G$2719,'апрель 2026'!$D$2:$D$2719,$B120,'апрель 2026'!$J$2:$J$2719,J$1)</f>
        <v>0</v>
      </c>
      <c r="K120" s="144">
        <f>SUMIFS('апрель 2026'!$G$2:$G$2719,'апрель 2026'!$D$2:$D$2719,$B120,'апрель 2026'!$J$2:$J$2719,K$1)</f>
        <v>0</v>
      </c>
      <c r="L120" s="144">
        <f>SUMIFS('апрель 2026'!$G$2:$G$2719,'апрель 2026'!$D$2:$D$2719,$B120,'апрель 2026'!$J$2:$J$2719,L$1)</f>
        <v>0</v>
      </c>
      <c r="M120" s="144">
        <f>SUMIFS('апрель 2026'!$G$2:$G$2719,'апрель 2026'!$D$2:$D$2719,$B120,'апрель 2026'!$J$2:$J$2719,M$1)</f>
        <v>0</v>
      </c>
      <c r="N120" s="144">
        <f>SUMIFS('апрель 2026'!$G$2:$G$2719,'апрель 2026'!$D$2:$D$2719,$B120,'апрель 2026'!$J$2:$J$2719,N$1)</f>
        <v>0</v>
      </c>
      <c r="O120" s="144">
        <f>SUMIFS('апрель 2026'!$G$2:$G$2719,'апрель 2026'!$D$2:$D$2719,$B120,'апрель 2026'!$J$2:$J$2719,O$1)</f>
        <v>0</v>
      </c>
      <c r="P120" s="144">
        <f>SUMIFS('апрель 2026'!$G$2:$G$2719,'апрель 2026'!$D$2:$D$2719,$B120,'апрель 2026'!$J$2:$J$2719,P$1)</f>
        <v>0</v>
      </c>
      <c r="Q120" s="144">
        <f>SUMIFS('апрель 2026'!$G$2:$G$2719,'апрель 2026'!$D$2:$D$2719,$B120,'апрель 2026'!$J$2:$J$2719,Q$1)</f>
        <v>0</v>
      </c>
      <c r="R120" s="144">
        <f>SUMIFS('апрель 2026'!$G$2:$G$2719,'апрель 2026'!$D$2:$D$2719,$B120,'апрель 2026'!$J$2:$J$2719,R$1)</f>
        <v>0</v>
      </c>
      <c r="S120" s="144">
        <f>SUMIFS('апрель 2026'!$G$2:$G$2719,'апрель 2026'!$D$2:$D$2719,$B120,'апрель 2026'!$J$2:$J$2719,S$1)</f>
        <v>0</v>
      </c>
      <c r="T120" s="144">
        <f>SUMIFS('апрель 2026'!$G$2:$G$2719,'апрель 2026'!$D$2:$D$2719,$B120,'апрель 2026'!$J$2:$J$2719,T$1)</f>
        <v>0</v>
      </c>
      <c r="U120" s="144">
        <f>SUMIFS('апрель 2026'!$G$2:$G$2719,'апрель 2026'!$D$2:$D$2719,$B120,'апрель 2026'!$J$2:$J$2719,U$1)</f>
        <v>0</v>
      </c>
      <c r="V120" s="144">
        <f>SUMIFS('апрель 2026'!$G$2:$G$2719,'апрель 2026'!$D$2:$D$2719,$B120,'апрель 2026'!$J$2:$J$2719,V$1)</f>
        <v>0</v>
      </c>
      <c r="W120" s="144">
        <f>SUMIFS('апрель 2026'!$G$2:$G$2719,'апрель 2026'!$D$2:$D$2719,$B120,'апрель 2026'!$J$2:$J$2719,W$1)</f>
        <v>0</v>
      </c>
      <c r="X120" s="144">
        <f>SUMIFS('апрель 2026'!$G$2:$G$2719,'апрель 2026'!$D$2:$D$2719,$B120,'апрель 2026'!$J$2:$J$2719,X$1)</f>
        <v>0</v>
      </c>
      <c r="Y120" s="144">
        <f>SUMIFS('апрель 2026'!$G$2:$G$2719,'апрель 2026'!$D$2:$D$2719,$B120,'апрель 2026'!$J$2:$J$2719,Y$1)</f>
        <v>0</v>
      </c>
      <c r="Z120" s="144">
        <f>SUMIFS('апрель 2026'!$G$2:$G$2719,'апрель 2026'!$D$2:$D$2719,$B120,'апрель 2026'!$J$2:$J$2719,Z$1)</f>
        <v>0</v>
      </c>
      <c r="AA120" s="144">
        <f>SUMIFS('апрель 2026'!$G$2:$G$2719,'апрель 2026'!$D$2:$D$2719,$B120,'апрель 2026'!$J$2:$J$2719,AA$1)</f>
        <v>0</v>
      </c>
      <c r="AB120" s="144">
        <f>SUMIFS('апрель 2026'!$G$2:$G$2719,'апрель 2026'!$D$2:$D$2719,$B120,'апрель 2026'!$J$2:$J$2719,AB$1)</f>
        <v>0</v>
      </c>
      <c r="AC120" s="144">
        <f>SUMIFS('апрель 2026'!$G$2:$G$2719,'апрель 2026'!$D$2:$D$2719,$B120,'апрель 2026'!$J$2:$J$2719,AC$1)</f>
        <v>0</v>
      </c>
      <c r="AD120" s="144">
        <f>SUMIFS('апрель 2026'!$G$2:$G$2719,'апрель 2026'!$D$2:$D$2719,$B120,'апрель 2026'!$J$2:$J$2719,AD$1)</f>
        <v>0</v>
      </c>
      <c r="AE120" s="144">
        <f>SUMIFS('апрель 2026'!$G$2:$G$2719,'апрель 2026'!$D$2:$D$2719,$B120,'апрель 2026'!$J$2:$J$2719,AE$1)</f>
        <v>0</v>
      </c>
      <c r="AF120" s="144">
        <f>SUMIFS('апрель 2026'!$G$2:$G$2719,'апрель 2026'!$D$2:$D$2719,$B120,'апрель 2026'!$J$2:$J$2719,AF$1)</f>
        <v>0</v>
      </c>
      <c r="AG120" s="144">
        <f>SUMIFS('апрель 2026'!$G$2:$G$2719,'апрель 2026'!$D$2:$D$2719,$B120,'апрель 2026'!$J$2:$J$2719,AG$1)</f>
        <v>0</v>
      </c>
      <c r="AH120" s="144">
        <f>SUMIFS('апрель 2026'!$G$2:$G$2719,'апрель 2026'!$D$2:$D$2719,$B120,'апрель 2026'!$J$2:$J$2719,AH$1)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SUMIFS('апрель 2026'!$G$2:$G$2719,'апрель 2026'!$D$2:$D$2719,$B121,'апрель 2026'!$J$2:$J$2719,D$1)</f>
        <v>0</v>
      </c>
      <c r="E121" s="144">
        <f>SUMIFS('апрель 2026'!$G$2:$G$2719,'апрель 2026'!$D$2:$D$2719,$B121,'апрель 2026'!$J$2:$J$2719,E$1)</f>
        <v>0</v>
      </c>
      <c r="F121" s="144">
        <f>SUMIFS('апрель 2026'!$G$2:$G$2719,'апрель 2026'!$D$2:$D$2719,$B121,'апрель 2026'!$J$2:$J$2719,F$1)</f>
        <v>0</v>
      </c>
      <c r="G121" s="144">
        <f>SUMIFS('апрель 2026'!$G$2:$G$2719,'апрель 2026'!$D$2:$D$2719,$B121,'апрель 2026'!$J$2:$J$2719,G$1)</f>
        <v>0</v>
      </c>
      <c r="H121" s="144">
        <f>SUMIFS('апрель 2026'!$G$2:$G$2719,'апрель 2026'!$D$2:$D$2719,$B121,'апрель 2026'!$J$2:$J$2719,H$1)</f>
        <v>0</v>
      </c>
      <c r="I121" s="144">
        <f>SUMIFS('апрель 2026'!$G$2:$G$2719,'апрель 2026'!$D$2:$D$2719,$B121,'апрель 2026'!$J$2:$J$2719,I$1)</f>
        <v>0</v>
      </c>
      <c r="J121" s="144">
        <f>SUMIFS('апрель 2026'!$G$2:$G$2719,'апрель 2026'!$D$2:$D$2719,$B121,'апрель 2026'!$J$2:$J$2719,J$1)</f>
        <v>0</v>
      </c>
      <c r="K121" s="144">
        <f>SUMIFS('апрель 2026'!$G$2:$G$2719,'апрель 2026'!$D$2:$D$2719,$B121,'апрель 2026'!$J$2:$J$2719,K$1)</f>
        <v>0</v>
      </c>
      <c r="L121" s="144">
        <f>SUMIFS('апрель 2026'!$G$2:$G$2719,'апрель 2026'!$D$2:$D$2719,$B121,'апрель 2026'!$J$2:$J$2719,L$1)</f>
        <v>0</v>
      </c>
      <c r="M121" s="144">
        <f>SUMIFS('апрель 2026'!$G$2:$G$2719,'апрель 2026'!$D$2:$D$2719,$B121,'апрель 2026'!$J$2:$J$2719,M$1)</f>
        <v>0</v>
      </c>
      <c r="N121" s="144">
        <f>SUMIFS('апрель 2026'!$G$2:$G$2719,'апрель 2026'!$D$2:$D$2719,$B121,'апрель 2026'!$J$2:$J$2719,N$1)</f>
        <v>0</v>
      </c>
      <c r="O121" s="144">
        <f>SUMIFS('апрель 2026'!$G$2:$G$2719,'апрель 2026'!$D$2:$D$2719,$B121,'апрель 2026'!$J$2:$J$2719,O$1)</f>
        <v>0</v>
      </c>
      <c r="P121" s="144">
        <f>SUMIFS('апрель 2026'!$G$2:$G$2719,'апрель 2026'!$D$2:$D$2719,$B121,'апрель 2026'!$J$2:$J$2719,P$1)</f>
        <v>0</v>
      </c>
      <c r="Q121" s="144">
        <f>SUMIFS('апрель 2026'!$G$2:$G$2719,'апрель 2026'!$D$2:$D$2719,$B121,'апрель 2026'!$J$2:$J$2719,Q$1)</f>
        <v>0</v>
      </c>
      <c r="R121" s="144">
        <f>SUMIFS('апрель 2026'!$G$2:$G$2719,'апрель 2026'!$D$2:$D$2719,$B121,'апрель 2026'!$J$2:$J$2719,R$1)</f>
        <v>0</v>
      </c>
      <c r="S121" s="144">
        <f>SUMIFS('апрель 2026'!$G$2:$G$2719,'апрель 2026'!$D$2:$D$2719,$B121,'апрель 2026'!$J$2:$J$2719,S$1)</f>
        <v>0</v>
      </c>
      <c r="T121" s="144">
        <f>SUMIFS('апрель 2026'!$G$2:$G$2719,'апрель 2026'!$D$2:$D$2719,$B121,'апрель 2026'!$J$2:$J$2719,T$1)</f>
        <v>0</v>
      </c>
      <c r="U121" s="144">
        <f>SUMIFS('апрель 2026'!$G$2:$G$2719,'апрель 2026'!$D$2:$D$2719,$B121,'апрель 2026'!$J$2:$J$2719,U$1)</f>
        <v>0</v>
      </c>
      <c r="V121" s="144">
        <f>SUMIFS('апрель 2026'!$G$2:$G$2719,'апрель 2026'!$D$2:$D$2719,$B121,'апрель 2026'!$J$2:$J$2719,V$1)</f>
        <v>0</v>
      </c>
      <c r="W121" s="144">
        <f>SUMIFS('апрель 2026'!$G$2:$G$2719,'апрель 2026'!$D$2:$D$2719,$B121,'апрель 2026'!$J$2:$J$2719,W$1)</f>
        <v>0</v>
      </c>
      <c r="X121" s="144">
        <f>SUMIFS('апрель 2026'!$G$2:$G$2719,'апрель 2026'!$D$2:$D$2719,$B121,'апрель 2026'!$J$2:$J$2719,X$1)</f>
        <v>0</v>
      </c>
      <c r="Y121" s="144">
        <f>SUMIFS('апрель 2026'!$G$2:$G$2719,'апрель 2026'!$D$2:$D$2719,$B121,'апрель 2026'!$J$2:$J$2719,Y$1)</f>
        <v>0</v>
      </c>
      <c r="Z121" s="144">
        <f>SUMIFS('апрель 2026'!$G$2:$G$2719,'апрель 2026'!$D$2:$D$2719,$B121,'апрель 2026'!$J$2:$J$2719,Z$1)</f>
        <v>0</v>
      </c>
      <c r="AA121" s="144">
        <f>SUMIFS('апрель 2026'!$G$2:$G$2719,'апрель 2026'!$D$2:$D$2719,$B121,'апрель 2026'!$J$2:$J$2719,AA$1)</f>
        <v>0</v>
      </c>
      <c r="AB121" s="144">
        <f>SUMIFS('апрель 2026'!$G$2:$G$2719,'апрель 2026'!$D$2:$D$2719,$B121,'апрель 2026'!$J$2:$J$2719,AB$1)</f>
        <v>0</v>
      </c>
      <c r="AC121" s="144">
        <f>SUMIFS('апрель 2026'!$G$2:$G$2719,'апрель 2026'!$D$2:$D$2719,$B121,'апрель 2026'!$J$2:$J$2719,AC$1)</f>
        <v>0</v>
      </c>
      <c r="AD121" s="144">
        <f>SUMIFS('апрель 2026'!$G$2:$G$2719,'апрель 2026'!$D$2:$D$2719,$B121,'апрель 2026'!$J$2:$J$2719,AD$1)</f>
        <v>0</v>
      </c>
      <c r="AE121" s="144">
        <f>SUMIFS('апрель 2026'!$G$2:$G$2719,'апрель 2026'!$D$2:$D$2719,$B121,'апрель 2026'!$J$2:$J$2719,AE$1)</f>
        <v>0</v>
      </c>
      <c r="AF121" s="144">
        <f>SUMIFS('апрель 2026'!$G$2:$G$2719,'апрель 2026'!$D$2:$D$2719,$B121,'апрель 2026'!$J$2:$J$2719,AF$1)</f>
        <v>0</v>
      </c>
      <c r="AG121" s="144">
        <f>SUMIFS('апрель 2026'!$G$2:$G$2719,'апрель 2026'!$D$2:$D$2719,$B121,'апрель 2026'!$J$2:$J$2719,AG$1)</f>
        <v>0</v>
      </c>
      <c r="AH121" s="144">
        <f>SUMIFS('апрель 2026'!$G$2:$G$2719,'апрель 2026'!$D$2:$D$2719,$B121,'апрель 2026'!$J$2:$J$2719,AH$1)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SUMIFS('апрель 2026'!$G$2:$G$2719,'апрель 2026'!$D$2:$D$2719,$B122,'апрель 2026'!$J$2:$J$2719,D$1)</f>
        <v>0</v>
      </c>
      <c r="E122" s="144">
        <f>SUMIFS('апрель 2026'!$G$2:$G$2719,'апрель 2026'!$D$2:$D$2719,$B122,'апрель 2026'!$J$2:$J$2719,E$1)</f>
        <v>0</v>
      </c>
      <c r="F122" s="144">
        <f>SUMIFS('апрель 2026'!$G$2:$G$2719,'апрель 2026'!$D$2:$D$2719,$B122,'апрель 2026'!$J$2:$J$2719,F$1)</f>
        <v>0</v>
      </c>
      <c r="G122" s="144">
        <f>SUMIFS('апрель 2026'!$G$2:$G$2719,'апрель 2026'!$D$2:$D$2719,$B122,'апрель 2026'!$J$2:$J$2719,G$1)</f>
        <v>0</v>
      </c>
      <c r="H122" s="144">
        <f>SUMIFS('апрель 2026'!$G$2:$G$2719,'апрель 2026'!$D$2:$D$2719,$B122,'апрель 2026'!$J$2:$J$2719,H$1)</f>
        <v>0</v>
      </c>
      <c r="I122" s="144">
        <f>SUMIFS('апрель 2026'!$G$2:$G$2719,'апрель 2026'!$D$2:$D$2719,$B122,'апрель 2026'!$J$2:$J$2719,I$1)</f>
        <v>0</v>
      </c>
      <c r="J122" s="144">
        <f>SUMIFS('апрель 2026'!$G$2:$G$2719,'апрель 2026'!$D$2:$D$2719,$B122,'апрель 2026'!$J$2:$J$2719,J$1)</f>
        <v>0</v>
      </c>
      <c r="K122" s="144">
        <f>SUMIFS('апрель 2026'!$G$2:$G$2719,'апрель 2026'!$D$2:$D$2719,$B122,'апрель 2026'!$J$2:$J$2719,K$1)</f>
        <v>0</v>
      </c>
      <c r="L122" s="144">
        <f>SUMIFS('апрель 2026'!$G$2:$G$2719,'апрель 2026'!$D$2:$D$2719,$B122,'апрель 2026'!$J$2:$J$2719,L$1)</f>
        <v>0</v>
      </c>
      <c r="M122" s="144">
        <f>SUMIFS('апрель 2026'!$G$2:$G$2719,'апрель 2026'!$D$2:$D$2719,$B122,'апрель 2026'!$J$2:$J$2719,M$1)</f>
        <v>0</v>
      </c>
      <c r="N122" s="144">
        <f>SUMIFS('апрель 2026'!$G$2:$G$2719,'апрель 2026'!$D$2:$D$2719,$B122,'апрель 2026'!$J$2:$J$2719,N$1)</f>
        <v>0</v>
      </c>
      <c r="O122" s="144">
        <f>SUMIFS('апрель 2026'!$G$2:$G$2719,'апрель 2026'!$D$2:$D$2719,$B122,'апрель 2026'!$J$2:$J$2719,O$1)</f>
        <v>0</v>
      </c>
      <c r="P122" s="144">
        <f>SUMIFS('апрель 2026'!$G$2:$G$2719,'апрель 2026'!$D$2:$D$2719,$B122,'апрель 2026'!$J$2:$J$2719,P$1)</f>
        <v>0</v>
      </c>
      <c r="Q122" s="144">
        <f>SUMIFS('апрель 2026'!$G$2:$G$2719,'апрель 2026'!$D$2:$D$2719,$B122,'апрель 2026'!$J$2:$J$2719,Q$1)</f>
        <v>0</v>
      </c>
      <c r="R122" s="144">
        <f>SUMIFS('апрель 2026'!$G$2:$G$2719,'апрель 2026'!$D$2:$D$2719,$B122,'апрель 2026'!$J$2:$J$2719,R$1)</f>
        <v>0</v>
      </c>
      <c r="S122" s="144">
        <f>SUMIFS('апрель 2026'!$G$2:$G$2719,'апрель 2026'!$D$2:$D$2719,$B122,'апрель 2026'!$J$2:$J$2719,S$1)</f>
        <v>0</v>
      </c>
      <c r="T122" s="144">
        <f>SUMIFS('апрель 2026'!$G$2:$G$2719,'апрель 2026'!$D$2:$D$2719,$B122,'апрель 2026'!$J$2:$J$2719,T$1)</f>
        <v>0</v>
      </c>
      <c r="U122" s="144">
        <f>SUMIFS('апрель 2026'!$G$2:$G$2719,'апрель 2026'!$D$2:$D$2719,$B122,'апрель 2026'!$J$2:$J$2719,U$1)</f>
        <v>0</v>
      </c>
      <c r="V122" s="144">
        <f>SUMIFS('апрель 2026'!$G$2:$G$2719,'апрель 2026'!$D$2:$D$2719,$B122,'апрель 2026'!$J$2:$J$2719,V$1)</f>
        <v>0</v>
      </c>
      <c r="W122" s="144">
        <f>SUMIFS('апрель 2026'!$G$2:$G$2719,'апрель 2026'!$D$2:$D$2719,$B122,'апрель 2026'!$J$2:$J$2719,W$1)</f>
        <v>0</v>
      </c>
      <c r="X122" s="144">
        <f>SUMIFS('апрель 2026'!$G$2:$G$2719,'апрель 2026'!$D$2:$D$2719,$B122,'апрель 2026'!$J$2:$J$2719,X$1)</f>
        <v>0</v>
      </c>
      <c r="Y122" s="144">
        <f>SUMIFS('апрель 2026'!$G$2:$G$2719,'апрель 2026'!$D$2:$D$2719,$B122,'апрель 2026'!$J$2:$J$2719,Y$1)</f>
        <v>0</v>
      </c>
      <c r="Z122" s="144">
        <f>SUMIFS('апрель 2026'!$G$2:$G$2719,'апрель 2026'!$D$2:$D$2719,$B122,'апрель 2026'!$J$2:$J$2719,Z$1)</f>
        <v>0</v>
      </c>
      <c r="AA122" s="144">
        <f>SUMIFS('апрель 2026'!$G$2:$G$2719,'апрель 2026'!$D$2:$D$2719,$B122,'апрель 2026'!$J$2:$J$2719,AA$1)</f>
        <v>0</v>
      </c>
      <c r="AB122" s="144">
        <f>SUMIFS('апрель 2026'!$G$2:$G$2719,'апрель 2026'!$D$2:$D$2719,$B122,'апрель 2026'!$J$2:$J$2719,AB$1)</f>
        <v>0</v>
      </c>
      <c r="AC122" s="144">
        <f>SUMIFS('апрель 2026'!$G$2:$G$2719,'апрель 2026'!$D$2:$D$2719,$B122,'апрель 2026'!$J$2:$J$2719,AC$1)</f>
        <v>0</v>
      </c>
      <c r="AD122" s="144">
        <f>SUMIFS('апрель 2026'!$G$2:$G$2719,'апрель 2026'!$D$2:$D$2719,$B122,'апрель 2026'!$J$2:$J$2719,AD$1)</f>
        <v>0</v>
      </c>
      <c r="AE122" s="144">
        <f>SUMIFS('апрель 2026'!$G$2:$G$2719,'апрель 2026'!$D$2:$D$2719,$B122,'апрель 2026'!$J$2:$J$2719,AE$1)</f>
        <v>0</v>
      </c>
      <c r="AF122" s="144">
        <f>SUMIFS('апрель 2026'!$G$2:$G$2719,'апрель 2026'!$D$2:$D$2719,$B122,'апрель 2026'!$J$2:$J$2719,AF$1)</f>
        <v>0</v>
      </c>
      <c r="AG122" s="144">
        <f>SUMIFS('апрель 2026'!$G$2:$G$2719,'апрель 2026'!$D$2:$D$2719,$B122,'апрель 2026'!$J$2:$J$2719,AG$1)</f>
        <v>0</v>
      </c>
      <c r="AH122" s="144">
        <f>SUMIFS('апрель 2026'!$G$2:$G$2719,'апрель 2026'!$D$2:$D$2719,$B122,'апрель 2026'!$J$2:$J$2719,AH$1)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SUMIFS('апрель 2026'!$G$2:$G$2719,'апрель 2026'!$D$2:$D$2719,$B123,'апрель 2026'!$J$2:$J$2719,D$1)</f>
        <v>0</v>
      </c>
      <c r="E123" s="144">
        <f>SUMIFS('апрель 2026'!$G$2:$G$2719,'апрель 2026'!$D$2:$D$2719,$B123,'апрель 2026'!$J$2:$J$2719,E$1)</f>
        <v>0</v>
      </c>
      <c r="F123" s="144">
        <f>SUMIFS('апрель 2026'!$G$2:$G$2719,'апрель 2026'!$D$2:$D$2719,$B123,'апрель 2026'!$J$2:$J$2719,F$1)</f>
        <v>0</v>
      </c>
      <c r="G123" s="144">
        <f>SUMIFS('апрель 2026'!$G$2:$G$2719,'апрель 2026'!$D$2:$D$2719,$B123,'апрель 2026'!$J$2:$J$2719,G$1)</f>
        <v>0</v>
      </c>
      <c r="H123" s="144">
        <f>SUMIFS('апрель 2026'!$G$2:$G$2719,'апрель 2026'!$D$2:$D$2719,$B123,'апрель 2026'!$J$2:$J$2719,H$1)</f>
        <v>0</v>
      </c>
      <c r="I123" s="144">
        <f>SUMIFS('апрель 2026'!$G$2:$G$2719,'апрель 2026'!$D$2:$D$2719,$B123,'апрель 2026'!$J$2:$J$2719,I$1)</f>
        <v>0</v>
      </c>
      <c r="J123" s="144">
        <f>SUMIFS('апрель 2026'!$G$2:$G$2719,'апрель 2026'!$D$2:$D$2719,$B123,'апрель 2026'!$J$2:$J$2719,J$1)</f>
        <v>0</v>
      </c>
      <c r="K123" s="144">
        <f>SUMIFS('апрель 2026'!$G$2:$G$2719,'апрель 2026'!$D$2:$D$2719,$B123,'апрель 2026'!$J$2:$J$2719,K$1)</f>
        <v>0</v>
      </c>
      <c r="L123" s="144">
        <f>SUMIFS('апрель 2026'!$G$2:$G$2719,'апрель 2026'!$D$2:$D$2719,$B123,'апрель 2026'!$J$2:$J$2719,L$1)</f>
        <v>0</v>
      </c>
      <c r="M123" s="144">
        <f>SUMIFS('апрель 2026'!$G$2:$G$2719,'апрель 2026'!$D$2:$D$2719,$B123,'апрель 2026'!$J$2:$J$2719,M$1)</f>
        <v>0</v>
      </c>
      <c r="N123" s="144">
        <f>SUMIFS('апрель 2026'!$G$2:$G$2719,'апрель 2026'!$D$2:$D$2719,$B123,'апрель 2026'!$J$2:$J$2719,N$1)</f>
        <v>0</v>
      </c>
      <c r="O123" s="144">
        <f>SUMIFS('апрель 2026'!$G$2:$G$2719,'апрель 2026'!$D$2:$D$2719,$B123,'апрель 2026'!$J$2:$J$2719,O$1)</f>
        <v>0</v>
      </c>
      <c r="P123" s="144">
        <f>SUMIFS('апрель 2026'!$G$2:$G$2719,'апрель 2026'!$D$2:$D$2719,$B123,'апрель 2026'!$J$2:$J$2719,P$1)</f>
        <v>0</v>
      </c>
      <c r="Q123" s="144">
        <f>SUMIFS('апрель 2026'!$G$2:$G$2719,'апрель 2026'!$D$2:$D$2719,$B123,'апрель 2026'!$J$2:$J$2719,Q$1)</f>
        <v>0</v>
      </c>
      <c r="R123" s="144">
        <f>SUMIFS('апрель 2026'!$G$2:$G$2719,'апрель 2026'!$D$2:$D$2719,$B123,'апрель 2026'!$J$2:$J$2719,R$1)</f>
        <v>0</v>
      </c>
      <c r="S123" s="144">
        <f>SUMIFS('апрель 2026'!$G$2:$G$2719,'апрель 2026'!$D$2:$D$2719,$B123,'апрель 2026'!$J$2:$J$2719,S$1)</f>
        <v>0</v>
      </c>
      <c r="T123" s="144">
        <f>SUMIFS('апрель 2026'!$G$2:$G$2719,'апрель 2026'!$D$2:$D$2719,$B123,'апрель 2026'!$J$2:$J$2719,T$1)</f>
        <v>0</v>
      </c>
      <c r="U123" s="144">
        <f>SUMIFS('апрель 2026'!$G$2:$G$2719,'апрель 2026'!$D$2:$D$2719,$B123,'апрель 2026'!$J$2:$J$2719,U$1)</f>
        <v>0</v>
      </c>
      <c r="V123" s="144">
        <f>SUMIFS('апрель 2026'!$G$2:$G$2719,'апрель 2026'!$D$2:$D$2719,$B123,'апрель 2026'!$J$2:$J$2719,V$1)</f>
        <v>0</v>
      </c>
      <c r="W123" s="144">
        <f>SUMIFS('апрель 2026'!$G$2:$G$2719,'апрель 2026'!$D$2:$D$2719,$B123,'апрель 2026'!$J$2:$J$2719,W$1)</f>
        <v>0</v>
      </c>
      <c r="X123" s="144">
        <f>SUMIFS('апрель 2026'!$G$2:$G$2719,'апрель 2026'!$D$2:$D$2719,$B123,'апрель 2026'!$J$2:$J$2719,X$1)</f>
        <v>0</v>
      </c>
      <c r="Y123" s="144">
        <f>SUMIFS('апрель 2026'!$G$2:$G$2719,'апрель 2026'!$D$2:$D$2719,$B123,'апрель 2026'!$J$2:$J$2719,Y$1)</f>
        <v>0</v>
      </c>
      <c r="Z123" s="144">
        <f>SUMIFS('апрель 2026'!$G$2:$G$2719,'апрель 2026'!$D$2:$D$2719,$B123,'апрель 2026'!$J$2:$J$2719,Z$1)</f>
        <v>0</v>
      </c>
      <c r="AA123" s="144">
        <f>SUMIFS('апрель 2026'!$G$2:$G$2719,'апрель 2026'!$D$2:$D$2719,$B123,'апрель 2026'!$J$2:$J$2719,AA$1)</f>
        <v>0</v>
      </c>
      <c r="AB123" s="144">
        <f>SUMIFS('апрель 2026'!$G$2:$G$2719,'апрель 2026'!$D$2:$D$2719,$B123,'апрель 2026'!$J$2:$J$2719,AB$1)</f>
        <v>0</v>
      </c>
      <c r="AC123" s="144">
        <f>SUMIFS('апрель 2026'!$G$2:$G$2719,'апрель 2026'!$D$2:$D$2719,$B123,'апрель 2026'!$J$2:$J$2719,AC$1)</f>
        <v>0</v>
      </c>
      <c r="AD123" s="144">
        <f>SUMIFS('апрель 2026'!$G$2:$G$2719,'апрель 2026'!$D$2:$D$2719,$B123,'апрель 2026'!$J$2:$J$2719,AD$1)</f>
        <v>0</v>
      </c>
      <c r="AE123" s="144">
        <f>SUMIFS('апрель 2026'!$G$2:$G$2719,'апрель 2026'!$D$2:$D$2719,$B123,'апрель 2026'!$J$2:$J$2719,AE$1)</f>
        <v>0</v>
      </c>
      <c r="AF123" s="144">
        <f>SUMIFS('апрель 2026'!$G$2:$G$2719,'апрель 2026'!$D$2:$D$2719,$B123,'апрель 2026'!$J$2:$J$2719,AF$1)</f>
        <v>0</v>
      </c>
      <c r="AG123" s="144">
        <f>SUMIFS('апрель 2026'!$G$2:$G$2719,'апрель 2026'!$D$2:$D$2719,$B123,'апрель 2026'!$J$2:$J$2719,AG$1)</f>
        <v>0</v>
      </c>
      <c r="AH123" s="144">
        <f>SUMIFS('апрель 2026'!$G$2:$G$2719,'апрель 2026'!$D$2:$D$2719,$B123,'апрель 2026'!$J$2:$J$2719,AH$1)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SUMIFS('апрель 2026'!$G$2:$G$2719,'апрель 2026'!$D$2:$D$2719,$B124,'апрель 2026'!$J$2:$J$2719,D$1)</f>
        <v>0</v>
      </c>
      <c r="E124" s="144">
        <f>SUMIFS('апрель 2026'!$G$2:$G$2719,'апрель 2026'!$D$2:$D$2719,$B124,'апрель 2026'!$J$2:$J$2719,E$1)</f>
        <v>92</v>
      </c>
      <c r="F124" s="144">
        <f>SUMIFS('апрель 2026'!$G$2:$G$2719,'апрель 2026'!$D$2:$D$2719,$B124,'апрель 2026'!$J$2:$J$2719,F$1)</f>
        <v>0</v>
      </c>
      <c r="G124" s="144">
        <f>SUMIFS('апрель 2026'!$G$2:$G$2719,'апрель 2026'!$D$2:$D$2719,$B124,'апрель 2026'!$J$2:$J$2719,G$1)</f>
        <v>0</v>
      </c>
      <c r="H124" s="144">
        <f>SUMIFS('апрель 2026'!$G$2:$G$2719,'апрель 2026'!$D$2:$D$2719,$B124,'апрель 2026'!$J$2:$J$2719,H$1)</f>
        <v>0</v>
      </c>
      <c r="I124" s="144">
        <f>SUMIFS('апрель 2026'!$G$2:$G$2719,'апрель 2026'!$D$2:$D$2719,$B124,'апрель 2026'!$J$2:$J$2719,I$1)</f>
        <v>28</v>
      </c>
      <c r="J124" s="144">
        <f>SUMIFS('апрель 2026'!$G$2:$G$2719,'апрель 2026'!$D$2:$D$2719,$B124,'апрель 2026'!$J$2:$J$2719,J$1)</f>
        <v>0</v>
      </c>
      <c r="K124" s="144">
        <f>SUMIFS('апрель 2026'!$G$2:$G$2719,'апрель 2026'!$D$2:$D$2719,$B124,'апрель 2026'!$J$2:$J$2719,K$1)</f>
        <v>0</v>
      </c>
      <c r="L124" s="144">
        <f>SUMIFS('апрель 2026'!$G$2:$G$2719,'апрель 2026'!$D$2:$D$2719,$B124,'апрель 2026'!$J$2:$J$2719,L$1)</f>
        <v>0</v>
      </c>
      <c r="M124" s="144">
        <f>SUMIFS('апрель 2026'!$G$2:$G$2719,'апрель 2026'!$D$2:$D$2719,$B124,'апрель 2026'!$J$2:$J$2719,M$1)</f>
        <v>0</v>
      </c>
      <c r="N124" s="144">
        <f>SUMIFS('апрель 2026'!$G$2:$G$2719,'апрель 2026'!$D$2:$D$2719,$B124,'апрель 2026'!$J$2:$J$2719,N$1)</f>
        <v>0</v>
      </c>
      <c r="O124" s="144">
        <f>SUMIFS('апрель 2026'!$G$2:$G$2719,'апрель 2026'!$D$2:$D$2719,$B124,'апрель 2026'!$J$2:$J$2719,O$1)</f>
        <v>0</v>
      </c>
      <c r="P124" s="144">
        <f>SUMIFS('апрель 2026'!$G$2:$G$2719,'апрель 2026'!$D$2:$D$2719,$B124,'апрель 2026'!$J$2:$J$2719,P$1)</f>
        <v>0</v>
      </c>
      <c r="Q124" s="144">
        <f>SUMIFS('апрель 2026'!$G$2:$G$2719,'апрель 2026'!$D$2:$D$2719,$B124,'апрель 2026'!$J$2:$J$2719,Q$1)</f>
        <v>80</v>
      </c>
      <c r="R124" s="144">
        <f>SUMIFS('апрель 2026'!$G$2:$G$2719,'апрель 2026'!$D$2:$D$2719,$B124,'апрель 2026'!$J$2:$J$2719,R$1)</f>
        <v>0</v>
      </c>
      <c r="S124" s="144">
        <f>SUMIFS('апрель 2026'!$G$2:$G$2719,'апрель 2026'!$D$2:$D$2719,$B124,'апрель 2026'!$J$2:$J$2719,S$1)</f>
        <v>0</v>
      </c>
      <c r="T124" s="144">
        <f>SUMIFS('апрель 2026'!$G$2:$G$2719,'апрель 2026'!$D$2:$D$2719,$B124,'апрель 2026'!$J$2:$J$2719,T$1)</f>
        <v>0</v>
      </c>
      <c r="U124" s="144">
        <f>SUMIFS('апрель 2026'!$G$2:$G$2719,'апрель 2026'!$D$2:$D$2719,$B124,'апрель 2026'!$J$2:$J$2719,U$1)</f>
        <v>0</v>
      </c>
      <c r="V124" s="144">
        <f>SUMIFS('апрель 2026'!$G$2:$G$2719,'апрель 2026'!$D$2:$D$2719,$B124,'апрель 2026'!$J$2:$J$2719,V$1)</f>
        <v>0</v>
      </c>
      <c r="W124" s="144">
        <f>SUMIFS('апрель 2026'!$G$2:$G$2719,'апрель 2026'!$D$2:$D$2719,$B124,'апрель 2026'!$J$2:$J$2719,W$1)</f>
        <v>0</v>
      </c>
      <c r="X124" s="144">
        <f>SUMIFS('апрель 2026'!$G$2:$G$2719,'апрель 2026'!$D$2:$D$2719,$B124,'апрель 2026'!$J$2:$J$2719,X$1)</f>
        <v>0</v>
      </c>
      <c r="Y124" s="144">
        <f>SUMIFS('апрель 2026'!$G$2:$G$2719,'апрель 2026'!$D$2:$D$2719,$B124,'апрель 2026'!$J$2:$J$2719,Y$1)</f>
        <v>0</v>
      </c>
      <c r="Z124" s="144">
        <f>SUMIFS('апрель 2026'!$G$2:$G$2719,'апрель 2026'!$D$2:$D$2719,$B124,'апрель 2026'!$J$2:$J$2719,Z$1)</f>
        <v>0</v>
      </c>
      <c r="AA124" s="144">
        <f>SUMIFS('апрель 2026'!$G$2:$G$2719,'апрель 2026'!$D$2:$D$2719,$B124,'апрель 2026'!$J$2:$J$2719,AA$1)</f>
        <v>0</v>
      </c>
      <c r="AB124" s="144">
        <f>SUMIFS('апрель 2026'!$G$2:$G$2719,'апрель 2026'!$D$2:$D$2719,$B124,'апрель 2026'!$J$2:$J$2719,AB$1)</f>
        <v>0</v>
      </c>
      <c r="AC124" s="144">
        <f>SUMIFS('апрель 2026'!$G$2:$G$2719,'апрель 2026'!$D$2:$D$2719,$B124,'апрель 2026'!$J$2:$J$2719,AC$1)</f>
        <v>0</v>
      </c>
      <c r="AD124" s="144">
        <f>SUMIFS('апрель 2026'!$G$2:$G$2719,'апрель 2026'!$D$2:$D$2719,$B124,'апрель 2026'!$J$2:$J$2719,AD$1)</f>
        <v>0</v>
      </c>
      <c r="AE124" s="144">
        <f>SUMIFS('апрель 2026'!$G$2:$G$2719,'апрель 2026'!$D$2:$D$2719,$B124,'апрель 2026'!$J$2:$J$2719,AE$1)</f>
        <v>0</v>
      </c>
      <c r="AF124" s="144">
        <f>SUMIFS('апрель 2026'!$G$2:$G$2719,'апрель 2026'!$D$2:$D$2719,$B124,'апрель 2026'!$J$2:$J$2719,AF$1)</f>
        <v>0</v>
      </c>
      <c r="AG124" s="144">
        <f>SUMIFS('апрель 2026'!$G$2:$G$2719,'апрель 2026'!$D$2:$D$2719,$B124,'апрель 2026'!$J$2:$J$2719,AG$1)</f>
        <v>0</v>
      </c>
      <c r="AH124" s="144">
        <f>SUMIFS('апрель 2026'!$G$2:$G$2719,'апрель 2026'!$D$2:$D$2719,$B124,'апрель 2026'!$J$2:$J$2719,AH$1)</f>
        <v>0</v>
      </c>
      <c r="AI124" s="20">
        <f t="shared" si="1"/>
        <v>200</v>
      </c>
    </row>
    <row r="125" spans="2:35" ht="15" customHeight="1" x14ac:dyDescent="0.25">
      <c r="B125" s="85" t="s">
        <v>258</v>
      </c>
      <c r="C125" s="83">
        <v>200</v>
      </c>
      <c r="D125" s="144">
        <f>SUMIFS('апрель 2026'!$G$2:$G$2719,'апрель 2026'!$D$2:$D$2719,$B125,'апрель 2026'!$J$2:$J$2719,D$1)</f>
        <v>0</v>
      </c>
      <c r="E125" s="144">
        <f>SUMIFS('апрель 2026'!$G$2:$G$2719,'апрель 2026'!$D$2:$D$2719,$B125,'апрель 2026'!$J$2:$J$2719,E$1)</f>
        <v>0</v>
      </c>
      <c r="F125" s="144">
        <f>SUMIFS('апрель 2026'!$G$2:$G$2719,'апрель 2026'!$D$2:$D$2719,$B125,'апрель 2026'!$J$2:$J$2719,F$1)</f>
        <v>0</v>
      </c>
      <c r="G125" s="144">
        <f>SUMIFS('апрель 2026'!$G$2:$G$2719,'апрель 2026'!$D$2:$D$2719,$B125,'апрель 2026'!$J$2:$J$2719,G$1)</f>
        <v>0</v>
      </c>
      <c r="H125" s="144">
        <f>SUMIFS('апрель 2026'!$G$2:$G$2719,'апрель 2026'!$D$2:$D$2719,$B125,'апрель 2026'!$J$2:$J$2719,H$1)</f>
        <v>0</v>
      </c>
      <c r="I125" s="144">
        <f>SUMIFS('апрель 2026'!$G$2:$G$2719,'апрель 2026'!$D$2:$D$2719,$B125,'апрель 2026'!$J$2:$J$2719,I$1)</f>
        <v>0</v>
      </c>
      <c r="J125" s="144">
        <f>SUMIFS('апрель 2026'!$G$2:$G$2719,'апрель 2026'!$D$2:$D$2719,$B125,'апрель 2026'!$J$2:$J$2719,J$1)</f>
        <v>0</v>
      </c>
      <c r="K125" s="144">
        <f>SUMIFS('апрель 2026'!$G$2:$G$2719,'апрель 2026'!$D$2:$D$2719,$B125,'апрель 2026'!$J$2:$J$2719,K$1)</f>
        <v>0</v>
      </c>
      <c r="L125" s="144">
        <f>SUMIFS('апрель 2026'!$G$2:$G$2719,'апрель 2026'!$D$2:$D$2719,$B125,'апрель 2026'!$J$2:$J$2719,L$1)</f>
        <v>0</v>
      </c>
      <c r="M125" s="144">
        <f>SUMIFS('апрель 2026'!$G$2:$G$2719,'апрель 2026'!$D$2:$D$2719,$B125,'апрель 2026'!$J$2:$J$2719,M$1)</f>
        <v>0</v>
      </c>
      <c r="N125" s="144">
        <f>SUMIFS('апрель 2026'!$G$2:$G$2719,'апрель 2026'!$D$2:$D$2719,$B125,'апрель 2026'!$J$2:$J$2719,N$1)</f>
        <v>0</v>
      </c>
      <c r="O125" s="144">
        <f>SUMIFS('апрель 2026'!$G$2:$G$2719,'апрель 2026'!$D$2:$D$2719,$B125,'апрель 2026'!$J$2:$J$2719,O$1)</f>
        <v>0</v>
      </c>
      <c r="P125" s="144">
        <f>SUMIFS('апрель 2026'!$G$2:$G$2719,'апрель 2026'!$D$2:$D$2719,$B125,'апрель 2026'!$J$2:$J$2719,P$1)</f>
        <v>0</v>
      </c>
      <c r="Q125" s="144">
        <f>SUMIFS('апрель 2026'!$G$2:$G$2719,'апрель 2026'!$D$2:$D$2719,$B125,'апрель 2026'!$J$2:$J$2719,Q$1)</f>
        <v>0</v>
      </c>
      <c r="R125" s="144">
        <f>SUMIFS('апрель 2026'!$G$2:$G$2719,'апрель 2026'!$D$2:$D$2719,$B125,'апрель 2026'!$J$2:$J$2719,R$1)</f>
        <v>0</v>
      </c>
      <c r="S125" s="144">
        <f>SUMIFS('апрель 2026'!$G$2:$G$2719,'апрель 2026'!$D$2:$D$2719,$B125,'апрель 2026'!$J$2:$J$2719,S$1)</f>
        <v>0</v>
      </c>
      <c r="T125" s="144">
        <f>SUMIFS('апрель 2026'!$G$2:$G$2719,'апрель 2026'!$D$2:$D$2719,$B125,'апрель 2026'!$J$2:$J$2719,T$1)</f>
        <v>0</v>
      </c>
      <c r="U125" s="144">
        <f>SUMIFS('апрель 2026'!$G$2:$G$2719,'апрель 2026'!$D$2:$D$2719,$B125,'апрель 2026'!$J$2:$J$2719,U$1)</f>
        <v>0</v>
      </c>
      <c r="V125" s="144">
        <f>SUMIFS('апрель 2026'!$G$2:$G$2719,'апрель 2026'!$D$2:$D$2719,$B125,'апрель 2026'!$J$2:$J$2719,V$1)</f>
        <v>0</v>
      </c>
      <c r="W125" s="144">
        <f>SUMIFS('апрель 2026'!$G$2:$G$2719,'апрель 2026'!$D$2:$D$2719,$B125,'апрель 2026'!$J$2:$J$2719,W$1)</f>
        <v>0</v>
      </c>
      <c r="X125" s="144">
        <f>SUMIFS('апрель 2026'!$G$2:$G$2719,'апрель 2026'!$D$2:$D$2719,$B125,'апрель 2026'!$J$2:$J$2719,X$1)</f>
        <v>0</v>
      </c>
      <c r="Y125" s="144">
        <f>SUMIFS('апрель 2026'!$G$2:$G$2719,'апрель 2026'!$D$2:$D$2719,$B125,'апрель 2026'!$J$2:$J$2719,Y$1)</f>
        <v>0</v>
      </c>
      <c r="Z125" s="144">
        <f>SUMIFS('апрель 2026'!$G$2:$G$2719,'апрель 2026'!$D$2:$D$2719,$B125,'апрель 2026'!$J$2:$J$2719,Z$1)</f>
        <v>0</v>
      </c>
      <c r="AA125" s="144">
        <f>SUMIFS('апрель 2026'!$G$2:$G$2719,'апрель 2026'!$D$2:$D$2719,$B125,'апрель 2026'!$J$2:$J$2719,AA$1)</f>
        <v>0</v>
      </c>
      <c r="AB125" s="144">
        <f>SUMIFS('апрель 2026'!$G$2:$G$2719,'апрель 2026'!$D$2:$D$2719,$B125,'апрель 2026'!$J$2:$J$2719,AB$1)</f>
        <v>0</v>
      </c>
      <c r="AC125" s="144">
        <f>SUMIFS('апрель 2026'!$G$2:$G$2719,'апрель 2026'!$D$2:$D$2719,$B125,'апрель 2026'!$J$2:$J$2719,AC$1)</f>
        <v>0</v>
      </c>
      <c r="AD125" s="144">
        <f>SUMIFS('апрель 2026'!$G$2:$G$2719,'апрель 2026'!$D$2:$D$2719,$B125,'апрель 2026'!$J$2:$J$2719,AD$1)</f>
        <v>0</v>
      </c>
      <c r="AE125" s="144">
        <f>SUMIFS('апрель 2026'!$G$2:$G$2719,'апрель 2026'!$D$2:$D$2719,$B125,'апрель 2026'!$J$2:$J$2719,AE$1)</f>
        <v>0</v>
      </c>
      <c r="AF125" s="144">
        <f>SUMIFS('апрель 2026'!$G$2:$G$2719,'апрель 2026'!$D$2:$D$2719,$B125,'апрель 2026'!$J$2:$J$2719,AF$1)</f>
        <v>0</v>
      </c>
      <c r="AG125" s="144">
        <f>SUMIFS('апрель 2026'!$G$2:$G$2719,'апрель 2026'!$D$2:$D$2719,$B125,'апрель 2026'!$J$2:$J$2719,AG$1)</f>
        <v>0</v>
      </c>
      <c r="AH125" s="144">
        <f>SUMIFS('апрель 2026'!$G$2:$G$2719,'апрель 2026'!$D$2:$D$2719,$B125,'апрель 2026'!$J$2:$J$2719,AH$1)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SUMIFS('апрель 2026'!$G$2:$G$2719,'апрель 2026'!$D$2:$D$2719,$B126,'апрель 2026'!$J$2:$J$2719,D$1)</f>
        <v>0</v>
      </c>
      <c r="E126" s="144">
        <f>SUMIFS('апрель 2026'!$G$2:$G$2719,'апрель 2026'!$D$2:$D$2719,$B126,'апрель 2026'!$J$2:$J$2719,E$1)</f>
        <v>1</v>
      </c>
      <c r="F126" s="144">
        <f>SUMIFS('апрель 2026'!$G$2:$G$2719,'апрель 2026'!$D$2:$D$2719,$B126,'апрель 2026'!$J$2:$J$2719,F$1)</f>
        <v>0</v>
      </c>
      <c r="G126" s="144">
        <f>SUMIFS('апрель 2026'!$G$2:$G$2719,'апрель 2026'!$D$2:$D$2719,$B126,'апрель 2026'!$J$2:$J$2719,G$1)</f>
        <v>0</v>
      </c>
      <c r="H126" s="144">
        <f>SUMIFS('апрель 2026'!$G$2:$G$2719,'апрель 2026'!$D$2:$D$2719,$B126,'апрель 2026'!$J$2:$J$2719,H$1)</f>
        <v>0</v>
      </c>
      <c r="I126" s="144">
        <f>SUMIFS('апрель 2026'!$G$2:$G$2719,'апрель 2026'!$D$2:$D$2719,$B126,'апрель 2026'!$J$2:$J$2719,I$1)</f>
        <v>0</v>
      </c>
      <c r="J126" s="144">
        <f>SUMIFS('апрель 2026'!$G$2:$G$2719,'апрель 2026'!$D$2:$D$2719,$B126,'апрель 2026'!$J$2:$J$2719,J$1)</f>
        <v>0</v>
      </c>
      <c r="K126" s="144">
        <f>SUMIFS('апрель 2026'!$G$2:$G$2719,'апрель 2026'!$D$2:$D$2719,$B126,'апрель 2026'!$J$2:$J$2719,K$1)</f>
        <v>0</v>
      </c>
      <c r="L126" s="144">
        <f>SUMIFS('апрель 2026'!$G$2:$G$2719,'апрель 2026'!$D$2:$D$2719,$B126,'апрель 2026'!$J$2:$J$2719,L$1)</f>
        <v>0</v>
      </c>
      <c r="M126" s="144">
        <f>SUMIFS('апрель 2026'!$G$2:$G$2719,'апрель 2026'!$D$2:$D$2719,$B126,'апрель 2026'!$J$2:$J$2719,M$1)</f>
        <v>0</v>
      </c>
      <c r="N126" s="144">
        <f>SUMIFS('апрель 2026'!$G$2:$G$2719,'апрель 2026'!$D$2:$D$2719,$B126,'апрель 2026'!$J$2:$J$2719,N$1)</f>
        <v>0</v>
      </c>
      <c r="O126" s="144">
        <f>SUMIFS('апрель 2026'!$G$2:$G$2719,'апрель 2026'!$D$2:$D$2719,$B126,'апрель 2026'!$J$2:$J$2719,O$1)</f>
        <v>0</v>
      </c>
      <c r="P126" s="144">
        <f>SUMIFS('апрель 2026'!$G$2:$G$2719,'апрель 2026'!$D$2:$D$2719,$B126,'апрель 2026'!$J$2:$J$2719,P$1)</f>
        <v>0</v>
      </c>
      <c r="Q126" s="144">
        <f>SUMIFS('апрель 2026'!$G$2:$G$2719,'апрель 2026'!$D$2:$D$2719,$B126,'апрель 2026'!$J$2:$J$2719,Q$1)</f>
        <v>0</v>
      </c>
      <c r="R126" s="144">
        <f>SUMIFS('апрель 2026'!$G$2:$G$2719,'апрель 2026'!$D$2:$D$2719,$B126,'апрель 2026'!$J$2:$J$2719,R$1)</f>
        <v>0</v>
      </c>
      <c r="S126" s="144">
        <f>SUMIFS('апрель 2026'!$G$2:$G$2719,'апрель 2026'!$D$2:$D$2719,$B126,'апрель 2026'!$J$2:$J$2719,S$1)</f>
        <v>0</v>
      </c>
      <c r="T126" s="144">
        <f>SUMIFS('апрель 2026'!$G$2:$G$2719,'апрель 2026'!$D$2:$D$2719,$B126,'апрель 2026'!$J$2:$J$2719,T$1)</f>
        <v>0</v>
      </c>
      <c r="U126" s="144">
        <f>SUMIFS('апрель 2026'!$G$2:$G$2719,'апрель 2026'!$D$2:$D$2719,$B126,'апрель 2026'!$J$2:$J$2719,U$1)</f>
        <v>0</v>
      </c>
      <c r="V126" s="144">
        <f>SUMIFS('апрель 2026'!$G$2:$G$2719,'апрель 2026'!$D$2:$D$2719,$B126,'апрель 2026'!$J$2:$J$2719,V$1)</f>
        <v>0</v>
      </c>
      <c r="W126" s="144">
        <f>SUMIFS('апрель 2026'!$G$2:$G$2719,'апрель 2026'!$D$2:$D$2719,$B126,'апрель 2026'!$J$2:$J$2719,W$1)</f>
        <v>0</v>
      </c>
      <c r="X126" s="144">
        <f>SUMIFS('апрель 2026'!$G$2:$G$2719,'апрель 2026'!$D$2:$D$2719,$B126,'апрель 2026'!$J$2:$J$2719,X$1)</f>
        <v>0</v>
      </c>
      <c r="Y126" s="144">
        <f>SUMIFS('апрель 2026'!$G$2:$G$2719,'апрель 2026'!$D$2:$D$2719,$B126,'апрель 2026'!$J$2:$J$2719,Y$1)</f>
        <v>0</v>
      </c>
      <c r="Z126" s="144">
        <f>SUMIFS('апрель 2026'!$G$2:$G$2719,'апрель 2026'!$D$2:$D$2719,$B126,'апрель 2026'!$J$2:$J$2719,Z$1)</f>
        <v>0</v>
      </c>
      <c r="AA126" s="144">
        <f>SUMIFS('апрель 2026'!$G$2:$G$2719,'апрель 2026'!$D$2:$D$2719,$B126,'апрель 2026'!$J$2:$J$2719,AA$1)</f>
        <v>0</v>
      </c>
      <c r="AB126" s="144">
        <f>SUMIFS('апрель 2026'!$G$2:$G$2719,'апрель 2026'!$D$2:$D$2719,$B126,'апрель 2026'!$J$2:$J$2719,AB$1)</f>
        <v>0</v>
      </c>
      <c r="AC126" s="144">
        <f>SUMIFS('апрель 2026'!$G$2:$G$2719,'апрель 2026'!$D$2:$D$2719,$B126,'апрель 2026'!$J$2:$J$2719,AC$1)</f>
        <v>0</v>
      </c>
      <c r="AD126" s="144">
        <f>SUMIFS('апрель 2026'!$G$2:$G$2719,'апрель 2026'!$D$2:$D$2719,$B126,'апрель 2026'!$J$2:$J$2719,AD$1)</f>
        <v>0</v>
      </c>
      <c r="AE126" s="144">
        <f>SUMIFS('апрель 2026'!$G$2:$G$2719,'апрель 2026'!$D$2:$D$2719,$B126,'апрель 2026'!$J$2:$J$2719,AE$1)</f>
        <v>0</v>
      </c>
      <c r="AF126" s="144">
        <f>SUMIFS('апрель 2026'!$G$2:$G$2719,'апрель 2026'!$D$2:$D$2719,$B126,'апрель 2026'!$J$2:$J$2719,AF$1)</f>
        <v>0</v>
      </c>
      <c r="AG126" s="144">
        <f>SUMIFS('апрель 2026'!$G$2:$G$2719,'апрель 2026'!$D$2:$D$2719,$B126,'апрель 2026'!$J$2:$J$2719,AG$1)</f>
        <v>0</v>
      </c>
      <c r="AH126" s="144">
        <f>SUMIFS('апрель 2026'!$G$2:$G$2719,'апрель 2026'!$D$2:$D$2719,$B126,'апрель 2026'!$J$2:$J$2719,AH$1)</f>
        <v>0</v>
      </c>
      <c r="AI126" s="20">
        <f t="shared" si="1"/>
        <v>1</v>
      </c>
    </row>
    <row r="127" spans="2:35" ht="15" customHeight="1" x14ac:dyDescent="0.25">
      <c r="B127" s="82" t="s">
        <v>206</v>
      </c>
      <c r="C127" s="81">
        <v>25</v>
      </c>
      <c r="D127" s="144">
        <f>SUMIFS('апрель 2026'!$G$2:$G$2719,'апрель 2026'!$D$2:$D$2719,$B127,'апрель 2026'!$J$2:$J$2719,D$1)</f>
        <v>0</v>
      </c>
      <c r="E127" s="144">
        <f>SUMIFS('апрель 2026'!$G$2:$G$2719,'апрель 2026'!$D$2:$D$2719,$B127,'апрель 2026'!$J$2:$J$2719,E$1)</f>
        <v>0</v>
      </c>
      <c r="F127" s="144">
        <f>SUMIFS('апрель 2026'!$G$2:$G$2719,'апрель 2026'!$D$2:$D$2719,$B127,'апрель 2026'!$J$2:$J$2719,F$1)</f>
        <v>0</v>
      </c>
      <c r="G127" s="144">
        <f>SUMIFS('апрель 2026'!$G$2:$G$2719,'апрель 2026'!$D$2:$D$2719,$B127,'апрель 2026'!$J$2:$J$2719,G$1)</f>
        <v>0</v>
      </c>
      <c r="H127" s="144">
        <f>SUMIFS('апрель 2026'!$G$2:$G$2719,'апрель 2026'!$D$2:$D$2719,$B127,'апрель 2026'!$J$2:$J$2719,H$1)</f>
        <v>0</v>
      </c>
      <c r="I127" s="144">
        <f>SUMIFS('апрель 2026'!$G$2:$G$2719,'апрель 2026'!$D$2:$D$2719,$B127,'апрель 2026'!$J$2:$J$2719,I$1)</f>
        <v>0</v>
      </c>
      <c r="J127" s="144">
        <f>SUMIFS('апрель 2026'!$G$2:$G$2719,'апрель 2026'!$D$2:$D$2719,$B127,'апрель 2026'!$J$2:$J$2719,J$1)</f>
        <v>0</v>
      </c>
      <c r="K127" s="144">
        <f>SUMIFS('апрель 2026'!$G$2:$G$2719,'апрель 2026'!$D$2:$D$2719,$B127,'апрель 2026'!$J$2:$J$2719,K$1)</f>
        <v>0</v>
      </c>
      <c r="L127" s="144">
        <f>SUMIFS('апрель 2026'!$G$2:$G$2719,'апрель 2026'!$D$2:$D$2719,$B127,'апрель 2026'!$J$2:$J$2719,L$1)</f>
        <v>0</v>
      </c>
      <c r="M127" s="144">
        <f>SUMIFS('апрель 2026'!$G$2:$G$2719,'апрель 2026'!$D$2:$D$2719,$B127,'апрель 2026'!$J$2:$J$2719,M$1)</f>
        <v>0</v>
      </c>
      <c r="N127" s="144">
        <f>SUMIFS('апрель 2026'!$G$2:$G$2719,'апрель 2026'!$D$2:$D$2719,$B127,'апрель 2026'!$J$2:$J$2719,N$1)</f>
        <v>0</v>
      </c>
      <c r="O127" s="144">
        <f>SUMIFS('апрель 2026'!$G$2:$G$2719,'апрель 2026'!$D$2:$D$2719,$B127,'апрель 2026'!$J$2:$J$2719,O$1)</f>
        <v>0</v>
      </c>
      <c r="P127" s="144">
        <f>SUMIFS('апрель 2026'!$G$2:$G$2719,'апрель 2026'!$D$2:$D$2719,$B127,'апрель 2026'!$J$2:$J$2719,P$1)</f>
        <v>0</v>
      </c>
      <c r="Q127" s="144">
        <f>SUMIFS('апрель 2026'!$G$2:$G$2719,'апрель 2026'!$D$2:$D$2719,$B127,'апрель 2026'!$J$2:$J$2719,Q$1)</f>
        <v>0</v>
      </c>
      <c r="R127" s="144">
        <f>SUMIFS('апрель 2026'!$G$2:$G$2719,'апрель 2026'!$D$2:$D$2719,$B127,'апрель 2026'!$J$2:$J$2719,R$1)</f>
        <v>0</v>
      </c>
      <c r="S127" s="144">
        <f>SUMIFS('апрель 2026'!$G$2:$G$2719,'апрель 2026'!$D$2:$D$2719,$B127,'апрель 2026'!$J$2:$J$2719,S$1)</f>
        <v>0</v>
      </c>
      <c r="T127" s="144">
        <f>SUMIFS('апрель 2026'!$G$2:$G$2719,'апрель 2026'!$D$2:$D$2719,$B127,'апрель 2026'!$J$2:$J$2719,T$1)</f>
        <v>0</v>
      </c>
      <c r="U127" s="144">
        <f>SUMIFS('апрель 2026'!$G$2:$G$2719,'апрель 2026'!$D$2:$D$2719,$B127,'апрель 2026'!$J$2:$J$2719,U$1)</f>
        <v>0</v>
      </c>
      <c r="V127" s="144">
        <f>SUMIFS('апрель 2026'!$G$2:$G$2719,'апрель 2026'!$D$2:$D$2719,$B127,'апрель 2026'!$J$2:$J$2719,V$1)</f>
        <v>0</v>
      </c>
      <c r="W127" s="144">
        <f>SUMIFS('апрель 2026'!$G$2:$G$2719,'апрель 2026'!$D$2:$D$2719,$B127,'апрель 2026'!$J$2:$J$2719,W$1)</f>
        <v>0</v>
      </c>
      <c r="X127" s="144">
        <f>SUMIFS('апрель 2026'!$G$2:$G$2719,'апрель 2026'!$D$2:$D$2719,$B127,'апрель 2026'!$J$2:$J$2719,X$1)</f>
        <v>0</v>
      </c>
      <c r="Y127" s="144">
        <f>SUMIFS('апрель 2026'!$G$2:$G$2719,'апрель 2026'!$D$2:$D$2719,$B127,'апрель 2026'!$J$2:$J$2719,Y$1)</f>
        <v>0</v>
      </c>
      <c r="Z127" s="144">
        <f>SUMIFS('апрель 2026'!$G$2:$G$2719,'апрель 2026'!$D$2:$D$2719,$B127,'апрель 2026'!$J$2:$J$2719,Z$1)</f>
        <v>0</v>
      </c>
      <c r="AA127" s="144">
        <f>SUMIFS('апрель 2026'!$G$2:$G$2719,'апрель 2026'!$D$2:$D$2719,$B127,'апрель 2026'!$J$2:$J$2719,AA$1)</f>
        <v>0</v>
      </c>
      <c r="AB127" s="144">
        <f>SUMIFS('апрель 2026'!$G$2:$G$2719,'апрель 2026'!$D$2:$D$2719,$B127,'апрель 2026'!$J$2:$J$2719,AB$1)</f>
        <v>0</v>
      </c>
      <c r="AC127" s="144">
        <f>SUMIFS('апрель 2026'!$G$2:$G$2719,'апрель 2026'!$D$2:$D$2719,$B127,'апрель 2026'!$J$2:$J$2719,AC$1)</f>
        <v>0</v>
      </c>
      <c r="AD127" s="144">
        <f>SUMIFS('апрель 2026'!$G$2:$G$2719,'апрель 2026'!$D$2:$D$2719,$B127,'апрель 2026'!$J$2:$J$2719,AD$1)</f>
        <v>0</v>
      </c>
      <c r="AE127" s="144">
        <f>SUMIFS('апрель 2026'!$G$2:$G$2719,'апрель 2026'!$D$2:$D$2719,$B127,'апрель 2026'!$J$2:$J$2719,AE$1)</f>
        <v>0</v>
      </c>
      <c r="AF127" s="144">
        <f>SUMIFS('апрель 2026'!$G$2:$G$2719,'апрель 2026'!$D$2:$D$2719,$B127,'апрель 2026'!$J$2:$J$2719,AF$1)</f>
        <v>0</v>
      </c>
      <c r="AG127" s="144">
        <f>SUMIFS('апрель 2026'!$G$2:$G$2719,'апрель 2026'!$D$2:$D$2719,$B127,'апрель 2026'!$J$2:$J$2719,AG$1)</f>
        <v>0</v>
      </c>
      <c r="AH127" s="144">
        <f>SUMIFS('апрель 2026'!$G$2:$G$2719,'апрель 2026'!$D$2:$D$2719,$B127,'апрель 2026'!$J$2:$J$2719,AH$1)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SUMIFS('апрель 2026'!$G$2:$G$2719,'апрель 2026'!$D$2:$D$2719,$B128,'апрель 2026'!$J$2:$J$2719,D$1)</f>
        <v>0</v>
      </c>
      <c r="E128" s="144">
        <f>SUMIFS('апрель 2026'!$G$2:$G$2719,'апрель 2026'!$D$2:$D$2719,$B128,'апрель 2026'!$J$2:$J$2719,E$1)</f>
        <v>0</v>
      </c>
      <c r="F128" s="144">
        <f>SUMIFS('апрель 2026'!$G$2:$G$2719,'апрель 2026'!$D$2:$D$2719,$B128,'апрель 2026'!$J$2:$J$2719,F$1)</f>
        <v>0</v>
      </c>
      <c r="G128" s="144">
        <f>SUMIFS('апрель 2026'!$G$2:$G$2719,'апрель 2026'!$D$2:$D$2719,$B128,'апрель 2026'!$J$2:$J$2719,G$1)</f>
        <v>0</v>
      </c>
      <c r="H128" s="144">
        <f>SUMIFS('апрель 2026'!$G$2:$G$2719,'апрель 2026'!$D$2:$D$2719,$B128,'апрель 2026'!$J$2:$J$2719,H$1)</f>
        <v>0</v>
      </c>
      <c r="I128" s="144">
        <f>SUMIFS('апрель 2026'!$G$2:$G$2719,'апрель 2026'!$D$2:$D$2719,$B128,'апрель 2026'!$J$2:$J$2719,I$1)</f>
        <v>0</v>
      </c>
      <c r="J128" s="144">
        <f>SUMIFS('апрель 2026'!$G$2:$G$2719,'апрель 2026'!$D$2:$D$2719,$B128,'апрель 2026'!$J$2:$J$2719,J$1)</f>
        <v>0</v>
      </c>
      <c r="K128" s="144">
        <f>SUMIFS('апрель 2026'!$G$2:$G$2719,'апрель 2026'!$D$2:$D$2719,$B128,'апрель 2026'!$J$2:$J$2719,K$1)</f>
        <v>0</v>
      </c>
      <c r="L128" s="144">
        <f>SUMIFS('апрель 2026'!$G$2:$G$2719,'апрель 2026'!$D$2:$D$2719,$B128,'апрель 2026'!$J$2:$J$2719,L$1)</f>
        <v>0</v>
      </c>
      <c r="M128" s="144">
        <f>SUMIFS('апрель 2026'!$G$2:$G$2719,'апрель 2026'!$D$2:$D$2719,$B128,'апрель 2026'!$J$2:$J$2719,M$1)</f>
        <v>0</v>
      </c>
      <c r="N128" s="144">
        <f>SUMIFS('апрель 2026'!$G$2:$G$2719,'апрель 2026'!$D$2:$D$2719,$B128,'апрель 2026'!$J$2:$J$2719,N$1)</f>
        <v>0</v>
      </c>
      <c r="O128" s="144">
        <f>SUMIFS('апрель 2026'!$G$2:$G$2719,'апрель 2026'!$D$2:$D$2719,$B128,'апрель 2026'!$J$2:$J$2719,O$1)</f>
        <v>0</v>
      </c>
      <c r="P128" s="144">
        <f>SUMIFS('апрель 2026'!$G$2:$G$2719,'апрель 2026'!$D$2:$D$2719,$B128,'апрель 2026'!$J$2:$J$2719,P$1)</f>
        <v>0</v>
      </c>
      <c r="Q128" s="144">
        <f>SUMIFS('апрель 2026'!$G$2:$G$2719,'апрель 2026'!$D$2:$D$2719,$B128,'апрель 2026'!$J$2:$J$2719,Q$1)</f>
        <v>0</v>
      </c>
      <c r="R128" s="144">
        <f>SUMIFS('апрель 2026'!$G$2:$G$2719,'апрель 2026'!$D$2:$D$2719,$B128,'апрель 2026'!$J$2:$J$2719,R$1)</f>
        <v>0</v>
      </c>
      <c r="S128" s="144">
        <f>SUMIFS('апрель 2026'!$G$2:$G$2719,'апрель 2026'!$D$2:$D$2719,$B128,'апрель 2026'!$J$2:$J$2719,S$1)</f>
        <v>0</v>
      </c>
      <c r="T128" s="144">
        <f>SUMIFS('апрель 2026'!$G$2:$G$2719,'апрель 2026'!$D$2:$D$2719,$B128,'апрель 2026'!$J$2:$J$2719,T$1)</f>
        <v>0</v>
      </c>
      <c r="U128" s="144">
        <f>SUMIFS('апрель 2026'!$G$2:$G$2719,'апрель 2026'!$D$2:$D$2719,$B128,'апрель 2026'!$J$2:$J$2719,U$1)</f>
        <v>0</v>
      </c>
      <c r="V128" s="144">
        <f>SUMIFS('апрель 2026'!$G$2:$G$2719,'апрель 2026'!$D$2:$D$2719,$B128,'апрель 2026'!$J$2:$J$2719,V$1)</f>
        <v>0</v>
      </c>
      <c r="W128" s="144">
        <f>SUMIFS('апрель 2026'!$G$2:$G$2719,'апрель 2026'!$D$2:$D$2719,$B128,'апрель 2026'!$J$2:$J$2719,W$1)</f>
        <v>0</v>
      </c>
      <c r="X128" s="144">
        <f>SUMIFS('апрель 2026'!$G$2:$G$2719,'апрель 2026'!$D$2:$D$2719,$B128,'апрель 2026'!$J$2:$J$2719,X$1)</f>
        <v>0</v>
      </c>
      <c r="Y128" s="144">
        <f>SUMIFS('апрель 2026'!$G$2:$G$2719,'апрель 2026'!$D$2:$D$2719,$B128,'апрель 2026'!$J$2:$J$2719,Y$1)</f>
        <v>0</v>
      </c>
      <c r="Z128" s="144">
        <f>SUMIFS('апрель 2026'!$G$2:$G$2719,'апрель 2026'!$D$2:$D$2719,$B128,'апрель 2026'!$J$2:$J$2719,Z$1)</f>
        <v>0</v>
      </c>
      <c r="AA128" s="144">
        <f>SUMIFS('апрель 2026'!$G$2:$G$2719,'апрель 2026'!$D$2:$D$2719,$B128,'апрель 2026'!$J$2:$J$2719,AA$1)</f>
        <v>0</v>
      </c>
      <c r="AB128" s="144">
        <f>SUMIFS('апрель 2026'!$G$2:$G$2719,'апрель 2026'!$D$2:$D$2719,$B128,'апрель 2026'!$J$2:$J$2719,AB$1)</f>
        <v>0</v>
      </c>
      <c r="AC128" s="144">
        <f>SUMIFS('апрель 2026'!$G$2:$G$2719,'апрель 2026'!$D$2:$D$2719,$B128,'апрель 2026'!$J$2:$J$2719,AC$1)</f>
        <v>0</v>
      </c>
      <c r="AD128" s="144">
        <f>SUMIFS('апрель 2026'!$G$2:$G$2719,'апрель 2026'!$D$2:$D$2719,$B128,'апрель 2026'!$J$2:$J$2719,AD$1)</f>
        <v>0</v>
      </c>
      <c r="AE128" s="144">
        <f>SUMIFS('апрель 2026'!$G$2:$G$2719,'апрель 2026'!$D$2:$D$2719,$B128,'апрель 2026'!$J$2:$J$2719,AE$1)</f>
        <v>0</v>
      </c>
      <c r="AF128" s="144">
        <f>SUMIFS('апрель 2026'!$G$2:$G$2719,'апрель 2026'!$D$2:$D$2719,$B128,'апрель 2026'!$J$2:$J$2719,AF$1)</f>
        <v>0</v>
      </c>
      <c r="AG128" s="144">
        <f>SUMIFS('апрель 2026'!$G$2:$G$2719,'апрель 2026'!$D$2:$D$2719,$B128,'апрель 2026'!$J$2:$J$2719,AG$1)</f>
        <v>0</v>
      </c>
      <c r="AH128" s="144">
        <f>SUMIFS('апрель 2026'!$G$2:$G$2719,'апрель 2026'!$D$2:$D$2719,$B128,'апрель 2026'!$J$2:$J$2719,AH$1)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SUMIFS('апрель 2026'!$G$2:$G$2719,'апрель 2026'!$D$2:$D$2719,$B129,'апрель 2026'!$J$2:$J$2719,D$1)</f>
        <v>0</v>
      </c>
      <c r="E129" s="144">
        <f>SUMIFS('апрель 2026'!$G$2:$G$2719,'апрель 2026'!$D$2:$D$2719,$B129,'апрель 2026'!$J$2:$J$2719,E$1)</f>
        <v>0</v>
      </c>
      <c r="F129" s="144">
        <f>SUMIFS('апрель 2026'!$G$2:$G$2719,'апрель 2026'!$D$2:$D$2719,$B129,'апрель 2026'!$J$2:$J$2719,F$1)</f>
        <v>0</v>
      </c>
      <c r="G129" s="144">
        <f>SUMIFS('апрель 2026'!$G$2:$G$2719,'апрель 2026'!$D$2:$D$2719,$B129,'апрель 2026'!$J$2:$J$2719,G$1)</f>
        <v>0</v>
      </c>
      <c r="H129" s="144">
        <f>SUMIFS('апрель 2026'!$G$2:$G$2719,'апрель 2026'!$D$2:$D$2719,$B129,'апрель 2026'!$J$2:$J$2719,H$1)</f>
        <v>0</v>
      </c>
      <c r="I129" s="144">
        <f>SUMIFS('апрель 2026'!$G$2:$G$2719,'апрель 2026'!$D$2:$D$2719,$B129,'апрель 2026'!$J$2:$J$2719,I$1)</f>
        <v>0</v>
      </c>
      <c r="J129" s="144">
        <f>SUMIFS('апрель 2026'!$G$2:$G$2719,'апрель 2026'!$D$2:$D$2719,$B129,'апрель 2026'!$J$2:$J$2719,J$1)</f>
        <v>0</v>
      </c>
      <c r="K129" s="144">
        <f>SUMIFS('апрель 2026'!$G$2:$G$2719,'апрель 2026'!$D$2:$D$2719,$B129,'апрель 2026'!$J$2:$J$2719,K$1)</f>
        <v>0</v>
      </c>
      <c r="L129" s="144">
        <f>SUMIFS('апрель 2026'!$G$2:$G$2719,'апрель 2026'!$D$2:$D$2719,$B129,'апрель 2026'!$J$2:$J$2719,L$1)</f>
        <v>0</v>
      </c>
      <c r="M129" s="144">
        <f>SUMIFS('апрель 2026'!$G$2:$G$2719,'апрель 2026'!$D$2:$D$2719,$B129,'апрель 2026'!$J$2:$J$2719,M$1)</f>
        <v>0</v>
      </c>
      <c r="N129" s="144">
        <f>SUMIFS('апрель 2026'!$G$2:$G$2719,'апрель 2026'!$D$2:$D$2719,$B129,'апрель 2026'!$J$2:$J$2719,N$1)</f>
        <v>0</v>
      </c>
      <c r="O129" s="144">
        <f>SUMIFS('апрель 2026'!$G$2:$G$2719,'апрель 2026'!$D$2:$D$2719,$B129,'апрель 2026'!$J$2:$J$2719,O$1)</f>
        <v>0</v>
      </c>
      <c r="P129" s="144">
        <f>SUMIFS('апрель 2026'!$G$2:$G$2719,'апрель 2026'!$D$2:$D$2719,$B129,'апрель 2026'!$J$2:$J$2719,P$1)</f>
        <v>0</v>
      </c>
      <c r="Q129" s="144">
        <f>SUMIFS('апрель 2026'!$G$2:$G$2719,'апрель 2026'!$D$2:$D$2719,$B129,'апрель 2026'!$J$2:$J$2719,Q$1)</f>
        <v>0</v>
      </c>
      <c r="R129" s="144">
        <f>SUMIFS('апрель 2026'!$G$2:$G$2719,'апрель 2026'!$D$2:$D$2719,$B129,'апрель 2026'!$J$2:$J$2719,R$1)</f>
        <v>0</v>
      </c>
      <c r="S129" s="144">
        <f>SUMIFS('апрель 2026'!$G$2:$G$2719,'апрель 2026'!$D$2:$D$2719,$B129,'апрель 2026'!$J$2:$J$2719,S$1)</f>
        <v>0</v>
      </c>
      <c r="T129" s="144">
        <f>SUMIFS('апрель 2026'!$G$2:$G$2719,'апрель 2026'!$D$2:$D$2719,$B129,'апрель 2026'!$J$2:$J$2719,T$1)</f>
        <v>0</v>
      </c>
      <c r="U129" s="144">
        <f>SUMIFS('апрель 2026'!$G$2:$G$2719,'апрель 2026'!$D$2:$D$2719,$B129,'апрель 2026'!$J$2:$J$2719,U$1)</f>
        <v>0</v>
      </c>
      <c r="V129" s="144">
        <f>SUMIFS('апрель 2026'!$G$2:$G$2719,'апрель 2026'!$D$2:$D$2719,$B129,'апрель 2026'!$J$2:$J$2719,V$1)</f>
        <v>0</v>
      </c>
      <c r="W129" s="144">
        <f>SUMIFS('апрель 2026'!$G$2:$G$2719,'апрель 2026'!$D$2:$D$2719,$B129,'апрель 2026'!$J$2:$J$2719,W$1)</f>
        <v>0</v>
      </c>
      <c r="X129" s="144">
        <f>SUMIFS('апрель 2026'!$G$2:$G$2719,'апрель 2026'!$D$2:$D$2719,$B129,'апрель 2026'!$J$2:$J$2719,X$1)</f>
        <v>0</v>
      </c>
      <c r="Y129" s="144">
        <f>SUMIFS('апрель 2026'!$G$2:$G$2719,'апрель 2026'!$D$2:$D$2719,$B129,'апрель 2026'!$J$2:$J$2719,Y$1)</f>
        <v>0</v>
      </c>
      <c r="Z129" s="144">
        <f>SUMIFS('апрель 2026'!$G$2:$G$2719,'апрель 2026'!$D$2:$D$2719,$B129,'апрель 2026'!$J$2:$J$2719,Z$1)</f>
        <v>0</v>
      </c>
      <c r="AA129" s="144">
        <f>SUMIFS('апрель 2026'!$G$2:$G$2719,'апрель 2026'!$D$2:$D$2719,$B129,'апрель 2026'!$J$2:$J$2719,AA$1)</f>
        <v>0</v>
      </c>
      <c r="AB129" s="144">
        <f>SUMIFS('апрель 2026'!$G$2:$G$2719,'апрель 2026'!$D$2:$D$2719,$B129,'апрель 2026'!$J$2:$J$2719,AB$1)</f>
        <v>0</v>
      </c>
      <c r="AC129" s="144">
        <f>SUMIFS('апрель 2026'!$G$2:$G$2719,'апрель 2026'!$D$2:$D$2719,$B129,'апрель 2026'!$J$2:$J$2719,AC$1)</f>
        <v>0</v>
      </c>
      <c r="AD129" s="144">
        <f>SUMIFS('апрель 2026'!$G$2:$G$2719,'апрель 2026'!$D$2:$D$2719,$B129,'апрель 2026'!$J$2:$J$2719,AD$1)</f>
        <v>0</v>
      </c>
      <c r="AE129" s="144">
        <f>SUMIFS('апрель 2026'!$G$2:$G$2719,'апрель 2026'!$D$2:$D$2719,$B129,'апрель 2026'!$J$2:$J$2719,AE$1)</f>
        <v>0</v>
      </c>
      <c r="AF129" s="144">
        <f>SUMIFS('апрель 2026'!$G$2:$G$2719,'апрель 2026'!$D$2:$D$2719,$B129,'апрель 2026'!$J$2:$J$2719,AF$1)</f>
        <v>0</v>
      </c>
      <c r="AG129" s="144">
        <f>SUMIFS('апрель 2026'!$G$2:$G$2719,'апрель 2026'!$D$2:$D$2719,$B129,'апрель 2026'!$J$2:$J$2719,AG$1)</f>
        <v>0</v>
      </c>
      <c r="AH129" s="144">
        <f>SUMIFS('апрель 2026'!$G$2:$G$2719,'апрель 2026'!$D$2:$D$2719,$B129,'апрель 2026'!$J$2:$J$2719,AH$1)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SUMIFS('апрель 2026'!$G$2:$G$2719,'апрель 2026'!$D$2:$D$2719,$B130,'апрель 2026'!$J$2:$J$2719,D$1)</f>
        <v>0</v>
      </c>
      <c r="E130" s="144">
        <f>SUMIFS('апрель 2026'!$G$2:$G$2719,'апрель 2026'!$D$2:$D$2719,$B130,'апрель 2026'!$J$2:$J$2719,E$1)</f>
        <v>0</v>
      </c>
      <c r="F130" s="144">
        <f>SUMIFS('апрель 2026'!$G$2:$G$2719,'апрель 2026'!$D$2:$D$2719,$B130,'апрель 2026'!$J$2:$J$2719,F$1)</f>
        <v>0</v>
      </c>
      <c r="G130" s="144">
        <f>SUMIFS('апрель 2026'!$G$2:$G$2719,'апрель 2026'!$D$2:$D$2719,$B130,'апрель 2026'!$J$2:$J$2719,G$1)</f>
        <v>0</v>
      </c>
      <c r="H130" s="144">
        <f>SUMIFS('апрель 2026'!$G$2:$G$2719,'апрель 2026'!$D$2:$D$2719,$B130,'апрель 2026'!$J$2:$J$2719,H$1)</f>
        <v>0</v>
      </c>
      <c r="I130" s="144">
        <f>SUMIFS('апрель 2026'!$G$2:$G$2719,'апрель 2026'!$D$2:$D$2719,$B130,'апрель 2026'!$J$2:$J$2719,I$1)</f>
        <v>0</v>
      </c>
      <c r="J130" s="144">
        <f>SUMIFS('апрель 2026'!$G$2:$G$2719,'апрель 2026'!$D$2:$D$2719,$B130,'апрель 2026'!$J$2:$J$2719,J$1)</f>
        <v>0</v>
      </c>
      <c r="K130" s="144">
        <f>SUMIFS('апрель 2026'!$G$2:$G$2719,'апрель 2026'!$D$2:$D$2719,$B130,'апрель 2026'!$J$2:$J$2719,K$1)</f>
        <v>0</v>
      </c>
      <c r="L130" s="144">
        <f>SUMIFS('апрель 2026'!$G$2:$G$2719,'апрель 2026'!$D$2:$D$2719,$B130,'апрель 2026'!$J$2:$J$2719,L$1)</f>
        <v>0</v>
      </c>
      <c r="M130" s="144">
        <f>SUMIFS('апрель 2026'!$G$2:$G$2719,'апрель 2026'!$D$2:$D$2719,$B130,'апрель 2026'!$J$2:$J$2719,M$1)</f>
        <v>0</v>
      </c>
      <c r="N130" s="144">
        <f>SUMIFS('апрель 2026'!$G$2:$G$2719,'апрель 2026'!$D$2:$D$2719,$B130,'апрель 2026'!$J$2:$J$2719,N$1)</f>
        <v>0</v>
      </c>
      <c r="O130" s="144">
        <f>SUMIFS('апрель 2026'!$G$2:$G$2719,'апрель 2026'!$D$2:$D$2719,$B130,'апрель 2026'!$J$2:$J$2719,O$1)</f>
        <v>0</v>
      </c>
      <c r="P130" s="144">
        <f>SUMIFS('апрель 2026'!$G$2:$G$2719,'апрель 2026'!$D$2:$D$2719,$B130,'апрель 2026'!$J$2:$J$2719,P$1)</f>
        <v>0</v>
      </c>
      <c r="Q130" s="144">
        <f>SUMIFS('апрель 2026'!$G$2:$G$2719,'апрель 2026'!$D$2:$D$2719,$B130,'апрель 2026'!$J$2:$J$2719,Q$1)</f>
        <v>0</v>
      </c>
      <c r="R130" s="144">
        <f>SUMIFS('апрель 2026'!$G$2:$G$2719,'апрель 2026'!$D$2:$D$2719,$B130,'апрель 2026'!$J$2:$J$2719,R$1)</f>
        <v>0</v>
      </c>
      <c r="S130" s="144">
        <f>SUMIFS('апрель 2026'!$G$2:$G$2719,'апрель 2026'!$D$2:$D$2719,$B130,'апрель 2026'!$J$2:$J$2719,S$1)</f>
        <v>0</v>
      </c>
      <c r="T130" s="144">
        <f>SUMIFS('апрель 2026'!$G$2:$G$2719,'апрель 2026'!$D$2:$D$2719,$B130,'апрель 2026'!$J$2:$J$2719,T$1)</f>
        <v>0</v>
      </c>
      <c r="U130" s="144">
        <f>SUMIFS('апрель 2026'!$G$2:$G$2719,'апрель 2026'!$D$2:$D$2719,$B130,'апрель 2026'!$J$2:$J$2719,U$1)</f>
        <v>0</v>
      </c>
      <c r="V130" s="144">
        <f>SUMIFS('апрель 2026'!$G$2:$G$2719,'апрель 2026'!$D$2:$D$2719,$B130,'апрель 2026'!$J$2:$J$2719,V$1)</f>
        <v>0</v>
      </c>
      <c r="W130" s="144">
        <f>SUMIFS('апрель 2026'!$G$2:$G$2719,'апрель 2026'!$D$2:$D$2719,$B130,'апрель 2026'!$J$2:$J$2719,W$1)</f>
        <v>0</v>
      </c>
      <c r="X130" s="144">
        <f>SUMIFS('апрель 2026'!$G$2:$G$2719,'апрель 2026'!$D$2:$D$2719,$B130,'апрель 2026'!$J$2:$J$2719,X$1)</f>
        <v>0</v>
      </c>
      <c r="Y130" s="144">
        <f>SUMIFS('апрель 2026'!$G$2:$G$2719,'апрель 2026'!$D$2:$D$2719,$B130,'апрель 2026'!$J$2:$J$2719,Y$1)</f>
        <v>0</v>
      </c>
      <c r="Z130" s="144">
        <f>SUMIFS('апрель 2026'!$G$2:$G$2719,'апрель 2026'!$D$2:$D$2719,$B130,'апрель 2026'!$J$2:$J$2719,Z$1)</f>
        <v>0</v>
      </c>
      <c r="AA130" s="144">
        <f>SUMIFS('апрель 2026'!$G$2:$G$2719,'апрель 2026'!$D$2:$D$2719,$B130,'апрель 2026'!$J$2:$J$2719,AA$1)</f>
        <v>0</v>
      </c>
      <c r="AB130" s="144">
        <f>SUMIFS('апрель 2026'!$G$2:$G$2719,'апрель 2026'!$D$2:$D$2719,$B130,'апрель 2026'!$J$2:$J$2719,AB$1)</f>
        <v>0</v>
      </c>
      <c r="AC130" s="144">
        <f>SUMIFS('апрель 2026'!$G$2:$G$2719,'апрель 2026'!$D$2:$D$2719,$B130,'апрель 2026'!$J$2:$J$2719,AC$1)</f>
        <v>0</v>
      </c>
      <c r="AD130" s="144">
        <f>SUMIFS('апрель 2026'!$G$2:$G$2719,'апрель 2026'!$D$2:$D$2719,$B130,'апрель 2026'!$J$2:$J$2719,AD$1)</f>
        <v>0</v>
      </c>
      <c r="AE130" s="144">
        <f>SUMIFS('апрель 2026'!$G$2:$G$2719,'апрель 2026'!$D$2:$D$2719,$B130,'апрель 2026'!$J$2:$J$2719,AE$1)</f>
        <v>0</v>
      </c>
      <c r="AF130" s="144">
        <f>SUMIFS('апрель 2026'!$G$2:$G$2719,'апрель 2026'!$D$2:$D$2719,$B130,'апрель 2026'!$J$2:$J$2719,AF$1)</f>
        <v>0</v>
      </c>
      <c r="AG130" s="144">
        <f>SUMIFS('апрель 2026'!$G$2:$G$2719,'апрель 2026'!$D$2:$D$2719,$B130,'апрель 2026'!$J$2:$J$2719,AG$1)</f>
        <v>0</v>
      </c>
      <c r="AH130" s="144">
        <f>SUMIFS('апрель 2026'!$G$2:$G$2719,'апрель 2026'!$D$2:$D$2719,$B130,'апрель 2026'!$J$2:$J$2719,AH$1)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SUMIFS('апрель 2026'!$G$2:$G$2719,'апрель 2026'!$D$2:$D$2719,$B131,'апрель 2026'!$J$2:$J$2719,D$1)</f>
        <v>80</v>
      </c>
      <c r="E131" s="144">
        <f>SUMIFS('апрель 2026'!$G$2:$G$2719,'апрель 2026'!$D$2:$D$2719,$B131,'апрель 2026'!$J$2:$J$2719,E$1)</f>
        <v>0</v>
      </c>
      <c r="F131" s="144">
        <f>SUMIFS('апрель 2026'!$G$2:$G$2719,'апрель 2026'!$D$2:$D$2719,$B131,'апрель 2026'!$J$2:$J$2719,F$1)</f>
        <v>0</v>
      </c>
      <c r="G131" s="144">
        <f>SUMIFS('апрель 2026'!$G$2:$G$2719,'апрель 2026'!$D$2:$D$2719,$B131,'апрель 2026'!$J$2:$J$2719,G$1)</f>
        <v>0</v>
      </c>
      <c r="H131" s="144">
        <f>SUMIFS('апрель 2026'!$G$2:$G$2719,'апрель 2026'!$D$2:$D$2719,$B131,'апрель 2026'!$J$2:$J$2719,H$1)</f>
        <v>0</v>
      </c>
      <c r="I131" s="144">
        <f>SUMIFS('апрель 2026'!$G$2:$G$2719,'апрель 2026'!$D$2:$D$2719,$B131,'апрель 2026'!$J$2:$J$2719,I$1)</f>
        <v>0</v>
      </c>
      <c r="J131" s="144">
        <f>SUMIFS('апрель 2026'!$G$2:$G$2719,'апрель 2026'!$D$2:$D$2719,$B131,'апрель 2026'!$J$2:$J$2719,J$1)</f>
        <v>0</v>
      </c>
      <c r="K131" s="144">
        <f>SUMIFS('апрель 2026'!$G$2:$G$2719,'апрель 2026'!$D$2:$D$2719,$B131,'апрель 2026'!$J$2:$J$2719,K$1)</f>
        <v>0</v>
      </c>
      <c r="L131" s="144">
        <f>SUMIFS('апрель 2026'!$G$2:$G$2719,'апрель 2026'!$D$2:$D$2719,$B131,'апрель 2026'!$J$2:$J$2719,L$1)</f>
        <v>0</v>
      </c>
      <c r="M131" s="144">
        <f>SUMIFS('апрель 2026'!$G$2:$G$2719,'апрель 2026'!$D$2:$D$2719,$B131,'апрель 2026'!$J$2:$J$2719,M$1)</f>
        <v>0</v>
      </c>
      <c r="N131" s="144">
        <f>SUMIFS('апрель 2026'!$G$2:$G$2719,'апрель 2026'!$D$2:$D$2719,$B131,'апрель 2026'!$J$2:$J$2719,N$1)</f>
        <v>0</v>
      </c>
      <c r="O131" s="144">
        <f>SUMIFS('апрель 2026'!$G$2:$G$2719,'апрель 2026'!$D$2:$D$2719,$B131,'апрель 2026'!$J$2:$J$2719,O$1)</f>
        <v>0</v>
      </c>
      <c r="P131" s="144">
        <f>SUMIFS('апрель 2026'!$G$2:$G$2719,'апрель 2026'!$D$2:$D$2719,$B131,'апрель 2026'!$J$2:$J$2719,P$1)</f>
        <v>0</v>
      </c>
      <c r="Q131" s="144">
        <f>SUMIFS('апрель 2026'!$G$2:$G$2719,'апрель 2026'!$D$2:$D$2719,$B131,'апрель 2026'!$J$2:$J$2719,Q$1)</f>
        <v>0</v>
      </c>
      <c r="R131" s="144">
        <f>SUMIFS('апрель 2026'!$G$2:$G$2719,'апрель 2026'!$D$2:$D$2719,$B131,'апрель 2026'!$J$2:$J$2719,R$1)</f>
        <v>0</v>
      </c>
      <c r="S131" s="144">
        <f>SUMIFS('апрель 2026'!$G$2:$G$2719,'апрель 2026'!$D$2:$D$2719,$B131,'апрель 2026'!$J$2:$J$2719,S$1)</f>
        <v>0</v>
      </c>
      <c r="T131" s="144">
        <f>SUMIFS('апрель 2026'!$G$2:$G$2719,'апрель 2026'!$D$2:$D$2719,$B131,'апрель 2026'!$J$2:$J$2719,T$1)</f>
        <v>0</v>
      </c>
      <c r="U131" s="144">
        <f>SUMIFS('апрель 2026'!$G$2:$G$2719,'апрель 2026'!$D$2:$D$2719,$B131,'апрель 2026'!$J$2:$J$2719,U$1)</f>
        <v>0</v>
      </c>
      <c r="V131" s="144">
        <f>SUMIFS('апрель 2026'!$G$2:$G$2719,'апрель 2026'!$D$2:$D$2719,$B131,'апрель 2026'!$J$2:$J$2719,V$1)</f>
        <v>0</v>
      </c>
      <c r="W131" s="144">
        <f>SUMIFS('апрель 2026'!$G$2:$G$2719,'апрель 2026'!$D$2:$D$2719,$B131,'апрель 2026'!$J$2:$J$2719,W$1)</f>
        <v>0</v>
      </c>
      <c r="X131" s="144">
        <f>SUMIFS('апрель 2026'!$G$2:$G$2719,'апрель 2026'!$D$2:$D$2719,$B131,'апрель 2026'!$J$2:$J$2719,X$1)</f>
        <v>0</v>
      </c>
      <c r="Y131" s="144">
        <f>SUMIFS('апрель 2026'!$G$2:$G$2719,'апрель 2026'!$D$2:$D$2719,$B131,'апрель 2026'!$J$2:$J$2719,Y$1)</f>
        <v>0</v>
      </c>
      <c r="Z131" s="144">
        <f>SUMIFS('апрель 2026'!$G$2:$G$2719,'апрель 2026'!$D$2:$D$2719,$B131,'апрель 2026'!$J$2:$J$2719,Z$1)</f>
        <v>0</v>
      </c>
      <c r="AA131" s="144">
        <f>SUMIFS('апрель 2026'!$G$2:$G$2719,'апрель 2026'!$D$2:$D$2719,$B131,'апрель 2026'!$J$2:$J$2719,AA$1)</f>
        <v>0</v>
      </c>
      <c r="AB131" s="144">
        <f>SUMIFS('апрель 2026'!$G$2:$G$2719,'апрель 2026'!$D$2:$D$2719,$B131,'апрель 2026'!$J$2:$J$2719,AB$1)</f>
        <v>0</v>
      </c>
      <c r="AC131" s="144">
        <f>SUMIFS('апрель 2026'!$G$2:$G$2719,'апрель 2026'!$D$2:$D$2719,$B131,'апрель 2026'!$J$2:$J$2719,AC$1)</f>
        <v>0</v>
      </c>
      <c r="AD131" s="144">
        <f>SUMIFS('апрель 2026'!$G$2:$G$2719,'апрель 2026'!$D$2:$D$2719,$B131,'апрель 2026'!$J$2:$J$2719,AD$1)</f>
        <v>0</v>
      </c>
      <c r="AE131" s="144">
        <f>SUMIFS('апрель 2026'!$G$2:$G$2719,'апрель 2026'!$D$2:$D$2719,$B131,'апрель 2026'!$J$2:$J$2719,AE$1)</f>
        <v>0</v>
      </c>
      <c r="AF131" s="144">
        <f>SUMIFS('апрель 2026'!$G$2:$G$2719,'апрель 2026'!$D$2:$D$2719,$B131,'апрель 2026'!$J$2:$J$2719,AF$1)</f>
        <v>0</v>
      </c>
      <c r="AG131" s="144">
        <f>SUMIFS('апрель 2026'!$G$2:$G$2719,'апрель 2026'!$D$2:$D$2719,$B131,'апрель 2026'!$J$2:$J$2719,AG$1)</f>
        <v>0</v>
      </c>
      <c r="AH131" s="144">
        <f>SUMIFS('апрель 2026'!$G$2:$G$2719,'апрель 2026'!$D$2:$D$2719,$B131,'апрель 2026'!$J$2:$J$2719,AH$1)</f>
        <v>0</v>
      </c>
      <c r="AI131" s="20">
        <f t="shared" si="1"/>
        <v>80</v>
      </c>
    </row>
    <row r="132" spans="2:35" ht="15" customHeight="1" x14ac:dyDescent="0.25">
      <c r="B132" s="85" t="s">
        <v>297</v>
      </c>
      <c r="C132" s="83">
        <v>200</v>
      </c>
      <c r="D132" s="144">
        <f>SUMIFS('апрель 2026'!$G$2:$G$2719,'апрель 2026'!$D$2:$D$2719,$B132,'апрель 2026'!$J$2:$J$2719,D$1)</f>
        <v>0</v>
      </c>
      <c r="E132" s="144">
        <f>SUMIFS('апрель 2026'!$G$2:$G$2719,'апрель 2026'!$D$2:$D$2719,$B132,'апрель 2026'!$J$2:$J$2719,E$1)</f>
        <v>0</v>
      </c>
      <c r="F132" s="144">
        <f>SUMIFS('апрель 2026'!$G$2:$G$2719,'апрель 2026'!$D$2:$D$2719,$B132,'апрель 2026'!$J$2:$J$2719,F$1)</f>
        <v>0</v>
      </c>
      <c r="G132" s="144">
        <f>SUMIFS('апрель 2026'!$G$2:$G$2719,'апрель 2026'!$D$2:$D$2719,$B132,'апрель 2026'!$J$2:$J$2719,G$1)</f>
        <v>0</v>
      </c>
      <c r="H132" s="144">
        <f>SUMIFS('апрель 2026'!$G$2:$G$2719,'апрель 2026'!$D$2:$D$2719,$B132,'апрель 2026'!$J$2:$J$2719,H$1)</f>
        <v>0</v>
      </c>
      <c r="I132" s="144">
        <f>SUMIFS('апрель 2026'!$G$2:$G$2719,'апрель 2026'!$D$2:$D$2719,$B132,'апрель 2026'!$J$2:$J$2719,I$1)</f>
        <v>0</v>
      </c>
      <c r="J132" s="144">
        <f>SUMIFS('апрель 2026'!$G$2:$G$2719,'апрель 2026'!$D$2:$D$2719,$B132,'апрель 2026'!$J$2:$J$2719,J$1)</f>
        <v>0</v>
      </c>
      <c r="K132" s="144">
        <f>SUMIFS('апрель 2026'!$G$2:$G$2719,'апрель 2026'!$D$2:$D$2719,$B132,'апрель 2026'!$J$2:$J$2719,K$1)</f>
        <v>0</v>
      </c>
      <c r="L132" s="144">
        <f>SUMIFS('апрель 2026'!$G$2:$G$2719,'апрель 2026'!$D$2:$D$2719,$B132,'апрель 2026'!$J$2:$J$2719,L$1)</f>
        <v>0</v>
      </c>
      <c r="M132" s="144">
        <f>SUMIFS('апрель 2026'!$G$2:$G$2719,'апрель 2026'!$D$2:$D$2719,$B132,'апрель 2026'!$J$2:$J$2719,M$1)</f>
        <v>0</v>
      </c>
      <c r="N132" s="144">
        <f>SUMIFS('апрель 2026'!$G$2:$G$2719,'апрель 2026'!$D$2:$D$2719,$B132,'апрель 2026'!$J$2:$J$2719,N$1)</f>
        <v>0</v>
      </c>
      <c r="O132" s="144">
        <f>SUMIFS('апрель 2026'!$G$2:$G$2719,'апрель 2026'!$D$2:$D$2719,$B132,'апрель 2026'!$J$2:$J$2719,O$1)</f>
        <v>0</v>
      </c>
      <c r="P132" s="144">
        <f>SUMIFS('апрель 2026'!$G$2:$G$2719,'апрель 2026'!$D$2:$D$2719,$B132,'апрель 2026'!$J$2:$J$2719,P$1)</f>
        <v>0</v>
      </c>
      <c r="Q132" s="144">
        <f>SUMIFS('апрель 2026'!$G$2:$G$2719,'апрель 2026'!$D$2:$D$2719,$B132,'апрель 2026'!$J$2:$J$2719,Q$1)</f>
        <v>0</v>
      </c>
      <c r="R132" s="144">
        <f>SUMIFS('апрель 2026'!$G$2:$G$2719,'апрель 2026'!$D$2:$D$2719,$B132,'апрель 2026'!$J$2:$J$2719,R$1)</f>
        <v>0</v>
      </c>
      <c r="S132" s="144">
        <f>SUMIFS('апрель 2026'!$G$2:$G$2719,'апрель 2026'!$D$2:$D$2719,$B132,'апрель 2026'!$J$2:$J$2719,S$1)</f>
        <v>0</v>
      </c>
      <c r="T132" s="144">
        <f>SUMIFS('апрель 2026'!$G$2:$G$2719,'апрель 2026'!$D$2:$D$2719,$B132,'апрель 2026'!$J$2:$J$2719,T$1)</f>
        <v>0</v>
      </c>
      <c r="U132" s="144">
        <f>SUMIFS('апрель 2026'!$G$2:$G$2719,'апрель 2026'!$D$2:$D$2719,$B132,'апрель 2026'!$J$2:$J$2719,U$1)</f>
        <v>0</v>
      </c>
      <c r="V132" s="144">
        <f>SUMIFS('апрель 2026'!$G$2:$G$2719,'апрель 2026'!$D$2:$D$2719,$B132,'апрель 2026'!$J$2:$J$2719,V$1)</f>
        <v>0</v>
      </c>
      <c r="W132" s="144">
        <f>SUMIFS('апрель 2026'!$G$2:$G$2719,'апрель 2026'!$D$2:$D$2719,$B132,'апрель 2026'!$J$2:$J$2719,W$1)</f>
        <v>0</v>
      </c>
      <c r="X132" s="144">
        <f>SUMIFS('апрель 2026'!$G$2:$G$2719,'апрель 2026'!$D$2:$D$2719,$B132,'апрель 2026'!$J$2:$J$2719,X$1)</f>
        <v>0</v>
      </c>
      <c r="Y132" s="144">
        <f>SUMIFS('апрель 2026'!$G$2:$G$2719,'апрель 2026'!$D$2:$D$2719,$B132,'апрель 2026'!$J$2:$J$2719,Y$1)</f>
        <v>0</v>
      </c>
      <c r="Z132" s="144">
        <f>SUMIFS('апрель 2026'!$G$2:$G$2719,'апрель 2026'!$D$2:$D$2719,$B132,'апрель 2026'!$J$2:$J$2719,Z$1)</f>
        <v>0</v>
      </c>
      <c r="AA132" s="144">
        <f>SUMIFS('апрель 2026'!$G$2:$G$2719,'апрель 2026'!$D$2:$D$2719,$B132,'апрель 2026'!$J$2:$J$2719,AA$1)</f>
        <v>0</v>
      </c>
      <c r="AB132" s="144">
        <f>SUMIFS('апрель 2026'!$G$2:$G$2719,'апрель 2026'!$D$2:$D$2719,$B132,'апрель 2026'!$J$2:$J$2719,AB$1)</f>
        <v>0</v>
      </c>
      <c r="AC132" s="144">
        <f>SUMIFS('апрель 2026'!$G$2:$G$2719,'апрель 2026'!$D$2:$D$2719,$B132,'апрель 2026'!$J$2:$J$2719,AC$1)</f>
        <v>0</v>
      </c>
      <c r="AD132" s="144">
        <f>SUMIFS('апрель 2026'!$G$2:$G$2719,'апрель 2026'!$D$2:$D$2719,$B132,'апрель 2026'!$J$2:$J$2719,AD$1)</f>
        <v>0</v>
      </c>
      <c r="AE132" s="144">
        <f>SUMIFS('апрель 2026'!$G$2:$G$2719,'апрель 2026'!$D$2:$D$2719,$B132,'апрель 2026'!$J$2:$J$2719,AE$1)</f>
        <v>0</v>
      </c>
      <c r="AF132" s="144">
        <f>SUMIFS('апрель 2026'!$G$2:$G$2719,'апрель 2026'!$D$2:$D$2719,$B132,'апрель 2026'!$J$2:$J$2719,AF$1)</f>
        <v>0</v>
      </c>
      <c r="AG132" s="144">
        <f>SUMIFS('апрель 2026'!$G$2:$G$2719,'апрель 2026'!$D$2:$D$2719,$B132,'апрель 2026'!$J$2:$J$2719,AG$1)</f>
        <v>0</v>
      </c>
      <c r="AH132" s="144">
        <f>SUMIFS('апрель 2026'!$G$2:$G$2719,'апрель 2026'!$D$2:$D$2719,$B132,'апрель 2026'!$J$2:$J$2719,AH$1)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SUMIFS('апрель 2026'!$G$2:$G$2719,'апрель 2026'!$D$2:$D$2719,$B133,'апрель 2026'!$J$2:$J$2719,D$1)</f>
        <v>0</v>
      </c>
      <c r="E133" s="144">
        <f>SUMIFS('апрель 2026'!$G$2:$G$2719,'апрель 2026'!$D$2:$D$2719,$B133,'апрель 2026'!$J$2:$J$2719,E$1)</f>
        <v>0</v>
      </c>
      <c r="F133" s="144">
        <f>SUMIFS('апрель 2026'!$G$2:$G$2719,'апрель 2026'!$D$2:$D$2719,$B133,'апрель 2026'!$J$2:$J$2719,F$1)</f>
        <v>0</v>
      </c>
      <c r="G133" s="144">
        <f>SUMIFS('апрель 2026'!$G$2:$G$2719,'апрель 2026'!$D$2:$D$2719,$B133,'апрель 2026'!$J$2:$J$2719,G$1)</f>
        <v>0</v>
      </c>
      <c r="H133" s="144">
        <f>SUMIFS('апрель 2026'!$G$2:$G$2719,'апрель 2026'!$D$2:$D$2719,$B133,'апрель 2026'!$J$2:$J$2719,H$1)</f>
        <v>0</v>
      </c>
      <c r="I133" s="144">
        <f>SUMIFS('апрель 2026'!$G$2:$G$2719,'апрель 2026'!$D$2:$D$2719,$B133,'апрель 2026'!$J$2:$J$2719,I$1)</f>
        <v>0</v>
      </c>
      <c r="J133" s="144">
        <f>SUMIFS('апрель 2026'!$G$2:$G$2719,'апрель 2026'!$D$2:$D$2719,$B133,'апрель 2026'!$J$2:$J$2719,J$1)</f>
        <v>0</v>
      </c>
      <c r="K133" s="144">
        <f>SUMIFS('апрель 2026'!$G$2:$G$2719,'апрель 2026'!$D$2:$D$2719,$B133,'апрель 2026'!$J$2:$J$2719,K$1)</f>
        <v>0</v>
      </c>
      <c r="L133" s="144">
        <f>SUMIFS('апрель 2026'!$G$2:$G$2719,'апрель 2026'!$D$2:$D$2719,$B133,'апрель 2026'!$J$2:$J$2719,L$1)</f>
        <v>0</v>
      </c>
      <c r="M133" s="144">
        <f>SUMIFS('апрель 2026'!$G$2:$G$2719,'апрель 2026'!$D$2:$D$2719,$B133,'апрель 2026'!$J$2:$J$2719,M$1)</f>
        <v>0</v>
      </c>
      <c r="N133" s="144">
        <f>SUMIFS('апрель 2026'!$G$2:$G$2719,'апрель 2026'!$D$2:$D$2719,$B133,'апрель 2026'!$J$2:$J$2719,N$1)</f>
        <v>0</v>
      </c>
      <c r="O133" s="144">
        <f>SUMIFS('апрель 2026'!$G$2:$G$2719,'апрель 2026'!$D$2:$D$2719,$B133,'апрель 2026'!$J$2:$J$2719,O$1)</f>
        <v>0</v>
      </c>
      <c r="P133" s="144">
        <f>SUMIFS('апрель 2026'!$G$2:$G$2719,'апрель 2026'!$D$2:$D$2719,$B133,'апрель 2026'!$J$2:$J$2719,P$1)</f>
        <v>0</v>
      </c>
      <c r="Q133" s="144">
        <f>SUMIFS('апрель 2026'!$G$2:$G$2719,'апрель 2026'!$D$2:$D$2719,$B133,'апрель 2026'!$J$2:$J$2719,Q$1)</f>
        <v>0</v>
      </c>
      <c r="R133" s="144">
        <f>SUMIFS('апрель 2026'!$G$2:$G$2719,'апрель 2026'!$D$2:$D$2719,$B133,'апрель 2026'!$J$2:$J$2719,R$1)</f>
        <v>0</v>
      </c>
      <c r="S133" s="144">
        <f>SUMIFS('апрель 2026'!$G$2:$G$2719,'апрель 2026'!$D$2:$D$2719,$B133,'апрель 2026'!$J$2:$J$2719,S$1)</f>
        <v>0</v>
      </c>
      <c r="T133" s="144">
        <f>SUMIFS('апрель 2026'!$G$2:$G$2719,'апрель 2026'!$D$2:$D$2719,$B133,'апрель 2026'!$J$2:$J$2719,T$1)</f>
        <v>0</v>
      </c>
      <c r="U133" s="144">
        <f>SUMIFS('апрель 2026'!$G$2:$G$2719,'апрель 2026'!$D$2:$D$2719,$B133,'апрель 2026'!$J$2:$J$2719,U$1)</f>
        <v>0</v>
      </c>
      <c r="V133" s="144">
        <f>SUMIFS('апрель 2026'!$G$2:$G$2719,'апрель 2026'!$D$2:$D$2719,$B133,'апрель 2026'!$J$2:$J$2719,V$1)</f>
        <v>0</v>
      </c>
      <c r="W133" s="144">
        <f>SUMIFS('апрель 2026'!$G$2:$G$2719,'апрель 2026'!$D$2:$D$2719,$B133,'апрель 2026'!$J$2:$J$2719,W$1)</f>
        <v>0</v>
      </c>
      <c r="X133" s="144">
        <f>SUMIFS('апрель 2026'!$G$2:$G$2719,'апрель 2026'!$D$2:$D$2719,$B133,'апрель 2026'!$J$2:$J$2719,X$1)</f>
        <v>0</v>
      </c>
      <c r="Y133" s="144">
        <f>SUMIFS('апрель 2026'!$G$2:$G$2719,'апрель 2026'!$D$2:$D$2719,$B133,'апрель 2026'!$J$2:$J$2719,Y$1)</f>
        <v>0</v>
      </c>
      <c r="Z133" s="144">
        <f>SUMIFS('апрель 2026'!$G$2:$G$2719,'апрель 2026'!$D$2:$D$2719,$B133,'апрель 2026'!$J$2:$J$2719,Z$1)</f>
        <v>0</v>
      </c>
      <c r="AA133" s="144">
        <f>SUMIFS('апрель 2026'!$G$2:$G$2719,'апрель 2026'!$D$2:$D$2719,$B133,'апрель 2026'!$J$2:$J$2719,AA$1)</f>
        <v>0</v>
      </c>
      <c r="AB133" s="144">
        <f>SUMIFS('апрель 2026'!$G$2:$G$2719,'апрель 2026'!$D$2:$D$2719,$B133,'апрель 2026'!$J$2:$J$2719,AB$1)</f>
        <v>0</v>
      </c>
      <c r="AC133" s="144">
        <f>SUMIFS('апрель 2026'!$G$2:$G$2719,'апрель 2026'!$D$2:$D$2719,$B133,'апрель 2026'!$J$2:$J$2719,AC$1)</f>
        <v>0</v>
      </c>
      <c r="AD133" s="144">
        <f>SUMIFS('апрель 2026'!$G$2:$G$2719,'апрель 2026'!$D$2:$D$2719,$B133,'апрель 2026'!$J$2:$J$2719,AD$1)</f>
        <v>0</v>
      </c>
      <c r="AE133" s="144">
        <f>SUMIFS('апрель 2026'!$G$2:$G$2719,'апрель 2026'!$D$2:$D$2719,$B133,'апрель 2026'!$J$2:$J$2719,AE$1)</f>
        <v>0</v>
      </c>
      <c r="AF133" s="144">
        <f>SUMIFS('апрель 2026'!$G$2:$G$2719,'апрель 2026'!$D$2:$D$2719,$B133,'апрель 2026'!$J$2:$J$2719,AF$1)</f>
        <v>0</v>
      </c>
      <c r="AG133" s="144">
        <f>SUMIFS('апрель 2026'!$G$2:$G$2719,'апрель 2026'!$D$2:$D$2719,$B133,'апрель 2026'!$J$2:$J$2719,AG$1)</f>
        <v>0</v>
      </c>
      <c r="AH133" s="144">
        <f>SUMIFS('апрель 2026'!$G$2:$G$2719,'апрель 2026'!$D$2:$D$2719,$B133,'апрель 2026'!$J$2:$J$2719,AH$1)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SUMIFS('апрель 2026'!$G$2:$G$2719,'апрель 2026'!$D$2:$D$2719,$B134,'апрель 2026'!$J$2:$J$2719,D$1)</f>
        <v>0</v>
      </c>
      <c r="E134" s="144">
        <f>SUMIFS('апрель 2026'!$G$2:$G$2719,'апрель 2026'!$D$2:$D$2719,$B134,'апрель 2026'!$J$2:$J$2719,E$1)</f>
        <v>0</v>
      </c>
      <c r="F134" s="144">
        <f>SUMIFS('апрель 2026'!$G$2:$G$2719,'апрель 2026'!$D$2:$D$2719,$B134,'апрель 2026'!$J$2:$J$2719,F$1)</f>
        <v>0</v>
      </c>
      <c r="G134" s="144">
        <f>SUMIFS('апрель 2026'!$G$2:$G$2719,'апрель 2026'!$D$2:$D$2719,$B134,'апрель 2026'!$J$2:$J$2719,G$1)</f>
        <v>0</v>
      </c>
      <c r="H134" s="144">
        <f>SUMIFS('апрель 2026'!$G$2:$G$2719,'апрель 2026'!$D$2:$D$2719,$B134,'апрель 2026'!$J$2:$J$2719,H$1)</f>
        <v>0</v>
      </c>
      <c r="I134" s="144">
        <f>SUMIFS('апрель 2026'!$G$2:$G$2719,'апрель 2026'!$D$2:$D$2719,$B134,'апрель 2026'!$J$2:$J$2719,I$1)</f>
        <v>0</v>
      </c>
      <c r="J134" s="144">
        <f>SUMIFS('апрель 2026'!$G$2:$G$2719,'апрель 2026'!$D$2:$D$2719,$B134,'апрель 2026'!$J$2:$J$2719,J$1)</f>
        <v>0</v>
      </c>
      <c r="K134" s="144">
        <f>SUMIFS('апрель 2026'!$G$2:$G$2719,'апрель 2026'!$D$2:$D$2719,$B134,'апрель 2026'!$J$2:$J$2719,K$1)</f>
        <v>0</v>
      </c>
      <c r="L134" s="144">
        <f>SUMIFS('апрель 2026'!$G$2:$G$2719,'апрель 2026'!$D$2:$D$2719,$B134,'апрель 2026'!$J$2:$J$2719,L$1)</f>
        <v>0</v>
      </c>
      <c r="M134" s="144">
        <f>SUMIFS('апрель 2026'!$G$2:$G$2719,'апрель 2026'!$D$2:$D$2719,$B134,'апрель 2026'!$J$2:$J$2719,M$1)</f>
        <v>0</v>
      </c>
      <c r="N134" s="144">
        <f>SUMIFS('апрель 2026'!$G$2:$G$2719,'апрель 2026'!$D$2:$D$2719,$B134,'апрель 2026'!$J$2:$J$2719,N$1)</f>
        <v>0</v>
      </c>
      <c r="O134" s="144">
        <f>SUMIFS('апрель 2026'!$G$2:$G$2719,'апрель 2026'!$D$2:$D$2719,$B134,'апрель 2026'!$J$2:$J$2719,O$1)</f>
        <v>0</v>
      </c>
      <c r="P134" s="144">
        <f>SUMIFS('апрель 2026'!$G$2:$G$2719,'апрель 2026'!$D$2:$D$2719,$B134,'апрель 2026'!$J$2:$J$2719,P$1)</f>
        <v>0</v>
      </c>
      <c r="Q134" s="144">
        <f>SUMIFS('апрель 2026'!$G$2:$G$2719,'апрель 2026'!$D$2:$D$2719,$B134,'апрель 2026'!$J$2:$J$2719,Q$1)</f>
        <v>0</v>
      </c>
      <c r="R134" s="144">
        <f>SUMIFS('апрель 2026'!$G$2:$G$2719,'апрель 2026'!$D$2:$D$2719,$B134,'апрель 2026'!$J$2:$J$2719,R$1)</f>
        <v>0</v>
      </c>
      <c r="S134" s="144">
        <f>SUMIFS('апрель 2026'!$G$2:$G$2719,'апрель 2026'!$D$2:$D$2719,$B134,'апрель 2026'!$J$2:$J$2719,S$1)</f>
        <v>0</v>
      </c>
      <c r="T134" s="144">
        <f>SUMIFS('апрель 2026'!$G$2:$G$2719,'апрель 2026'!$D$2:$D$2719,$B134,'апрель 2026'!$J$2:$J$2719,T$1)</f>
        <v>0</v>
      </c>
      <c r="U134" s="144">
        <f>SUMIFS('апрель 2026'!$G$2:$G$2719,'апрель 2026'!$D$2:$D$2719,$B134,'апрель 2026'!$J$2:$J$2719,U$1)</f>
        <v>0</v>
      </c>
      <c r="V134" s="144">
        <f>SUMIFS('апрель 2026'!$G$2:$G$2719,'апрель 2026'!$D$2:$D$2719,$B134,'апрель 2026'!$J$2:$J$2719,V$1)</f>
        <v>0</v>
      </c>
      <c r="W134" s="144">
        <f>SUMIFS('апрель 2026'!$G$2:$G$2719,'апрель 2026'!$D$2:$D$2719,$B134,'апрель 2026'!$J$2:$J$2719,W$1)</f>
        <v>0</v>
      </c>
      <c r="X134" s="144">
        <f>SUMIFS('апрель 2026'!$G$2:$G$2719,'апрель 2026'!$D$2:$D$2719,$B134,'апрель 2026'!$J$2:$J$2719,X$1)</f>
        <v>0</v>
      </c>
      <c r="Y134" s="144">
        <f>SUMIFS('апрель 2026'!$G$2:$G$2719,'апрель 2026'!$D$2:$D$2719,$B134,'апрель 2026'!$J$2:$J$2719,Y$1)</f>
        <v>0</v>
      </c>
      <c r="Z134" s="144">
        <f>SUMIFS('апрель 2026'!$G$2:$G$2719,'апрель 2026'!$D$2:$D$2719,$B134,'апрель 2026'!$J$2:$J$2719,Z$1)</f>
        <v>0</v>
      </c>
      <c r="AA134" s="144">
        <f>SUMIFS('апрель 2026'!$G$2:$G$2719,'апрель 2026'!$D$2:$D$2719,$B134,'апрель 2026'!$J$2:$J$2719,AA$1)</f>
        <v>0</v>
      </c>
      <c r="AB134" s="144">
        <f>SUMIFS('апрель 2026'!$G$2:$G$2719,'апрель 2026'!$D$2:$D$2719,$B134,'апрель 2026'!$J$2:$J$2719,AB$1)</f>
        <v>0</v>
      </c>
      <c r="AC134" s="144">
        <f>SUMIFS('апрель 2026'!$G$2:$G$2719,'апрель 2026'!$D$2:$D$2719,$B134,'апрель 2026'!$J$2:$J$2719,AC$1)</f>
        <v>0</v>
      </c>
      <c r="AD134" s="144">
        <f>SUMIFS('апрель 2026'!$G$2:$G$2719,'апрель 2026'!$D$2:$D$2719,$B134,'апрель 2026'!$J$2:$J$2719,AD$1)</f>
        <v>0</v>
      </c>
      <c r="AE134" s="144">
        <f>SUMIFS('апрель 2026'!$G$2:$G$2719,'апрель 2026'!$D$2:$D$2719,$B134,'апрель 2026'!$J$2:$J$2719,AE$1)</f>
        <v>0</v>
      </c>
      <c r="AF134" s="144">
        <f>SUMIFS('апрель 2026'!$G$2:$G$2719,'апрель 2026'!$D$2:$D$2719,$B134,'апрель 2026'!$J$2:$J$2719,AF$1)</f>
        <v>0</v>
      </c>
      <c r="AG134" s="144">
        <f>SUMIFS('апрель 2026'!$G$2:$G$2719,'апрель 2026'!$D$2:$D$2719,$B134,'апрель 2026'!$J$2:$J$2719,AG$1)</f>
        <v>0</v>
      </c>
      <c r="AH134" s="144">
        <f>SUMIFS('апрель 2026'!$G$2:$G$2719,'апрель 2026'!$D$2:$D$2719,$B134,'апрель 2026'!$J$2:$J$2719,AH$1)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SUMIFS('апрель 2026'!$G$2:$G$2719,'апрель 2026'!$D$2:$D$2719,$B135,'апрель 2026'!$J$2:$J$2719,D$1)</f>
        <v>0</v>
      </c>
      <c r="E135" s="144">
        <f>SUMIFS('апрель 2026'!$G$2:$G$2719,'апрель 2026'!$D$2:$D$2719,$B135,'апрель 2026'!$J$2:$J$2719,E$1)</f>
        <v>0</v>
      </c>
      <c r="F135" s="144">
        <f>SUMIFS('апрель 2026'!$G$2:$G$2719,'апрель 2026'!$D$2:$D$2719,$B135,'апрель 2026'!$J$2:$J$2719,F$1)</f>
        <v>0</v>
      </c>
      <c r="G135" s="144">
        <f>SUMIFS('апрель 2026'!$G$2:$G$2719,'апрель 2026'!$D$2:$D$2719,$B135,'апрель 2026'!$J$2:$J$2719,G$1)</f>
        <v>0</v>
      </c>
      <c r="H135" s="144">
        <f>SUMIFS('апрель 2026'!$G$2:$G$2719,'апрель 2026'!$D$2:$D$2719,$B135,'апрель 2026'!$J$2:$J$2719,H$1)</f>
        <v>0</v>
      </c>
      <c r="I135" s="144">
        <f>SUMIFS('апрель 2026'!$G$2:$G$2719,'апрель 2026'!$D$2:$D$2719,$B135,'апрель 2026'!$J$2:$J$2719,I$1)</f>
        <v>0</v>
      </c>
      <c r="J135" s="144">
        <f>SUMIFS('апрель 2026'!$G$2:$G$2719,'апрель 2026'!$D$2:$D$2719,$B135,'апрель 2026'!$J$2:$J$2719,J$1)</f>
        <v>0</v>
      </c>
      <c r="K135" s="144">
        <f>SUMIFS('апрель 2026'!$G$2:$G$2719,'апрель 2026'!$D$2:$D$2719,$B135,'апрель 2026'!$J$2:$J$2719,K$1)</f>
        <v>0</v>
      </c>
      <c r="L135" s="144">
        <f>SUMIFS('апрель 2026'!$G$2:$G$2719,'апрель 2026'!$D$2:$D$2719,$B135,'апрель 2026'!$J$2:$J$2719,L$1)</f>
        <v>0</v>
      </c>
      <c r="M135" s="144">
        <f>SUMIFS('апрель 2026'!$G$2:$G$2719,'апрель 2026'!$D$2:$D$2719,$B135,'апрель 2026'!$J$2:$J$2719,M$1)</f>
        <v>0</v>
      </c>
      <c r="N135" s="144">
        <f>SUMIFS('апрель 2026'!$G$2:$G$2719,'апрель 2026'!$D$2:$D$2719,$B135,'апрель 2026'!$J$2:$J$2719,N$1)</f>
        <v>0</v>
      </c>
      <c r="O135" s="144">
        <f>SUMIFS('апрель 2026'!$G$2:$G$2719,'апрель 2026'!$D$2:$D$2719,$B135,'апрель 2026'!$J$2:$J$2719,O$1)</f>
        <v>0</v>
      </c>
      <c r="P135" s="144">
        <f>SUMIFS('апрель 2026'!$G$2:$G$2719,'апрель 2026'!$D$2:$D$2719,$B135,'апрель 2026'!$J$2:$J$2719,P$1)</f>
        <v>0</v>
      </c>
      <c r="Q135" s="144">
        <f>SUMIFS('апрель 2026'!$G$2:$G$2719,'апрель 2026'!$D$2:$D$2719,$B135,'апрель 2026'!$J$2:$J$2719,Q$1)</f>
        <v>0</v>
      </c>
      <c r="R135" s="144">
        <f>SUMIFS('апрель 2026'!$G$2:$G$2719,'апрель 2026'!$D$2:$D$2719,$B135,'апрель 2026'!$J$2:$J$2719,R$1)</f>
        <v>0</v>
      </c>
      <c r="S135" s="144">
        <f>SUMIFS('апрель 2026'!$G$2:$G$2719,'апрель 2026'!$D$2:$D$2719,$B135,'апрель 2026'!$J$2:$J$2719,S$1)</f>
        <v>0</v>
      </c>
      <c r="T135" s="144">
        <f>SUMIFS('апрель 2026'!$G$2:$G$2719,'апрель 2026'!$D$2:$D$2719,$B135,'апрель 2026'!$J$2:$J$2719,T$1)</f>
        <v>0</v>
      </c>
      <c r="U135" s="144">
        <f>SUMIFS('апрель 2026'!$G$2:$G$2719,'апрель 2026'!$D$2:$D$2719,$B135,'апрель 2026'!$J$2:$J$2719,U$1)</f>
        <v>0</v>
      </c>
      <c r="V135" s="144">
        <f>SUMIFS('апрель 2026'!$G$2:$G$2719,'апрель 2026'!$D$2:$D$2719,$B135,'апрель 2026'!$J$2:$J$2719,V$1)</f>
        <v>0</v>
      </c>
      <c r="W135" s="144">
        <f>SUMIFS('апрель 2026'!$G$2:$G$2719,'апрель 2026'!$D$2:$D$2719,$B135,'апрель 2026'!$J$2:$J$2719,W$1)</f>
        <v>0</v>
      </c>
      <c r="X135" s="144">
        <f>SUMIFS('апрель 2026'!$G$2:$G$2719,'апрель 2026'!$D$2:$D$2719,$B135,'апрель 2026'!$J$2:$J$2719,X$1)</f>
        <v>0</v>
      </c>
      <c r="Y135" s="144">
        <f>SUMIFS('апрель 2026'!$G$2:$G$2719,'апрель 2026'!$D$2:$D$2719,$B135,'апрель 2026'!$J$2:$J$2719,Y$1)</f>
        <v>0</v>
      </c>
      <c r="Z135" s="144">
        <f>SUMIFS('апрель 2026'!$G$2:$G$2719,'апрель 2026'!$D$2:$D$2719,$B135,'апрель 2026'!$J$2:$J$2719,Z$1)</f>
        <v>0</v>
      </c>
      <c r="AA135" s="144">
        <f>SUMIFS('апрель 2026'!$G$2:$G$2719,'апрель 2026'!$D$2:$D$2719,$B135,'апрель 2026'!$J$2:$J$2719,AA$1)</f>
        <v>0</v>
      </c>
      <c r="AB135" s="144">
        <f>SUMIFS('апрель 2026'!$G$2:$G$2719,'апрель 2026'!$D$2:$D$2719,$B135,'апрель 2026'!$J$2:$J$2719,AB$1)</f>
        <v>0</v>
      </c>
      <c r="AC135" s="144">
        <f>SUMIFS('апрель 2026'!$G$2:$G$2719,'апрель 2026'!$D$2:$D$2719,$B135,'апрель 2026'!$J$2:$J$2719,AC$1)</f>
        <v>0</v>
      </c>
      <c r="AD135" s="144">
        <f>SUMIFS('апрель 2026'!$G$2:$G$2719,'апрель 2026'!$D$2:$D$2719,$B135,'апрель 2026'!$J$2:$J$2719,AD$1)</f>
        <v>0</v>
      </c>
      <c r="AE135" s="144">
        <f>SUMIFS('апрель 2026'!$G$2:$G$2719,'апрель 2026'!$D$2:$D$2719,$B135,'апрель 2026'!$J$2:$J$2719,AE$1)</f>
        <v>0</v>
      </c>
      <c r="AF135" s="144">
        <f>SUMIFS('апрель 2026'!$G$2:$G$2719,'апрель 2026'!$D$2:$D$2719,$B135,'апрель 2026'!$J$2:$J$2719,AF$1)</f>
        <v>0</v>
      </c>
      <c r="AG135" s="144">
        <f>SUMIFS('апрель 2026'!$G$2:$G$2719,'апрель 2026'!$D$2:$D$2719,$B135,'апрель 2026'!$J$2:$J$2719,AG$1)</f>
        <v>0</v>
      </c>
      <c r="AH135" s="144">
        <f>SUMIFS('апрель 2026'!$G$2:$G$2719,'апрель 2026'!$D$2:$D$2719,$B135,'апрель 2026'!$J$2:$J$2719,AH$1)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SUMIFS('апрель 2026'!$G$2:$G$2719,'апрель 2026'!$D$2:$D$2719,$B136,'апрель 2026'!$J$2:$J$2719,D$1)</f>
        <v>0</v>
      </c>
      <c r="E136" s="144">
        <f>SUMIFS('апрель 2026'!$G$2:$G$2719,'апрель 2026'!$D$2:$D$2719,$B136,'апрель 2026'!$J$2:$J$2719,E$1)</f>
        <v>0</v>
      </c>
      <c r="F136" s="144">
        <f>SUMIFS('апрель 2026'!$G$2:$G$2719,'апрель 2026'!$D$2:$D$2719,$B136,'апрель 2026'!$J$2:$J$2719,F$1)</f>
        <v>0</v>
      </c>
      <c r="G136" s="144">
        <f>SUMIFS('апрель 2026'!$G$2:$G$2719,'апрель 2026'!$D$2:$D$2719,$B136,'апрель 2026'!$J$2:$J$2719,G$1)</f>
        <v>0</v>
      </c>
      <c r="H136" s="144">
        <f>SUMIFS('апрель 2026'!$G$2:$G$2719,'апрель 2026'!$D$2:$D$2719,$B136,'апрель 2026'!$J$2:$J$2719,H$1)</f>
        <v>0</v>
      </c>
      <c r="I136" s="144">
        <f>SUMIFS('апрель 2026'!$G$2:$G$2719,'апрель 2026'!$D$2:$D$2719,$B136,'апрель 2026'!$J$2:$J$2719,I$1)</f>
        <v>0</v>
      </c>
      <c r="J136" s="144">
        <f>SUMIFS('апрель 2026'!$G$2:$G$2719,'апрель 2026'!$D$2:$D$2719,$B136,'апрель 2026'!$J$2:$J$2719,J$1)</f>
        <v>0</v>
      </c>
      <c r="K136" s="144">
        <f>SUMIFS('апрель 2026'!$G$2:$G$2719,'апрель 2026'!$D$2:$D$2719,$B136,'апрель 2026'!$J$2:$J$2719,K$1)</f>
        <v>0</v>
      </c>
      <c r="L136" s="144">
        <f>SUMIFS('апрель 2026'!$G$2:$G$2719,'апрель 2026'!$D$2:$D$2719,$B136,'апрель 2026'!$J$2:$J$2719,L$1)</f>
        <v>0</v>
      </c>
      <c r="M136" s="144">
        <f>SUMIFS('апрель 2026'!$G$2:$G$2719,'апрель 2026'!$D$2:$D$2719,$B136,'апрель 2026'!$J$2:$J$2719,M$1)</f>
        <v>0</v>
      </c>
      <c r="N136" s="144">
        <f>SUMIFS('апрель 2026'!$G$2:$G$2719,'апрель 2026'!$D$2:$D$2719,$B136,'апрель 2026'!$J$2:$J$2719,N$1)</f>
        <v>0</v>
      </c>
      <c r="O136" s="144">
        <f>SUMIFS('апрель 2026'!$G$2:$G$2719,'апрель 2026'!$D$2:$D$2719,$B136,'апрель 2026'!$J$2:$J$2719,O$1)</f>
        <v>0</v>
      </c>
      <c r="P136" s="144">
        <f>SUMIFS('апрель 2026'!$G$2:$G$2719,'апрель 2026'!$D$2:$D$2719,$B136,'апрель 2026'!$J$2:$J$2719,P$1)</f>
        <v>0</v>
      </c>
      <c r="Q136" s="144">
        <f>SUMIFS('апрель 2026'!$G$2:$G$2719,'апрель 2026'!$D$2:$D$2719,$B136,'апрель 2026'!$J$2:$J$2719,Q$1)</f>
        <v>0</v>
      </c>
      <c r="R136" s="144">
        <f>SUMIFS('апрель 2026'!$G$2:$G$2719,'апрель 2026'!$D$2:$D$2719,$B136,'апрель 2026'!$J$2:$J$2719,R$1)</f>
        <v>0</v>
      </c>
      <c r="S136" s="144">
        <f>SUMIFS('апрель 2026'!$G$2:$G$2719,'апрель 2026'!$D$2:$D$2719,$B136,'апрель 2026'!$J$2:$J$2719,S$1)</f>
        <v>0</v>
      </c>
      <c r="T136" s="144">
        <f>SUMIFS('апрель 2026'!$G$2:$G$2719,'апрель 2026'!$D$2:$D$2719,$B136,'апрель 2026'!$J$2:$J$2719,T$1)</f>
        <v>0</v>
      </c>
      <c r="U136" s="144">
        <f>SUMIFS('апрель 2026'!$G$2:$G$2719,'апрель 2026'!$D$2:$D$2719,$B136,'апрель 2026'!$J$2:$J$2719,U$1)</f>
        <v>0</v>
      </c>
      <c r="V136" s="144">
        <f>SUMIFS('апрель 2026'!$G$2:$G$2719,'апрель 2026'!$D$2:$D$2719,$B136,'апрель 2026'!$J$2:$J$2719,V$1)</f>
        <v>0</v>
      </c>
      <c r="W136" s="144">
        <f>SUMIFS('апрель 2026'!$G$2:$G$2719,'апрель 2026'!$D$2:$D$2719,$B136,'апрель 2026'!$J$2:$J$2719,W$1)</f>
        <v>0</v>
      </c>
      <c r="X136" s="144">
        <f>SUMIFS('апрель 2026'!$G$2:$G$2719,'апрель 2026'!$D$2:$D$2719,$B136,'апрель 2026'!$J$2:$J$2719,X$1)</f>
        <v>0</v>
      </c>
      <c r="Y136" s="144">
        <f>SUMIFS('апрель 2026'!$G$2:$G$2719,'апрель 2026'!$D$2:$D$2719,$B136,'апрель 2026'!$J$2:$J$2719,Y$1)</f>
        <v>0</v>
      </c>
      <c r="Z136" s="144">
        <f>SUMIFS('апрель 2026'!$G$2:$G$2719,'апрель 2026'!$D$2:$D$2719,$B136,'апрель 2026'!$J$2:$J$2719,Z$1)</f>
        <v>0</v>
      </c>
      <c r="AA136" s="144">
        <f>SUMIFS('апрель 2026'!$G$2:$G$2719,'апрель 2026'!$D$2:$D$2719,$B136,'апрель 2026'!$J$2:$J$2719,AA$1)</f>
        <v>0</v>
      </c>
      <c r="AB136" s="144">
        <f>SUMIFS('апрель 2026'!$G$2:$G$2719,'апрель 2026'!$D$2:$D$2719,$B136,'апрель 2026'!$J$2:$J$2719,AB$1)</f>
        <v>0</v>
      </c>
      <c r="AC136" s="144">
        <f>SUMIFS('апрель 2026'!$G$2:$G$2719,'апрель 2026'!$D$2:$D$2719,$B136,'апрель 2026'!$J$2:$J$2719,AC$1)</f>
        <v>0</v>
      </c>
      <c r="AD136" s="144">
        <f>SUMIFS('апрель 2026'!$G$2:$G$2719,'апрель 2026'!$D$2:$D$2719,$B136,'апрель 2026'!$J$2:$J$2719,AD$1)</f>
        <v>0</v>
      </c>
      <c r="AE136" s="144">
        <f>SUMIFS('апрель 2026'!$G$2:$G$2719,'апрель 2026'!$D$2:$D$2719,$B136,'апрель 2026'!$J$2:$J$2719,AE$1)</f>
        <v>0</v>
      </c>
      <c r="AF136" s="144">
        <f>SUMIFS('апрель 2026'!$G$2:$G$2719,'апрель 2026'!$D$2:$D$2719,$B136,'апрель 2026'!$J$2:$J$2719,AF$1)</f>
        <v>0</v>
      </c>
      <c r="AG136" s="144">
        <f>SUMIFS('апрель 2026'!$G$2:$G$2719,'апрель 2026'!$D$2:$D$2719,$B136,'апрель 2026'!$J$2:$J$2719,AG$1)</f>
        <v>0</v>
      </c>
      <c r="AH136" s="144">
        <f>SUMIFS('апрель 2026'!$G$2:$G$2719,'апрель 2026'!$D$2:$D$2719,$B136,'апрель 2026'!$J$2:$J$2719,AH$1)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SUMIFS('апрель 2026'!$G$2:$G$2719,'апрель 2026'!$D$2:$D$2719,$B137,'апрель 2026'!$J$2:$J$2719,D$1)</f>
        <v>0</v>
      </c>
      <c r="E137" s="144">
        <f>SUMIFS('апрель 2026'!$G$2:$G$2719,'апрель 2026'!$D$2:$D$2719,$B137,'апрель 2026'!$J$2:$J$2719,E$1)</f>
        <v>0</v>
      </c>
      <c r="F137" s="144">
        <f>SUMIFS('апрель 2026'!$G$2:$G$2719,'апрель 2026'!$D$2:$D$2719,$B137,'апрель 2026'!$J$2:$J$2719,F$1)</f>
        <v>0</v>
      </c>
      <c r="G137" s="144">
        <f>SUMIFS('апрель 2026'!$G$2:$G$2719,'апрель 2026'!$D$2:$D$2719,$B137,'апрель 2026'!$J$2:$J$2719,G$1)</f>
        <v>0</v>
      </c>
      <c r="H137" s="144">
        <f>SUMIFS('апрель 2026'!$G$2:$G$2719,'апрель 2026'!$D$2:$D$2719,$B137,'апрель 2026'!$J$2:$J$2719,H$1)</f>
        <v>0</v>
      </c>
      <c r="I137" s="144">
        <f>SUMIFS('апрель 2026'!$G$2:$G$2719,'апрель 2026'!$D$2:$D$2719,$B137,'апрель 2026'!$J$2:$J$2719,I$1)</f>
        <v>0</v>
      </c>
      <c r="J137" s="144">
        <f>SUMIFS('апрель 2026'!$G$2:$G$2719,'апрель 2026'!$D$2:$D$2719,$B137,'апрель 2026'!$J$2:$J$2719,J$1)</f>
        <v>0</v>
      </c>
      <c r="K137" s="144">
        <f>SUMIFS('апрель 2026'!$G$2:$G$2719,'апрель 2026'!$D$2:$D$2719,$B137,'апрель 2026'!$J$2:$J$2719,K$1)</f>
        <v>0</v>
      </c>
      <c r="L137" s="144">
        <f>SUMIFS('апрель 2026'!$G$2:$G$2719,'апрель 2026'!$D$2:$D$2719,$B137,'апрель 2026'!$J$2:$J$2719,L$1)</f>
        <v>0</v>
      </c>
      <c r="M137" s="144">
        <f>SUMIFS('апрель 2026'!$G$2:$G$2719,'апрель 2026'!$D$2:$D$2719,$B137,'апрель 2026'!$J$2:$J$2719,M$1)</f>
        <v>0</v>
      </c>
      <c r="N137" s="144">
        <f>SUMIFS('апрель 2026'!$G$2:$G$2719,'апрель 2026'!$D$2:$D$2719,$B137,'апрель 2026'!$J$2:$J$2719,N$1)</f>
        <v>0</v>
      </c>
      <c r="O137" s="144">
        <f>SUMIFS('апрель 2026'!$G$2:$G$2719,'апрель 2026'!$D$2:$D$2719,$B137,'апрель 2026'!$J$2:$J$2719,O$1)</f>
        <v>0</v>
      </c>
      <c r="P137" s="144">
        <f>SUMIFS('апрель 2026'!$G$2:$G$2719,'апрель 2026'!$D$2:$D$2719,$B137,'апрель 2026'!$J$2:$J$2719,P$1)</f>
        <v>0</v>
      </c>
      <c r="Q137" s="144">
        <f>SUMIFS('апрель 2026'!$G$2:$G$2719,'апрель 2026'!$D$2:$D$2719,$B137,'апрель 2026'!$J$2:$J$2719,Q$1)</f>
        <v>0</v>
      </c>
      <c r="R137" s="144">
        <f>SUMIFS('апрель 2026'!$G$2:$G$2719,'апрель 2026'!$D$2:$D$2719,$B137,'апрель 2026'!$J$2:$J$2719,R$1)</f>
        <v>0</v>
      </c>
      <c r="S137" s="144">
        <f>SUMIFS('апрель 2026'!$G$2:$G$2719,'апрель 2026'!$D$2:$D$2719,$B137,'апрель 2026'!$J$2:$J$2719,S$1)</f>
        <v>0</v>
      </c>
      <c r="T137" s="144">
        <f>SUMIFS('апрель 2026'!$G$2:$G$2719,'апрель 2026'!$D$2:$D$2719,$B137,'апрель 2026'!$J$2:$J$2719,T$1)</f>
        <v>0</v>
      </c>
      <c r="U137" s="144">
        <f>SUMIFS('апрель 2026'!$G$2:$G$2719,'апрель 2026'!$D$2:$D$2719,$B137,'апрель 2026'!$J$2:$J$2719,U$1)</f>
        <v>0</v>
      </c>
      <c r="V137" s="144">
        <f>SUMIFS('апрель 2026'!$G$2:$G$2719,'апрель 2026'!$D$2:$D$2719,$B137,'апрель 2026'!$J$2:$J$2719,V$1)</f>
        <v>0</v>
      </c>
      <c r="W137" s="144">
        <f>SUMIFS('апрель 2026'!$G$2:$G$2719,'апрель 2026'!$D$2:$D$2719,$B137,'апрель 2026'!$J$2:$J$2719,W$1)</f>
        <v>0</v>
      </c>
      <c r="X137" s="144">
        <f>SUMIFS('апрель 2026'!$G$2:$G$2719,'апрель 2026'!$D$2:$D$2719,$B137,'апрель 2026'!$J$2:$J$2719,X$1)</f>
        <v>0</v>
      </c>
      <c r="Y137" s="144">
        <f>SUMIFS('апрель 2026'!$G$2:$G$2719,'апрель 2026'!$D$2:$D$2719,$B137,'апрель 2026'!$J$2:$J$2719,Y$1)</f>
        <v>0</v>
      </c>
      <c r="Z137" s="144">
        <f>SUMIFS('апрель 2026'!$G$2:$G$2719,'апрель 2026'!$D$2:$D$2719,$B137,'апрель 2026'!$J$2:$J$2719,Z$1)</f>
        <v>0</v>
      </c>
      <c r="AA137" s="144">
        <f>SUMIFS('апрель 2026'!$G$2:$G$2719,'апрель 2026'!$D$2:$D$2719,$B137,'апрель 2026'!$J$2:$J$2719,AA$1)</f>
        <v>0</v>
      </c>
      <c r="AB137" s="144">
        <f>SUMIFS('апрель 2026'!$G$2:$G$2719,'апрель 2026'!$D$2:$D$2719,$B137,'апрель 2026'!$J$2:$J$2719,AB$1)</f>
        <v>0</v>
      </c>
      <c r="AC137" s="144">
        <f>SUMIFS('апрель 2026'!$G$2:$G$2719,'апрель 2026'!$D$2:$D$2719,$B137,'апрель 2026'!$J$2:$J$2719,AC$1)</f>
        <v>0</v>
      </c>
      <c r="AD137" s="144">
        <f>SUMIFS('апрель 2026'!$G$2:$G$2719,'апрель 2026'!$D$2:$D$2719,$B137,'апрель 2026'!$J$2:$J$2719,AD$1)</f>
        <v>0</v>
      </c>
      <c r="AE137" s="144">
        <f>SUMIFS('апрель 2026'!$G$2:$G$2719,'апрель 2026'!$D$2:$D$2719,$B137,'апрель 2026'!$J$2:$J$2719,AE$1)</f>
        <v>0</v>
      </c>
      <c r="AF137" s="144">
        <f>SUMIFS('апрель 2026'!$G$2:$G$2719,'апрель 2026'!$D$2:$D$2719,$B137,'апрель 2026'!$J$2:$J$2719,AF$1)</f>
        <v>0</v>
      </c>
      <c r="AG137" s="144">
        <f>SUMIFS('апрель 2026'!$G$2:$G$2719,'апрель 2026'!$D$2:$D$2719,$B137,'апрель 2026'!$J$2:$J$2719,AG$1)</f>
        <v>0</v>
      </c>
      <c r="AH137" s="144">
        <f>SUMIFS('апрель 2026'!$G$2:$G$2719,'апрель 2026'!$D$2:$D$2719,$B137,'апрель 2026'!$J$2:$J$2719,AH$1)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SUMIFS('апрель 2026'!$G$2:$G$2719,'апрель 2026'!$D$2:$D$2719,$B138,'апрель 2026'!$J$2:$J$2719,D$1)</f>
        <v>0</v>
      </c>
      <c r="E138" s="144">
        <f>SUMIFS('апрель 2026'!$G$2:$G$2719,'апрель 2026'!$D$2:$D$2719,$B138,'апрель 2026'!$J$2:$J$2719,E$1)</f>
        <v>80</v>
      </c>
      <c r="F138" s="144">
        <f>SUMIFS('апрель 2026'!$G$2:$G$2719,'апрель 2026'!$D$2:$D$2719,$B138,'апрель 2026'!$J$2:$J$2719,F$1)</f>
        <v>80</v>
      </c>
      <c r="G138" s="144">
        <f>SUMIFS('апрель 2026'!$G$2:$G$2719,'апрель 2026'!$D$2:$D$2719,$B138,'апрель 2026'!$J$2:$J$2719,G$1)</f>
        <v>0</v>
      </c>
      <c r="H138" s="144">
        <f>SUMIFS('апрель 2026'!$G$2:$G$2719,'апрель 2026'!$D$2:$D$2719,$B138,'апрель 2026'!$J$2:$J$2719,H$1)</f>
        <v>0</v>
      </c>
      <c r="I138" s="144">
        <f>SUMIFS('апрель 2026'!$G$2:$G$2719,'апрель 2026'!$D$2:$D$2719,$B138,'апрель 2026'!$J$2:$J$2719,I$1)</f>
        <v>0</v>
      </c>
      <c r="J138" s="144">
        <f>SUMIFS('апрель 2026'!$G$2:$G$2719,'апрель 2026'!$D$2:$D$2719,$B138,'апрель 2026'!$J$2:$J$2719,J$1)</f>
        <v>0</v>
      </c>
      <c r="K138" s="144">
        <f>SUMIFS('апрель 2026'!$G$2:$G$2719,'апрель 2026'!$D$2:$D$2719,$B138,'апрель 2026'!$J$2:$J$2719,K$1)</f>
        <v>0</v>
      </c>
      <c r="L138" s="144">
        <f>SUMIFS('апрель 2026'!$G$2:$G$2719,'апрель 2026'!$D$2:$D$2719,$B138,'апрель 2026'!$J$2:$J$2719,L$1)</f>
        <v>0</v>
      </c>
      <c r="M138" s="144">
        <f>SUMIFS('апрель 2026'!$G$2:$G$2719,'апрель 2026'!$D$2:$D$2719,$B138,'апрель 2026'!$J$2:$J$2719,M$1)</f>
        <v>0</v>
      </c>
      <c r="N138" s="144">
        <f>SUMIFS('апрель 2026'!$G$2:$G$2719,'апрель 2026'!$D$2:$D$2719,$B138,'апрель 2026'!$J$2:$J$2719,N$1)</f>
        <v>0</v>
      </c>
      <c r="O138" s="144">
        <f>SUMIFS('апрель 2026'!$G$2:$G$2719,'апрель 2026'!$D$2:$D$2719,$B138,'апрель 2026'!$J$2:$J$2719,O$1)</f>
        <v>0</v>
      </c>
      <c r="P138" s="144">
        <f>SUMIFS('апрель 2026'!$G$2:$G$2719,'апрель 2026'!$D$2:$D$2719,$B138,'апрель 2026'!$J$2:$J$2719,P$1)</f>
        <v>0</v>
      </c>
      <c r="Q138" s="144">
        <f>SUMIFS('апрель 2026'!$G$2:$G$2719,'апрель 2026'!$D$2:$D$2719,$B138,'апрель 2026'!$J$2:$J$2719,Q$1)</f>
        <v>0</v>
      </c>
      <c r="R138" s="144">
        <f>SUMIFS('апрель 2026'!$G$2:$G$2719,'апрель 2026'!$D$2:$D$2719,$B138,'апрель 2026'!$J$2:$J$2719,R$1)</f>
        <v>0</v>
      </c>
      <c r="S138" s="144">
        <f>SUMIFS('апрель 2026'!$G$2:$G$2719,'апрель 2026'!$D$2:$D$2719,$B138,'апрель 2026'!$J$2:$J$2719,S$1)</f>
        <v>0</v>
      </c>
      <c r="T138" s="144">
        <f>SUMIFS('апрель 2026'!$G$2:$G$2719,'апрель 2026'!$D$2:$D$2719,$B138,'апрель 2026'!$J$2:$J$2719,T$1)</f>
        <v>0</v>
      </c>
      <c r="U138" s="144">
        <f>SUMIFS('апрель 2026'!$G$2:$G$2719,'апрель 2026'!$D$2:$D$2719,$B138,'апрель 2026'!$J$2:$J$2719,U$1)</f>
        <v>0</v>
      </c>
      <c r="V138" s="144">
        <f>SUMIFS('апрель 2026'!$G$2:$G$2719,'апрель 2026'!$D$2:$D$2719,$B138,'апрель 2026'!$J$2:$J$2719,V$1)</f>
        <v>0</v>
      </c>
      <c r="W138" s="144">
        <f>SUMIFS('апрель 2026'!$G$2:$G$2719,'апрель 2026'!$D$2:$D$2719,$B138,'апрель 2026'!$J$2:$J$2719,W$1)</f>
        <v>0</v>
      </c>
      <c r="X138" s="144">
        <f>SUMIFS('апрель 2026'!$G$2:$G$2719,'апрель 2026'!$D$2:$D$2719,$B138,'апрель 2026'!$J$2:$J$2719,X$1)</f>
        <v>0</v>
      </c>
      <c r="Y138" s="144">
        <f>SUMIFS('апрель 2026'!$G$2:$G$2719,'апрель 2026'!$D$2:$D$2719,$B138,'апрель 2026'!$J$2:$J$2719,Y$1)</f>
        <v>0</v>
      </c>
      <c r="Z138" s="144">
        <f>SUMIFS('апрель 2026'!$G$2:$G$2719,'апрель 2026'!$D$2:$D$2719,$B138,'апрель 2026'!$J$2:$J$2719,Z$1)</f>
        <v>0</v>
      </c>
      <c r="AA138" s="144">
        <f>SUMIFS('апрель 2026'!$G$2:$G$2719,'апрель 2026'!$D$2:$D$2719,$B138,'апрель 2026'!$J$2:$J$2719,AA$1)</f>
        <v>0</v>
      </c>
      <c r="AB138" s="144">
        <f>SUMIFS('апрель 2026'!$G$2:$G$2719,'апрель 2026'!$D$2:$D$2719,$B138,'апрель 2026'!$J$2:$J$2719,AB$1)</f>
        <v>0</v>
      </c>
      <c r="AC138" s="144">
        <f>SUMIFS('апрель 2026'!$G$2:$G$2719,'апрель 2026'!$D$2:$D$2719,$B138,'апрель 2026'!$J$2:$J$2719,AC$1)</f>
        <v>0</v>
      </c>
      <c r="AD138" s="144">
        <f>SUMIFS('апрель 2026'!$G$2:$G$2719,'апрель 2026'!$D$2:$D$2719,$B138,'апрель 2026'!$J$2:$J$2719,AD$1)</f>
        <v>0</v>
      </c>
      <c r="AE138" s="144">
        <f>SUMIFS('апрель 2026'!$G$2:$G$2719,'апрель 2026'!$D$2:$D$2719,$B138,'апрель 2026'!$J$2:$J$2719,AE$1)</f>
        <v>0</v>
      </c>
      <c r="AF138" s="144">
        <f>SUMIFS('апрель 2026'!$G$2:$G$2719,'апрель 2026'!$D$2:$D$2719,$B138,'апрель 2026'!$J$2:$J$2719,AF$1)</f>
        <v>0</v>
      </c>
      <c r="AG138" s="144">
        <f>SUMIFS('апрель 2026'!$G$2:$G$2719,'апрель 2026'!$D$2:$D$2719,$B138,'апрель 2026'!$J$2:$J$2719,AG$1)</f>
        <v>0</v>
      </c>
      <c r="AH138" s="144">
        <f>SUMIFS('апрель 2026'!$G$2:$G$2719,'апрель 2026'!$D$2:$D$2719,$B138,'апрель 2026'!$J$2:$J$2719,AH$1)</f>
        <v>0</v>
      </c>
      <c r="AI138" s="20">
        <f t="shared" si="1"/>
        <v>160</v>
      </c>
    </row>
    <row r="139" spans="2:35" ht="15" customHeight="1" x14ac:dyDescent="0.25">
      <c r="B139" s="85" t="s">
        <v>262</v>
      </c>
      <c r="C139" s="83">
        <v>180</v>
      </c>
      <c r="D139" s="144">
        <f>SUMIFS('апрель 2026'!$G$2:$G$2719,'апрель 2026'!$D$2:$D$2719,$B139,'апрель 2026'!$J$2:$J$2719,D$1)</f>
        <v>0</v>
      </c>
      <c r="E139" s="144">
        <f>SUMIFS('апрель 2026'!$G$2:$G$2719,'апрель 2026'!$D$2:$D$2719,$B139,'апрель 2026'!$J$2:$J$2719,E$1)</f>
        <v>0</v>
      </c>
      <c r="F139" s="144">
        <f>SUMIFS('апрель 2026'!$G$2:$G$2719,'апрель 2026'!$D$2:$D$2719,$B139,'апрель 2026'!$J$2:$J$2719,F$1)</f>
        <v>0</v>
      </c>
      <c r="G139" s="144">
        <f>SUMIFS('апрель 2026'!$G$2:$G$2719,'апрель 2026'!$D$2:$D$2719,$B139,'апрель 2026'!$J$2:$J$2719,G$1)</f>
        <v>0</v>
      </c>
      <c r="H139" s="144">
        <f>SUMIFS('апрель 2026'!$G$2:$G$2719,'апрель 2026'!$D$2:$D$2719,$B139,'апрель 2026'!$J$2:$J$2719,H$1)</f>
        <v>0</v>
      </c>
      <c r="I139" s="144">
        <f>SUMIFS('апрель 2026'!$G$2:$G$2719,'апрель 2026'!$D$2:$D$2719,$B139,'апрель 2026'!$J$2:$J$2719,I$1)</f>
        <v>0</v>
      </c>
      <c r="J139" s="144">
        <f>SUMIFS('апрель 2026'!$G$2:$G$2719,'апрель 2026'!$D$2:$D$2719,$B139,'апрель 2026'!$J$2:$J$2719,J$1)</f>
        <v>0</v>
      </c>
      <c r="K139" s="144">
        <f>SUMIFS('апрель 2026'!$G$2:$G$2719,'апрель 2026'!$D$2:$D$2719,$B139,'апрель 2026'!$J$2:$J$2719,K$1)</f>
        <v>0</v>
      </c>
      <c r="L139" s="144">
        <f>SUMIFS('апрель 2026'!$G$2:$G$2719,'апрель 2026'!$D$2:$D$2719,$B139,'апрель 2026'!$J$2:$J$2719,L$1)</f>
        <v>0</v>
      </c>
      <c r="M139" s="144">
        <f>SUMIFS('апрель 2026'!$G$2:$G$2719,'апрель 2026'!$D$2:$D$2719,$B139,'апрель 2026'!$J$2:$J$2719,M$1)</f>
        <v>0</v>
      </c>
      <c r="N139" s="144">
        <f>SUMIFS('апрель 2026'!$G$2:$G$2719,'апрель 2026'!$D$2:$D$2719,$B139,'апрель 2026'!$J$2:$J$2719,N$1)</f>
        <v>0</v>
      </c>
      <c r="O139" s="144">
        <f>SUMIFS('апрель 2026'!$G$2:$G$2719,'апрель 2026'!$D$2:$D$2719,$B139,'апрель 2026'!$J$2:$J$2719,O$1)</f>
        <v>0</v>
      </c>
      <c r="P139" s="144">
        <f>SUMIFS('апрель 2026'!$G$2:$G$2719,'апрель 2026'!$D$2:$D$2719,$B139,'апрель 2026'!$J$2:$J$2719,P$1)</f>
        <v>0</v>
      </c>
      <c r="Q139" s="144">
        <f>SUMIFS('апрель 2026'!$G$2:$G$2719,'апрель 2026'!$D$2:$D$2719,$B139,'апрель 2026'!$J$2:$J$2719,Q$1)</f>
        <v>0</v>
      </c>
      <c r="R139" s="144">
        <f>SUMIFS('апрель 2026'!$G$2:$G$2719,'апрель 2026'!$D$2:$D$2719,$B139,'апрель 2026'!$J$2:$J$2719,R$1)</f>
        <v>0</v>
      </c>
      <c r="S139" s="144">
        <f>SUMIFS('апрель 2026'!$G$2:$G$2719,'апрель 2026'!$D$2:$D$2719,$B139,'апрель 2026'!$J$2:$J$2719,S$1)</f>
        <v>0</v>
      </c>
      <c r="T139" s="144">
        <f>SUMIFS('апрель 2026'!$G$2:$G$2719,'апрель 2026'!$D$2:$D$2719,$B139,'апрель 2026'!$J$2:$J$2719,T$1)</f>
        <v>0</v>
      </c>
      <c r="U139" s="144">
        <f>SUMIFS('апрель 2026'!$G$2:$G$2719,'апрель 2026'!$D$2:$D$2719,$B139,'апрель 2026'!$J$2:$J$2719,U$1)</f>
        <v>0</v>
      </c>
      <c r="V139" s="144">
        <f>SUMIFS('апрель 2026'!$G$2:$G$2719,'апрель 2026'!$D$2:$D$2719,$B139,'апрель 2026'!$J$2:$J$2719,V$1)</f>
        <v>0</v>
      </c>
      <c r="W139" s="144">
        <f>SUMIFS('апрель 2026'!$G$2:$G$2719,'апрель 2026'!$D$2:$D$2719,$B139,'апрель 2026'!$J$2:$J$2719,W$1)</f>
        <v>0</v>
      </c>
      <c r="X139" s="144">
        <f>SUMIFS('апрель 2026'!$G$2:$G$2719,'апрель 2026'!$D$2:$D$2719,$B139,'апрель 2026'!$J$2:$J$2719,X$1)</f>
        <v>0</v>
      </c>
      <c r="Y139" s="144">
        <f>SUMIFS('апрель 2026'!$G$2:$G$2719,'апрель 2026'!$D$2:$D$2719,$B139,'апрель 2026'!$J$2:$J$2719,Y$1)</f>
        <v>0</v>
      </c>
      <c r="Z139" s="144">
        <f>SUMIFS('апрель 2026'!$G$2:$G$2719,'апрель 2026'!$D$2:$D$2719,$B139,'апрель 2026'!$J$2:$J$2719,Z$1)</f>
        <v>0</v>
      </c>
      <c r="AA139" s="144">
        <f>SUMIFS('апрель 2026'!$G$2:$G$2719,'апрель 2026'!$D$2:$D$2719,$B139,'апрель 2026'!$J$2:$J$2719,AA$1)</f>
        <v>0</v>
      </c>
      <c r="AB139" s="144">
        <f>SUMIFS('апрель 2026'!$G$2:$G$2719,'апрель 2026'!$D$2:$D$2719,$B139,'апрель 2026'!$J$2:$J$2719,AB$1)</f>
        <v>0</v>
      </c>
      <c r="AC139" s="144">
        <f>SUMIFS('апрель 2026'!$G$2:$G$2719,'апрель 2026'!$D$2:$D$2719,$B139,'апрель 2026'!$J$2:$J$2719,AC$1)</f>
        <v>0</v>
      </c>
      <c r="AD139" s="144">
        <f>SUMIFS('апрель 2026'!$G$2:$G$2719,'апрель 2026'!$D$2:$D$2719,$B139,'апрель 2026'!$J$2:$J$2719,AD$1)</f>
        <v>0</v>
      </c>
      <c r="AE139" s="144">
        <f>SUMIFS('апрель 2026'!$G$2:$G$2719,'апрель 2026'!$D$2:$D$2719,$B139,'апрель 2026'!$J$2:$J$2719,AE$1)</f>
        <v>0</v>
      </c>
      <c r="AF139" s="144">
        <f>SUMIFS('апрель 2026'!$G$2:$G$2719,'апрель 2026'!$D$2:$D$2719,$B139,'апрель 2026'!$J$2:$J$2719,AF$1)</f>
        <v>0</v>
      </c>
      <c r="AG139" s="144">
        <f>SUMIFS('апрель 2026'!$G$2:$G$2719,'апрель 2026'!$D$2:$D$2719,$B139,'апрель 2026'!$J$2:$J$2719,AG$1)</f>
        <v>0</v>
      </c>
      <c r="AH139" s="144">
        <f>SUMIFS('апрель 2026'!$G$2:$G$2719,'апрель 2026'!$D$2:$D$2719,$B139,'апрель 2026'!$J$2:$J$2719,AH$1)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SUMIFS('апрель 2026'!$G$2:$G$2719,'апрель 2026'!$D$2:$D$2719,$B140,'апрель 2026'!$J$2:$J$2719,D$1)</f>
        <v>0</v>
      </c>
      <c r="E140" s="144">
        <f>SUMIFS('апрель 2026'!$G$2:$G$2719,'апрель 2026'!$D$2:$D$2719,$B140,'апрель 2026'!$J$2:$J$2719,E$1)</f>
        <v>0</v>
      </c>
      <c r="F140" s="144">
        <f>SUMIFS('апрель 2026'!$G$2:$G$2719,'апрель 2026'!$D$2:$D$2719,$B140,'апрель 2026'!$J$2:$J$2719,F$1)</f>
        <v>0</v>
      </c>
      <c r="G140" s="144">
        <f>SUMIFS('апрель 2026'!$G$2:$G$2719,'апрель 2026'!$D$2:$D$2719,$B140,'апрель 2026'!$J$2:$J$2719,G$1)</f>
        <v>0</v>
      </c>
      <c r="H140" s="144">
        <f>SUMIFS('апрель 2026'!$G$2:$G$2719,'апрель 2026'!$D$2:$D$2719,$B140,'апрель 2026'!$J$2:$J$2719,H$1)</f>
        <v>0</v>
      </c>
      <c r="I140" s="144">
        <f>SUMIFS('апрель 2026'!$G$2:$G$2719,'апрель 2026'!$D$2:$D$2719,$B140,'апрель 2026'!$J$2:$J$2719,I$1)</f>
        <v>0</v>
      </c>
      <c r="J140" s="144">
        <f>SUMIFS('апрель 2026'!$G$2:$G$2719,'апрель 2026'!$D$2:$D$2719,$B140,'апрель 2026'!$J$2:$J$2719,J$1)</f>
        <v>0</v>
      </c>
      <c r="K140" s="144">
        <f>SUMIFS('апрель 2026'!$G$2:$G$2719,'апрель 2026'!$D$2:$D$2719,$B140,'апрель 2026'!$J$2:$J$2719,K$1)</f>
        <v>0</v>
      </c>
      <c r="L140" s="144">
        <f>SUMIFS('апрель 2026'!$G$2:$G$2719,'апрель 2026'!$D$2:$D$2719,$B140,'апрель 2026'!$J$2:$J$2719,L$1)</f>
        <v>0</v>
      </c>
      <c r="M140" s="144">
        <f>SUMIFS('апрель 2026'!$G$2:$G$2719,'апрель 2026'!$D$2:$D$2719,$B140,'апрель 2026'!$J$2:$J$2719,M$1)</f>
        <v>0</v>
      </c>
      <c r="N140" s="144">
        <f>SUMIFS('апрель 2026'!$G$2:$G$2719,'апрель 2026'!$D$2:$D$2719,$B140,'апрель 2026'!$J$2:$J$2719,N$1)</f>
        <v>0</v>
      </c>
      <c r="O140" s="144">
        <f>SUMIFS('апрель 2026'!$G$2:$G$2719,'апрель 2026'!$D$2:$D$2719,$B140,'апрель 2026'!$J$2:$J$2719,O$1)</f>
        <v>0</v>
      </c>
      <c r="P140" s="144">
        <f>SUMIFS('апрель 2026'!$G$2:$G$2719,'апрель 2026'!$D$2:$D$2719,$B140,'апрель 2026'!$J$2:$J$2719,P$1)</f>
        <v>0</v>
      </c>
      <c r="Q140" s="144">
        <f>SUMIFS('апрель 2026'!$G$2:$G$2719,'апрель 2026'!$D$2:$D$2719,$B140,'апрель 2026'!$J$2:$J$2719,Q$1)</f>
        <v>0</v>
      </c>
      <c r="R140" s="144">
        <f>SUMIFS('апрель 2026'!$G$2:$G$2719,'апрель 2026'!$D$2:$D$2719,$B140,'апрель 2026'!$J$2:$J$2719,R$1)</f>
        <v>0</v>
      </c>
      <c r="S140" s="144">
        <f>SUMIFS('апрель 2026'!$G$2:$G$2719,'апрель 2026'!$D$2:$D$2719,$B140,'апрель 2026'!$J$2:$J$2719,S$1)</f>
        <v>0</v>
      </c>
      <c r="T140" s="144">
        <f>SUMIFS('апрель 2026'!$G$2:$G$2719,'апрель 2026'!$D$2:$D$2719,$B140,'апрель 2026'!$J$2:$J$2719,T$1)</f>
        <v>0</v>
      </c>
      <c r="U140" s="144">
        <f>SUMIFS('апрель 2026'!$G$2:$G$2719,'апрель 2026'!$D$2:$D$2719,$B140,'апрель 2026'!$J$2:$J$2719,U$1)</f>
        <v>0</v>
      </c>
      <c r="V140" s="144">
        <f>SUMIFS('апрель 2026'!$G$2:$G$2719,'апрель 2026'!$D$2:$D$2719,$B140,'апрель 2026'!$J$2:$J$2719,V$1)</f>
        <v>0</v>
      </c>
      <c r="W140" s="144">
        <f>SUMIFS('апрель 2026'!$G$2:$G$2719,'апрель 2026'!$D$2:$D$2719,$B140,'апрель 2026'!$J$2:$J$2719,W$1)</f>
        <v>0</v>
      </c>
      <c r="X140" s="144">
        <f>SUMIFS('апрель 2026'!$G$2:$G$2719,'апрель 2026'!$D$2:$D$2719,$B140,'апрель 2026'!$J$2:$J$2719,X$1)</f>
        <v>0</v>
      </c>
      <c r="Y140" s="144">
        <f>SUMIFS('апрель 2026'!$G$2:$G$2719,'апрель 2026'!$D$2:$D$2719,$B140,'апрель 2026'!$J$2:$J$2719,Y$1)</f>
        <v>0</v>
      </c>
      <c r="Z140" s="144">
        <f>SUMIFS('апрель 2026'!$G$2:$G$2719,'апрель 2026'!$D$2:$D$2719,$B140,'апрель 2026'!$J$2:$J$2719,Z$1)</f>
        <v>0</v>
      </c>
      <c r="AA140" s="144">
        <f>SUMIFS('апрель 2026'!$G$2:$G$2719,'апрель 2026'!$D$2:$D$2719,$B140,'апрель 2026'!$J$2:$J$2719,AA$1)</f>
        <v>0</v>
      </c>
      <c r="AB140" s="144">
        <f>SUMIFS('апрель 2026'!$G$2:$G$2719,'апрель 2026'!$D$2:$D$2719,$B140,'апрель 2026'!$J$2:$J$2719,AB$1)</f>
        <v>0</v>
      </c>
      <c r="AC140" s="144">
        <f>SUMIFS('апрель 2026'!$G$2:$G$2719,'апрель 2026'!$D$2:$D$2719,$B140,'апрель 2026'!$J$2:$J$2719,AC$1)</f>
        <v>0</v>
      </c>
      <c r="AD140" s="144">
        <f>SUMIFS('апрель 2026'!$G$2:$G$2719,'апрель 2026'!$D$2:$D$2719,$B140,'апрель 2026'!$J$2:$J$2719,AD$1)</f>
        <v>0</v>
      </c>
      <c r="AE140" s="144">
        <f>SUMIFS('апрель 2026'!$G$2:$G$2719,'апрель 2026'!$D$2:$D$2719,$B140,'апрель 2026'!$J$2:$J$2719,AE$1)</f>
        <v>0</v>
      </c>
      <c r="AF140" s="144">
        <f>SUMIFS('апрель 2026'!$G$2:$G$2719,'апрель 2026'!$D$2:$D$2719,$B140,'апрель 2026'!$J$2:$J$2719,AF$1)</f>
        <v>0</v>
      </c>
      <c r="AG140" s="144">
        <f>SUMIFS('апрель 2026'!$G$2:$G$2719,'апрель 2026'!$D$2:$D$2719,$B140,'апрель 2026'!$J$2:$J$2719,AG$1)</f>
        <v>0</v>
      </c>
      <c r="AH140" s="144">
        <f>SUMIFS('апрель 2026'!$G$2:$G$2719,'апрель 2026'!$D$2:$D$2719,$B140,'апрель 2026'!$J$2:$J$2719,AH$1)</f>
        <v>0</v>
      </c>
      <c r="AI140" s="20">
        <f t="shared" si="1"/>
        <v>0</v>
      </c>
    </row>
    <row r="141" spans="2:35" ht="15" customHeight="1" x14ac:dyDescent="0.25">
      <c r="B141" s="82" t="s">
        <v>162</v>
      </c>
      <c r="C141" s="81">
        <v>950</v>
      </c>
      <c r="D141" s="144">
        <f>SUMIFS('апрель 2026'!$G$2:$G$2719,'апрель 2026'!$D$2:$D$2719,$B141,'апрель 2026'!$J$2:$J$2719,D$1)</f>
        <v>0</v>
      </c>
      <c r="E141" s="144">
        <f>SUMIFS('апрель 2026'!$G$2:$G$2719,'апрель 2026'!$D$2:$D$2719,$B141,'апрель 2026'!$J$2:$J$2719,E$1)</f>
        <v>0</v>
      </c>
      <c r="F141" s="144">
        <f>SUMIFS('апрель 2026'!$G$2:$G$2719,'апрель 2026'!$D$2:$D$2719,$B141,'апрель 2026'!$J$2:$J$2719,F$1)</f>
        <v>0</v>
      </c>
      <c r="G141" s="144">
        <f>SUMIFS('апрель 2026'!$G$2:$G$2719,'апрель 2026'!$D$2:$D$2719,$B141,'апрель 2026'!$J$2:$J$2719,G$1)</f>
        <v>0</v>
      </c>
      <c r="H141" s="144">
        <f>SUMIFS('апрель 2026'!$G$2:$G$2719,'апрель 2026'!$D$2:$D$2719,$B141,'апрель 2026'!$J$2:$J$2719,H$1)</f>
        <v>0</v>
      </c>
      <c r="I141" s="144">
        <f>SUMIFS('апрель 2026'!$G$2:$G$2719,'апрель 2026'!$D$2:$D$2719,$B141,'апрель 2026'!$J$2:$J$2719,I$1)</f>
        <v>0</v>
      </c>
      <c r="J141" s="144">
        <f>SUMIFS('апрель 2026'!$G$2:$G$2719,'апрель 2026'!$D$2:$D$2719,$B141,'апрель 2026'!$J$2:$J$2719,J$1)</f>
        <v>0</v>
      </c>
      <c r="K141" s="144">
        <f>SUMIFS('апрель 2026'!$G$2:$G$2719,'апрель 2026'!$D$2:$D$2719,$B141,'апрель 2026'!$J$2:$J$2719,K$1)</f>
        <v>0</v>
      </c>
      <c r="L141" s="144">
        <f>SUMIFS('апрель 2026'!$G$2:$G$2719,'апрель 2026'!$D$2:$D$2719,$B141,'апрель 2026'!$J$2:$J$2719,L$1)</f>
        <v>0</v>
      </c>
      <c r="M141" s="144">
        <f>SUMIFS('апрель 2026'!$G$2:$G$2719,'апрель 2026'!$D$2:$D$2719,$B141,'апрель 2026'!$J$2:$J$2719,M$1)</f>
        <v>0</v>
      </c>
      <c r="N141" s="144">
        <f>SUMIFS('апрель 2026'!$G$2:$G$2719,'апрель 2026'!$D$2:$D$2719,$B141,'апрель 2026'!$J$2:$J$2719,N$1)</f>
        <v>0</v>
      </c>
      <c r="O141" s="144">
        <f>SUMIFS('апрель 2026'!$G$2:$G$2719,'апрель 2026'!$D$2:$D$2719,$B141,'апрель 2026'!$J$2:$J$2719,O$1)</f>
        <v>0</v>
      </c>
      <c r="P141" s="144">
        <f>SUMIFS('апрель 2026'!$G$2:$G$2719,'апрель 2026'!$D$2:$D$2719,$B141,'апрель 2026'!$J$2:$J$2719,P$1)</f>
        <v>0</v>
      </c>
      <c r="Q141" s="144">
        <f>SUMIFS('апрель 2026'!$G$2:$G$2719,'апрель 2026'!$D$2:$D$2719,$B141,'апрель 2026'!$J$2:$J$2719,Q$1)</f>
        <v>0</v>
      </c>
      <c r="R141" s="144">
        <f>SUMIFS('апрель 2026'!$G$2:$G$2719,'апрель 2026'!$D$2:$D$2719,$B141,'апрель 2026'!$J$2:$J$2719,R$1)</f>
        <v>0</v>
      </c>
      <c r="S141" s="144">
        <f>SUMIFS('апрель 2026'!$G$2:$G$2719,'апрель 2026'!$D$2:$D$2719,$B141,'апрель 2026'!$J$2:$J$2719,S$1)</f>
        <v>0</v>
      </c>
      <c r="T141" s="144">
        <f>SUMIFS('апрель 2026'!$G$2:$G$2719,'апрель 2026'!$D$2:$D$2719,$B141,'апрель 2026'!$J$2:$J$2719,T$1)</f>
        <v>0</v>
      </c>
      <c r="U141" s="144">
        <f>SUMIFS('апрель 2026'!$G$2:$G$2719,'апрель 2026'!$D$2:$D$2719,$B141,'апрель 2026'!$J$2:$J$2719,U$1)</f>
        <v>0</v>
      </c>
      <c r="V141" s="144">
        <f>SUMIFS('апрель 2026'!$G$2:$G$2719,'апрель 2026'!$D$2:$D$2719,$B141,'апрель 2026'!$J$2:$J$2719,V$1)</f>
        <v>0</v>
      </c>
      <c r="W141" s="144">
        <f>SUMIFS('апрель 2026'!$G$2:$G$2719,'апрель 2026'!$D$2:$D$2719,$B141,'апрель 2026'!$J$2:$J$2719,W$1)</f>
        <v>0</v>
      </c>
      <c r="X141" s="144">
        <f>SUMIFS('апрель 2026'!$G$2:$G$2719,'апрель 2026'!$D$2:$D$2719,$B141,'апрель 2026'!$J$2:$J$2719,X$1)</f>
        <v>0</v>
      </c>
      <c r="Y141" s="144">
        <f>SUMIFS('апрель 2026'!$G$2:$G$2719,'апрель 2026'!$D$2:$D$2719,$B141,'апрель 2026'!$J$2:$J$2719,Y$1)</f>
        <v>0</v>
      </c>
      <c r="Z141" s="144">
        <f>SUMIFS('апрель 2026'!$G$2:$G$2719,'апрель 2026'!$D$2:$D$2719,$B141,'апрель 2026'!$J$2:$J$2719,Z$1)</f>
        <v>0</v>
      </c>
      <c r="AA141" s="144">
        <f>SUMIFS('апрель 2026'!$G$2:$G$2719,'апрель 2026'!$D$2:$D$2719,$B141,'апрель 2026'!$J$2:$J$2719,AA$1)</f>
        <v>0</v>
      </c>
      <c r="AB141" s="144">
        <f>SUMIFS('апрель 2026'!$G$2:$G$2719,'апрель 2026'!$D$2:$D$2719,$B141,'апрель 2026'!$J$2:$J$2719,AB$1)</f>
        <v>0</v>
      </c>
      <c r="AC141" s="144">
        <f>SUMIFS('апрель 2026'!$G$2:$G$2719,'апрель 2026'!$D$2:$D$2719,$B141,'апрель 2026'!$J$2:$J$2719,AC$1)</f>
        <v>0</v>
      </c>
      <c r="AD141" s="144">
        <f>SUMIFS('апрель 2026'!$G$2:$G$2719,'апрель 2026'!$D$2:$D$2719,$B141,'апрель 2026'!$J$2:$J$2719,AD$1)</f>
        <v>0</v>
      </c>
      <c r="AE141" s="144">
        <f>SUMIFS('апрель 2026'!$G$2:$G$2719,'апрель 2026'!$D$2:$D$2719,$B141,'апрель 2026'!$J$2:$J$2719,AE$1)</f>
        <v>0</v>
      </c>
      <c r="AF141" s="144">
        <f>SUMIFS('апрель 2026'!$G$2:$G$2719,'апрель 2026'!$D$2:$D$2719,$B141,'апрель 2026'!$J$2:$J$2719,AF$1)</f>
        <v>0</v>
      </c>
      <c r="AG141" s="144">
        <f>SUMIFS('апрель 2026'!$G$2:$G$2719,'апрель 2026'!$D$2:$D$2719,$B141,'апрель 2026'!$J$2:$J$2719,AG$1)</f>
        <v>0</v>
      </c>
      <c r="AH141" s="144">
        <f>SUMIFS('апрель 2026'!$G$2:$G$2719,'апрель 2026'!$D$2:$D$2719,$B141,'апрель 2026'!$J$2:$J$2719,AH$1)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SUMIFS('апрель 2026'!$G$2:$G$2719,'апрель 2026'!$D$2:$D$2719,$B142,'апрель 2026'!$J$2:$J$2719,D$1)</f>
        <v>0</v>
      </c>
      <c r="E142" s="144">
        <f>SUMIFS('апрель 2026'!$G$2:$G$2719,'апрель 2026'!$D$2:$D$2719,$B142,'апрель 2026'!$J$2:$J$2719,E$1)</f>
        <v>0</v>
      </c>
      <c r="F142" s="144">
        <f>SUMIFS('апрель 2026'!$G$2:$G$2719,'апрель 2026'!$D$2:$D$2719,$B142,'апрель 2026'!$J$2:$J$2719,F$1)</f>
        <v>0</v>
      </c>
      <c r="G142" s="144">
        <f>SUMIFS('апрель 2026'!$G$2:$G$2719,'апрель 2026'!$D$2:$D$2719,$B142,'апрель 2026'!$J$2:$J$2719,G$1)</f>
        <v>0</v>
      </c>
      <c r="H142" s="144">
        <f>SUMIFS('апрель 2026'!$G$2:$G$2719,'апрель 2026'!$D$2:$D$2719,$B142,'апрель 2026'!$J$2:$J$2719,H$1)</f>
        <v>0</v>
      </c>
      <c r="I142" s="144">
        <f>SUMIFS('апрель 2026'!$G$2:$G$2719,'апрель 2026'!$D$2:$D$2719,$B142,'апрель 2026'!$J$2:$J$2719,I$1)</f>
        <v>0</v>
      </c>
      <c r="J142" s="144">
        <f>SUMIFS('апрель 2026'!$G$2:$G$2719,'апрель 2026'!$D$2:$D$2719,$B142,'апрель 2026'!$J$2:$J$2719,J$1)</f>
        <v>80</v>
      </c>
      <c r="K142" s="144">
        <f>SUMIFS('апрель 2026'!$G$2:$G$2719,'апрель 2026'!$D$2:$D$2719,$B142,'апрель 2026'!$J$2:$J$2719,K$1)</f>
        <v>0</v>
      </c>
      <c r="L142" s="144">
        <f>SUMIFS('апрель 2026'!$G$2:$G$2719,'апрель 2026'!$D$2:$D$2719,$B142,'апрель 2026'!$J$2:$J$2719,L$1)</f>
        <v>0</v>
      </c>
      <c r="M142" s="144">
        <f>SUMIFS('апрель 2026'!$G$2:$G$2719,'апрель 2026'!$D$2:$D$2719,$B142,'апрель 2026'!$J$2:$J$2719,M$1)</f>
        <v>0</v>
      </c>
      <c r="N142" s="144">
        <f>SUMIFS('апрель 2026'!$G$2:$G$2719,'апрель 2026'!$D$2:$D$2719,$B142,'апрель 2026'!$J$2:$J$2719,N$1)</f>
        <v>0</v>
      </c>
      <c r="O142" s="144">
        <f>SUMIFS('апрель 2026'!$G$2:$G$2719,'апрель 2026'!$D$2:$D$2719,$B142,'апрель 2026'!$J$2:$J$2719,O$1)</f>
        <v>0</v>
      </c>
      <c r="P142" s="144">
        <f>SUMIFS('апрель 2026'!$G$2:$G$2719,'апрель 2026'!$D$2:$D$2719,$B142,'апрель 2026'!$J$2:$J$2719,P$1)</f>
        <v>80</v>
      </c>
      <c r="Q142" s="144">
        <f>SUMIFS('апрель 2026'!$G$2:$G$2719,'апрель 2026'!$D$2:$D$2719,$B142,'апрель 2026'!$J$2:$J$2719,Q$1)</f>
        <v>0</v>
      </c>
      <c r="R142" s="144">
        <f>SUMIFS('апрель 2026'!$G$2:$G$2719,'апрель 2026'!$D$2:$D$2719,$B142,'апрель 2026'!$J$2:$J$2719,R$1)</f>
        <v>0</v>
      </c>
      <c r="S142" s="144">
        <f>SUMIFS('апрель 2026'!$G$2:$G$2719,'апрель 2026'!$D$2:$D$2719,$B142,'апрель 2026'!$J$2:$J$2719,S$1)</f>
        <v>0</v>
      </c>
      <c r="T142" s="144">
        <f>SUMIFS('апрель 2026'!$G$2:$G$2719,'апрель 2026'!$D$2:$D$2719,$B142,'апрель 2026'!$J$2:$J$2719,T$1)</f>
        <v>0</v>
      </c>
      <c r="U142" s="144">
        <f>SUMIFS('апрель 2026'!$G$2:$G$2719,'апрель 2026'!$D$2:$D$2719,$B142,'апрель 2026'!$J$2:$J$2719,U$1)</f>
        <v>0</v>
      </c>
      <c r="V142" s="144">
        <f>SUMIFS('апрель 2026'!$G$2:$G$2719,'апрель 2026'!$D$2:$D$2719,$B142,'апрель 2026'!$J$2:$J$2719,V$1)</f>
        <v>0</v>
      </c>
      <c r="W142" s="144">
        <f>SUMIFS('апрель 2026'!$G$2:$G$2719,'апрель 2026'!$D$2:$D$2719,$B142,'апрель 2026'!$J$2:$J$2719,W$1)</f>
        <v>0</v>
      </c>
      <c r="X142" s="144">
        <f>SUMIFS('апрель 2026'!$G$2:$G$2719,'апрель 2026'!$D$2:$D$2719,$B142,'апрель 2026'!$J$2:$J$2719,X$1)</f>
        <v>0</v>
      </c>
      <c r="Y142" s="144">
        <f>SUMIFS('апрель 2026'!$G$2:$G$2719,'апрель 2026'!$D$2:$D$2719,$B142,'апрель 2026'!$J$2:$J$2719,Y$1)</f>
        <v>0</v>
      </c>
      <c r="Z142" s="144">
        <f>SUMIFS('апрель 2026'!$G$2:$G$2719,'апрель 2026'!$D$2:$D$2719,$B142,'апрель 2026'!$J$2:$J$2719,Z$1)</f>
        <v>0</v>
      </c>
      <c r="AA142" s="144">
        <f>SUMIFS('апрель 2026'!$G$2:$G$2719,'апрель 2026'!$D$2:$D$2719,$B142,'апрель 2026'!$J$2:$J$2719,AA$1)</f>
        <v>0</v>
      </c>
      <c r="AB142" s="144">
        <f>SUMIFS('апрель 2026'!$G$2:$G$2719,'апрель 2026'!$D$2:$D$2719,$B142,'апрель 2026'!$J$2:$J$2719,AB$1)</f>
        <v>0</v>
      </c>
      <c r="AC142" s="144">
        <f>SUMIFS('апрель 2026'!$G$2:$G$2719,'апрель 2026'!$D$2:$D$2719,$B142,'апрель 2026'!$J$2:$J$2719,AC$1)</f>
        <v>0</v>
      </c>
      <c r="AD142" s="144">
        <f>SUMIFS('апрель 2026'!$G$2:$G$2719,'апрель 2026'!$D$2:$D$2719,$B142,'апрель 2026'!$J$2:$J$2719,AD$1)</f>
        <v>0</v>
      </c>
      <c r="AE142" s="144">
        <f>SUMIFS('апрель 2026'!$G$2:$G$2719,'апрель 2026'!$D$2:$D$2719,$B142,'апрель 2026'!$J$2:$J$2719,AE$1)</f>
        <v>0</v>
      </c>
      <c r="AF142" s="144">
        <f>SUMIFS('апрель 2026'!$G$2:$G$2719,'апрель 2026'!$D$2:$D$2719,$B142,'апрель 2026'!$J$2:$J$2719,AF$1)</f>
        <v>0</v>
      </c>
      <c r="AG142" s="144">
        <f>SUMIFS('апрель 2026'!$G$2:$G$2719,'апрель 2026'!$D$2:$D$2719,$B142,'апрель 2026'!$J$2:$J$2719,AG$1)</f>
        <v>0</v>
      </c>
      <c r="AH142" s="144">
        <f>SUMIFS('апрель 2026'!$G$2:$G$2719,'апрель 2026'!$D$2:$D$2719,$B142,'апрель 2026'!$J$2:$J$2719,AH$1)</f>
        <v>0</v>
      </c>
      <c r="AI142" s="20">
        <f t="shared" si="1"/>
        <v>160</v>
      </c>
    </row>
    <row r="143" spans="2:35" ht="15" customHeight="1" x14ac:dyDescent="0.25">
      <c r="B143" s="82" t="s">
        <v>292</v>
      </c>
      <c r="C143" s="81">
        <v>180</v>
      </c>
      <c r="D143" s="144">
        <f>SUMIFS('апрель 2026'!$G$2:$G$2719,'апрель 2026'!$D$2:$D$2719,$B143,'апрель 2026'!$J$2:$J$2719,D$1)</f>
        <v>0</v>
      </c>
      <c r="E143" s="144">
        <f>SUMIFS('апрель 2026'!$G$2:$G$2719,'апрель 2026'!$D$2:$D$2719,$B143,'апрель 2026'!$J$2:$J$2719,E$1)</f>
        <v>0</v>
      </c>
      <c r="F143" s="144">
        <f>SUMIFS('апрель 2026'!$G$2:$G$2719,'апрель 2026'!$D$2:$D$2719,$B143,'апрель 2026'!$J$2:$J$2719,F$1)</f>
        <v>0</v>
      </c>
      <c r="G143" s="144">
        <f>SUMIFS('апрель 2026'!$G$2:$G$2719,'апрель 2026'!$D$2:$D$2719,$B143,'апрель 2026'!$J$2:$J$2719,G$1)</f>
        <v>0</v>
      </c>
      <c r="H143" s="144">
        <f>SUMIFS('апрель 2026'!$G$2:$G$2719,'апрель 2026'!$D$2:$D$2719,$B143,'апрель 2026'!$J$2:$J$2719,H$1)</f>
        <v>0</v>
      </c>
      <c r="I143" s="144">
        <f>SUMIFS('апрель 2026'!$G$2:$G$2719,'апрель 2026'!$D$2:$D$2719,$B143,'апрель 2026'!$J$2:$J$2719,I$1)</f>
        <v>0</v>
      </c>
      <c r="J143" s="144">
        <f>SUMIFS('апрель 2026'!$G$2:$G$2719,'апрель 2026'!$D$2:$D$2719,$B143,'апрель 2026'!$J$2:$J$2719,J$1)</f>
        <v>0</v>
      </c>
      <c r="K143" s="144">
        <f>SUMIFS('апрель 2026'!$G$2:$G$2719,'апрель 2026'!$D$2:$D$2719,$B143,'апрель 2026'!$J$2:$J$2719,K$1)</f>
        <v>0</v>
      </c>
      <c r="L143" s="144">
        <f>SUMIFS('апрель 2026'!$G$2:$G$2719,'апрель 2026'!$D$2:$D$2719,$B143,'апрель 2026'!$J$2:$J$2719,L$1)</f>
        <v>0</v>
      </c>
      <c r="M143" s="144">
        <f>SUMIFS('апрель 2026'!$G$2:$G$2719,'апрель 2026'!$D$2:$D$2719,$B143,'апрель 2026'!$J$2:$J$2719,M$1)</f>
        <v>0</v>
      </c>
      <c r="N143" s="144">
        <f>SUMIFS('апрель 2026'!$G$2:$G$2719,'апрель 2026'!$D$2:$D$2719,$B143,'апрель 2026'!$J$2:$J$2719,N$1)</f>
        <v>0</v>
      </c>
      <c r="O143" s="144">
        <f>SUMIFS('апрель 2026'!$G$2:$G$2719,'апрель 2026'!$D$2:$D$2719,$B143,'апрель 2026'!$J$2:$J$2719,O$1)</f>
        <v>0</v>
      </c>
      <c r="P143" s="144">
        <f>SUMIFS('апрель 2026'!$G$2:$G$2719,'апрель 2026'!$D$2:$D$2719,$B143,'апрель 2026'!$J$2:$J$2719,P$1)</f>
        <v>0</v>
      </c>
      <c r="Q143" s="144">
        <f>SUMIFS('апрель 2026'!$G$2:$G$2719,'апрель 2026'!$D$2:$D$2719,$B143,'апрель 2026'!$J$2:$J$2719,Q$1)</f>
        <v>0</v>
      </c>
      <c r="R143" s="144">
        <f>SUMIFS('апрель 2026'!$G$2:$G$2719,'апрель 2026'!$D$2:$D$2719,$B143,'апрель 2026'!$J$2:$J$2719,R$1)</f>
        <v>0</v>
      </c>
      <c r="S143" s="144">
        <f>SUMIFS('апрель 2026'!$G$2:$G$2719,'апрель 2026'!$D$2:$D$2719,$B143,'апрель 2026'!$J$2:$J$2719,S$1)</f>
        <v>0</v>
      </c>
      <c r="T143" s="144">
        <f>SUMIFS('апрель 2026'!$G$2:$G$2719,'апрель 2026'!$D$2:$D$2719,$B143,'апрель 2026'!$J$2:$J$2719,T$1)</f>
        <v>0</v>
      </c>
      <c r="U143" s="144">
        <f>SUMIFS('апрель 2026'!$G$2:$G$2719,'апрель 2026'!$D$2:$D$2719,$B143,'апрель 2026'!$J$2:$J$2719,U$1)</f>
        <v>0</v>
      </c>
      <c r="V143" s="144">
        <f>SUMIFS('апрель 2026'!$G$2:$G$2719,'апрель 2026'!$D$2:$D$2719,$B143,'апрель 2026'!$J$2:$J$2719,V$1)</f>
        <v>0</v>
      </c>
      <c r="W143" s="144">
        <f>SUMIFS('апрель 2026'!$G$2:$G$2719,'апрель 2026'!$D$2:$D$2719,$B143,'апрель 2026'!$J$2:$J$2719,W$1)</f>
        <v>0</v>
      </c>
      <c r="X143" s="144">
        <f>SUMIFS('апрель 2026'!$G$2:$G$2719,'апрель 2026'!$D$2:$D$2719,$B143,'апрель 2026'!$J$2:$J$2719,X$1)</f>
        <v>0</v>
      </c>
      <c r="Y143" s="144">
        <f>SUMIFS('апрель 2026'!$G$2:$G$2719,'апрель 2026'!$D$2:$D$2719,$B143,'апрель 2026'!$J$2:$J$2719,Y$1)</f>
        <v>0</v>
      </c>
      <c r="Z143" s="144">
        <f>SUMIFS('апрель 2026'!$G$2:$G$2719,'апрель 2026'!$D$2:$D$2719,$B143,'апрель 2026'!$J$2:$J$2719,Z$1)</f>
        <v>0</v>
      </c>
      <c r="AA143" s="144">
        <f>SUMIFS('апрель 2026'!$G$2:$G$2719,'апрель 2026'!$D$2:$D$2719,$B143,'апрель 2026'!$J$2:$J$2719,AA$1)</f>
        <v>0</v>
      </c>
      <c r="AB143" s="144">
        <f>SUMIFS('апрель 2026'!$G$2:$G$2719,'апрель 2026'!$D$2:$D$2719,$B143,'апрель 2026'!$J$2:$J$2719,AB$1)</f>
        <v>0</v>
      </c>
      <c r="AC143" s="144">
        <f>SUMIFS('апрель 2026'!$G$2:$G$2719,'апрель 2026'!$D$2:$D$2719,$B143,'апрель 2026'!$J$2:$J$2719,AC$1)</f>
        <v>0</v>
      </c>
      <c r="AD143" s="144">
        <f>SUMIFS('апрель 2026'!$G$2:$G$2719,'апрель 2026'!$D$2:$D$2719,$B143,'апрель 2026'!$J$2:$J$2719,AD$1)</f>
        <v>0</v>
      </c>
      <c r="AE143" s="144">
        <f>SUMIFS('апрель 2026'!$G$2:$G$2719,'апрель 2026'!$D$2:$D$2719,$B143,'апрель 2026'!$J$2:$J$2719,AE$1)</f>
        <v>0</v>
      </c>
      <c r="AF143" s="144">
        <f>SUMIFS('апрель 2026'!$G$2:$G$2719,'апрель 2026'!$D$2:$D$2719,$B143,'апрель 2026'!$J$2:$J$2719,AF$1)</f>
        <v>0</v>
      </c>
      <c r="AG143" s="144">
        <f>SUMIFS('апрель 2026'!$G$2:$G$2719,'апрель 2026'!$D$2:$D$2719,$B143,'апрель 2026'!$J$2:$J$2719,AG$1)</f>
        <v>0</v>
      </c>
      <c r="AH143" s="144">
        <f>SUMIFS('апрель 2026'!$G$2:$G$2719,'апрель 2026'!$D$2:$D$2719,$B143,'апрель 2026'!$J$2:$J$2719,AH$1)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SUMIFS('апрель 2026'!$G$2:$G$2719,'апрель 2026'!$D$2:$D$2719,$B144,'апрель 2026'!$J$2:$J$2719,D$1)</f>
        <v>0</v>
      </c>
      <c r="E144" s="144">
        <f>SUMIFS('апрель 2026'!$G$2:$G$2719,'апрель 2026'!$D$2:$D$2719,$B144,'апрель 2026'!$J$2:$J$2719,E$1)</f>
        <v>0</v>
      </c>
      <c r="F144" s="144">
        <f>SUMIFS('апрель 2026'!$G$2:$G$2719,'апрель 2026'!$D$2:$D$2719,$B144,'апрель 2026'!$J$2:$J$2719,F$1)</f>
        <v>0</v>
      </c>
      <c r="G144" s="144">
        <f>SUMIFS('апрель 2026'!$G$2:$G$2719,'апрель 2026'!$D$2:$D$2719,$B144,'апрель 2026'!$J$2:$J$2719,G$1)</f>
        <v>0</v>
      </c>
      <c r="H144" s="144">
        <f>SUMIFS('апрель 2026'!$G$2:$G$2719,'апрель 2026'!$D$2:$D$2719,$B144,'апрель 2026'!$J$2:$J$2719,H$1)</f>
        <v>0</v>
      </c>
      <c r="I144" s="144">
        <f>SUMIFS('апрель 2026'!$G$2:$G$2719,'апрель 2026'!$D$2:$D$2719,$B144,'апрель 2026'!$J$2:$J$2719,I$1)</f>
        <v>0</v>
      </c>
      <c r="J144" s="144">
        <f>SUMIFS('апрель 2026'!$G$2:$G$2719,'апрель 2026'!$D$2:$D$2719,$B144,'апрель 2026'!$J$2:$J$2719,J$1)</f>
        <v>0</v>
      </c>
      <c r="K144" s="144">
        <f>SUMIFS('апрель 2026'!$G$2:$G$2719,'апрель 2026'!$D$2:$D$2719,$B144,'апрель 2026'!$J$2:$J$2719,K$1)</f>
        <v>0</v>
      </c>
      <c r="L144" s="144">
        <f>SUMIFS('апрель 2026'!$G$2:$G$2719,'апрель 2026'!$D$2:$D$2719,$B144,'апрель 2026'!$J$2:$J$2719,L$1)</f>
        <v>0</v>
      </c>
      <c r="M144" s="144">
        <f>SUMIFS('апрель 2026'!$G$2:$G$2719,'апрель 2026'!$D$2:$D$2719,$B144,'апрель 2026'!$J$2:$J$2719,M$1)</f>
        <v>0</v>
      </c>
      <c r="N144" s="144">
        <f>SUMIFS('апрель 2026'!$G$2:$G$2719,'апрель 2026'!$D$2:$D$2719,$B144,'апрель 2026'!$J$2:$J$2719,N$1)</f>
        <v>0</v>
      </c>
      <c r="O144" s="144">
        <f>SUMIFS('апрель 2026'!$G$2:$G$2719,'апрель 2026'!$D$2:$D$2719,$B144,'апрель 2026'!$J$2:$J$2719,O$1)</f>
        <v>0</v>
      </c>
      <c r="P144" s="144">
        <f>SUMIFS('апрель 2026'!$G$2:$G$2719,'апрель 2026'!$D$2:$D$2719,$B144,'апрель 2026'!$J$2:$J$2719,P$1)</f>
        <v>0</v>
      </c>
      <c r="Q144" s="144">
        <f>SUMIFS('апрель 2026'!$G$2:$G$2719,'апрель 2026'!$D$2:$D$2719,$B144,'апрель 2026'!$J$2:$J$2719,Q$1)</f>
        <v>0</v>
      </c>
      <c r="R144" s="144">
        <f>SUMIFS('апрель 2026'!$G$2:$G$2719,'апрель 2026'!$D$2:$D$2719,$B144,'апрель 2026'!$J$2:$J$2719,R$1)</f>
        <v>0</v>
      </c>
      <c r="S144" s="144">
        <f>SUMIFS('апрель 2026'!$G$2:$G$2719,'апрель 2026'!$D$2:$D$2719,$B144,'апрель 2026'!$J$2:$J$2719,S$1)</f>
        <v>0</v>
      </c>
      <c r="T144" s="144">
        <f>SUMIFS('апрель 2026'!$G$2:$G$2719,'апрель 2026'!$D$2:$D$2719,$B144,'апрель 2026'!$J$2:$J$2719,T$1)</f>
        <v>0</v>
      </c>
      <c r="U144" s="144">
        <f>SUMIFS('апрель 2026'!$G$2:$G$2719,'апрель 2026'!$D$2:$D$2719,$B144,'апрель 2026'!$J$2:$J$2719,U$1)</f>
        <v>0</v>
      </c>
      <c r="V144" s="144">
        <f>SUMIFS('апрель 2026'!$G$2:$G$2719,'апрель 2026'!$D$2:$D$2719,$B144,'апрель 2026'!$J$2:$J$2719,V$1)</f>
        <v>0</v>
      </c>
      <c r="W144" s="144">
        <f>SUMIFS('апрель 2026'!$G$2:$G$2719,'апрель 2026'!$D$2:$D$2719,$B144,'апрель 2026'!$J$2:$J$2719,W$1)</f>
        <v>0</v>
      </c>
      <c r="X144" s="144">
        <f>SUMIFS('апрель 2026'!$G$2:$G$2719,'апрель 2026'!$D$2:$D$2719,$B144,'апрель 2026'!$J$2:$J$2719,X$1)</f>
        <v>0</v>
      </c>
      <c r="Y144" s="144">
        <f>SUMIFS('апрель 2026'!$G$2:$G$2719,'апрель 2026'!$D$2:$D$2719,$B144,'апрель 2026'!$J$2:$J$2719,Y$1)</f>
        <v>0</v>
      </c>
      <c r="Z144" s="144">
        <f>SUMIFS('апрель 2026'!$G$2:$G$2719,'апрель 2026'!$D$2:$D$2719,$B144,'апрель 2026'!$J$2:$J$2719,Z$1)</f>
        <v>0</v>
      </c>
      <c r="AA144" s="144">
        <f>SUMIFS('апрель 2026'!$G$2:$G$2719,'апрель 2026'!$D$2:$D$2719,$B144,'апрель 2026'!$J$2:$J$2719,AA$1)</f>
        <v>0</v>
      </c>
      <c r="AB144" s="144">
        <f>SUMIFS('апрель 2026'!$G$2:$G$2719,'апрель 2026'!$D$2:$D$2719,$B144,'апрель 2026'!$J$2:$J$2719,AB$1)</f>
        <v>0</v>
      </c>
      <c r="AC144" s="144">
        <f>SUMIFS('апрель 2026'!$G$2:$G$2719,'апрель 2026'!$D$2:$D$2719,$B144,'апрель 2026'!$J$2:$J$2719,AC$1)</f>
        <v>0</v>
      </c>
      <c r="AD144" s="144">
        <f>SUMIFS('апрель 2026'!$G$2:$G$2719,'апрель 2026'!$D$2:$D$2719,$B144,'апрель 2026'!$J$2:$J$2719,AD$1)</f>
        <v>0</v>
      </c>
      <c r="AE144" s="144">
        <f>SUMIFS('апрель 2026'!$G$2:$G$2719,'апрель 2026'!$D$2:$D$2719,$B144,'апрель 2026'!$J$2:$J$2719,AE$1)</f>
        <v>0</v>
      </c>
      <c r="AF144" s="144">
        <f>SUMIFS('апрель 2026'!$G$2:$G$2719,'апрель 2026'!$D$2:$D$2719,$B144,'апрель 2026'!$J$2:$J$2719,AF$1)</f>
        <v>0</v>
      </c>
      <c r="AG144" s="144">
        <f>SUMIFS('апрель 2026'!$G$2:$G$2719,'апрель 2026'!$D$2:$D$2719,$B144,'апрель 2026'!$J$2:$J$2719,AG$1)</f>
        <v>0</v>
      </c>
      <c r="AH144" s="144">
        <f>SUMIFS('апрель 2026'!$G$2:$G$2719,'апрель 2026'!$D$2:$D$2719,$B144,'апрель 2026'!$J$2:$J$2719,AH$1)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SUMIFS('апрель 2026'!$G$2:$G$2719,'апрель 2026'!$D$2:$D$2719,$B145,'апрель 2026'!$J$2:$J$2719,D$1)</f>
        <v>0</v>
      </c>
      <c r="E145" s="144">
        <f>SUMIFS('апрель 2026'!$G$2:$G$2719,'апрель 2026'!$D$2:$D$2719,$B145,'апрель 2026'!$J$2:$J$2719,E$1)</f>
        <v>0</v>
      </c>
      <c r="F145" s="144">
        <f>SUMIFS('апрель 2026'!$G$2:$G$2719,'апрель 2026'!$D$2:$D$2719,$B145,'апрель 2026'!$J$2:$J$2719,F$1)</f>
        <v>0</v>
      </c>
      <c r="G145" s="144">
        <f>SUMIFS('апрель 2026'!$G$2:$G$2719,'апрель 2026'!$D$2:$D$2719,$B145,'апрель 2026'!$J$2:$J$2719,G$1)</f>
        <v>0</v>
      </c>
      <c r="H145" s="144">
        <f>SUMIFS('апрель 2026'!$G$2:$G$2719,'апрель 2026'!$D$2:$D$2719,$B145,'апрель 2026'!$J$2:$J$2719,H$1)</f>
        <v>0</v>
      </c>
      <c r="I145" s="144">
        <f>SUMIFS('апрель 2026'!$G$2:$G$2719,'апрель 2026'!$D$2:$D$2719,$B145,'апрель 2026'!$J$2:$J$2719,I$1)</f>
        <v>0</v>
      </c>
      <c r="J145" s="144">
        <f>SUMIFS('апрель 2026'!$G$2:$G$2719,'апрель 2026'!$D$2:$D$2719,$B145,'апрель 2026'!$J$2:$J$2719,J$1)</f>
        <v>0</v>
      </c>
      <c r="K145" s="144">
        <f>SUMIFS('апрель 2026'!$G$2:$G$2719,'апрель 2026'!$D$2:$D$2719,$B145,'апрель 2026'!$J$2:$J$2719,K$1)</f>
        <v>0</v>
      </c>
      <c r="L145" s="144">
        <f>SUMIFS('апрель 2026'!$G$2:$G$2719,'апрель 2026'!$D$2:$D$2719,$B145,'апрель 2026'!$J$2:$J$2719,L$1)</f>
        <v>0</v>
      </c>
      <c r="M145" s="144">
        <f>SUMIFS('апрель 2026'!$G$2:$G$2719,'апрель 2026'!$D$2:$D$2719,$B145,'апрель 2026'!$J$2:$J$2719,M$1)</f>
        <v>0</v>
      </c>
      <c r="N145" s="144">
        <f>SUMIFS('апрель 2026'!$G$2:$G$2719,'апрель 2026'!$D$2:$D$2719,$B145,'апрель 2026'!$J$2:$J$2719,N$1)</f>
        <v>0</v>
      </c>
      <c r="O145" s="144">
        <f>SUMIFS('апрель 2026'!$G$2:$G$2719,'апрель 2026'!$D$2:$D$2719,$B145,'апрель 2026'!$J$2:$J$2719,O$1)</f>
        <v>0</v>
      </c>
      <c r="P145" s="144">
        <f>SUMIFS('апрель 2026'!$G$2:$G$2719,'апрель 2026'!$D$2:$D$2719,$B145,'апрель 2026'!$J$2:$J$2719,P$1)</f>
        <v>0</v>
      </c>
      <c r="Q145" s="144">
        <f>SUMIFS('апрель 2026'!$G$2:$G$2719,'апрель 2026'!$D$2:$D$2719,$B145,'апрель 2026'!$J$2:$J$2719,Q$1)</f>
        <v>0</v>
      </c>
      <c r="R145" s="144">
        <f>SUMIFS('апрель 2026'!$G$2:$G$2719,'апрель 2026'!$D$2:$D$2719,$B145,'апрель 2026'!$J$2:$J$2719,R$1)</f>
        <v>0</v>
      </c>
      <c r="S145" s="144">
        <f>SUMIFS('апрель 2026'!$G$2:$G$2719,'апрель 2026'!$D$2:$D$2719,$B145,'апрель 2026'!$J$2:$J$2719,S$1)</f>
        <v>0</v>
      </c>
      <c r="T145" s="144">
        <f>SUMIFS('апрель 2026'!$G$2:$G$2719,'апрель 2026'!$D$2:$D$2719,$B145,'апрель 2026'!$J$2:$J$2719,T$1)</f>
        <v>0</v>
      </c>
      <c r="U145" s="144">
        <f>SUMIFS('апрель 2026'!$G$2:$G$2719,'апрель 2026'!$D$2:$D$2719,$B145,'апрель 2026'!$J$2:$J$2719,U$1)</f>
        <v>0</v>
      </c>
      <c r="V145" s="144">
        <f>SUMIFS('апрель 2026'!$G$2:$G$2719,'апрель 2026'!$D$2:$D$2719,$B145,'апрель 2026'!$J$2:$J$2719,V$1)</f>
        <v>0</v>
      </c>
      <c r="W145" s="144">
        <f>SUMIFS('апрель 2026'!$G$2:$G$2719,'апрель 2026'!$D$2:$D$2719,$B145,'апрель 2026'!$J$2:$J$2719,W$1)</f>
        <v>0</v>
      </c>
      <c r="X145" s="144">
        <f>SUMIFS('апрель 2026'!$G$2:$G$2719,'апрель 2026'!$D$2:$D$2719,$B145,'апрель 2026'!$J$2:$J$2719,X$1)</f>
        <v>0</v>
      </c>
      <c r="Y145" s="144">
        <f>SUMIFS('апрель 2026'!$G$2:$G$2719,'апрель 2026'!$D$2:$D$2719,$B145,'апрель 2026'!$J$2:$J$2719,Y$1)</f>
        <v>0</v>
      </c>
      <c r="Z145" s="144">
        <f>SUMIFS('апрель 2026'!$G$2:$G$2719,'апрель 2026'!$D$2:$D$2719,$B145,'апрель 2026'!$J$2:$J$2719,Z$1)</f>
        <v>0</v>
      </c>
      <c r="AA145" s="144">
        <f>SUMIFS('апрель 2026'!$G$2:$G$2719,'апрель 2026'!$D$2:$D$2719,$B145,'апрель 2026'!$J$2:$J$2719,AA$1)</f>
        <v>0</v>
      </c>
      <c r="AB145" s="144">
        <f>SUMIFS('апрель 2026'!$G$2:$G$2719,'апрель 2026'!$D$2:$D$2719,$B145,'апрель 2026'!$J$2:$J$2719,AB$1)</f>
        <v>0</v>
      </c>
      <c r="AC145" s="144">
        <f>SUMIFS('апрель 2026'!$G$2:$G$2719,'апрель 2026'!$D$2:$D$2719,$B145,'апрель 2026'!$J$2:$J$2719,AC$1)</f>
        <v>0</v>
      </c>
      <c r="AD145" s="144">
        <f>SUMIFS('апрель 2026'!$G$2:$G$2719,'апрель 2026'!$D$2:$D$2719,$B145,'апрель 2026'!$J$2:$J$2719,AD$1)</f>
        <v>0</v>
      </c>
      <c r="AE145" s="144">
        <f>SUMIFS('апрель 2026'!$G$2:$G$2719,'апрель 2026'!$D$2:$D$2719,$B145,'апрель 2026'!$J$2:$J$2719,AE$1)</f>
        <v>0</v>
      </c>
      <c r="AF145" s="144">
        <f>SUMIFS('апрель 2026'!$G$2:$G$2719,'апрель 2026'!$D$2:$D$2719,$B145,'апрель 2026'!$J$2:$J$2719,AF$1)</f>
        <v>0</v>
      </c>
      <c r="AG145" s="144">
        <f>SUMIFS('апрель 2026'!$G$2:$G$2719,'апрель 2026'!$D$2:$D$2719,$B145,'апрель 2026'!$J$2:$J$2719,AG$1)</f>
        <v>0</v>
      </c>
      <c r="AH145" s="144">
        <f>SUMIFS('апрель 2026'!$G$2:$G$2719,'апрель 2026'!$D$2:$D$2719,$B145,'апрель 2026'!$J$2:$J$2719,AH$1)</f>
        <v>0</v>
      </c>
      <c r="AI145" s="20">
        <f t="shared" si="1"/>
        <v>0</v>
      </c>
    </row>
    <row r="146" spans="2:35" ht="15" customHeight="1" x14ac:dyDescent="0.25">
      <c r="B146" s="82" t="s">
        <v>172</v>
      </c>
      <c r="C146" s="81">
        <v>200</v>
      </c>
      <c r="D146" s="144">
        <f>SUMIFS('апрель 2026'!$G$2:$G$2719,'апрель 2026'!$D$2:$D$2719,$B146,'апрель 2026'!$J$2:$J$2719,D$1)</f>
        <v>0</v>
      </c>
      <c r="E146" s="144">
        <f>SUMIFS('апрель 2026'!$G$2:$G$2719,'апрель 2026'!$D$2:$D$2719,$B146,'апрель 2026'!$J$2:$J$2719,E$1)</f>
        <v>0</v>
      </c>
      <c r="F146" s="144">
        <f>SUMIFS('апрель 2026'!$G$2:$G$2719,'апрель 2026'!$D$2:$D$2719,$B146,'апрель 2026'!$J$2:$J$2719,F$1)</f>
        <v>0</v>
      </c>
      <c r="G146" s="144">
        <f>SUMIFS('апрель 2026'!$G$2:$G$2719,'апрель 2026'!$D$2:$D$2719,$B146,'апрель 2026'!$J$2:$J$2719,G$1)</f>
        <v>0</v>
      </c>
      <c r="H146" s="144">
        <f>SUMIFS('апрель 2026'!$G$2:$G$2719,'апрель 2026'!$D$2:$D$2719,$B146,'апрель 2026'!$J$2:$J$2719,H$1)</f>
        <v>0</v>
      </c>
      <c r="I146" s="144">
        <f>SUMIFS('апрель 2026'!$G$2:$G$2719,'апрель 2026'!$D$2:$D$2719,$B146,'апрель 2026'!$J$2:$J$2719,I$1)</f>
        <v>0</v>
      </c>
      <c r="J146" s="144">
        <f>SUMIFS('апрель 2026'!$G$2:$G$2719,'апрель 2026'!$D$2:$D$2719,$B146,'апрель 2026'!$J$2:$J$2719,J$1)</f>
        <v>0</v>
      </c>
      <c r="K146" s="144">
        <f>SUMIFS('апрель 2026'!$G$2:$G$2719,'апрель 2026'!$D$2:$D$2719,$B146,'апрель 2026'!$J$2:$J$2719,K$1)</f>
        <v>0</v>
      </c>
      <c r="L146" s="144">
        <f>SUMIFS('апрель 2026'!$G$2:$G$2719,'апрель 2026'!$D$2:$D$2719,$B146,'апрель 2026'!$J$2:$J$2719,L$1)</f>
        <v>0</v>
      </c>
      <c r="M146" s="144">
        <f>SUMIFS('апрель 2026'!$G$2:$G$2719,'апрель 2026'!$D$2:$D$2719,$B146,'апрель 2026'!$J$2:$J$2719,M$1)</f>
        <v>0</v>
      </c>
      <c r="N146" s="144">
        <f>SUMIFS('апрель 2026'!$G$2:$G$2719,'апрель 2026'!$D$2:$D$2719,$B146,'апрель 2026'!$J$2:$J$2719,N$1)</f>
        <v>0</v>
      </c>
      <c r="O146" s="144">
        <f>SUMIFS('апрель 2026'!$G$2:$G$2719,'апрель 2026'!$D$2:$D$2719,$B146,'апрель 2026'!$J$2:$J$2719,O$1)</f>
        <v>0</v>
      </c>
      <c r="P146" s="144">
        <f>SUMIFS('апрель 2026'!$G$2:$G$2719,'апрель 2026'!$D$2:$D$2719,$B146,'апрель 2026'!$J$2:$J$2719,P$1)</f>
        <v>0</v>
      </c>
      <c r="Q146" s="144">
        <f>SUMIFS('апрель 2026'!$G$2:$G$2719,'апрель 2026'!$D$2:$D$2719,$B146,'апрель 2026'!$J$2:$J$2719,Q$1)</f>
        <v>0</v>
      </c>
      <c r="R146" s="144">
        <f>SUMIFS('апрель 2026'!$G$2:$G$2719,'апрель 2026'!$D$2:$D$2719,$B146,'апрель 2026'!$J$2:$J$2719,R$1)</f>
        <v>0</v>
      </c>
      <c r="S146" s="144">
        <f>SUMIFS('апрель 2026'!$G$2:$G$2719,'апрель 2026'!$D$2:$D$2719,$B146,'апрель 2026'!$J$2:$J$2719,S$1)</f>
        <v>0</v>
      </c>
      <c r="T146" s="144">
        <f>SUMIFS('апрель 2026'!$G$2:$G$2719,'апрель 2026'!$D$2:$D$2719,$B146,'апрель 2026'!$J$2:$J$2719,T$1)</f>
        <v>0</v>
      </c>
      <c r="U146" s="144">
        <f>SUMIFS('апрель 2026'!$G$2:$G$2719,'апрель 2026'!$D$2:$D$2719,$B146,'апрель 2026'!$J$2:$J$2719,U$1)</f>
        <v>0</v>
      </c>
      <c r="V146" s="144">
        <f>SUMIFS('апрель 2026'!$G$2:$G$2719,'апрель 2026'!$D$2:$D$2719,$B146,'апрель 2026'!$J$2:$J$2719,V$1)</f>
        <v>0</v>
      </c>
      <c r="W146" s="144">
        <f>SUMIFS('апрель 2026'!$G$2:$G$2719,'апрель 2026'!$D$2:$D$2719,$B146,'апрель 2026'!$J$2:$J$2719,W$1)</f>
        <v>0</v>
      </c>
      <c r="X146" s="144">
        <f>SUMIFS('апрель 2026'!$G$2:$G$2719,'апрель 2026'!$D$2:$D$2719,$B146,'апрель 2026'!$J$2:$J$2719,X$1)</f>
        <v>0</v>
      </c>
      <c r="Y146" s="144">
        <f>SUMIFS('апрель 2026'!$G$2:$G$2719,'апрель 2026'!$D$2:$D$2719,$B146,'апрель 2026'!$J$2:$J$2719,Y$1)</f>
        <v>0</v>
      </c>
      <c r="Z146" s="144">
        <f>SUMIFS('апрель 2026'!$G$2:$G$2719,'апрель 2026'!$D$2:$D$2719,$B146,'апрель 2026'!$J$2:$J$2719,Z$1)</f>
        <v>0</v>
      </c>
      <c r="AA146" s="144">
        <f>SUMIFS('апрель 2026'!$G$2:$G$2719,'апрель 2026'!$D$2:$D$2719,$B146,'апрель 2026'!$J$2:$J$2719,AA$1)</f>
        <v>0</v>
      </c>
      <c r="AB146" s="144">
        <f>SUMIFS('апрель 2026'!$G$2:$G$2719,'апрель 2026'!$D$2:$D$2719,$B146,'апрель 2026'!$J$2:$J$2719,AB$1)</f>
        <v>0</v>
      </c>
      <c r="AC146" s="144">
        <f>SUMIFS('апрель 2026'!$G$2:$G$2719,'апрель 2026'!$D$2:$D$2719,$B146,'апрель 2026'!$J$2:$J$2719,AC$1)</f>
        <v>0</v>
      </c>
      <c r="AD146" s="144">
        <f>SUMIFS('апрель 2026'!$G$2:$G$2719,'апрель 2026'!$D$2:$D$2719,$B146,'апрель 2026'!$J$2:$J$2719,AD$1)</f>
        <v>0</v>
      </c>
      <c r="AE146" s="144">
        <f>SUMIFS('апрель 2026'!$G$2:$G$2719,'апрель 2026'!$D$2:$D$2719,$B146,'апрель 2026'!$J$2:$J$2719,AE$1)</f>
        <v>0</v>
      </c>
      <c r="AF146" s="144">
        <f>SUMIFS('апрель 2026'!$G$2:$G$2719,'апрель 2026'!$D$2:$D$2719,$B146,'апрель 2026'!$J$2:$J$2719,AF$1)</f>
        <v>0</v>
      </c>
      <c r="AG146" s="144">
        <f>SUMIFS('апрель 2026'!$G$2:$G$2719,'апрель 2026'!$D$2:$D$2719,$B146,'апрель 2026'!$J$2:$J$2719,AG$1)</f>
        <v>0</v>
      </c>
      <c r="AH146" s="144">
        <f>SUMIFS('апрель 2026'!$G$2:$G$2719,'апрель 2026'!$D$2:$D$2719,$B146,'апрель 2026'!$J$2:$J$2719,AH$1)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SUMIFS('апрель 2026'!$G$2:$G$2719,'апрель 2026'!$D$2:$D$2719,$B147,'апрель 2026'!$J$2:$J$2719,D$1)</f>
        <v>0</v>
      </c>
      <c r="E147" s="144">
        <f>SUMIFS('апрель 2026'!$G$2:$G$2719,'апрель 2026'!$D$2:$D$2719,$B147,'апрель 2026'!$J$2:$J$2719,E$1)</f>
        <v>0</v>
      </c>
      <c r="F147" s="144">
        <f>SUMIFS('апрель 2026'!$G$2:$G$2719,'апрель 2026'!$D$2:$D$2719,$B147,'апрель 2026'!$J$2:$J$2719,F$1)</f>
        <v>0</v>
      </c>
      <c r="G147" s="144">
        <f>SUMIFS('апрель 2026'!$G$2:$G$2719,'апрель 2026'!$D$2:$D$2719,$B147,'апрель 2026'!$J$2:$J$2719,G$1)</f>
        <v>0</v>
      </c>
      <c r="H147" s="144">
        <f>SUMIFS('апрель 2026'!$G$2:$G$2719,'апрель 2026'!$D$2:$D$2719,$B147,'апрель 2026'!$J$2:$J$2719,H$1)</f>
        <v>0</v>
      </c>
      <c r="I147" s="144">
        <f>SUMIFS('апрель 2026'!$G$2:$G$2719,'апрель 2026'!$D$2:$D$2719,$B147,'апрель 2026'!$J$2:$J$2719,I$1)</f>
        <v>0</v>
      </c>
      <c r="J147" s="144">
        <f>SUMIFS('апрель 2026'!$G$2:$G$2719,'апрель 2026'!$D$2:$D$2719,$B147,'апрель 2026'!$J$2:$J$2719,J$1)</f>
        <v>0</v>
      </c>
      <c r="K147" s="144">
        <f>SUMIFS('апрель 2026'!$G$2:$G$2719,'апрель 2026'!$D$2:$D$2719,$B147,'апрель 2026'!$J$2:$J$2719,K$1)</f>
        <v>0</v>
      </c>
      <c r="L147" s="144">
        <f>SUMIFS('апрель 2026'!$G$2:$G$2719,'апрель 2026'!$D$2:$D$2719,$B147,'апрель 2026'!$J$2:$J$2719,L$1)</f>
        <v>0</v>
      </c>
      <c r="M147" s="144">
        <f>SUMIFS('апрель 2026'!$G$2:$G$2719,'апрель 2026'!$D$2:$D$2719,$B147,'апрель 2026'!$J$2:$J$2719,M$1)</f>
        <v>0</v>
      </c>
      <c r="N147" s="144">
        <f>SUMIFS('апрель 2026'!$G$2:$G$2719,'апрель 2026'!$D$2:$D$2719,$B147,'апрель 2026'!$J$2:$J$2719,N$1)</f>
        <v>0</v>
      </c>
      <c r="O147" s="144">
        <f>SUMIFS('апрель 2026'!$G$2:$G$2719,'апрель 2026'!$D$2:$D$2719,$B147,'апрель 2026'!$J$2:$J$2719,O$1)</f>
        <v>0</v>
      </c>
      <c r="P147" s="144">
        <f>SUMIFS('апрель 2026'!$G$2:$G$2719,'апрель 2026'!$D$2:$D$2719,$B147,'апрель 2026'!$J$2:$J$2719,P$1)</f>
        <v>0</v>
      </c>
      <c r="Q147" s="144">
        <f>SUMIFS('апрель 2026'!$G$2:$G$2719,'апрель 2026'!$D$2:$D$2719,$B147,'апрель 2026'!$J$2:$J$2719,Q$1)</f>
        <v>0</v>
      </c>
      <c r="R147" s="144">
        <f>SUMIFS('апрель 2026'!$G$2:$G$2719,'апрель 2026'!$D$2:$D$2719,$B147,'апрель 2026'!$J$2:$J$2719,R$1)</f>
        <v>0</v>
      </c>
      <c r="S147" s="144">
        <f>SUMIFS('апрель 2026'!$G$2:$G$2719,'апрель 2026'!$D$2:$D$2719,$B147,'апрель 2026'!$J$2:$J$2719,S$1)</f>
        <v>0</v>
      </c>
      <c r="T147" s="144">
        <f>SUMIFS('апрель 2026'!$G$2:$G$2719,'апрель 2026'!$D$2:$D$2719,$B147,'апрель 2026'!$J$2:$J$2719,T$1)</f>
        <v>0</v>
      </c>
      <c r="U147" s="144">
        <f>SUMIFS('апрель 2026'!$G$2:$G$2719,'апрель 2026'!$D$2:$D$2719,$B147,'апрель 2026'!$J$2:$J$2719,U$1)</f>
        <v>0</v>
      </c>
      <c r="V147" s="144">
        <f>SUMIFS('апрель 2026'!$G$2:$G$2719,'апрель 2026'!$D$2:$D$2719,$B147,'апрель 2026'!$J$2:$J$2719,V$1)</f>
        <v>0</v>
      </c>
      <c r="W147" s="144">
        <f>SUMIFS('апрель 2026'!$G$2:$G$2719,'апрель 2026'!$D$2:$D$2719,$B147,'апрель 2026'!$J$2:$J$2719,W$1)</f>
        <v>0</v>
      </c>
      <c r="X147" s="144">
        <f>SUMIFS('апрель 2026'!$G$2:$G$2719,'апрель 2026'!$D$2:$D$2719,$B147,'апрель 2026'!$J$2:$J$2719,X$1)</f>
        <v>0</v>
      </c>
      <c r="Y147" s="144">
        <f>SUMIFS('апрель 2026'!$G$2:$G$2719,'апрель 2026'!$D$2:$D$2719,$B147,'апрель 2026'!$J$2:$J$2719,Y$1)</f>
        <v>0</v>
      </c>
      <c r="Z147" s="144">
        <f>SUMIFS('апрель 2026'!$G$2:$G$2719,'апрель 2026'!$D$2:$D$2719,$B147,'апрель 2026'!$J$2:$J$2719,Z$1)</f>
        <v>0</v>
      </c>
      <c r="AA147" s="144">
        <f>SUMIFS('апрель 2026'!$G$2:$G$2719,'апрель 2026'!$D$2:$D$2719,$B147,'апрель 2026'!$J$2:$J$2719,AA$1)</f>
        <v>0</v>
      </c>
      <c r="AB147" s="144">
        <f>SUMIFS('апрель 2026'!$G$2:$G$2719,'апрель 2026'!$D$2:$D$2719,$B147,'апрель 2026'!$J$2:$J$2719,AB$1)</f>
        <v>0</v>
      </c>
      <c r="AC147" s="144">
        <f>SUMIFS('апрель 2026'!$G$2:$G$2719,'апрель 2026'!$D$2:$D$2719,$B147,'апрель 2026'!$J$2:$J$2719,AC$1)</f>
        <v>0</v>
      </c>
      <c r="AD147" s="144">
        <f>SUMIFS('апрель 2026'!$G$2:$G$2719,'апрель 2026'!$D$2:$D$2719,$B147,'апрель 2026'!$J$2:$J$2719,AD$1)</f>
        <v>0</v>
      </c>
      <c r="AE147" s="144">
        <f>SUMIFS('апрель 2026'!$G$2:$G$2719,'апрель 2026'!$D$2:$D$2719,$B147,'апрель 2026'!$J$2:$J$2719,AE$1)</f>
        <v>0</v>
      </c>
      <c r="AF147" s="144">
        <f>SUMIFS('апрель 2026'!$G$2:$G$2719,'апрель 2026'!$D$2:$D$2719,$B147,'апрель 2026'!$J$2:$J$2719,AF$1)</f>
        <v>0</v>
      </c>
      <c r="AG147" s="144">
        <f>SUMIFS('апрель 2026'!$G$2:$G$2719,'апрель 2026'!$D$2:$D$2719,$B147,'апрель 2026'!$J$2:$J$2719,AG$1)</f>
        <v>0</v>
      </c>
      <c r="AH147" s="144">
        <f>SUMIFS('апрель 2026'!$G$2:$G$2719,'апрель 2026'!$D$2:$D$2719,$B147,'апрель 2026'!$J$2:$J$2719,AH$1)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SUMIFS('апрель 2026'!$G$2:$G$2719,'апрель 2026'!$D$2:$D$2719,$B148,'апрель 2026'!$J$2:$J$2719,D$1)</f>
        <v>0</v>
      </c>
      <c r="E148" s="144">
        <f>SUMIFS('апрель 2026'!$G$2:$G$2719,'апрель 2026'!$D$2:$D$2719,$B148,'апрель 2026'!$J$2:$J$2719,E$1)</f>
        <v>0</v>
      </c>
      <c r="F148" s="144">
        <f>SUMIFS('апрель 2026'!$G$2:$G$2719,'апрель 2026'!$D$2:$D$2719,$B148,'апрель 2026'!$J$2:$J$2719,F$1)</f>
        <v>0</v>
      </c>
      <c r="G148" s="144">
        <f>SUMIFS('апрель 2026'!$G$2:$G$2719,'апрель 2026'!$D$2:$D$2719,$B148,'апрель 2026'!$J$2:$J$2719,G$1)</f>
        <v>0</v>
      </c>
      <c r="H148" s="144">
        <f>SUMIFS('апрель 2026'!$G$2:$G$2719,'апрель 2026'!$D$2:$D$2719,$B148,'апрель 2026'!$J$2:$J$2719,H$1)</f>
        <v>0</v>
      </c>
      <c r="I148" s="144">
        <f>SUMIFS('апрель 2026'!$G$2:$G$2719,'апрель 2026'!$D$2:$D$2719,$B148,'апрель 2026'!$J$2:$J$2719,I$1)</f>
        <v>0</v>
      </c>
      <c r="J148" s="144">
        <f>SUMIFS('апрель 2026'!$G$2:$G$2719,'апрель 2026'!$D$2:$D$2719,$B148,'апрель 2026'!$J$2:$J$2719,J$1)</f>
        <v>0</v>
      </c>
      <c r="K148" s="144">
        <f>SUMIFS('апрель 2026'!$G$2:$G$2719,'апрель 2026'!$D$2:$D$2719,$B148,'апрель 2026'!$J$2:$J$2719,K$1)</f>
        <v>0</v>
      </c>
      <c r="L148" s="144">
        <f>SUMIFS('апрель 2026'!$G$2:$G$2719,'апрель 2026'!$D$2:$D$2719,$B148,'апрель 2026'!$J$2:$J$2719,L$1)</f>
        <v>0</v>
      </c>
      <c r="M148" s="144">
        <f>SUMIFS('апрель 2026'!$G$2:$G$2719,'апрель 2026'!$D$2:$D$2719,$B148,'апрель 2026'!$J$2:$J$2719,M$1)</f>
        <v>0</v>
      </c>
      <c r="N148" s="144">
        <f>SUMIFS('апрель 2026'!$G$2:$G$2719,'апрель 2026'!$D$2:$D$2719,$B148,'апрель 2026'!$J$2:$J$2719,N$1)</f>
        <v>0</v>
      </c>
      <c r="O148" s="144">
        <f>SUMIFS('апрель 2026'!$G$2:$G$2719,'апрель 2026'!$D$2:$D$2719,$B148,'апрель 2026'!$J$2:$J$2719,O$1)</f>
        <v>0</v>
      </c>
      <c r="P148" s="144">
        <f>SUMIFS('апрель 2026'!$G$2:$G$2719,'апрель 2026'!$D$2:$D$2719,$B148,'апрель 2026'!$J$2:$J$2719,P$1)</f>
        <v>0</v>
      </c>
      <c r="Q148" s="144">
        <f>SUMIFS('апрель 2026'!$G$2:$G$2719,'апрель 2026'!$D$2:$D$2719,$B148,'апрель 2026'!$J$2:$J$2719,Q$1)</f>
        <v>0</v>
      </c>
      <c r="R148" s="144">
        <f>SUMIFS('апрель 2026'!$G$2:$G$2719,'апрель 2026'!$D$2:$D$2719,$B148,'апрель 2026'!$J$2:$J$2719,R$1)</f>
        <v>0</v>
      </c>
      <c r="S148" s="144">
        <f>SUMIFS('апрель 2026'!$G$2:$G$2719,'апрель 2026'!$D$2:$D$2719,$B148,'апрель 2026'!$J$2:$J$2719,S$1)</f>
        <v>0</v>
      </c>
      <c r="T148" s="144">
        <f>SUMIFS('апрель 2026'!$G$2:$G$2719,'апрель 2026'!$D$2:$D$2719,$B148,'апрель 2026'!$J$2:$J$2719,T$1)</f>
        <v>0</v>
      </c>
      <c r="U148" s="144">
        <f>SUMIFS('апрель 2026'!$G$2:$G$2719,'апрель 2026'!$D$2:$D$2719,$B148,'апрель 2026'!$J$2:$J$2719,U$1)</f>
        <v>0</v>
      </c>
      <c r="V148" s="144">
        <f>SUMIFS('апрель 2026'!$G$2:$G$2719,'апрель 2026'!$D$2:$D$2719,$B148,'апрель 2026'!$J$2:$J$2719,V$1)</f>
        <v>0</v>
      </c>
      <c r="W148" s="144">
        <f>SUMIFS('апрель 2026'!$G$2:$G$2719,'апрель 2026'!$D$2:$D$2719,$B148,'апрель 2026'!$J$2:$J$2719,W$1)</f>
        <v>0</v>
      </c>
      <c r="X148" s="144">
        <f>SUMIFS('апрель 2026'!$G$2:$G$2719,'апрель 2026'!$D$2:$D$2719,$B148,'апрель 2026'!$J$2:$J$2719,X$1)</f>
        <v>0</v>
      </c>
      <c r="Y148" s="144">
        <f>SUMIFS('апрель 2026'!$G$2:$G$2719,'апрель 2026'!$D$2:$D$2719,$B148,'апрель 2026'!$J$2:$J$2719,Y$1)</f>
        <v>0</v>
      </c>
      <c r="Z148" s="144">
        <f>SUMIFS('апрель 2026'!$G$2:$G$2719,'апрель 2026'!$D$2:$D$2719,$B148,'апрель 2026'!$J$2:$J$2719,Z$1)</f>
        <v>0</v>
      </c>
      <c r="AA148" s="144">
        <f>SUMIFS('апрель 2026'!$G$2:$G$2719,'апрель 2026'!$D$2:$D$2719,$B148,'апрель 2026'!$J$2:$J$2719,AA$1)</f>
        <v>0</v>
      </c>
      <c r="AB148" s="144">
        <f>SUMIFS('апрель 2026'!$G$2:$G$2719,'апрель 2026'!$D$2:$D$2719,$B148,'апрель 2026'!$J$2:$J$2719,AB$1)</f>
        <v>0</v>
      </c>
      <c r="AC148" s="144">
        <f>SUMIFS('апрель 2026'!$G$2:$G$2719,'апрель 2026'!$D$2:$D$2719,$B148,'апрель 2026'!$J$2:$J$2719,AC$1)</f>
        <v>0</v>
      </c>
      <c r="AD148" s="144">
        <f>SUMIFS('апрель 2026'!$G$2:$G$2719,'апрель 2026'!$D$2:$D$2719,$B148,'апрель 2026'!$J$2:$J$2719,AD$1)</f>
        <v>0</v>
      </c>
      <c r="AE148" s="144">
        <f>SUMIFS('апрель 2026'!$G$2:$G$2719,'апрель 2026'!$D$2:$D$2719,$B148,'апрель 2026'!$J$2:$J$2719,AE$1)</f>
        <v>0</v>
      </c>
      <c r="AF148" s="144">
        <f>SUMIFS('апрель 2026'!$G$2:$G$2719,'апрель 2026'!$D$2:$D$2719,$B148,'апрель 2026'!$J$2:$J$2719,AF$1)</f>
        <v>0</v>
      </c>
      <c r="AG148" s="144">
        <f>SUMIFS('апрель 2026'!$G$2:$G$2719,'апрель 2026'!$D$2:$D$2719,$B148,'апрель 2026'!$J$2:$J$2719,AG$1)</f>
        <v>0</v>
      </c>
      <c r="AH148" s="144">
        <f>SUMIFS('апрель 2026'!$G$2:$G$2719,'апрель 2026'!$D$2:$D$2719,$B148,'апрель 2026'!$J$2:$J$2719,AH$1)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SUMIFS('апрель 2026'!$G$2:$G$2719,'апрель 2026'!$D$2:$D$2719,$B149,'апрель 2026'!$J$2:$J$2719,D$1)</f>
        <v>0</v>
      </c>
      <c r="E149" s="144">
        <f>SUMIFS('апрель 2026'!$G$2:$G$2719,'апрель 2026'!$D$2:$D$2719,$B149,'апрель 2026'!$J$2:$J$2719,E$1)</f>
        <v>0</v>
      </c>
      <c r="F149" s="144">
        <f>SUMIFS('апрель 2026'!$G$2:$G$2719,'апрель 2026'!$D$2:$D$2719,$B149,'апрель 2026'!$J$2:$J$2719,F$1)</f>
        <v>0</v>
      </c>
      <c r="G149" s="144">
        <f>SUMIFS('апрель 2026'!$G$2:$G$2719,'апрель 2026'!$D$2:$D$2719,$B149,'апрель 2026'!$J$2:$J$2719,G$1)</f>
        <v>0</v>
      </c>
      <c r="H149" s="144">
        <f>SUMIFS('апрель 2026'!$G$2:$G$2719,'апрель 2026'!$D$2:$D$2719,$B149,'апрель 2026'!$J$2:$J$2719,H$1)</f>
        <v>0</v>
      </c>
      <c r="I149" s="144">
        <f>SUMIFS('апрель 2026'!$G$2:$G$2719,'апрель 2026'!$D$2:$D$2719,$B149,'апрель 2026'!$J$2:$J$2719,I$1)</f>
        <v>0</v>
      </c>
      <c r="J149" s="144">
        <f>SUMIFS('апрель 2026'!$G$2:$G$2719,'апрель 2026'!$D$2:$D$2719,$B149,'апрель 2026'!$J$2:$J$2719,J$1)</f>
        <v>0</v>
      </c>
      <c r="K149" s="144">
        <f>SUMIFS('апрель 2026'!$G$2:$G$2719,'апрель 2026'!$D$2:$D$2719,$B149,'апрель 2026'!$J$2:$J$2719,K$1)</f>
        <v>0</v>
      </c>
      <c r="L149" s="144">
        <f>SUMIFS('апрель 2026'!$G$2:$G$2719,'апрель 2026'!$D$2:$D$2719,$B149,'апрель 2026'!$J$2:$J$2719,L$1)</f>
        <v>0</v>
      </c>
      <c r="M149" s="144">
        <f>SUMIFS('апрель 2026'!$G$2:$G$2719,'апрель 2026'!$D$2:$D$2719,$B149,'апрель 2026'!$J$2:$J$2719,M$1)</f>
        <v>0</v>
      </c>
      <c r="N149" s="144">
        <f>SUMIFS('апрель 2026'!$G$2:$G$2719,'апрель 2026'!$D$2:$D$2719,$B149,'апрель 2026'!$J$2:$J$2719,N$1)</f>
        <v>0</v>
      </c>
      <c r="O149" s="144">
        <f>SUMIFS('апрель 2026'!$G$2:$G$2719,'апрель 2026'!$D$2:$D$2719,$B149,'апрель 2026'!$J$2:$J$2719,O$1)</f>
        <v>0</v>
      </c>
      <c r="P149" s="144">
        <f>SUMIFS('апрель 2026'!$G$2:$G$2719,'апрель 2026'!$D$2:$D$2719,$B149,'апрель 2026'!$J$2:$J$2719,P$1)</f>
        <v>0</v>
      </c>
      <c r="Q149" s="144">
        <f>SUMIFS('апрель 2026'!$G$2:$G$2719,'апрель 2026'!$D$2:$D$2719,$B149,'апрель 2026'!$J$2:$J$2719,Q$1)</f>
        <v>0</v>
      </c>
      <c r="R149" s="144">
        <f>SUMIFS('апрель 2026'!$G$2:$G$2719,'апрель 2026'!$D$2:$D$2719,$B149,'апрель 2026'!$J$2:$J$2719,R$1)</f>
        <v>0</v>
      </c>
      <c r="S149" s="144">
        <f>SUMIFS('апрель 2026'!$G$2:$G$2719,'апрель 2026'!$D$2:$D$2719,$B149,'апрель 2026'!$J$2:$J$2719,S$1)</f>
        <v>0</v>
      </c>
      <c r="T149" s="144">
        <f>SUMIFS('апрель 2026'!$G$2:$G$2719,'апрель 2026'!$D$2:$D$2719,$B149,'апрель 2026'!$J$2:$J$2719,T$1)</f>
        <v>0</v>
      </c>
      <c r="U149" s="144">
        <f>SUMIFS('апрель 2026'!$G$2:$G$2719,'апрель 2026'!$D$2:$D$2719,$B149,'апрель 2026'!$J$2:$J$2719,U$1)</f>
        <v>0</v>
      </c>
      <c r="V149" s="144">
        <f>SUMIFS('апрель 2026'!$G$2:$G$2719,'апрель 2026'!$D$2:$D$2719,$B149,'апрель 2026'!$J$2:$J$2719,V$1)</f>
        <v>0</v>
      </c>
      <c r="W149" s="144">
        <f>SUMIFS('апрель 2026'!$G$2:$G$2719,'апрель 2026'!$D$2:$D$2719,$B149,'апрель 2026'!$J$2:$J$2719,W$1)</f>
        <v>0</v>
      </c>
      <c r="X149" s="144">
        <f>SUMIFS('апрель 2026'!$G$2:$G$2719,'апрель 2026'!$D$2:$D$2719,$B149,'апрель 2026'!$J$2:$J$2719,X$1)</f>
        <v>0</v>
      </c>
      <c r="Y149" s="144">
        <f>SUMIFS('апрель 2026'!$G$2:$G$2719,'апрель 2026'!$D$2:$D$2719,$B149,'апрель 2026'!$J$2:$J$2719,Y$1)</f>
        <v>0</v>
      </c>
      <c r="Z149" s="144">
        <f>SUMIFS('апрель 2026'!$G$2:$G$2719,'апрель 2026'!$D$2:$D$2719,$B149,'апрель 2026'!$J$2:$J$2719,Z$1)</f>
        <v>0</v>
      </c>
      <c r="AA149" s="144">
        <f>SUMIFS('апрель 2026'!$G$2:$G$2719,'апрель 2026'!$D$2:$D$2719,$B149,'апрель 2026'!$J$2:$J$2719,AA$1)</f>
        <v>0</v>
      </c>
      <c r="AB149" s="144">
        <f>SUMIFS('апрель 2026'!$G$2:$G$2719,'апрель 2026'!$D$2:$D$2719,$B149,'апрель 2026'!$J$2:$J$2719,AB$1)</f>
        <v>0</v>
      </c>
      <c r="AC149" s="144">
        <f>SUMIFS('апрель 2026'!$G$2:$G$2719,'апрель 2026'!$D$2:$D$2719,$B149,'апрель 2026'!$J$2:$J$2719,AC$1)</f>
        <v>0</v>
      </c>
      <c r="AD149" s="144">
        <f>SUMIFS('апрель 2026'!$G$2:$G$2719,'апрель 2026'!$D$2:$D$2719,$B149,'апрель 2026'!$J$2:$J$2719,AD$1)</f>
        <v>0</v>
      </c>
      <c r="AE149" s="144">
        <f>SUMIFS('апрель 2026'!$G$2:$G$2719,'апрель 2026'!$D$2:$D$2719,$B149,'апрель 2026'!$J$2:$J$2719,AE$1)</f>
        <v>0</v>
      </c>
      <c r="AF149" s="144">
        <f>SUMIFS('апрель 2026'!$G$2:$G$2719,'апрель 2026'!$D$2:$D$2719,$B149,'апрель 2026'!$J$2:$J$2719,AF$1)</f>
        <v>0</v>
      </c>
      <c r="AG149" s="144">
        <f>SUMIFS('апрель 2026'!$G$2:$G$2719,'апрель 2026'!$D$2:$D$2719,$B149,'апрель 2026'!$J$2:$J$2719,AG$1)</f>
        <v>0</v>
      </c>
      <c r="AH149" s="144">
        <f>SUMIFS('апрель 2026'!$G$2:$G$2719,'апрель 2026'!$D$2:$D$2719,$B149,'апрель 2026'!$J$2:$J$2719,AH$1)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SUMIFS('апрель 2026'!$G$2:$G$2719,'апрель 2026'!$D$2:$D$2719,$B150,'апрель 2026'!$J$2:$J$2719,D$1)</f>
        <v>0</v>
      </c>
      <c r="E150" s="144">
        <f>SUMIFS('апрель 2026'!$G$2:$G$2719,'апрель 2026'!$D$2:$D$2719,$B150,'апрель 2026'!$J$2:$J$2719,E$1)</f>
        <v>0</v>
      </c>
      <c r="F150" s="144">
        <f>SUMIFS('апрель 2026'!$G$2:$G$2719,'апрель 2026'!$D$2:$D$2719,$B150,'апрель 2026'!$J$2:$J$2719,F$1)</f>
        <v>0</v>
      </c>
      <c r="G150" s="144">
        <f>SUMIFS('апрель 2026'!$G$2:$G$2719,'апрель 2026'!$D$2:$D$2719,$B150,'апрель 2026'!$J$2:$J$2719,G$1)</f>
        <v>0</v>
      </c>
      <c r="H150" s="144">
        <f>SUMIFS('апрель 2026'!$G$2:$G$2719,'апрель 2026'!$D$2:$D$2719,$B150,'апрель 2026'!$J$2:$J$2719,H$1)</f>
        <v>0</v>
      </c>
      <c r="I150" s="144">
        <f>SUMIFS('апрель 2026'!$G$2:$G$2719,'апрель 2026'!$D$2:$D$2719,$B150,'апрель 2026'!$J$2:$J$2719,I$1)</f>
        <v>0</v>
      </c>
      <c r="J150" s="144">
        <f>SUMIFS('апрель 2026'!$G$2:$G$2719,'апрель 2026'!$D$2:$D$2719,$B150,'апрель 2026'!$J$2:$J$2719,J$1)</f>
        <v>0</v>
      </c>
      <c r="K150" s="144">
        <f>SUMIFS('апрель 2026'!$G$2:$G$2719,'апрель 2026'!$D$2:$D$2719,$B150,'апрель 2026'!$J$2:$J$2719,K$1)</f>
        <v>0</v>
      </c>
      <c r="L150" s="144">
        <f>SUMIFS('апрель 2026'!$G$2:$G$2719,'апрель 2026'!$D$2:$D$2719,$B150,'апрель 2026'!$J$2:$J$2719,L$1)</f>
        <v>0</v>
      </c>
      <c r="M150" s="144">
        <f>SUMIFS('апрель 2026'!$G$2:$G$2719,'апрель 2026'!$D$2:$D$2719,$B150,'апрель 2026'!$J$2:$J$2719,M$1)</f>
        <v>0</v>
      </c>
      <c r="N150" s="144">
        <f>SUMIFS('апрель 2026'!$G$2:$G$2719,'апрель 2026'!$D$2:$D$2719,$B150,'апрель 2026'!$J$2:$J$2719,N$1)</f>
        <v>0</v>
      </c>
      <c r="O150" s="144">
        <f>SUMIFS('апрель 2026'!$G$2:$G$2719,'апрель 2026'!$D$2:$D$2719,$B150,'апрель 2026'!$J$2:$J$2719,O$1)</f>
        <v>0</v>
      </c>
      <c r="P150" s="144">
        <f>SUMIFS('апрель 2026'!$G$2:$G$2719,'апрель 2026'!$D$2:$D$2719,$B150,'апрель 2026'!$J$2:$J$2719,P$1)</f>
        <v>0</v>
      </c>
      <c r="Q150" s="144">
        <f>SUMIFS('апрель 2026'!$G$2:$G$2719,'апрель 2026'!$D$2:$D$2719,$B150,'апрель 2026'!$J$2:$J$2719,Q$1)</f>
        <v>0</v>
      </c>
      <c r="R150" s="144">
        <f>SUMIFS('апрель 2026'!$G$2:$G$2719,'апрель 2026'!$D$2:$D$2719,$B150,'апрель 2026'!$J$2:$J$2719,R$1)</f>
        <v>0</v>
      </c>
      <c r="S150" s="144">
        <f>SUMIFS('апрель 2026'!$G$2:$G$2719,'апрель 2026'!$D$2:$D$2719,$B150,'апрель 2026'!$J$2:$J$2719,S$1)</f>
        <v>0</v>
      </c>
      <c r="T150" s="144">
        <f>SUMIFS('апрель 2026'!$G$2:$G$2719,'апрель 2026'!$D$2:$D$2719,$B150,'апрель 2026'!$J$2:$J$2719,T$1)</f>
        <v>0</v>
      </c>
      <c r="U150" s="144">
        <f>SUMIFS('апрель 2026'!$G$2:$G$2719,'апрель 2026'!$D$2:$D$2719,$B150,'апрель 2026'!$J$2:$J$2719,U$1)</f>
        <v>0</v>
      </c>
      <c r="V150" s="144">
        <f>SUMIFS('апрель 2026'!$G$2:$G$2719,'апрель 2026'!$D$2:$D$2719,$B150,'апрель 2026'!$J$2:$J$2719,V$1)</f>
        <v>0</v>
      </c>
      <c r="W150" s="144">
        <f>SUMIFS('апрель 2026'!$G$2:$G$2719,'апрель 2026'!$D$2:$D$2719,$B150,'апрель 2026'!$J$2:$J$2719,W$1)</f>
        <v>0</v>
      </c>
      <c r="X150" s="144">
        <f>SUMIFS('апрель 2026'!$G$2:$G$2719,'апрель 2026'!$D$2:$D$2719,$B150,'апрель 2026'!$J$2:$J$2719,X$1)</f>
        <v>0</v>
      </c>
      <c r="Y150" s="144">
        <f>SUMIFS('апрель 2026'!$G$2:$G$2719,'апрель 2026'!$D$2:$D$2719,$B150,'апрель 2026'!$J$2:$J$2719,Y$1)</f>
        <v>0</v>
      </c>
      <c r="Z150" s="144">
        <f>SUMIFS('апрель 2026'!$G$2:$G$2719,'апрель 2026'!$D$2:$D$2719,$B150,'апрель 2026'!$J$2:$J$2719,Z$1)</f>
        <v>0</v>
      </c>
      <c r="AA150" s="144">
        <f>SUMIFS('апрель 2026'!$G$2:$G$2719,'апрель 2026'!$D$2:$D$2719,$B150,'апрель 2026'!$J$2:$J$2719,AA$1)</f>
        <v>0</v>
      </c>
      <c r="AB150" s="144">
        <f>SUMIFS('апрель 2026'!$G$2:$G$2719,'апрель 2026'!$D$2:$D$2719,$B150,'апрель 2026'!$J$2:$J$2719,AB$1)</f>
        <v>0</v>
      </c>
      <c r="AC150" s="144">
        <f>SUMIFS('апрель 2026'!$G$2:$G$2719,'апрель 2026'!$D$2:$D$2719,$B150,'апрель 2026'!$J$2:$J$2719,AC$1)</f>
        <v>0</v>
      </c>
      <c r="AD150" s="144">
        <f>SUMIFS('апрель 2026'!$G$2:$G$2719,'апрель 2026'!$D$2:$D$2719,$B150,'апрель 2026'!$J$2:$J$2719,AD$1)</f>
        <v>0</v>
      </c>
      <c r="AE150" s="144">
        <f>SUMIFS('апрель 2026'!$G$2:$G$2719,'апрель 2026'!$D$2:$D$2719,$B150,'апрель 2026'!$J$2:$J$2719,AE$1)</f>
        <v>0</v>
      </c>
      <c r="AF150" s="144">
        <f>SUMIFS('апрель 2026'!$G$2:$G$2719,'апрель 2026'!$D$2:$D$2719,$B150,'апрель 2026'!$J$2:$J$2719,AF$1)</f>
        <v>0</v>
      </c>
      <c r="AG150" s="144">
        <f>SUMIFS('апрель 2026'!$G$2:$G$2719,'апрель 2026'!$D$2:$D$2719,$B150,'апрель 2026'!$J$2:$J$2719,AG$1)</f>
        <v>0</v>
      </c>
      <c r="AH150" s="144">
        <f>SUMIFS('апрель 2026'!$G$2:$G$2719,'апрель 2026'!$D$2:$D$2719,$B150,'апрель 2026'!$J$2:$J$2719,AH$1)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SUMIFS('апрель 2026'!$G$2:$G$2719,'апрель 2026'!$D$2:$D$2719,$B151,'апрель 2026'!$J$2:$J$2719,D$1)</f>
        <v>0</v>
      </c>
      <c r="E151" s="144">
        <f>SUMIFS('апрель 2026'!$G$2:$G$2719,'апрель 2026'!$D$2:$D$2719,$B151,'апрель 2026'!$J$2:$J$2719,E$1)</f>
        <v>0</v>
      </c>
      <c r="F151" s="144">
        <f>SUMIFS('апрель 2026'!$G$2:$G$2719,'апрель 2026'!$D$2:$D$2719,$B151,'апрель 2026'!$J$2:$J$2719,F$1)</f>
        <v>0</v>
      </c>
      <c r="G151" s="144">
        <f>SUMIFS('апрель 2026'!$G$2:$G$2719,'апрель 2026'!$D$2:$D$2719,$B151,'апрель 2026'!$J$2:$J$2719,G$1)</f>
        <v>0</v>
      </c>
      <c r="H151" s="144">
        <f>SUMIFS('апрель 2026'!$G$2:$G$2719,'апрель 2026'!$D$2:$D$2719,$B151,'апрель 2026'!$J$2:$J$2719,H$1)</f>
        <v>0</v>
      </c>
      <c r="I151" s="144">
        <f>SUMIFS('апрель 2026'!$G$2:$G$2719,'апрель 2026'!$D$2:$D$2719,$B151,'апрель 2026'!$J$2:$J$2719,I$1)</f>
        <v>0</v>
      </c>
      <c r="J151" s="144">
        <f>SUMIFS('апрель 2026'!$G$2:$G$2719,'апрель 2026'!$D$2:$D$2719,$B151,'апрель 2026'!$J$2:$J$2719,J$1)</f>
        <v>0</v>
      </c>
      <c r="K151" s="144">
        <f>SUMIFS('апрель 2026'!$G$2:$G$2719,'апрель 2026'!$D$2:$D$2719,$B151,'апрель 2026'!$J$2:$J$2719,K$1)</f>
        <v>0</v>
      </c>
      <c r="L151" s="144">
        <f>SUMIFS('апрель 2026'!$G$2:$G$2719,'апрель 2026'!$D$2:$D$2719,$B151,'апрель 2026'!$J$2:$J$2719,L$1)</f>
        <v>0</v>
      </c>
      <c r="M151" s="144">
        <f>SUMIFS('апрель 2026'!$G$2:$G$2719,'апрель 2026'!$D$2:$D$2719,$B151,'апрель 2026'!$J$2:$J$2719,M$1)</f>
        <v>0</v>
      </c>
      <c r="N151" s="144">
        <f>SUMIFS('апрель 2026'!$G$2:$G$2719,'апрель 2026'!$D$2:$D$2719,$B151,'апрель 2026'!$J$2:$J$2719,N$1)</f>
        <v>0</v>
      </c>
      <c r="O151" s="144">
        <f>SUMIFS('апрель 2026'!$G$2:$G$2719,'апрель 2026'!$D$2:$D$2719,$B151,'апрель 2026'!$J$2:$J$2719,O$1)</f>
        <v>0</v>
      </c>
      <c r="P151" s="144">
        <f>SUMIFS('апрель 2026'!$G$2:$G$2719,'апрель 2026'!$D$2:$D$2719,$B151,'апрель 2026'!$J$2:$J$2719,P$1)</f>
        <v>0</v>
      </c>
      <c r="Q151" s="144">
        <f>SUMIFS('апрель 2026'!$G$2:$G$2719,'апрель 2026'!$D$2:$D$2719,$B151,'апрель 2026'!$J$2:$J$2719,Q$1)</f>
        <v>0</v>
      </c>
      <c r="R151" s="144">
        <f>SUMIFS('апрель 2026'!$G$2:$G$2719,'апрель 2026'!$D$2:$D$2719,$B151,'апрель 2026'!$J$2:$J$2719,R$1)</f>
        <v>0</v>
      </c>
      <c r="S151" s="144">
        <f>SUMIFS('апрель 2026'!$G$2:$G$2719,'апрель 2026'!$D$2:$D$2719,$B151,'апрель 2026'!$J$2:$J$2719,S$1)</f>
        <v>0</v>
      </c>
      <c r="T151" s="144">
        <f>SUMIFS('апрель 2026'!$G$2:$G$2719,'апрель 2026'!$D$2:$D$2719,$B151,'апрель 2026'!$J$2:$J$2719,T$1)</f>
        <v>0</v>
      </c>
      <c r="U151" s="144">
        <f>SUMIFS('апрель 2026'!$G$2:$G$2719,'апрель 2026'!$D$2:$D$2719,$B151,'апрель 2026'!$J$2:$J$2719,U$1)</f>
        <v>0</v>
      </c>
      <c r="V151" s="144">
        <f>SUMIFS('апрель 2026'!$G$2:$G$2719,'апрель 2026'!$D$2:$D$2719,$B151,'апрель 2026'!$J$2:$J$2719,V$1)</f>
        <v>0</v>
      </c>
      <c r="W151" s="144">
        <f>SUMIFS('апрель 2026'!$G$2:$G$2719,'апрель 2026'!$D$2:$D$2719,$B151,'апрель 2026'!$J$2:$J$2719,W$1)</f>
        <v>0</v>
      </c>
      <c r="X151" s="144">
        <f>SUMIFS('апрель 2026'!$G$2:$G$2719,'апрель 2026'!$D$2:$D$2719,$B151,'апрель 2026'!$J$2:$J$2719,X$1)</f>
        <v>0</v>
      </c>
      <c r="Y151" s="144">
        <f>SUMIFS('апрель 2026'!$G$2:$G$2719,'апрель 2026'!$D$2:$D$2719,$B151,'апрель 2026'!$J$2:$J$2719,Y$1)</f>
        <v>0</v>
      </c>
      <c r="Z151" s="144">
        <f>SUMIFS('апрель 2026'!$G$2:$G$2719,'апрель 2026'!$D$2:$D$2719,$B151,'апрель 2026'!$J$2:$J$2719,Z$1)</f>
        <v>0</v>
      </c>
      <c r="AA151" s="144">
        <f>SUMIFS('апрель 2026'!$G$2:$G$2719,'апрель 2026'!$D$2:$D$2719,$B151,'апрель 2026'!$J$2:$J$2719,AA$1)</f>
        <v>0</v>
      </c>
      <c r="AB151" s="144">
        <f>SUMIFS('апрель 2026'!$G$2:$G$2719,'апрель 2026'!$D$2:$D$2719,$B151,'апрель 2026'!$J$2:$J$2719,AB$1)</f>
        <v>0</v>
      </c>
      <c r="AC151" s="144">
        <f>SUMIFS('апрель 2026'!$G$2:$G$2719,'апрель 2026'!$D$2:$D$2719,$B151,'апрель 2026'!$J$2:$J$2719,AC$1)</f>
        <v>0</v>
      </c>
      <c r="AD151" s="144">
        <f>SUMIFS('апрель 2026'!$G$2:$G$2719,'апрель 2026'!$D$2:$D$2719,$B151,'апрель 2026'!$J$2:$J$2719,AD$1)</f>
        <v>0</v>
      </c>
      <c r="AE151" s="144">
        <f>SUMIFS('апрель 2026'!$G$2:$G$2719,'апрель 2026'!$D$2:$D$2719,$B151,'апрель 2026'!$J$2:$J$2719,AE$1)</f>
        <v>0</v>
      </c>
      <c r="AF151" s="144">
        <f>SUMIFS('апрель 2026'!$G$2:$G$2719,'апрель 2026'!$D$2:$D$2719,$B151,'апрель 2026'!$J$2:$J$2719,AF$1)</f>
        <v>0</v>
      </c>
      <c r="AG151" s="144">
        <f>SUMIFS('апрель 2026'!$G$2:$G$2719,'апрель 2026'!$D$2:$D$2719,$B151,'апрель 2026'!$J$2:$J$2719,AG$1)</f>
        <v>0</v>
      </c>
      <c r="AH151" s="144">
        <f>SUMIFS('апрель 2026'!$G$2:$G$2719,'апрель 2026'!$D$2:$D$2719,$B151,'апрель 2026'!$J$2:$J$2719,AH$1)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SUMIFS('апрель 2026'!$G$2:$G$2719,'апрель 2026'!$D$2:$D$2719,$B152,'апрель 2026'!$J$2:$J$2719,D$1)</f>
        <v>0</v>
      </c>
      <c r="E152" s="144">
        <f>SUMIFS('апрель 2026'!$G$2:$G$2719,'апрель 2026'!$D$2:$D$2719,$B152,'апрель 2026'!$J$2:$J$2719,E$1)</f>
        <v>0</v>
      </c>
      <c r="F152" s="144">
        <f>SUMIFS('апрель 2026'!$G$2:$G$2719,'апрель 2026'!$D$2:$D$2719,$B152,'апрель 2026'!$J$2:$J$2719,F$1)</f>
        <v>0</v>
      </c>
      <c r="G152" s="144">
        <f>SUMIFS('апрель 2026'!$G$2:$G$2719,'апрель 2026'!$D$2:$D$2719,$B152,'апрель 2026'!$J$2:$J$2719,G$1)</f>
        <v>0</v>
      </c>
      <c r="H152" s="144">
        <f>SUMIFS('апрель 2026'!$G$2:$G$2719,'апрель 2026'!$D$2:$D$2719,$B152,'апрель 2026'!$J$2:$J$2719,H$1)</f>
        <v>0</v>
      </c>
      <c r="I152" s="144">
        <f>SUMIFS('апрель 2026'!$G$2:$G$2719,'апрель 2026'!$D$2:$D$2719,$B152,'апрель 2026'!$J$2:$J$2719,I$1)</f>
        <v>0</v>
      </c>
      <c r="J152" s="144">
        <f>SUMIFS('апрель 2026'!$G$2:$G$2719,'апрель 2026'!$D$2:$D$2719,$B152,'апрель 2026'!$J$2:$J$2719,J$1)</f>
        <v>0</v>
      </c>
      <c r="K152" s="144">
        <f>SUMIFS('апрель 2026'!$G$2:$G$2719,'апрель 2026'!$D$2:$D$2719,$B152,'апрель 2026'!$J$2:$J$2719,K$1)</f>
        <v>0</v>
      </c>
      <c r="L152" s="144">
        <f>SUMIFS('апрель 2026'!$G$2:$G$2719,'апрель 2026'!$D$2:$D$2719,$B152,'апрель 2026'!$J$2:$J$2719,L$1)</f>
        <v>0</v>
      </c>
      <c r="M152" s="144">
        <f>SUMIFS('апрель 2026'!$G$2:$G$2719,'апрель 2026'!$D$2:$D$2719,$B152,'апрель 2026'!$J$2:$J$2719,M$1)</f>
        <v>0</v>
      </c>
      <c r="N152" s="144">
        <f>SUMIFS('апрель 2026'!$G$2:$G$2719,'апрель 2026'!$D$2:$D$2719,$B152,'апрель 2026'!$J$2:$J$2719,N$1)</f>
        <v>0</v>
      </c>
      <c r="O152" s="144">
        <f>SUMIFS('апрель 2026'!$G$2:$G$2719,'апрель 2026'!$D$2:$D$2719,$B152,'апрель 2026'!$J$2:$J$2719,O$1)</f>
        <v>0</v>
      </c>
      <c r="P152" s="144">
        <f>SUMIFS('апрель 2026'!$G$2:$G$2719,'апрель 2026'!$D$2:$D$2719,$B152,'апрель 2026'!$J$2:$J$2719,P$1)</f>
        <v>0</v>
      </c>
      <c r="Q152" s="144">
        <f>SUMIFS('апрель 2026'!$G$2:$G$2719,'апрель 2026'!$D$2:$D$2719,$B152,'апрель 2026'!$J$2:$J$2719,Q$1)</f>
        <v>0</v>
      </c>
      <c r="R152" s="144">
        <f>SUMIFS('апрель 2026'!$G$2:$G$2719,'апрель 2026'!$D$2:$D$2719,$B152,'апрель 2026'!$J$2:$J$2719,R$1)</f>
        <v>0</v>
      </c>
      <c r="S152" s="144">
        <f>SUMIFS('апрель 2026'!$G$2:$G$2719,'апрель 2026'!$D$2:$D$2719,$B152,'апрель 2026'!$J$2:$J$2719,S$1)</f>
        <v>0</v>
      </c>
      <c r="T152" s="144">
        <f>SUMIFS('апрель 2026'!$G$2:$G$2719,'апрель 2026'!$D$2:$D$2719,$B152,'апрель 2026'!$J$2:$J$2719,T$1)</f>
        <v>0</v>
      </c>
      <c r="U152" s="144">
        <f>SUMIFS('апрель 2026'!$G$2:$G$2719,'апрель 2026'!$D$2:$D$2719,$B152,'апрель 2026'!$J$2:$J$2719,U$1)</f>
        <v>0</v>
      </c>
      <c r="V152" s="144">
        <f>SUMIFS('апрель 2026'!$G$2:$G$2719,'апрель 2026'!$D$2:$D$2719,$B152,'апрель 2026'!$J$2:$J$2719,V$1)</f>
        <v>0</v>
      </c>
      <c r="W152" s="144">
        <f>SUMIFS('апрель 2026'!$G$2:$G$2719,'апрель 2026'!$D$2:$D$2719,$B152,'апрель 2026'!$J$2:$J$2719,W$1)</f>
        <v>0</v>
      </c>
      <c r="X152" s="144">
        <f>SUMIFS('апрель 2026'!$G$2:$G$2719,'апрель 2026'!$D$2:$D$2719,$B152,'апрель 2026'!$J$2:$J$2719,X$1)</f>
        <v>0</v>
      </c>
      <c r="Y152" s="144">
        <f>SUMIFS('апрель 2026'!$G$2:$G$2719,'апрель 2026'!$D$2:$D$2719,$B152,'апрель 2026'!$J$2:$J$2719,Y$1)</f>
        <v>0</v>
      </c>
      <c r="Z152" s="144">
        <f>SUMIFS('апрель 2026'!$G$2:$G$2719,'апрель 2026'!$D$2:$D$2719,$B152,'апрель 2026'!$J$2:$J$2719,Z$1)</f>
        <v>0</v>
      </c>
      <c r="AA152" s="144">
        <f>SUMIFS('апрель 2026'!$G$2:$G$2719,'апрель 2026'!$D$2:$D$2719,$B152,'апрель 2026'!$J$2:$J$2719,AA$1)</f>
        <v>0</v>
      </c>
      <c r="AB152" s="144">
        <f>SUMIFS('апрель 2026'!$G$2:$G$2719,'апрель 2026'!$D$2:$D$2719,$B152,'апрель 2026'!$J$2:$J$2719,AB$1)</f>
        <v>0</v>
      </c>
      <c r="AC152" s="144">
        <f>SUMIFS('апрель 2026'!$G$2:$G$2719,'апрель 2026'!$D$2:$D$2719,$B152,'апрель 2026'!$J$2:$J$2719,AC$1)</f>
        <v>0</v>
      </c>
      <c r="AD152" s="144">
        <f>SUMIFS('апрель 2026'!$G$2:$G$2719,'апрель 2026'!$D$2:$D$2719,$B152,'апрель 2026'!$J$2:$J$2719,AD$1)</f>
        <v>0</v>
      </c>
      <c r="AE152" s="144">
        <f>SUMIFS('апрель 2026'!$G$2:$G$2719,'апрель 2026'!$D$2:$D$2719,$B152,'апрель 2026'!$J$2:$J$2719,AE$1)</f>
        <v>0</v>
      </c>
      <c r="AF152" s="144">
        <f>SUMIFS('апрель 2026'!$G$2:$G$2719,'апрель 2026'!$D$2:$D$2719,$B152,'апрель 2026'!$J$2:$J$2719,AF$1)</f>
        <v>0</v>
      </c>
      <c r="AG152" s="144">
        <f>SUMIFS('апрель 2026'!$G$2:$G$2719,'апрель 2026'!$D$2:$D$2719,$B152,'апрель 2026'!$J$2:$J$2719,AG$1)</f>
        <v>0</v>
      </c>
      <c r="AH152" s="144">
        <f>SUMIFS('апрель 2026'!$G$2:$G$2719,'апрель 2026'!$D$2:$D$2719,$B152,'апрель 2026'!$J$2:$J$2719,AH$1)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SUMIFS('апрель 2026'!$G$2:$G$2719,'апрель 2026'!$D$2:$D$2719,$B153,'апрель 2026'!$J$2:$J$2719,D$1)</f>
        <v>0</v>
      </c>
      <c r="E153" s="144">
        <f>SUMIFS('апрель 2026'!$G$2:$G$2719,'апрель 2026'!$D$2:$D$2719,$B153,'апрель 2026'!$J$2:$J$2719,E$1)</f>
        <v>0</v>
      </c>
      <c r="F153" s="144">
        <f>SUMIFS('апрель 2026'!$G$2:$G$2719,'апрель 2026'!$D$2:$D$2719,$B153,'апрель 2026'!$J$2:$J$2719,F$1)</f>
        <v>0</v>
      </c>
      <c r="G153" s="144">
        <f>SUMIFS('апрель 2026'!$G$2:$G$2719,'апрель 2026'!$D$2:$D$2719,$B153,'апрель 2026'!$J$2:$J$2719,G$1)</f>
        <v>0</v>
      </c>
      <c r="H153" s="144">
        <f>SUMIFS('апрель 2026'!$G$2:$G$2719,'апрель 2026'!$D$2:$D$2719,$B153,'апрель 2026'!$J$2:$J$2719,H$1)</f>
        <v>0</v>
      </c>
      <c r="I153" s="144">
        <f>SUMIFS('апрель 2026'!$G$2:$G$2719,'апрель 2026'!$D$2:$D$2719,$B153,'апрель 2026'!$J$2:$J$2719,I$1)</f>
        <v>0</v>
      </c>
      <c r="J153" s="144">
        <f>SUMIFS('апрель 2026'!$G$2:$G$2719,'апрель 2026'!$D$2:$D$2719,$B153,'апрель 2026'!$J$2:$J$2719,J$1)</f>
        <v>0</v>
      </c>
      <c r="K153" s="144">
        <f>SUMIFS('апрель 2026'!$G$2:$G$2719,'апрель 2026'!$D$2:$D$2719,$B153,'апрель 2026'!$J$2:$J$2719,K$1)</f>
        <v>0</v>
      </c>
      <c r="L153" s="144">
        <f>SUMIFS('апрель 2026'!$G$2:$G$2719,'апрель 2026'!$D$2:$D$2719,$B153,'апрель 2026'!$J$2:$J$2719,L$1)</f>
        <v>0</v>
      </c>
      <c r="M153" s="144">
        <f>SUMIFS('апрель 2026'!$G$2:$G$2719,'апрель 2026'!$D$2:$D$2719,$B153,'апрель 2026'!$J$2:$J$2719,M$1)</f>
        <v>0</v>
      </c>
      <c r="N153" s="144">
        <f>SUMIFS('апрель 2026'!$G$2:$G$2719,'апрель 2026'!$D$2:$D$2719,$B153,'апрель 2026'!$J$2:$J$2719,N$1)</f>
        <v>0</v>
      </c>
      <c r="O153" s="144">
        <f>SUMIFS('апрель 2026'!$G$2:$G$2719,'апрель 2026'!$D$2:$D$2719,$B153,'апрель 2026'!$J$2:$J$2719,O$1)</f>
        <v>0</v>
      </c>
      <c r="P153" s="144">
        <f>SUMIFS('апрель 2026'!$G$2:$G$2719,'апрель 2026'!$D$2:$D$2719,$B153,'апрель 2026'!$J$2:$J$2719,P$1)</f>
        <v>0</v>
      </c>
      <c r="Q153" s="144">
        <f>SUMIFS('апрель 2026'!$G$2:$G$2719,'апрель 2026'!$D$2:$D$2719,$B153,'апрель 2026'!$J$2:$J$2719,Q$1)</f>
        <v>0</v>
      </c>
      <c r="R153" s="144">
        <f>SUMIFS('апрель 2026'!$G$2:$G$2719,'апрель 2026'!$D$2:$D$2719,$B153,'апрель 2026'!$J$2:$J$2719,R$1)</f>
        <v>0</v>
      </c>
      <c r="S153" s="144">
        <f>SUMIFS('апрель 2026'!$G$2:$G$2719,'апрель 2026'!$D$2:$D$2719,$B153,'апрель 2026'!$J$2:$J$2719,S$1)</f>
        <v>0</v>
      </c>
      <c r="T153" s="144">
        <f>SUMIFS('апрель 2026'!$G$2:$G$2719,'апрель 2026'!$D$2:$D$2719,$B153,'апрель 2026'!$J$2:$J$2719,T$1)</f>
        <v>0</v>
      </c>
      <c r="U153" s="144">
        <f>SUMIFS('апрель 2026'!$G$2:$G$2719,'апрель 2026'!$D$2:$D$2719,$B153,'апрель 2026'!$J$2:$J$2719,U$1)</f>
        <v>0</v>
      </c>
      <c r="V153" s="144">
        <f>SUMIFS('апрель 2026'!$G$2:$G$2719,'апрель 2026'!$D$2:$D$2719,$B153,'апрель 2026'!$J$2:$J$2719,V$1)</f>
        <v>0</v>
      </c>
      <c r="W153" s="144">
        <f>SUMIFS('апрель 2026'!$G$2:$G$2719,'апрель 2026'!$D$2:$D$2719,$B153,'апрель 2026'!$J$2:$J$2719,W$1)</f>
        <v>0</v>
      </c>
      <c r="X153" s="144">
        <f>SUMIFS('апрель 2026'!$G$2:$G$2719,'апрель 2026'!$D$2:$D$2719,$B153,'апрель 2026'!$J$2:$J$2719,X$1)</f>
        <v>0</v>
      </c>
      <c r="Y153" s="144">
        <f>SUMIFS('апрель 2026'!$G$2:$G$2719,'апрель 2026'!$D$2:$D$2719,$B153,'апрель 2026'!$J$2:$J$2719,Y$1)</f>
        <v>0</v>
      </c>
      <c r="Z153" s="144">
        <f>SUMIFS('апрель 2026'!$G$2:$G$2719,'апрель 2026'!$D$2:$D$2719,$B153,'апрель 2026'!$J$2:$J$2719,Z$1)</f>
        <v>0</v>
      </c>
      <c r="AA153" s="144">
        <f>SUMIFS('апрель 2026'!$G$2:$G$2719,'апрель 2026'!$D$2:$D$2719,$B153,'апрель 2026'!$J$2:$J$2719,AA$1)</f>
        <v>0</v>
      </c>
      <c r="AB153" s="144">
        <f>SUMIFS('апрель 2026'!$G$2:$G$2719,'апрель 2026'!$D$2:$D$2719,$B153,'апрель 2026'!$J$2:$J$2719,AB$1)</f>
        <v>0</v>
      </c>
      <c r="AC153" s="144">
        <f>SUMIFS('апрель 2026'!$G$2:$G$2719,'апрель 2026'!$D$2:$D$2719,$B153,'апрель 2026'!$J$2:$J$2719,AC$1)</f>
        <v>0</v>
      </c>
      <c r="AD153" s="144">
        <f>SUMIFS('апрель 2026'!$G$2:$G$2719,'апрель 2026'!$D$2:$D$2719,$B153,'апрель 2026'!$J$2:$J$2719,AD$1)</f>
        <v>0</v>
      </c>
      <c r="AE153" s="144">
        <f>SUMIFS('апрель 2026'!$G$2:$G$2719,'апрель 2026'!$D$2:$D$2719,$B153,'апрель 2026'!$J$2:$J$2719,AE$1)</f>
        <v>0</v>
      </c>
      <c r="AF153" s="144">
        <f>SUMIFS('апрель 2026'!$G$2:$G$2719,'апрель 2026'!$D$2:$D$2719,$B153,'апрель 2026'!$J$2:$J$2719,AF$1)</f>
        <v>0</v>
      </c>
      <c r="AG153" s="144">
        <f>SUMIFS('апрель 2026'!$G$2:$G$2719,'апрель 2026'!$D$2:$D$2719,$B153,'апрель 2026'!$J$2:$J$2719,AG$1)</f>
        <v>0</v>
      </c>
      <c r="AH153" s="144">
        <f>SUMIFS('апрель 2026'!$G$2:$G$2719,'апрель 2026'!$D$2:$D$2719,$B153,'апрель 2026'!$J$2:$J$2719,AH$1)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SUMIFS('апрель 2026'!$G$2:$G$2719,'апрель 2026'!$D$2:$D$2719,$B154,'апрель 2026'!$J$2:$J$2719,D$1)</f>
        <v>0</v>
      </c>
      <c r="E154" s="144">
        <f>SUMIFS('апрель 2026'!$G$2:$G$2719,'апрель 2026'!$D$2:$D$2719,$B154,'апрель 2026'!$J$2:$J$2719,E$1)</f>
        <v>0</v>
      </c>
      <c r="F154" s="144">
        <f>SUMIFS('апрель 2026'!$G$2:$G$2719,'апрель 2026'!$D$2:$D$2719,$B154,'апрель 2026'!$J$2:$J$2719,F$1)</f>
        <v>0</v>
      </c>
      <c r="G154" s="144">
        <f>SUMIFS('апрель 2026'!$G$2:$G$2719,'апрель 2026'!$D$2:$D$2719,$B154,'апрель 2026'!$J$2:$J$2719,G$1)</f>
        <v>0</v>
      </c>
      <c r="H154" s="144">
        <f>SUMIFS('апрель 2026'!$G$2:$G$2719,'апрель 2026'!$D$2:$D$2719,$B154,'апрель 2026'!$J$2:$J$2719,H$1)</f>
        <v>0</v>
      </c>
      <c r="I154" s="144">
        <f>SUMIFS('апрель 2026'!$G$2:$G$2719,'апрель 2026'!$D$2:$D$2719,$B154,'апрель 2026'!$J$2:$J$2719,I$1)</f>
        <v>0</v>
      </c>
      <c r="J154" s="144">
        <f>SUMIFS('апрель 2026'!$G$2:$G$2719,'апрель 2026'!$D$2:$D$2719,$B154,'апрель 2026'!$J$2:$J$2719,J$1)</f>
        <v>0</v>
      </c>
      <c r="K154" s="144">
        <f>SUMIFS('апрель 2026'!$G$2:$G$2719,'апрель 2026'!$D$2:$D$2719,$B154,'апрель 2026'!$J$2:$J$2719,K$1)</f>
        <v>0</v>
      </c>
      <c r="L154" s="144">
        <f>SUMIFS('апрель 2026'!$G$2:$G$2719,'апрель 2026'!$D$2:$D$2719,$B154,'апрель 2026'!$J$2:$J$2719,L$1)</f>
        <v>0</v>
      </c>
      <c r="M154" s="144">
        <f>SUMIFS('апрель 2026'!$G$2:$G$2719,'апрель 2026'!$D$2:$D$2719,$B154,'апрель 2026'!$J$2:$J$2719,M$1)</f>
        <v>0</v>
      </c>
      <c r="N154" s="144">
        <f>SUMIFS('апрель 2026'!$G$2:$G$2719,'апрель 2026'!$D$2:$D$2719,$B154,'апрель 2026'!$J$2:$J$2719,N$1)</f>
        <v>0</v>
      </c>
      <c r="O154" s="144">
        <f>SUMIFS('апрель 2026'!$G$2:$G$2719,'апрель 2026'!$D$2:$D$2719,$B154,'апрель 2026'!$J$2:$J$2719,O$1)</f>
        <v>0</v>
      </c>
      <c r="P154" s="144">
        <f>SUMIFS('апрель 2026'!$G$2:$G$2719,'апрель 2026'!$D$2:$D$2719,$B154,'апрель 2026'!$J$2:$J$2719,P$1)</f>
        <v>0</v>
      </c>
      <c r="Q154" s="144">
        <f>SUMIFS('апрель 2026'!$G$2:$G$2719,'апрель 2026'!$D$2:$D$2719,$B154,'апрель 2026'!$J$2:$J$2719,Q$1)</f>
        <v>0</v>
      </c>
      <c r="R154" s="144">
        <f>SUMIFS('апрель 2026'!$G$2:$G$2719,'апрель 2026'!$D$2:$D$2719,$B154,'апрель 2026'!$J$2:$J$2719,R$1)</f>
        <v>0</v>
      </c>
      <c r="S154" s="144">
        <f>SUMIFS('апрель 2026'!$G$2:$G$2719,'апрель 2026'!$D$2:$D$2719,$B154,'апрель 2026'!$J$2:$J$2719,S$1)</f>
        <v>0</v>
      </c>
      <c r="T154" s="144">
        <f>SUMIFS('апрель 2026'!$G$2:$G$2719,'апрель 2026'!$D$2:$D$2719,$B154,'апрель 2026'!$J$2:$J$2719,T$1)</f>
        <v>0</v>
      </c>
      <c r="U154" s="144">
        <f>SUMIFS('апрель 2026'!$G$2:$G$2719,'апрель 2026'!$D$2:$D$2719,$B154,'апрель 2026'!$J$2:$J$2719,U$1)</f>
        <v>0</v>
      </c>
      <c r="V154" s="144">
        <f>SUMIFS('апрель 2026'!$G$2:$G$2719,'апрель 2026'!$D$2:$D$2719,$B154,'апрель 2026'!$J$2:$J$2719,V$1)</f>
        <v>0</v>
      </c>
      <c r="W154" s="144">
        <f>SUMIFS('апрель 2026'!$G$2:$G$2719,'апрель 2026'!$D$2:$D$2719,$B154,'апрель 2026'!$J$2:$J$2719,W$1)</f>
        <v>0</v>
      </c>
      <c r="X154" s="144">
        <f>SUMIFS('апрель 2026'!$G$2:$G$2719,'апрель 2026'!$D$2:$D$2719,$B154,'апрель 2026'!$J$2:$J$2719,X$1)</f>
        <v>0</v>
      </c>
      <c r="Y154" s="144">
        <f>SUMIFS('апрель 2026'!$G$2:$G$2719,'апрель 2026'!$D$2:$D$2719,$B154,'апрель 2026'!$J$2:$J$2719,Y$1)</f>
        <v>0</v>
      </c>
      <c r="Z154" s="144">
        <f>SUMIFS('апрель 2026'!$G$2:$G$2719,'апрель 2026'!$D$2:$D$2719,$B154,'апрель 2026'!$J$2:$J$2719,Z$1)</f>
        <v>0</v>
      </c>
      <c r="AA154" s="144">
        <f>SUMIFS('апрель 2026'!$G$2:$G$2719,'апрель 2026'!$D$2:$D$2719,$B154,'апрель 2026'!$J$2:$J$2719,AA$1)</f>
        <v>0</v>
      </c>
      <c r="AB154" s="144">
        <f>SUMIFS('апрель 2026'!$G$2:$G$2719,'апрель 2026'!$D$2:$D$2719,$B154,'апрель 2026'!$J$2:$J$2719,AB$1)</f>
        <v>0</v>
      </c>
      <c r="AC154" s="144">
        <f>SUMIFS('апрель 2026'!$G$2:$G$2719,'апрель 2026'!$D$2:$D$2719,$B154,'апрель 2026'!$J$2:$J$2719,AC$1)</f>
        <v>0</v>
      </c>
      <c r="AD154" s="144">
        <f>SUMIFS('апрель 2026'!$G$2:$G$2719,'апрель 2026'!$D$2:$D$2719,$B154,'апрель 2026'!$J$2:$J$2719,AD$1)</f>
        <v>0</v>
      </c>
      <c r="AE154" s="144">
        <f>SUMIFS('апрель 2026'!$G$2:$G$2719,'апрель 2026'!$D$2:$D$2719,$B154,'апрель 2026'!$J$2:$J$2719,AE$1)</f>
        <v>0</v>
      </c>
      <c r="AF154" s="144">
        <f>SUMIFS('апрель 2026'!$G$2:$G$2719,'апрель 2026'!$D$2:$D$2719,$B154,'апрель 2026'!$J$2:$J$2719,AF$1)</f>
        <v>0</v>
      </c>
      <c r="AG154" s="144">
        <f>SUMIFS('апрель 2026'!$G$2:$G$2719,'апрель 2026'!$D$2:$D$2719,$B154,'апрель 2026'!$J$2:$J$2719,AG$1)</f>
        <v>0</v>
      </c>
      <c r="AH154" s="144">
        <f>SUMIFS('апрель 2026'!$G$2:$G$2719,'апрель 2026'!$D$2:$D$2719,$B154,'апрель 2026'!$J$2:$J$2719,AH$1)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SUMIFS('апрель 2026'!$G$2:$G$2719,'апрель 2026'!$D$2:$D$2719,$B155,'апрель 2026'!$J$2:$J$2719,D$1)</f>
        <v>0</v>
      </c>
      <c r="E155" s="144">
        <f>SUMIFS('апрель 2026'!$G$2:$G$2719,'апрель 2026'!$D$2:$D$2719,$B155,'апрель 2026'!$J$2:$J$2719,E$1)</f>
        <v>0</v>
      </c>
      <c r="F155" s="144">
        <f>SUMIFS('апрель 2026'!$G$2:$G$2719,'апрель 2026'!$D$2:$D$2719,$B155,'апрель 2026'!$J$2:$J$2719,F$1)</f>
        <v>0</v>
      </c>
      <c r="G155" s="144">
        <f>SUMIFS('апрель 2026'!$G$2:$G$2719,'апрель 2026'!$D$2:$D$2719,$B155,'апрель 2026'!$J$2:$J$2719,G$1)</f>
        <v>0</v>
      </c>
      <c r="H155" s="144">
        <f>SUMIFS('апрель 2026'!$G$2:$G$2719,'апрель 2026'!$D$2:$D$2719,$B155,'апрель 2026'!$J$2:$J$2719,H$1)</f>
        <v>0</v>
      </c>
      <c r="I155" s="144">
        <f>SUMIFS('апрель 2026'!$G$2:$G$2719,'апрель 2026'!$D$2:$D$2719,$B155,'апрель 2026'!$J$2:$J$2719,I$1)</f>
        <v>0</v>
      </c>
      <c r="J155" s="144">
        <f>SUMIFS('апрель 2026'!$G$2:$G$2719,'апрель 2026'!$D$2:$D$2719,$B155,'апрель 2026'!$J$2:$J$2719,J$1)</f>
        <v>0</v>
      </c>
      <c r="K155" s="144">
        <f>SUMIFS('апрель 2026'!$G$2:$G$2719,'апрель 2026'!$D$2:$D$2719,$B155,'апрель 2026'!$J$2:$J$2719,K$1)</f>
        <v>0</v>
      </c>
      <c r="L155" s="144">
        <f>SUMIFS('апрель 2026'!$G$2:$G$2719,'апрель 2026'!$D$2:$D$2719,$B155,'апрель 2026'!$J$2:$J$2719,L$1)</f>
        <v>0</v>
      </c>
      <c r="M155" s="144">
        <f>SUMIFS('апрель 2026'!$G$2:$G$2719,'апрель 2026'!$D$2:$D$2719,$B155,'апрель 2026'!$J$2:$J$2719,M$1)</f>
        <v>0</v>
      </c>
      <c r="N155" s="144">
        <f>SUMIFS('апрель 2026'!$G$2:$G$2719,'апрель 2026'!$D$2:$D$2719,$B155,'апрель 2026'!$J$2:$J$2719,N$1)</f>
        <v>0</v>
      </c>
      <c r="O155" s="144">
        <f>SUMIFS('апрель 2026'!$G$2:$G$2719,'апрель 2026'!$D$2:$D$2719,$B155,'апрель 2026'!$J$2:$J$2719,O$1)</f>
        <v>0</v>
      </c>
      <c r="P155" s="144">
        <f>SUMIFS('апрель 2026'!$G$2:$G$2719,'апрель 2026'!$D$2:$D$2719,$B155,'апрель 2026'!$J$2:$J$2719,P$1)</f>
        <v>0</v>
      </c>
      <c r="Q155" s="144">
        <f>SUMIFS('апрель 2026'!$G$2:$G$2719,'апрель 2026'!$D$2:$D$2719,$B155,'апрель 2026'!$J$2:$J$2719,Q$1)</f>
        <v>0</v>
      </c>
      <c r="R155" s="144">
        <f>SUMIFS('апрель 2026'!$G$2:$G$2719,'апрель 2026'!$D$2:$D$2719,$B155,'апрель 2026'!$J$2:$J$2719,R$1)</f>
        <v>0</v>
      </c>
      <c r="S155" s="144">
        <f>SUMIFS('апрель 2026'!$G$2:$G$2719,'апрель 2026'!$D$2:$D$2719,$B155,'апрель 2026'!$J$2:$J$2719,S$1)</f>
        <v>0</v>
      </c>
      <c r="T155" s="144">
        <f>SUMIFS('апрель 2026'!$G$2:$G$2719,'апрель 2026'!$D$2:$D$2719,$B155,'апрель 2026'!$J$2:$J$2719,T$1)</f>
        <v>0</v>
      </c>
      <c r="U155" s="144">
        <f>SUMIFS('апрель 2026'!$G$2:$G$2719,'апрель 2026'!$D$2:$D$2719,$B155,'апрель 2026'!$J$2:$J$2719,U$1)</f>
        <v>0</v>
      </c>
      <c r="V155" s="144">
        <f>SUMIFS('апрель 2026'!$G$2:$G$2719,'апрель 2026'!$D$2:$D$2719,$B155,'апрель 2026'!$J$2:$J$2719,V$1)</f>
        <v>0</v>
      </c>
      <c r="W155" s="144">
        <f>SUMIFS('апрель 2026'!$G$2:$G$2719,'апрель 2026'!$D$2:$D$2719,$B155,'апрель 2026'!$J$2:$J$2719,W$1)</f>
        <v>0</v>
      </c>
      <c r="X155" s="144">
        <f>SUMIFS('апрель 2026'!$G$2:$G$2719,'апрель 2026'!$D$2:$D$2719,$B155,'апрель 2026'!$J$2:$J$2719,X$1)</f>
        <v>0</v>
      </c>
      <c r="Y155" s="144">
        <f>SUMIFS('апрель 2026'!$G$2:$G$2719,'апрель 2026'!$D$2:$D$2719,$B155,'апрель 2026'!$J$2:$J$2719,Y$1)</f>
        <v>0</v>
      </c>
      <c r="Z155" s="144">
        <f>SUMIFS('апрель 2026'!$G$2:$G$2719,'апрель 2026'!$D$2:$D$2719,$B155,'апрель 2026'!$J$2:$J$2719,Z$1)</f>
        <v>0</v>
      </c>
      <c r="AA155" s="144">
        <f>SUMIFS('апрель 2026'!$G$2:$G$2719,'апрель 2026'!$D$2:$D$2719,$B155,'апрель 2026'!$J$2:$J$2719,AA$1)</f>
        <v>0</v>
      </c>
      <c r="AB155" s="144">
        <f>SUMIFS('апрель 2026'!$G$2:$G$2719,'апрель 2026'!$D$2:$D$2719,$B155,'апрель 2026'!$J$2:$J$2719,AB$1)</f>
        <v>0</v>
      </c>
      <c r="AC155" s="144">
        <f>SUMIFS('апрель 2026'!$G$2:$G$2719,'апрель 2026'!$D$2:$D$2719,$B155,'апрель 2026'!$J$2:$J$2719,AC$1)</f>
        <v>0</v>
      </c>
      <c r="AD155" s="144">
        <f>SUMIFS('апрель 2026'!$G$2:$G$2719,'апрель 2026'!$D$2:$D$2719,$B155,'апрель 2026'!$J$2:$J$2719,AD$1)</f>
        <v>0</v>
      </c>
      <c r="AE155" s="144">
        <f>SUMIFS('апрель 2026'!$G$2:$G$2719,'апрель 2026'!$D$2:$D$2719,$B155,'апрель 2026'!$J$2:$J$2719,AE$1)</f>
        <v>0</v>
      </c>
      <c r="AF155" s="144">
        <f>SUMIFS('апрель 2026'!$G$2:$G$2719,'апрель 2026'!$D$2:$D$2719,$B155,'апрель 2026'!$J$2:$J$2719,AF$1)</f>
        <v>0</v>
      </c>
      <c r="AG155" s="144">
        <f>SUMIFS('апрель 2026'!$G$2:$G$2719,'апрель 2026'!$D$2:$D$2719,$B155,'апрель 2026'!$J$2:$J$2719,AG$1)</f>
        <v>0</v>
      </c>
      <c r="AH155" s="144">
        <f>SUMIFS('апрель 2026'!$G$2:$G$2719,'апрель 2026'!$D$2:$D$2719,$B155,'апрель 2026'!$J$2:$J$2719,AH$1)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SUMIFS('апрель 2026'!$G$2:$G$2719,'апрель 2026'!$D$2:$D$2719,$B156,'апрель 2026'!$J$2:$J$2719,D$1)</f>
        <v>0</v>
      </c>
      <c r="E156" s="144">
        <f>SUMIFS('апрель 2026'!$G$2:$G$2719,'апрель 2026'!$D$2:$D$2719,$B156,'апрель 2026'!$J$2:$J$2719,E$1)</f>
        <v>0</v>
      </c>
      <c r="F156" s="144">
        <f>SUMIFS('апрель 2026'!$G$2:$G$2719,'апрель 2026'!$D$2:$D$2719,$B156,'апрель 2026'!$J$2:$J$2719,F$1)</f>
        <v>0</v>
      </c>
      <c r="G156" s="144">
        <f>SUMIFS('апрель 2026'!$G$2:$G$2719,'апрель 2026'!$D$2:$D$2719,$B156,'апрель 2026'!$J$2:$J$2719,G$1)</f>
        <v>0</v>
      </c>
      <c r="H156" s="144">
        <f>SUMIFS('апрель 2026'!$G$2:$G$2719,'апрель 2026'!$D$2:$D$2719,$B156,'апрель 2026'!$J$2:$J$2719,H$1)</f>
        <v>0</v>
      </c>
      <c r="I156" s="144">
        <f>SUMIFS('апрель 2026'!$G$2:$G$2719,'апрель 2026'!$D$2:$D$2719,$B156,'апрель 2026'!$J$2:$J$2719,I$1)</f>
        <v>0</v>
      </c>
      <c r="J156" s="144">
        <f>SUMIFS('апрель 2026'!$G$2:$G$2719,'апрель 2026'!$D$2:$D$2719,$B156,'апрель 2026'!$J$2:$J$2719,J$1)</f>
        <v>0</v>
      </c>
      <c r="K156" s="144">
        <f>SUMIFS('апрель 2026'!$G$2:$G$2719,'апрель 2026'!$D$2:$D$2719,$B156,'апрель 2026'!$J$2:$J$2719,K$1)</f>
        <v>0</v>
      </c>
      <c r="L156" s="144">
        <f>SUMIFS('апрель 2026'!$G$2:$G$2719,'апрель 2026'!$D$2:$D$2719,$B156,'апрель 2026'!$J$2:$J$2719,L$1)</f>
        <v>0</v>
      </c>
      <c r="M156" s="144">
        <f>SUMIFS('апрель 2026'!$G$2:$G$2719,'апрель 2026'!$D$2:$D$2719,$B156,'апрель 2026'!$J$2:$J$2719,M$1)</f>
        <v>0</v>
      </c>
      <c r="N156" s="144">
        <f>SUMIFS('апрель 2026'!$G$2:$G$2719,'апрель 2026'!$D$2:$D$2719,$B156,'апрель 2026'!$J$2:$J$2719,N$1)</f>
        <v>0</v>
      </c>
      <c r="O156" s="144">
        <f>SUMIFS('апрель 2026'!$G$2:$G$2719,'апрель 2026'!$D$2:$D$2719,$B156,'апрель 2026'!$J$2:$J$2719,O$1)</f>
        <v>0</v>
      </c>
      <c r="P156" s="144">
        <f>SUMIFS('апрель 2026'!$G$2:$G$2719,'апрель 2026'!$D$2:$D$2719,$B156,'апрель 2026'!$J$2:$J$2719,P$1)</f>
        <v>0</v>
      </c>
      <c r="Q156" s="144">
        <f>SUMIFS('апрель 2026'!$G$2:$G$2719,'апрель 2026'!$D$2:$D$2719,$B156,'апрель 2026'!$J$2:$J$2719,Q$1)</f>
        <v>0</v>
      </c>
      <c r="R156" s="144">
        <f>SUMIFS('апрель 2026'!$G$2:$G$2719,'апрель 2026'!$D$2:$D$2719,$B156,'апрель 2026'!$J$2:$J$2719,R$1)</f>
        <v>0</v>
      </c>
      <c r="S156" s="144">
        <f>SUMIFS('апрель 2026'!$G$2:$G$2719,'апрель 2026'!$D$2:$D$2719,$B156,'апрель 2026'!$J$2:$J$2719,S$1)</f>
        <v>0</v>
      </c>
      <c r="T156" s="144">
        <f>SUMIFS('апрель 2026'!$G$2:$G$2719,'апрель 2026'!$D$2:$D$2719,$B156,'апрель 2026'!$J$2:$J$2719,T$1)</f>
        <v>0</v>
      </c>
      <c r="U156" s="144">
        <f>SUMIFS('апрель 2026'!$G$2:$G$2719,'апрель 2026'!$D$2:$D$2719,$B156,'апрель 2026'!$J$2:$J$2719,U$1)</f>
        <v>0</v>
      </c>
      <c r="V156" s="144">
        <f>SUMIFS('апрель 2026'!$G$2:$G$2719,'апрель 2026'!$D$2:$D$2719,$B156,'апрель 2026'!$J$2:$J$2719,V$1)</f>
        <v>0</v>
      </c>
      <c r="W156" s="144">
        <f>SUMIFS('апрель 2026'!$G$2:$G$2719,'апрель 2026'!$D$2:$D$2719,$B156,'апрель 2026'!$J$2:$J$2719,W$1)</f>
        <v>0</v>
      </c>
      <c r="X156" s="144">
        <f>SUMIFS('апрель 2026'!$G$2:$G$2719,'апрель 2026'!$D$2:$D$2719,$B156,'апрель 2026'!$J$2:$J$2719,X$1)</f>
        <v>0</v>
      </c>
      <c r="Y156" s="144">
        <f>SUMIFS('апрель 2026'!$G$2:$G$2719,'апрель 2026'!$D$2:$D$2719,$B156,'апрель 2026'!$J$2:$J$2719,Y$1)</f>
        <v>0</v>
      </c>
      <c r="Z156" s="144">
        <f>SUMIFS('апрель 2026'!$G$2:$G$2719,'апрель 2026'!$D$2:$D$2719,$B156,'апрель 2026'!$J$2:$J$2719,Z$1)</f>
        <v>0</v>
      </c>
      <c r="AA156" s="144">
        <f>SUMIFS('апрель 2026'!$G$2:$G$2719,'апрель 2026'!$D$2:$D$2719,$B156,'апрель 2026'!$J$2:$J$2719,AA$1)</f>
        <v>0</v>
      </c>
      <c r="AB156" s="144">
        <f>SUMIFS('апрель 2026'!$G$2:$G$2719,'апрель 2026'!$D$2:$D$2719,$B156,'апрель 2026'!$J$2:$J$2719,AB$1)</f>
        <v>0</v>
      </c>
      <c r="AC156" s="144">
        <f>SUMIFS('апрель 2026'!$G$2:$G$2719,'апрель 2026'!$D$2:$D$2719,$B156,'апрель 2026'!$J$2:$J$2719,AC$1)</f>
        <v>0</v>
      </c>
      <c r="AD156" s="144">
        <f>SUMIFS('апрель 2026'!$G$2:$G$2719,'апрель 2026'!$D$2:$D$2719,$B156,'апрель 2026'!$J$2:$J$2719,AD$1)</f>
        <v>0</v>
      </c>
      <c r="AE156" s="144">
        <f>SUMIFS('апрель 2026'!$G$2:$G$2719,'апрель 2026'!$D$2:$D$2719,$B156,'апрель 2026'!$J$2:$J$2719,AE$1)</f>
        <v>0</v>
      </c>
      <c r="AF156" s="144">
        <f>SUMIFS('апрель 2026'!$G$2:$G$2719,'апрель 2026'!$D$2:$D$2719,$B156,'апрель 2026'!$J$2:$J$2719,AF$1)</f>
        <v>0</v>
      </c>
      <c r="AG156" s="144">
        <f>SUMIFS('апрель 2026'!$G$2:$G$2719,'апрель 2026'!$D$2:$D$2719,$B156,'апрель 2026'!$J$2:$J$2719,AG$1)</f>
        <v>0</v>
      </c>
      <c r="AH156" s="144">
        <f>SUMIFS('апрель 2026'!$G$2:$G$2719,'апрель 2026'!$D$2:$D$2719,$B156,'апрель 2026'!$J$2:$J$2719,AH$1)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SUMIFS('апрель 2026'!$G$2:$G$2719,'апрель 2026'!$D$2:$D$2719,$B157,'апрель 2026'!$J$2:$J$2719,D$1)</f>
        <v>0</v>
      </c>
      <c r="E157" s="144">
        <f>SUMIFS('апрель 2026'!$G$2:$G$2719,'апрель 2026'!$D$2:$D$2719,$B157,'апрель 2026'!$J$2:$J$2719,E$1)</f>
        <v>0</v>
      </c>
      <c r="F157" s="144">
        <f>SUMIFS('апрель 2026'!$G$2:$G$2719,'апрель 2026'!$D$2:$D$2719,$B157,'апрель 2026'!$J$2:$J$2719,F$1)</f>
        <v>0</v>
      </c>
      <c r="G157" s="144">
        <f>SUMIFS('апрель 2026'!$G$2:$G$2719,'апрель 2026'!$D$2:$D$2719,$B157,'апрель 2026'!$J$2:$J$2719,G$1)</f>
        <v>0</v>
      </c>
      <c r="H157" s="144">
        <f>SUMIFS('апрель 2026'!$G$2:$G$2719,'апрель 2026'!$D$2:$D$2719,$B157,'апрель 2026'!$J$2:$J$2719,H$1)</f>
        <v>0</v>
      </c>
      <c r="I157" s="144">
        <f>SUMIFS('апрель 2026'!$G$2:$G$2719,'апрель 2026'!$D$2:$D$2719,$B157,'апрель 2026'!$J$2:$J$2719,I$1)</f>
        <v>0</v>
      </c>
      <c r="J157" s="144">
        <f>SUMIFS('апрель 2026'!$G$2:$G$2719,'апрель 2026'!$D$2:$D$2719,$B157,'апрель 2026'!$J$2:$J$2719,J$1)</f>
        <v>0</v>
      </c>
      <c r="K157" s="144">
        <f>SUMIFS('апрель 2026'!$G$2:$G$2719,'апрель 2026'!$D$2:$D$2719,$B157,'апрель 2026'!$J$2:$J$2719,K$1)</f>
        <v>0</v>
      </c>
      <c r="L157" s="144">
        <f>SUMIFS('апрель 2026'!$G$2:$G$2719,'апрель 2026'!$D$2:$D$2719,$B157,'апрель 2026'!$J$2:$J$2719,L$1)</f>
        <v>0</v>
      </c>
      <c r="M157" s="144">
        <f>SUMIFS('апрель 2026'!$G$2:$G$2719,'апрель 2026'!$D$2:$D$2719,$B157,'апрель 2026'!$J$2:$J$2719,M$1)</f>
        <v>0</v>
      </c>
      <c r="N157" s="144">
        <f>SUMIFS('апрель 2026'!$G$2:$G$2719,'апрель 2026'!$D$2:$D$2719,$B157,'апрель 2026'!$J$2:$J$2719,N$1)</f>
        <v>0</v>
      </c>
      <c r="O157" s="144">
        <f>SUMIFS('апрель 2026'!$G$2:$G$2719,'апрель 2026'!$D$2:$D$2719,$B157,'апрель 2026'!$J$2:$J$2719,O$1)</f>
        <v>0</v>
      </c>
      <c r="P157" s="144">
        <f>SUMIFS('апрель 2026'!$G$2:$G$2719,'апрель 2026'!$D$2:$D$2719,$B157,'апрель 2026'!$J$2:$J$2719,P$1)</f>
        <v>0</v>
      </c>
      <c r="Q157" s="144">
        <f>SUMIFS('апрель 2026'!$G$2:$G$2719,'апрель 2026'!$D$2:$D$2719,$B157,'апрель 2026'!$J$2:$J$2719,Q$1)</f>
        <v>0</v>
      </c>
      <c r="R157" s="144">
        <f>SUMIFS('апрель 2026'!$G$2:$G$2719,'апрель 2026'!$D$2:$D$2719,$B157,'апрель 2026'!$J$2:$J$2719,R$1)</f>
        <v>0</v>
      </c>
      <c r="S157" s="144">
        <f>SUMIFS('апрель 2026'!$G$2:$G$2719,'апрель 2026'!$D$2:$D$2719,$B157,'апрель 2026'!$J$2:$J$2719,S$1)</f>
        <v>0</v>
      </c>
      <c r="T157" s="144">
        <f>SUMIFS('апрель 2026'!$G$2:$G$2719,'апрель 2026'!$D$2:$D$2719,$B157,'апрель 2026'!$J$2:$J$2719,T$1)</f>
        <v>0</v>
      </c>
      <c r="U157" s="144">
        <f>SUMIFS('апрель 2026'!$G$2:$G$2719,'апрель 2026'!$D$2:$D$2719,$B157,'апрель 2026'!$J$2:$J$2719,U$1)</f>
        <v>0</v>
      </c>
      <c r="V157" s="144">
        <f>SUMIFS('апрель 2026'!$G$2:$G$2719,'апрель 2026'!$D$2:$D$2719,$B157,'апрель 2026'!$J$2:$J$2719,V$1)</f>
        <v>0</v>
      </c>
      <c r="W157" s="144">
        <f>SUMIFS('апрель 2026'!$G$2:$G$2719,'апрель 2026'!$D$2:$D$2719,$B157,'апрель 2026'!$J$2:$J$2719,W$1)</f>
        <v>0</v>
      </c>
      <c r="X157" s="144">
        <f>SUMIFS('апрель 2026'!$G$2:$G$2719,'апрель 2026'!$D$2:$D$2719,$B157,'апрель 2026'!$J$2:$J$2719,X$1)</f>
        <v>0</v>
      </c>
      <c r="Y157" s="144">
        <f>SUMIFS('апрель 2026'!$G$2:$G$2719,'апрель 2026'!$D$2:$D$2719,$B157,'апрель 2026'!$J$2:$J$2719,Y$1)</f>
        <v>0</v>
      </c>
      <c r="Z157" s="144">
        <f>SUMIFS('апрель 2026'!$G$2:$G$2719,'апрель 2026'!$D$2:$D$2719,$B157,'апрель 2026'!$J$2:$J$2719,Z$1)</f>
        <v>0</v>
      </c>
      <c r="AA157" s="144">
        <f>SUMIFS('апрель 2026'!$G$2:$G$2719,'апрель 2026'!$D$2:$D$2719,$B157,'апрель 2026'!$J$2:$J$2719,AA$1)</f>
        <v>0</v>
      </c>
      <c r="AB157" s="144">
        <f>SUMIFS('апрель 2026'!$G$2:$G$2719,'апрель 2026'!$D$2:$D$2719,$B157,'апрель 2026'!$J$2:$J$2719,AB$1)</f>
        <v>0</v>
      </c>
      <c r="AC157" s="144">
        <f>SUMIFS('апрель 2026'!$G$2:$G$2719,'апрель 2026'!$D$2:$D$2719,$B157,'апрель 2026'!$J$2:$J$2719,AC$1)</f>
        <v>0</v>
      </c>
      <c r="AD157" s="144">
        <f>SUMIFS('апрель 2026'!$G$2:$G$2719,'апрель 2026'!$D$2:$D$2719,$B157,'апрель 2026'!$J$2:$J$2719,AD$1)</f>
        <v>0</v>
      </c>
      <c r="AE157" s="144">
        <f>SUMIFS('апрель 2026'!$G$2:$G$2719,'апрель 2026'!$D$2:$D$2719,$B157,'апрель 2026'!$J$2:$J$2719,AE$1)</f>
        <v>0</v>
      </c>
      <c r="AF157" s="144">
        <f>SUMIFS('апрель 2026'!$G$2:$G$2719,'апрель 2026'!$D$2:$D$2719,$B157,'апрель 2026'!$J$2:$J$2719,AF$1)</f>
        <v>0</v>
      </c>
      <c r="AG157" s="144">
        <f>SUMIFS('апрель 2026'!$G$2:$G$2719,'апрель 2026'!$D$2:$D$2719,$B157,'апрель 2026'!$J$2:$J$2719,AG$1)</f>
        <v>0</v>
      </c>
      <c r="AH157" s="144">
        <f>SUMIFS('апрель 2026'!$G$2:$G$2719,'апрель 2026'!$D$2:$D$2719,$B157,'апрель 2026'!$J$2:$J$2719,AH$1)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SUMIFS('апрель 2026'!$G$2:$G$2719,'апрель 2026'!$D$2:$D$2719,$B158,'апрель 2026'!$J$2:$J$2719,D$1)</f>
        <v>0</v>
      </c>
      <c r="E158" s="144">
        <f>SUMIFS('апрель 2026'!$G$2:$G$2719,'апрель 2026'!$D$2:$D$2719,$B158,'апрель 2026'!$J$2:$J$2719,E$1)</f>
        <v>0</v>
      </c>
      <c r="F158" s="144">
        <f>SUMIFS('апрель 2026'!$G$2:$G$2719,'апрель 2026'!$D$2:$D$2719,$B158,'апрель 2026'!$J$2:$J$2719,F$1)</f>
        <v>0</v>
      </c>
      <c r="G158" s="144">
        <f>SUMIFS('апрель 2026'!$G$2:$G$2719,'апрель 2026'!$D$2:$D$2719,$B158,'апрель 2026'!$J$2:$J$2719,G$1)</f>
        <v>0</v>
      </c>
      <c r="H158" s="144">
        <f>SUMIFS('апрель 2026'!$G$2:$G$2719,'апрель 2026'!$D$2:$D$2719,$B158,'апрель 2026'!$J$2:$J$2719,H$1)</f>
        <v>0</v>
      </c>
      <c r="I158" s="144">
        <f>SUMIFS('апрель 2026'!$G$2:$G$2719,'апрель 2026'!$D$2:$D$2719,$B158,'апрель 2026'!$J$2:$J$2719,I$1)</f>
        <v>0</v>
      </c>
      <c r="J158" s="144">
        <f>SUMIFS('апрель 2026'!$G$2:$G$2719,'апрель 2026'!$D$2:$D$2719,$B158,'апрель 2026'!$J$2:$J$2719,J$1)</f>
        <v>0</v>
      </c>
      <c r="K158" s="144">
        <f>SUMIFS('апрель 2026'!$G$2:$G$2719,'апрель 2026'!$D$2:$D$2719,$B158,'апрель 2026'!$J$2:$J$2719,K$1)</f>
        <v>0</v>
      </c>
      <c r="L158" s="144">
        <f>SUMIFS('апрель 2026'!$G$2:$G$2719,'апрель 2026'!$D$2:$D$2719,$B158,'апрель 2026'!$J$2:$J$2719,L$1)</f>
        <v>0</v>
      </c>
      <c r="M158" s="144">
        <f>SUMIFS('апрель 2026'!$G$2:$G$2719,'апрель 2026'!$D$2:$D$2719,$B158,'апрель 2026'!$J$2:$J$2719,M$1)</f>
        <v>0</v>
      </c>
      <c r="N158" s="144">
        <f>SUMIFS('апрель 2026'!$G$2:$G$2719,'апрель 2026'!$D$2:$D$2719,$B158,'апрель 2026'!$J$2:$J$2719,N$1)</f>
        <v>0</v>
      </c>
      <c r="O158" s="144">
        <f>SUMIFS('апрель 2026'!$G$2:$G$2719,'апрель 2026'!$D$2:$D$2719,$B158,'апрель 2026'!$J$2:$J$2719,O$1)</f>
        <v>0</v>
      </c>
      <c r="P158" s="144">
        <f>SUMIFS('апрель 2026'!$G$2:$G$2719,'апрель 2026'!$D$2:$D$2719,$B158,'апрель 2026'!$J$2:$J$2719,P$1)</f>
        <v>0</v>
      </c>
      <c r="Q158" s="144">
        <f>SUMIFS('апрель 2026'!$G$2:$G$2719,'апрель 2026'!$D$2:$D$2719,$B158,'апрель 2026'!$J$2:$J$2719,Q$1)</f>
        <v>0</v>
      </c>
      <c r="R158" s="144">
        <f>SUMIFS('апрель 2026'!$G$2:$G$2719,'апрель 2026'!$D$2:$D$2719,$B158,'апрель 2026'!$J$2:$J$2719,R$1)</f>
        <v>0</v>
      </c>
      <c r="S158" s="144">
        <f>SUMIFS('апрель 2026'!$G$2:$G$2719,'апрель 2026'!$D$2:$D$2719,$B158,'апрель 2026'!$J$2:$J$2719,S$1)</f>
        <v>0</v>
      </c>
      <c r="T158" s="144">
        <f>SUMIFS('апрель 2026'!$G$2:$G$2719,'апрель 2026'!$D$2:$D$2719,$B158,'апрель 2026'!$J$2:$J$2719,T$1)</f>
        <v>0</v>
      </c>
      <c r="U158" s="144">
        <f>SUMIFS('апрель 2026'!$G$2:$G$2719,'апрель 2026'!$D$2:$D$2719,$B158,'апрель 2026'!$J$2:$J$2719,U$1)</f>
        <v>0</v>
      </c>
      <c r="V158" s="144">
        <f>SUMIFS('апрель 2026'!$G$2:$G$2719,'апрель 2026'!$D$2:$D$2719,$B158,'апрель 2026'!$J$2:$J$2719,V$1)</f>
        <v>0</v>
      </c>
      <c r="W158" s="144">
        <f>SUMIFS('апрель 2026'!$G$2:$G$2719,'апрель 2026'!$D$2:$D$2719,$B158,'апрель 2026'!$J$2:$J$2719,W$1)</f>
        <v>0</v>
      </c>
      <c r="X158" s="144">
        <f>SUMIFS('апрель 2026'!$G$2:$G$2719,'апрель 2026'!$D$2:$D$2719,$B158,'апрель 2026'!$J$2:$J$2719,X$1)</f>
        <v>0</v>
      </c>
      <c r="Y158" s="144">
        <f>SUMIFS('апрель 2026'!$G$2:$G$2719,'апрель 2026'!$D$2:$D$2719,$B158,'апрель 2026'!$J$2:$J$2719,Y$1)</f>
        <v>0</v>
      </c>
      <c r="Z158" s="144">
        <f>SUMIFS('апрель 2026'!$G$2:$G$2719,'апрель 2026'!$D$2:$D$2719,$B158,'апрель 2026'!$J$2:$J$2719,Z$1)</f>
        <v>0</v>
      </c>
      <c r="AA158" s="144">
        <f>SUMIFS('апрель 2026'!$G$2:$G$2719,'апрель 2026'!$D$2:$D$2719,$B158,'апрель 2026'!$J$2:$J$2719,AA$1)</f>
        <v>0</v>
      </c>
      <c r="AB158" s="144">
        <f>SUMIFS('апрель 2026'!$G$2:$G$2719,'апрель 2026'!$D$2:$D$2719,$B158,'апрель 2026'!$J$2:$J$2719,AB$1)</f>
        <v>0</v>
      </c>
      <c r="AC158" s="144">
        <f>SUMIFS('апрель 2026'!$G$2:$G$2719,'апрель 2026'!$D$2:$D$2719,$B158,'апрель 2026'!$J$2:$J$2719,AC$1)</f>
        <v>0</v>
      </c>
      <c r="AD158" s="144">
        <f>SUMIFS('апрель 2026'!$G$2:$G$2719,'апрель 2026'!$D$2:$D$2719,$B158,'апрель 2026'!$J$2:$J$2719,AD$1)</f>
        <v>0</v>
      </c>
      <c r="AE158" s="144">
        <f>SUMIFS('апрель 2026'!$G$2:$G$2719,'апрель 2026'!$D$2:$D$2719,$B158,'апрель 2026'!$J$2:$J$2719,AE$1)</f>
        <v>0</v>
      </c>
      <c r="AF158" s="144">
        <f>SUMIFS('апрель 2026'!$G$2:$G$2719,'апрель 2026'!$D$2:$D$2719,$B158,'апрель 2026'!$J$2:$J$2719,AF$1)</f>
        <v>0</v>
      </c>
      <c r="AG158" s="144">
        <f>SUMIFS('апрель 2026'!$G$2:$G$2719,'апрель 2026'!$D$2:$D$2719,$B158,'апрель 2026'!$J$2:$J$2719,AG$1)</f>
        <v>0</v>
      </c>
      <c r="AH158" s="144">
        <f>SUMIFS('апрель 2026'!$G$2:$G$2719,'апрель 2026'!$D$2:$D$2719,$B158,'апрель 2026'!$J$2:$J$2719,AH$1)</f>
        <v>0</v>
      </c>
      <c r="AI158" s="20">
        <f t="shared" si="1"/>
        <v>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SUMIFS('апрель 2026'!$G$2:$G$2719,'апрель 2026'!$D$2:$D$2719,$B159,'апрель 2026'!$J$2:$J$2719,D$1)</f>
        <v>0</v>
      </c>
      <c r="E159" s="144">
        <f>SUMIFS('апрель 2026'!$G$2:$G$2719,'апрель 2026'!$D$2:$D$2719,$B159,'апрель 2026'!$J$2:$J$2719,E$1)</f>
        <v>0</v>
      </c>
      <c r="F159" s="144">
        <f>SUMIFS('апрель 2026'!$G$2:$G$2719,'апрель 2026'!$D$2:$D$2719,$B159,'апрель 2026'!$J$2:$J$2719,F$1)</f>
        <v>0</v>
      </c>
      <c r="G159" s="144">
        <f>SUMIFS('апрель 2026'!$G$2:$G$2719,'апрель 2026'!$D$2:$D$2719,$B159,'апрель 2026'!$J$2:$J$2719,G$1)</f>
        <v>0</v>
      </c>
      <c r="H159" s="144">
        <f>SUMIFS('апрель 2026'!$G$2:$G$2719,'апрель 2026'!$D$2:$D$2719,$B159,'апрель 2026'!$J$2:$J$2719,H$1)</f>
        <v>0</v>
      </c>
      <c r="I159" s="144">
        <f>SUMIFS('апрель 2026'!$G$2:$G$2719,'апрель 2026'!$D$2:$D$2719,$B159,'апрель 2026'!$J$2:$J$2719,I$1)</f>
        <v>0</v>
      </c>
      <c r="J159" s="144">
        <f>SUMIFS('апрель 2026'!$G$2:$G$2719,'апрель 2026'!$D$2:$D$2719,$B159,'апрель 2026'!$J$2:$J$2719,J$1)</f>
        <v>0</v>
      </c>
      <c r="K159" s="144">
        <f>SUMIFS('апрель 2026'!$G$2:$G$2719,'апрель 2026'!$D$2:$D$2719,$B159,'апрель 2026'!$J$2:$J$2719,K$1)</f>
        <v>0</v>
      </c>
      <c r="L159" s="144">
        <f>SUMIFS('апрель 2026'!$G$2:$G$2719,'апрель 2026'!$D$2:$D$2719,$B159,'апрель 2026'!$J$2:$J$2719,L$1)</f>
        <v>0</v>
      </c>
      <c r="M159" s="144">
        <f>SUMIFS('апрель 2026'!$G$2:$G$2719,'апрель 2026'!$D$2:$D$2719,$B159,'апрель 2026'!$J$2:$J$2719,M$1)</f>
        <v>0</v>
      </c>
      <c r="N159" s="144">
        <f>SUMIFS('апрель 2026'!$G$2:$G$2719,'апрель 2026'!$D$2:$D$2719,$B159,'апрель 2026'!$J$2:$J$2719,N$1)</f>
        <v>0</v>
      </c>
      <c r="O159" s="144">
        <f>SUMIFS('апрель 2026'!$G$2:$G$2719,'апрель 2026'!$D$2:$D$2719,$B159,'апрель 2026'!$J$2:$J$2719,O$1)</f>
        <v>0</v>
      </c>
      <c r="P159" s="144">
        <f>SUMIFS('апрель 2026'!$G$2:$G$2719,'апрель 2026'!$D$2:$D$2719,$B159,'апрель 2026'!$J$2:$J$2719,P$1)</f>
        <v>0</v>
      </c>
      <c r="Q159" s="144">
        <f>SUMIFS('апрель 2026'!$G$2:$G$2719,'апрель 2026'!$D$2:$D$2719,$B159,'апрель 2026'!$J$2:$J$2719,Q$1)</f>
        <v>0</v>
      </c>
      <c r="R159" s="144">
        <f>SUMIFS('апрель 2026'!$G$2:$G$2719,'апрель 2026'!$D$2:$D$2719,$B159,'апрель 2026'!$J$2:$J$2719,R$1)</f>
        <v>0</v>
      </c>
      <c r="S159" s="144">
        <f>SUMIFS('апрель 2026'!$G$2:$G$2719,'апрель 2026'!$D$2:$D$2719,$B159,'апрель 2026'!$J$2:$J$2719,S$1)</f>
        <v>0</v>
      </c>
      <c r="T159" s="144">
        <f>SUMIFS('апрель 2026'!$G$2:$G$2719,'апрель 2026'!$D$2:$D$2719,$B159,'апрель 2026'!$J$2:$J$2719,T$1)</f>
        <v>0</v>
      </c>
      <c r="U159" s="144">
        <f>SUMIFS('апрель 2026'!$G$2:$G$2719,'апрель 2026'!$D$2:$D$2719,$B159,'апрель 2026'!$J$2:$J$2719,U$1)</f>
        <v>0</v>
      </c>
      <c r="V159" s="144">
        <f>SUMIFS('апрель 2026'!$G$2:$G$2719,'апрель 2026'!$D$2:$D$2719,$B159,'апрель 2026'!$J$2:$J$2719,V$1)</f>
        <v>0</v>
      </c>
      <c r="W159" s="144">
        <f>SUMIFS('апрель 2026'!$G$2:$G$2719,'апрель 2026'!$D$2:$D$2719,$B159,'апрель 2026'!$J$2:$J$2719,W$1)</f>
        <v>0</v>
      </c>
      <c r="X159" s="144">
        <f>SUMIFS('апрель 2026'!$G$2:$G$2719,'апрель 2026'!$D$2:$D$2719,$B159,'апрель 2026'!$J$2:$J$2719,X$1)</f>
        <v>0</v>
      </c>
      <c r="Y159" s="144">
        <f>SUMIFS('апрель 2026'!$G$2:$G$2719,'апрель 2026'!$D$2:$D$2719,$B159,'апрель 2026'!$J$2:$J$2719,Y$1)</f>
        <v>0</v>
      </c>
      <c r="Z159" s="144">
        <f>SUMIFS('апрель 2026'!$G$2:$G$2719,'апрель 2026'!$D$2:$D$2719,$B159,'апрель 2026'!$J$2:$J$2719,Z$1)</f>
        <v>0</v>
      </c>
      <c r="AA159" s="144">
        <f>SUMIFS('апрель 2026'!$G$2:$G$2719,'апрель 2026'!$D$2:$D$2719,$B159,'апрель 2026'!$J$2:$J$2719,AA$1)</f>
        <v>0</v>
      </c>
      <c r="AB159" s="144">
        <f>SUMIFS('апрель 2026'!$G$2:$G$2719,'апрель 2026'!$D$2:$D$2719,$B159,'апрель 2026'!$J$2:$J$2719,AB$1)</f>
        <v>0</v>
      </c>
      <c r="AC159" s="144">
        <f>SUMIFS('апрель 2026'!$G$2:$G$2719,'апрель 2026'!$D$2:$D$2719,$B159,'апрель 2026'!$J$2:$J$2719,AC$1)</f>
        <v>0</v>
      </c>
      <c r="AD159" s="144">
        <f>SUMIFS('апрель 2026'!$G$2:$G$2719,'апрель 2026'!$D$2:$D$2719,$B159,'апрель 2026'!$J$2:$J$2719,AD$1)</f>
        <v>0</v>
      </c>
      <c r="AE159" s="144">
        <f>SUMIFS('апрель 2026'!$G$2:$G$2719,'апрель 2026'!$D$2:$D$2719,$B159,'апрель 2026'!$J$2:$J$2719,AE$1)</f>
        <v>0</v>
      </c>
      <c r="AF159" s="144">
        <f>SUMIFS('апрель 2026'!$G$2:$G$2719,'апрель 2026'!$D$2:$D$2719,$B159,'апрель 2026'!$J$2:$J$2719,AF$1)</f>
        <v>0</v>
      </c>
      <c r="AG159" s="144">
        <f>SUMIFS('апрель 2026'!$G$2:$G$2719,'апрель 2026'!$D$2:$D$2719,$B159,'апрель 2026'!$J$2:$J$2719,AG$1)</f>
        <v>0</v>
      </c>
      <c r="AH159" s="144">
        <f>SUMIFS('апрель 2026'!$G$2:$G$2719,'апрель 2026'!$D$2:$D$2719,$B159,'апрель 2026'!$J$2:$J$2719,AH$1)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SUMIFS('апрель 2026'!$G$2:$G$2719,'апрель 2026'!$D$2:$D$2719,$B160,'апрель 2026'!$J$2:$J$2719,D$1)</f>
        <v>0</v>
      </c>
      <c r="E160" s="144">
        <f>SUMIFS('апрель 2026'!$G$2:$G$2719,'апрель 2026'!$D$2:$D$2719,$B160,'апрель 2026'!$J$2:$J$2719,E$1)</f>
        <v>0</v>
      </c>
      <c r="F160" s="144">
        <f>SUMIFS('апрель 2026'!$G$2:$G$2719,'апрель 2026'!$D$2:$D$2719,$B160,'апрель 2026'!$J$2:$J$2719,F$1)</f>
        <v>0</v>
      </c>
      <c r="G160" s="144">
        <f>SUMIFS('апрель 2026'!$G$2:$G$2719,'апрель 2026'!$D$2:$D$2719,$B160,'апрель 2026'!$J$2:$J$2719,G$1)</f>
        <v>0</v>
      </c>
      <c r="H160" s="144">
        <f>SUMIFS('апрель 2026'!$G$2:$G$2719,'апрель 2026'!$D$2:$D$2719,$B160,'апрель 2026'!$J$2:$J$2719,H$1)</f>
        <v>0</v>
      </c>
      <c r="I160" s="144">
        <f>SUMIFS('апрель 2026'!$G$2:$G$2719,'апрель 2026'!$D$2:$D$2719,$B160,'апрель 2026'!$J$2:$J$2719,I$1)</f>
        <v>0</v>
      </c>
      <c r="J160" s="144">
        <f>SUMIFS('апрель 2026'!$G$2:$G$2719,'апрель 2026'!$D$2:$D$2719,$B160,'апрель 2026'!$J$2:$J$2719,J$1)</f>
        <v>0</v>
      </c>
      <c r="K160" s="144">
        <f>SUMIFS('апрель 2026'!$G$2:$G$2719,'апрель 2026'!$D$2:$D$2719,$B160,'апрель 2026'!$J$2:$J$2719,K$1)</f>
        <v>0</v>
      </c>
      <c r="L160" s="144">
        <f>SUMIFS('апрель 2026'!$G$2:$G$2719,'апрель 2026'!$D$2:$D$2719,$B160,'апрель 2026'!$J$2:$J$2719,L$1)</f>
        <v>0</v>
      </c>
      <c r="M160" s="144">
        <f>SUMIFS('апрель 2026'!$G$2:$G$2719,'апрель 2026'!$D$2:$D$2719,$B160,'апрель 2026'!$J$2:$J$2719,M$1)</f>
        <v>0</v>
      </c>
      <c r="N160" s="144">
        <f>SUMIFS('апрель 2026'!$G$2:$G$2719,'апрель 2026'!$D$2:$D$2719,$B160,'апрель 2026'!$J$2:$J$2719,N$1)</f>
        <v>0</v>
      </c>
      <c r="O160" s="144">
        <f>SUMIFS('апрель 2026'!$G$2:$G$2719,'апрель 2026'!$D$2:$D$2719,$B160,'апрель 2026'!$J$2:$J$2719,O$1)</f>
        <v>0</v>
      </c>
      <c r="P160" s="144">
        <f>SUMIFS('апрель 2026'!$G$2:$G$2719,'апрель 2026'!$D$2:$D$2719,$B160,'апрель 2026'!$J$2:$J$2719,P$1)</f>
        <v>0</v>
      </c>
      <c r="Q160" s="144">
        <f>SUMIFS('апрель 2026'!$G$2:$G$2719,'апрель 2026'!$D$2:$D$2719,$B160,'апрель 2026'!$J$2:$J$2719,Q$1)</f>
        <v>0</v>
      </c>
      <c r="R160" s="144">
        <f>SUMIFS('апрель 2026'!$G$2:$G$2719,'апрель 2026'!$D$2:$D$2719,$B160,'апрель 2026'!$J$2:$J$2719,R$1)</f>
        <v>0</v>
      </c>
      <c r="S160" s="144">
        <f>SUMIFS('апрель 2026'!$G$2:$G$2719,'апрель 2026'!$D$2:$D$2719,$B160,'апрель 2026'!$J$2:$J$2719,S$1)</f>
        <v>0</v>
      </c>
      <c r="T160" s="144">
        <f>SUMIFS('апрель 2026'!$G$2:$G$2719,'апрель 2026'!$D$2:$D$2719,$B160,'апрель 2026'!$J$2:$J$2719,T$1)</f>
        <v>0</v>
      </c>
      <c r="U160" s="144">
        <f>SUMIFS('апрель 2026'!$G$2:$G$2719,'апрель 2026'!$D$2:$D$2719,$B160,'апрель 2026'!$J$2:$J$2719,U$1)</f>
        <v>0</v>
      </c>
      <c r="V160" s="144">
        <f>SUMIFS('апрель 2026'!$G$2:$G$2719,'апрель 2026'!$D$2:$D$2719,$B160,'апрель 2026'!$J$2:$J$2719,V$1)</f>
        <v>0</v>
      </c>
      <c r="W160" s="144">
        <f>SUMIFS('апрель 2026'!$G$2:$G$2719,'апрель 2026'!$D$2:$D$2719,$B160,'апрель 2026'!$J$2:$J$2719,W$1)</f>
        <v>0</v>
      </c>
      <c r="X160" s="144">
        <f>SUMIFS('апрель 2026'!$G$2:$G$2719,'апрель 2026'!$D$2:$D$2719,$B160,'апрель 2026'!$J$2:$J$2719,X$1)</f>
        <v>0</v>
      </c>
      <c r="Y160" s="144">
        <f>SUMIFS('апрель 2026'!$G$2:$G$2719,'апрель 2026'!$D$2:$D$2719,$B160,'апрель 2026'!$J$2:$J$2719,Y$1)</f>
        <v>0</v>
      </c>
      <c r="Z160" s="144">
        <f>SUMIFS('апрель 2026'!$G$2:$G$2719,'апрель 2026'!$D$2:$D$2719,$B160,'апрель 2026'!$J$2:$J$2719,Z$1)</f>
        <v>0</v>
      </c>
      <c r="AA160" s="144">
        <f>SUMIFS('апрель 2026'!$G$2:$G$2719,'апрель 2026'!$D$2:$D$2719,$B160,'апрель 2026'!$J$2:$J$2719,AA$1)</f>
        <v>0</v>
      </c>
      <c r="AB160" s="144">
        <f>SUMIFS('апрель 2026'!$G$2:$G$2719,'апрель 2026'!$D$2:$D$2719,$B160,'апрель 2026'!$J$2:$J$2719,AB$1)</f>
        <v>0</v>
      </c>
      <c r="AC160" s="144">
        <f>SUMIFS('апрель 2026'!$G$2:$G$2719,'апрель 2026'!$D$2:$D$2719,$B160,'апрель 2026'!$J$2:$J$2719,AC$1)</f>
        <v>0</v>
      </c>
      <c r="AD160" s="144">
        <f>SUMIFS('апрель 2026'!$G$2:$G$2719,'апрель 2026'!$D$2:$D$2719,$B160,'апрель 2026'!$J$2:$J$2719,AD$1)</f>
        <v>0</v>
      </c>
      <c r="AE160" s="144">
        <f>SUMIFS('апрель 2026'!$G$2:$G$2719,'апрель 2026'!$D$2:$D$2719,$B160,'апрель 2026'!$J$2:$J$2719,AE$1)</f>
        <v>0</v>
      </c>
      <c r="AF160" s="144">
        <f>SUMIFS('апрель 2026'!$G$2:$G$2719,'апрель 2026'!$D$2:$D$2719,$B160,'апрель 2026'!$J$2:$J$2719,AF$1)</f>
        <v>0</v>
      </c>
      <c r="AG160" s="144">
        <f>SUMIFS('апрель 2026'!$G$2:$G$2719,'апрель 2026'!$D$2:$D$2719,$B160,'апрель 2026'!$J$2:$J$2719,AG$1)</f>
        <v>0</v>
      </c>
      <c r="AH160" s="144">
        <f>SUMIFS('апрель 2026'!$G$2:$G$2719,'апрель 2026'!$D$2:$D$2719,$B160,'апрель 2026'!$J$2:$J$2719,AH$1)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SUMIFS('апрель 2026'!$G$2:$G$2719,'апрель 2026'!$D$2:$D$2719,$B161,'апрель 2026'!$J$2:$J$2719,D$1)</f>
        <v>0</v>
      </c>
      <c r="E161" s="144">
        <f>SUMIFS('апрель 2026'!$G$2:$G$2719,'апрель 2026'!$D$2:$D$2719,$B161,'апрель 2026'!$J$2:$J$2719,E$1)</f>
        <v>0</v>
      </c>
      <c r="F161" s="144">
        <f>SUMIFS('апрель 2026'!$G$2:$G$2719,'апрель 2026'!$D$2:$D$2719,$B161,'апрель 2026'!$J$2:$J$2719,F$1)</f>
        <v>0</v>
      </c>
      <c r="G161" s="144">
        <f>SUMIFS('апрель 2026'!$G$2:$G$2719,'апрель 2026'!$D$2:$D$2719,$B161,'апрель 2026'!$J$2:$J$2719,G$1)</f>
        <v>0</v>
      </c>
      <c r="H161" s="144">
        <f>SUMIFS('апрель 2026'!$G$2:$G$2719,'апрель 2026'!$D$2:$D$2719,$B161,'апрель 2026'!$J$2:$J$2719,H$1)</f>
        <v>0</v>
      </c>
      <c r="I161" s="144">
        <f>SUMIFS('апрель 2026'!$G$2:$G$2719,'апрель 2026'!$D$2:$D$2719,$B161,'апрель 2026'!$J$2:$J$2719,I$1)</f>
        <v>0</v>
      </c>
      <c r="J161" s="144">
        <f>SUMIFS('апрель 2026'!$G$2:$G$2719,'апрель 2026'!$D$2:$D$2719,$B161,'апрель 2026'!$J$2:$J$2719,J$1)</f>
        <v>0</v>
      </c>
      <c r="K161" s="144">
        <f>SUMIFS('апрель 2026'!$G$2:$G$2719,'апрель 2026'!$D$2:$D$2719,$B161,'апрель 2026'!$J$2:$J$2719,K$1)</f>
        <v>0</v>
      </c>
      <c r="L161" s="144">
        <f>SUMIFS('апрель 2026'!$G$2:$G$2719,'апрель 2026'!$D$2:$D$2719,$B161,'апрель 2026'!$J$2:$J$2719,L$1)</f>
        <v>0</v>
      </c>
      <c r="M161" s="144">
        <f>SUMIFS('апрель 2026'!$G$2:$G$2719,'апрель 2026'!$D$2:$D$2719,$B161,'апрель 2026'!$J$2:$J$2719,M$1)</f>
        <v>0</v>
      </c>
      <c r="N161" s="144">
        <f>SUMIFS('апрель 2026'!$G$2:$G$2719,'апрель 2026'!$D$2:$D$2719,$B161,'апрель 2026'!$J$2:$J$2719,N$1)</f>
        <v>0</v>
      </c>
      <c r="O161" s="144">
        <f>SUMIFS('апрель 2026'!$G$2:$G$2719,'апрель 2026'!$D$2:$D$2719,$B161,'апрель 2026'!$J$2:$J$2719,O$1)</f>
        <v>0</v>
      </c>
      <c r="P161" s="144">
        <f>SUMIFS('апрель 2026'!$G$2:$G$2719,'апрель 2026'!$D$2:$D$2719,$B161,'апрель 2026'!$J$2:$J$2719,P$1)</f>
        <v>0</v>
      </c>
      <c r="Q161" s="144">
        <f>SUMIFS('апрель 2026'!$G$2:$G$2719,'апрель 2026'!$D$2:$D$2719,$B161,'апрель 2026'!$J$2:$J$2719,Q$1)</f>
        <v>0</v>
      </c>
      <c r="R161" s="144">
        <f>SUMIFS('апрель 2026'!$G$2:$G$2719,'апрель 2026'!$D$2:$D$2719,$B161,'апрель 2026'!$J$2:$J$2719,R$1)</f>
        <v>0</v>
      </c>
      <c r="S161" s="144">
        <f>SUMIFS('апрель 2026'!$G$2:$G$2719,'апрель 2026'!$D$2:$D$2719,$B161,'апрель 2026'!$J$2:$J$2719,S$1)</f>
        <v>0</v>
      </c>
      <c r="T161" s="144">
        <f>SUMIFS('апрель 2026'!$G$2:$G$2719,'апрель 2026'!$D$2:$D$2719,$B161,'апрель 2026'!$J$2:$J$2719,T$1)</f>
        <v>0</v>
      </c>
      <c r="U161" s="144">
        <f>SUMIFS('апрель 2026'!$G$2:$G$2719,'апрель 2026'!$D$2:$D$2719,$B161,'апрель 2026'!$J$2:$J$2719,U$1)</f>
        <v>0</v>
      </c>
      <c r="V161" s="144">
        <f>SUMIFS('апрель 2026'!$G$2:$G$2719,'апрель 2026'!$D$2:$D$2719,$B161,'апрель 2026'!$J$2:$J$2719,V$1)</f>
        <v>0</v>
      </c>
      <c r="W161" s="144">
        <f>SUMIFS('апрель 2026'!$G$2:$G$2719,'апрель 2026'!$D$2:$D$2719,$B161,'апрель 2026'!$J$2:$J$2719,W$1)</f>
        <v>0</v>
      </c>
      <c r="X161" s="144">
        <f>SUMIFS('апрель 2026'!$G$2:$G$2719,'апрель 2026'!$D$2:$D$2719,$B161,'апрель 2026'!$J$2:$J$2719,X$1)</f>
        <v>0</v>
      </c>
      <c r="Y161" s="144">
        <f>SUMIFS('апрель 2026'!$G$2:$G$2719,'апрель 2026'!$D$2:$D$2719,$B161,'апрель 2026'!$J$2:$J$2719,Y$1)</f>
        <v>0</v>
      </c>
      <c r="Z161" s="144">
        <f>SUMIFS('апрель 2026'!$G$2:$G$2719,'апрель 2026'!$D$2:$D$2719,$B161,'апрель 2026'!$J$2:$J$2719,Z$1)</f>
        <v>0</v>
      </c>
      <c r="AA161" s="144">
        <f>SUMIFS('апрель 2026'!$G$2:$G$2719,'апрель 2026'!$D$2:$D$2719,$B161,'апрель 2026'!$J$2:$J$2719,AA$1)</f>
        <v>0</v>
      </c>
      <c r="AB161" s="144">
        <f>SUMIFS('апрель 2026'!$G$2:$G$2719,'апрель 2026'!$D$2:$D$2719,$B161,'апрель 2026'!$J$2:$J$2719,AB$1)</f>
        <v>0</v>
      </c>
      <c r="AC161" s="144">
        <f>SUMIFS('апрель 2026'!$G$2:$G$2719,'апрель 2026'!$D$2:$D$2719,$B161,'апрель 2026'!$J$2:$J$2719,AC$1)</f>
        <v>0</v>
      </c>
      <c r="AD161" s="144">
        <f>SUMIFS('апрель 2026'!$G$2:$G$2719,'апрель 2026'!$D$2:$D$2719,$B161,'апрель 2026'!$J$2:$J$2719,AD$1)</f>
        <v>0</v>
      </c>
      <c r="AE161" s="144">
        <f>SUMIFS('апрель 2026'!$G$2:$G$2719,'апрель 2026'!$D$2:$D$2719,$B161,'апрель 2026'!$J$2:$J$2719,AE$1)</f>
        <v>0</v>
      </c>
      <c r="AF161" s="144">
        <f>SUMIFS('апрель 2026'!$G$2:$G$2719,'апрель 2026'!$D$2:$D$2719,$B161,'апрель 2026'!$J$2:$J$2719,AF$1)</f>
        <v>0</v>
      </c>
      <c r="AG161" s="144">
        <f>SUMIFS('апрель 2026'!$G$2:$G$2719,'апрель 2026'!$D$2:$D$2719,$B161,'апрель 2026'!$J$2:$J$2719,AG$1)</f>
        <v>0</v>
      </c>
      <c r="AH161" s="144">
        <f>SUMIFS('апрель 2026'!$G$2:$G$2719,'апрель 2026'!$D$2:$D$2719,$B161,'апрель 2026'!$J$2:$J$2719,AH$1)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SUMIFS('апрель 2026'!$G$2:$G$2719,'апрель 2026'!$D$2:$D$2719,$B162,'апрель 2026'!$J$2:$J$2719,D$1)</f>
        <v>0</v>
      </c>
      <c r="E162" s="144">
        <f>SUMIFS('апрель 2026'!$G$2:$G$2719,'апрель 2026'!$D$2:$D$2719,$B162,'апрель 2026'!$J$2:$J$2719,E$1)</f>
        <v>0</v>
      </c>
      <c r="F162" s="144">
        <f>SUMIFS('апрель 2026'!$G$2:$G$2719,'апрель 2026'!$D$2:$D$2719,$B162,'апрель 2026'!$J$2:$J$2719,F$1)</f>
        <v>0</v>
      </c>
      <c r="G162" s="144">
        <f>SUMIFS('апрель 2026'!$G$2:$G$2719,'апрель 2026'!$D$2:$D$2719,$B162,'апрель 2026'!$J$2:$J$2719,G$1)</f>
        <v>0</v>
      </c>
      <c r="H162" s="144">
        <f>SUMIFS('апрель 2026'!$G$2:$G$2719,'апрель 2026'!$D$2:$D$2719,$B162,'апрель 2026'!$J$2:$J$2719,H$1)</f>
        <v>0</v>
      </c>
      <c r="I162" s="144">
        <f>SUMIFS('апрель 2026'!$G$2:$G$2719,'апрель 2026'!$D$2:$D$2719,$B162,'апрель 2026'!$J$2:$J$2719,I$1)</f>
        <v>0</v>
      </c>
      <c r="J162" s="144">
        <f>SUMIFS('апрель 2026'!$G$2:$G$2719,'апрель 2026'!$D$2:$D$2719,$B162,'апрель 2026'!$J$2:$J$2719,J$1)</f>
        <v>0</v>
      </c>
      <c r="K162" s="144">
        <f>SUMIFS('апрель 2026'!$G$2:$G$2719,'апрель 2026'!$D$2:$D$2719,$B162,'апрель 2026'!$J$2:$J$2719,K$1)</f>
        <v>0</v>
      </c>
      <c r="L162" s="144">
        <f>SUMIFS('апрель 2026'!$G$2:$G$2719,'апрель 2026'!$D$2:$D$2719,$B162,'апрель 2026'!$J$2:$J$2719,L$1)</f>
        <v>0</v>
      </c>
      <c r="M162" s="144">
        <f>SUMIFS('апрель 2026'!$G$2:$G$2719,'апрель 2026'!$D$2:$D$2719,$B162,'апрель 2026'!$J$2:$J$2719,M$1)</f>
        <v>0</v>
      </c>
      <c r="N162" s="144">
        <f>SUMIFS('апрель 2026'!$G$2:$G$2719,'апрель 2026'!$D$2:$D$2719,$B162,'апрель 2026'!$J$2:$J$2719,N$1)</f>
        <v>0</v>
      </c>
      <c r="O162" s="144">
        <f>SUMIFS('апрель 2026'!$G$2:$G$2719,'апрель 2026'!$D$2:$D$2719,$B162,'апрель 2026'!$J$2:$J$2719,O$1)</f>
        <v>0</v>
      </c>
      <c r="P162" s="144">
        <f>SUMIFS('апрель 2026'!$G$2:$G$2719,'апрель 2026'!$D$2:$D$2719,$B162,'апрель 2026'!$J$2:$J$2719,P$1)</f>
        <v>0</v>
      </c>
      <c r="Q162" s="144">
        <f>SUMIFS('апрель 2026'!$G$2:$G$2719,'апрель 2026'!$D$2:$D$2719,$B162,'апрель 2026'!$J$2:$J$2719,Q$1)</f>
        <v>0</v>
      </c>
      <c r="R162" s="144">
        <f>SUMIFS('апрель 2026'!$G$2:$G$2719,'апрель 2026'!$D$2:$D$2719,$B162,'апрель 2026'!$J$2:$J$2719,R$1)</f>
        <v>0</v>
      </c>
      <c r="S162" s="144">
        <f>SUMIFS('апрель 2026'!$G$2:$G$2719,'апрель 2026'!$D$2:$D$2719,$B162,'апрель 2026'!$J$2:$J$2719,S$1)</f>
        <v>0</v>
      </c>
      <c r="T162" s="144">
        <f>SUMIFS('апрель 2026'!$G$2:$G$2719,'апрель 2026'!$D$2:$D$2719,$B162,'апрель 2026'!$J$2:$J$2719,T$1)</f>
        <v>0</v>
      </c>
      <c r="U162" s="144">
        <f>SUMIFS('апрель 2026'!$G$2:$G$2719,'апрель 2026'!$D$2:$D$2719,$B162,'апрель 2026'!$J$2:$J$2719,U$1)</f>
        <v>0</v>
      </c>
      <c r="V162" s="144">
        <f>SUMIFS('апрель 2026'!$G$2:$G$2719,'апрель 2026'!$D$2:$D$2719,$B162,'апрель 2026'!$J$2:$J$2719,V$1)</f>
        <v>0</v>
      </c>
      <c r="W162" s="144">
        <f>SUMIFS('апрель 2026'!$G$2:$G$2719,'апрель 2026'!$D$2:$D$2719,$B162,'апрель 2026'!$J$2:$J$2719,W$1)</f>
        <v>0</v>
      </c>
      <c r="X162" s="144">
        <f>SUMIFS('апрель 2026'!$G$2:$G$2719,'апрель 2026'!$D$2:$D$2719,$B162,'апрель 2026'!$J$2:$J$2719,X$1)</f>
        <v>0</v>
      </c>
      <c r="Y162" s="144">
        <f>SUMIFS('апрель 2026'!$G$2:$G$2719,'апрель 2026'!$D$2:$D$2719,$B162,'апрель 2026'!$J$2:$J$2719,Y$1)</f>
        <v>0</v>
      </c>
      <c r="Z162" s="144">
        <f>SUMIFS('апрель 2026'!$G$2:$G$2719,'апрель 2026'!$D$2:$D$2719,$B162,'апрель 2026'!$J$2:$J$2719,Z$1)</f>
        <v>0</v>
      </c>
      <c r="AA162" s="144">
        <f>SUMIFS('апрель 2026'!$G$2:$G$2719,'апрель 2026'!$D$2:$D$2719,$B162,'апрель 2026'!$J$2:$J$2719,AA$1)</f>
        <v>0</v>
      </c>
      <c r="AB162" s="144">
        <f>SUMIFS('апрель 2026'!$G$2:$G$2719,'апрель 2026'!$D$2:$D$2719,$B162,'апрель 2026'!$J$2:$J$2719,AB$1)</f>
        <v>0</v>
      </c>
      <c r="AC162" s="144">
        <f>SUMIFS('апрель 2026'!$G$2:$G$2719,'апрель 2026'!$D$2:$D$2719,$B162,'апрель 2026'!$J$2:$J$2719,AC$1)</f>
        <v>0</v>
      </c>
      <c r="AD162" s="144">
        <f>SUMIFS('апрель 2026'!$G$2:$G$2719,'апрель 2026'!$D$2:$D$2719,$B162,'апрель 2026'!$J$2:$J$2719,AD$1)</f>
        <v>0</v>
      </c>
      <c r="AE162" s="144">
        <f>SUMIFS('апрель 2026'!$G$2:$G$2719,'апрель 2026'!$D$2:$D$2719,$B162,'апрель 2026'!$J$2:$J$2719,AE$1)</f>
        <v>0</v>
      </c>
      <c r="AF162" s="144">
        <f>SUMIFS('апрель 2026'!$G$2:$G$2719,'апрель 2026'!$D$2:$D$2719,$B162,'апрель 2026'!$J$2:$J$2719,AF$1)</f>
        <v>0</v>
      </c>
      <c r="AG162" s="144">
        <f>SUMIFS('апрель 2026'!$G$2:$G$2719,'апрель 2026'!$D$2:$D$2719,$B162,'апрель 2026'!$J$2:$J$2719,AG$1)</f>
        <v>0</v>
      </c>
      <c r="AH162" s="144">
        <f>SUMIFS('апрель 2026'!$G$2:$G$2719,'апрель 2026'!$D$2:$D$2719,$B162,'апрель 2026'!$J$2:$J$2719,AH$1)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SUMIFS('апрель 2026'!$G$2:$G$2719,'апрель 2026'!$D$2:$D$2719,$B163,'апрель 2026'!$J$2:$J$2719,D$1)</f>
        <v>0</v>
      </c>
      <c r="E163" s="144">
        <f>SUMIFS('апрель 2026'!$G$2:$G$2719,'апрель 2026'!$D$2:$D$2719,$B163,'апрель 2026'!$J$2:$J$2719,E$1)</f>
        <v>0</v>
      </c>
      <c r="F163" s="144">
        <f>SUMIFS('апрель 2026'!$G$2:$G$2719,'апрель 2026'!$D$2:$D$2719,$B163,'апрель 2026'!$J$2:$J$2719,F$1)</f>
        <v>0</v>
      </c>
      <c r="G163" s="144">
        <f>SUMIFS('апрель 2026'!$G$2:$G$2719,'апрель 2026'!$D$2:$D$2719,$B163,'апрель 2026'!$J$2:$J$2719,G$1)</f>
        <v>0</v>
      </c>
      <c r="H163" s="144">
        <f>SUMIFS('апрель 2026'!$G$2:$G$2719,'апрель 2026'!$D$2:$D$2719,$B163,'апрель 2026'!$J$2:$J$2719,H$1)</f>
        <v>0</v>
      </c>
      <c r="I163" s="144">
        <f>SUMIFS('апрель 2026'!$G$2:$G$2719,'апрель 2026'!$D$2:$D$2719,$B163,'апрель 2026'!$J$2:$J$2719,I$1)</f>
        <v>0</v>
      </c>
      <c r="J163" s="144">
        <f>SUMIFS('апрель 2026'!$G$2:$G$2719,'апрель 2026'!$D$2:$D$2719,$B163,'апрель 2026'!$J$2:$J$2719,J$1)</f>
        <v>0</v>
      </c>
      <c r="K163" s="144">
        <f>SUMIFS('апрель 2026'!$G$2:$G$2719,'апрель 2026'!$D$2:$D$2719,$B163,'апрель 2026'!$J$2:$J$2719,K$1)</f>
        <v>0</v>
      </c>
      <c r="L163" s="144">
        <f>SUMIFS('апрель 2026'!$G$2:$G$2719,'апрель 2026'!$D$2:$D$2719,$B163,'апрель 2026'!$J$2:$J$2719,L$1)</f>
        <v>0</v>
      </c>
      <c r="M163" s="144">
        <f>SUMIFS('апрель 2026'!$G$2:$G$2719,'апрель 2026'!$D$2:$D$2719,$B163,'апрель 2026'!$J$2:$J$2719,M$1)</f>
        <v>0</v>
      </c>
      <c r="N163" s="144">
        <f>SUMIFS('апрель 2026'!$G$2:$G$2719,'апрель 2026'!$D$2:$D$2719,$B163,'апрель 2026'!$J$2:$J$2719,N$1)</f>
        <v>0</v>
      </c>
      <c r="O163" s="144">
        <f>SUMIFS('апрель 2026'!$G$2:$G$2719,'апрель 2026'!$D$2:$D$2719,$B163,'апрель 2026'!$J$2:$J$2719,O$1)</f>
        <v>0</v>
      </c>
      <c r="P163" s="144">
        <f>SUMIFS('апрель 2026'!$G$2:$G$2719,'апрель 2026'!$D$2:$D$2719,$B163,'апрель 2026'!$J$2:$J$2719,P$1)</f>
        <v>0</v>
      </c>
      <c r="Q163" s="144">
        <f>SUMIFS('апрель 2026'!$G$2:$G$2719,'апрель 2026'!$D$2:$D$2719,$B163,'апрель 2026'!$J$2:$J$2719,Q$1)</f>
        <v>0</v>
      </c>
      <c r="R163" s="144">
        <f>SUMIFS('апрель 2026'!$G$2:$G$2719,'апрель 2026'!$D$2:$D$2719,$B163,'апрель 2026'!$J$2:$J$2719,R$1)</f>
        <v>0</v>
      </c>
      <c r="S163" s="144">
        <f>SUMIFS('апрель 2026'!$G$2:$G$2719,'апрель 2026'!$D$2:$D$2719,$B163,'апрель 2026'!$J$2:$J$2719,S$1)</f>
        <v>0</v>
      </c>
      <c r="T163" s="144">
        <f>SUMIFS('апрель 2026'!$G$2:$G$2719,'апрель 2026'!$D$2:$D$2719,$B163,'апрель 2026'!$J$2:$J$2719,T$1)</f>
        <v>0</v>
      </c>
      <c r="U163" s="144">
        <f>SUMIFS('апрель 2026'!$G$2:$G$2719,'апрель 2026'!$D$2:$D$2719,$B163,'апрель 2026'!$J$2:$J$2719,U$1)</f>
        <v>0</v>
      </c>
      <c r="V163" s="144">
        <f>SUMIFS('апрель 2026'!$G$2:$G$2719,'апрель 2026'!$D$2:$D$2719,$B163,'апрель 2026'!$J$2:$J$2719,V$1)</f>
        <v>0</v>
      </c>
      <c r="W163" s="144">
        <f>SUMIFS('апрель 2026'!$G$2:$G$2719,'апрель 2026'!$D$2:$D$2719,$B163,'апрель 2026'!$J$2:$J$2719,W$1)</f>
        <v>0</v>
      </c>
      <c r="X163" s="144">
        <f>SUMIFS('апрель 2026'!$G$2:$G$2719,'апрель 2026'!$D$2:$D$2719,$B163,'апрель 2026'!$J$2:$J$2719,X$1)</f>
        <v>0</v>
      </c>
      <c r="Y163" s="144">
        <f>SUMIFS('апрель 2026'!$G$2:$G$2719,'апрель 2026'!$D$2:$D$2719,$B163,'апрель 2026'!$J$2:$J$2719,Y$1)</f>
        <v>0</v>
      </c>
      <c r="Z163" s="144">
        <f>SUMIFS('апрель 2026'!$G$2:$G$2719,'апрель 2026'!$D$2:$D$2719,$B163,'апрель 2026'!$J$2:$J$2719,Z$1)</f>
        <v>0</v>
      </c>
      <c r="AA163" s="144">
        <f>SUMIFS('апрель 2026'!$G$2:$G$2719,'апрель 2026'!$D$2:$D$2719,$B163,'апрель 2026'!$J$2:$J$2719,AA$1)</f>
        <v>0</v>
      </c>
      <c r="AB163" s="144">
        <f>SUMIFS('апрель 2026'!$G$2:$G$2719,'апрель 2026'!$D$2:$D$2719,$B163,'апрель 2026'!$J$2:$J$2719,AB$1)</f>
        <v>0</v>
      </c>
      <c r="AC163" s="144">
        <f>SUMIFS('апрель 2026'!$G$2:$G$2719,'апрель 2026'!$D$2:$D$2719,$B163,'апрель 2026'!$J$2:$J$2719,AC$1)</f>
        <v>0</v>
      </c>
      <c r="AD163" s="144">
        <f>SUMIFS('апрель 2026'!$G$2:$G$2719,'апрель 2026'!$D$2:$D$2719,$B163,'апрель 2026'!$J$2:$J$2719,AD$1)</f>
        <v>0</v>
      </c>
      <c r="AE163" s="144">
        <f>SUMIFS('апрель 2026'!$G$2:$G$2719,'апрель 2026'!$D$2:$D$2719,$B163,'апрель 2026'!$J$2:$J$2719,AE$1)</f>
        <v>0</v>
      </c>
      <c r="AF163" s="144">
        <f>SUMIFS('апрель 2026'!$G$2:$G$2719,'апрель 2026'!$D$2:$D$2719,$B163,'апрель 2026'!$J$2:$J$2719,AF$1)</f>
        <v>0</v>
      </c>
      <c r="AG163" s="144">
        <f>SUMIFS('апрель 2026'!$G$2:$G$2719,'апрель 2026'!$D$2:$D$2719,$B163,'апрель 2026'!$J$2:$J$2719,AG$1)</f>
        <v>0</v>
      </c>
      <c r="AH163" s="144">
        <f>SUMIFS('апрель 2026'!$G$2:$G$2719,'апрель 2026'!$D$2:$D$2719,$B163,'апрель 2026'!$J$2:$J$2719,AH$1)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SUMIFS('апрель 2026'!$G$2:$G$2719,'апрель 2026'!$D$2:$D$2719,$B164,'апрель 2026'!$J$2:$J$2719,D$1)</f>
        <v>0</v>
      </c>
      <c r="E164" s="144">
        <f>SUMIFS('апрель 2026'!$G$2:$G$2719,'апрель 2026'!$D$2:$D$2719,$B164,'апрель 2026'!$J$2:$J$2719,E$1)</f>
        <v>0</v>
      </c>
      <c r="F164" s="144">
        <f>SUMIFS('апрель 2026'!$G$2:$G$2719,'апрель 2026'!$D$2:$D$2719,$B164,'апрель 2026'!$J$2:$J$2719,F$1)</f>
        <v>0</v>
      </c>
      <c r="G164" s="144">
        <f>SUMIFS('апрель 2026'!$G$2:$G$2719,'апрель 2026'!$D$2:$D$2719,$B164,'апрель 2026'!$J$2:$J$2719,G$1)</f>
        <v>0</v>
      </c>
      <c r="H164" s="144">
        <f>SUMIFS('апрель 2026'!$G$2:$G$2719,'апрель 2026'!$D$2:$D$2719,$B164,'апрель 2026'!$J$2:$J$2719,H$1)</f>
        <v>0</v>
      </c>
      <c r="I164" s="144">
        <f>SUMIFS('апрель 2026'!$G$2:$G$2719,'апрель 2026'!$D$2:$D$2719,$B164,'апрель 2026'!$J$2:$J$2719,I$1)</f>
        <v>0</v>
      </c>
      <c r="J164" s="144">
        <f>SUMIFS('апрель 2026'!$G$2:$G$2719,'апрель 2026'!$D$2:$D$2719,$B164,'апрель 2026'!$J$2:$J$2719,J$1)</f>
        <v>0</v>
      </c>
      <c r="K164" s="144">
        <f>SUMIFS('апрель 2026'!$G$2:$G$2719,'апрель 2026'!$D$2:$D$2719,$B164,'апрель 2026'!$J$2:$J$2719,K$1)</f>
        <v>0</v>
      </c>
      <c r="L164" s="144">
        <f>SUMIFS('апрель 2026'!$G$2:$G$2719,'апрель 2026'!$D$2:$D$2719,$B164,'апрель 2026'!$J$2:$J$2719,L$1)</f>
        <v>0</v>
      </c>
      <c r="M164" s="144">
        <f>SUMIFS('апрель 2026'!$G$2:$G$2719,'апрель 2026'!$D$2:$D$2719,$B164,'апрель 2026'!$J$2:$J$2719,M$1)</f>
        <v>0</v>
      </c>
      <c r="N164" s="144">
        <f>SUMIFS('апрель 2026'!$G$2:$G$2719,'апрель 2026'!$D$2:$D$2719,$B164,'апрель 2026'!$J$2:$J$2719,N$1)</f>
        <v>0</v>
      </c>
      <c r="O164" s="144">
        <f>SUMIFS('апрель 2026'!$G$2:$G$2719,'апрель 2026'!$D$2:$D$2719,$B164,'апрель 2026'!$J$2:$J$2719,O$1)</f>
        <v>0</v>
      </c>
      <c r="P164" s="144">
        <f>SUMIFS('апрель 2026'!$G$2:$G$2719,'апрель 2026'!$D$2:$D$2719,$B164,'апрель 2026'!$J$2:$J$2719,P$1)</f>
        <v>0</v>
      </c>
      <c r="Q164" s="144">
        <f>SUMIFS('апрель 2026'!$G$2:$G$2719,'апрель 2026'!$D$2:$D$2719,$B164,'апрель 2026'!$J$2:$J$2719,Q$1)</f>
        <v>0</v>
      </c>
      <c r="R164" s="144">
        <f>SUMIFS('апрель 2026'!$G$2:$G$2719,'апрель 2026'!$D$2:$D$2719,$B164,'апрель 2026'!$J$2:$J$2719,R$1)</f>
        <v>0</v>
      </c>
      <c r="S164" s="144">
        <f>SUMIFS('апрель 2026'!$G$2:$G$2719,'апрель 2026'!$D$2:$D$2719,$B164,'апрель 2026'!$J$2:$J$2719,S$1)</f>
        <v>0</v>
      </c>
      <c r="T164" s="144">
        <f>SUMIFS('апрель 2026'!$G$2:$G$2719,'апрель 2026'!$D$2:$D$2719,$B164,'апрель 2026'!$J$2:$J$2719,T$1)</f>
        <v>0</v>
      </c>
      <c r="U164" s="144">
        <f>SUMIFS('апрель 2026'!$G$2:$G$2719,'апрель 2026'!$D$2:$D$2719,$B164,'апрель 2026'!$J$2:$J$2719,U$1)</f>
        <v>0</v>
      </c>
      <c r="V164" s="144">
        <f>SUMIFS('апрель 2026'!$G$2:$G$2719,'апрель 2026'!$D$2:$D$2719,$B164,'апрель 2026'!$J$2:$J$2719,V$1)</f>
        <v>0</v>
      </c>
      <c r="W164" s="144">
        <f>SUMIFS('апрель 2026'!$G$2:$G$2719,'апрель 2026'!$D$2:$D$2719,$B164,'апрель 2026'!$J$2:$J$2719,W$1)</f>
        <v>0</v>
      </c>
      <c r="X164" s="144">
        <f>SUMIFS('апрель 2026'!$G$2:$G$2719,'апрель 2026'!$D$2:$D$2719,$B164,'апрель 2026'!$J$2:$J$2719,X$1)</f>
        <v>0</v>
      </c>
      <c r="Y164" s="144">
        <f>SUMIFS('апрель 2026'!$G$2:$G$2719,'апрель 2026'!$D$2:$D$2719,$B164,'апрель 2026'!$J$2:$J$2719,Y$1)</f>
        <v>0</v>
      </c>
      <c r="Z164" s="144">
        <f>SUMIFS('апрель 2026'!$G$2:$G$2719,'апрель 2026'!$D$2:$D$2719,$B164,'апрель 2026'!$J$2:$J$2719,Z$1)</f>
        <v>0</v>
      </c>
      <c r="AA164" s="144">
        <f>SUMIFS('апрель 2026'!$G$2:$G$2719,'апрель 2026'!$D$2:$D$2719,$B164,'апрель 2026'!$J$2:$J$2719,AA$1)</f>
        <v>0</v>
      </c>
      <c r="AB164" s="144">
        <f>SUMIFS('апрель 2026'!$G$2:$G$2719,'апрель 2026'!$D$2:$D$2719,$B164,'апрель 2026'!$J$2:$J$2719,AB$1)</f>
        <v>0</v>
      </c>
      <c r="AC164" s="144">
        <f>SUMIFS('апрель 2026'!$G$2:$G$2719,'апрель 2026'!$D$2:$D$2719,$B164,'апрель 2026'!$J$2:$J$2719,AC$1)</f>
        <v>0</v>
      </c>
      <c r="AD164" s="144">
        <f>SUMIFS('апрель 2026'!$G$2:$G$2719,'апрель 2026'!$D$2:$D$2719,$B164,'апрель 2026'!$J$2:$J$2719,AD$1)</f>
        <v>0</v>
      </c>
      <c r="AE164" s="144">
        <f>SUMIFS('апрель 2026'!$G$2:$G$2719,'апрель 2026'!$D$2:$D$2719,$B164,'апрель 2026'!$J$2:$J$2719,AE$1)</f>
        <v>0</v>
      </c>
      <c r="AF164" s="144">
        <f>SUMIFS('апрель 2026'!$G$2:$G$2719,'апрель 2026'!$D$2:$D$2719,$B164,'апрель 2026'!$J$2:$J$2719,AF$1)</f>
        <v>0</v>
      </c>
      <c r="AG164" s="144">
        <f>SUMIFS('апрель 2026'!$G$2:$G$2719,'апрель 2026'!$D$2:$D$2719,$B164,'апрель 2026'!$J$2:$J$2719,AG$1)</f>
        <v>0</v>
      </c>
      <c r="AH164" s="144">
        <f>SUMIFS('апрель 2026'!$G$2:$G$2719,'апрель 2026'!$D$2:$D$2719,$B164,'апрель 2026'!$J$2:$J$2719,AH$1)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SUMIFS('апрель 2026'!$G$2:$G$2719,'апрель 2026'!$D$2:$D$2719,$B165,'апрель 2026'!$J$2:$J$2719,D$1)</f>
        <v>0</v>
      </c>
      <c r="E165" s="144">
        <f>SUMIFS('апрель 2026'!$G$2:$G$2719,'апрель 2026'!$D$2:$D$2719,$B165,'апрель 2026'!$J$2:$J$2719,E$1)</f>
        <v>0</v>
      </c>
      <c r="F165" s="144">
        <f>SUMIFS('апрель 2026'!$G$2:$G$2719,'апрель 2026'!$D$2:$D$2719,$B165,'апрель 2026'!$J$2:$J$2719,F$1)</f>
        <v>0</v>
      </c>
      <c r="G165" s="144">
        <f>SUMIFS('апрель 2026'!$G$2:$G$2719,'апрель 2026'!$D$2:$D$2719,$B165,'апрель 2026'!$J$2:$J$2719,G$1)</f>
        <v>0</v>
      </c>
      <c r="H165" s="144">
        <f>SUMIFS('апрель 2026'!$G$2:$G$2719,'апрель 2026'!$D$2:$D$2719,$B165,'апрель 2026'!$J$2:$J$2719,H$1)</f>
        <v>0</v>
      </c>
      <c r="I165" s="144">
        <f>SUMIFS('апрель 2026'!$G$2:$G$2719,'апрель 2026'!$D$2:$D$2719,$B165,'апрель 2026'!$J$2:$J$2719,I$1)</f>
        <v>0</v>
      </c>
      <c r="J165" s="144">
        <f>SUMIFS('апрель 2026'!$G$2:$G$2719,'апрель 2026'!$D$2:$D$2719,$B165,'апрель 2026'!$J$2:$J$2719,J$1)</f>
        <v>0</v>
      </c>
      <c r="K165" s="144">
        <f>SUMIFS('апрель 2026'!$G$2:$G$2719,'апрель 2026'!$D$2:$D$2719,$B165,'апрель 2026'!$J$2:$J$2719,K$1)</f>
        <v>0</v>
      </c>
      <c r="L165" s="144">
        <f>SUMIFS('апрель 2026'!$G$2:$G$2719,'апрель 2026'!$D$2:$D$2719,$B165,'апрель 2026'!$J$2:$J$2719,L$1)</f>
        <v>0</v>
      </c>
      <c r="M165" s="144">
        <f>SUMIFS('апрель 2026'!$G$2:$G$2719,'апрель 2026'!$D$2:$D$2719,$B165,'апрель 2026'!$J$2:$J$2719,M$1)</f>
        <v>0</v>
      </c>
      <c r="N165" s="144">
        <f>SUMIFS('апрель 2026'!$G$2:$G$2719,'апрель 2026'!$D$2:$D$2719,$B165,'апрель 2026'!$J$2:$J$2719,N$1)</f>
        <v>0</v>
      </c>
      <c r="O165" s="144">
        <f>SUMIFS('апрель 2026'!$G$2:$G$2719,'апрель 2026'!$D$2:$D$2719,$B165,'апрель 2026'!$J$2:$J$2719,O$1)</f>
        <v>0</v>
      </c>
      <c r="P165" s="144">
        <f>SUMIFS('апрель 2026'!$G$2:$G$2719,'апрель 2026'!$D$2:$D$2719,$B165,'апрель 2026'!$J$2:$J$2719,P$1)</f>
        <v>0</v>
      </c>
      <c r="Q165" s="144">
        <f>SUMIFS('апрель 2026'!$G$2:$G$2719,'апрель 2026'!$D$2:$D$2719,$B165,'апрель 2026'!$J$2:$J$2719,Q$1)</f>
        <v>0</v>
      </c>
      <c r="R165" s="144">
        <f>SUMIFS('апрель 2026'!$G$2:$G$2719,'апрель 2026'!$D$2:$D$2719,$B165,'апрель 2026'!$J$2:$J$2719,R$1)</f>
        <v>0</v>
      </c>
      <c r="S165" s="144">
        <f>SUMIFS('апрель 2026'!$G$2:$G$2719,'апрель 2026'!$D$2:$D$2719,$B165,'апрель 2026'!$J$2:$J$2719,S$1)</f>
        <v>0</v>
      </c>
      <c r="T165" s="144">
        <f>SUMIFS('апрель 2026'!$G$2:$G$2719,'апрель 2026'!$D$2:$D$2719,$B165,'апрель 2026'!$J$2:$J$2719,T$1)</f>
        <v>0</v>
      </c>
      <c r="U165" s="144">
        <f>SUMIFS('апрель 2026'!$G$2:$G$2719,'апрель 2026'!$D$2:$D$2719,$B165,'апрель 2026'!$J$2:$J$2719,U$1)</f>
        <v>0</v>
      </c>
      <c r="V165" s="144">
        <f>SUMIFS('апрель 2026'!$G$2:$G$2719,'апрель 2026'!$D$2:$D$2719,$B165,'апрель 2026'!$J$2:$J$2719,V$1)</f>
        <v>0</v>
      </c>
      <c r="W165" s="144">
        <f>SUMIFS('апрель 2026'!$G$2:$G$2719,'апрель 2026'!$D$2:$D$2719,$B165,'апрель 2026'!$J$2:$J$2719,W$1)</f>
        <v>0</v>
      </c>
      <c r="X165" s="144">
        <f>SUMIFS('апрель 2026'!$G$2:$G$2719,'апрель 2026'!$D$2:$D$2719,$B165,'апрель 2026'!$J$2:$J$2719,X$1)</f>
        <v>0</v>
      </c>
      <c r="Y165" s="144">
        <f>SUMIFS('апрель 2026'!$G$2:$G$2719,'апрель 2026'!$D$2:$D$2719,$B165,'апрель 2026'!$J$2:$J$2719,Y$1)</f>
        <v>0</v>
      </c>
      <c r="Z165" s="144">
        <f>SUMIFS('апрель 2026'!$G$2:$G$2719,'апрель 2026'!$D$2:$D$2719,$B165,'апрель 2026'!$J$2:$J$2719,Z$1)</f>
        <v>0</v>
      </c>
      <c r="AA165" s="144">
        <f>SUMIFS('апрель 2026'!$G$2:$G$2719,'апрель 2026'!$D$2:$D$2719,$B165,'апрель 2026'!$J$2:$J$2719,AA$1)</f>
        <v>0</v>
      </c>
      <c r="AB165" s="144">
        <f>SUMIFS('апрель 2026'!$G$2:$G$2719,'апрель 2026'!$D$2:$D$2719,$B165,'апрель 2026'!$J$2:$J$2719,AB$1)</f>
        <v>0</v>
      </c>
      <c r="AC165" s="144">
        <f>SUMIFS('апрель 2026'!$G$2:$G$2719,'апрель 2026'!$D$2:$D$2719,$B165,'апрель 2026'!$J$2:$J$2719,AC$1)</f>
        <v>0</v>
      </c>
      <c r="AD165" s="144">
        <f>SUMIFS('апрель 2026'!$G$2:$G$2719,'апрель 2026'!$D$2:$D$2719,$B165,'апрель 2026'!$J$2:$J$2719,AD$1)</f>
        <v>0</v>
      </c>
      <c r="AE165" s="144">
        <f>SUMIFS('апрель 2026'!$G$2:$G$2719,'апрель 2026'!$D$2:$D$2719,$B165,'апрель 2026'!$J$2:$J$2719,AE$1)</f>
        <v>0</v>
      </c>
      <c r="AF165" s="144">
        <f>SUMIFS('апрель 2026'!$G$2:$G$2719,'апрель 2026'!$D$2:$D$2719,$B165,'апрель 2026'!$J$2:$J$2719,AF$1)</f>
        <v>0</v>
      </c>
      <c r="AG165" s="144">
        <f>SUMIFS('апрель 2026'!$G$2:$G$2719,'апрель 2026'!$D$2:$D$2719,$B165,'апрель 2026'!$J$2:$J$2719,AG$1)</f>
        <v>0</v>
      </c>
      <c r="AH165" s="144">
        <f>SUMIFS('апрель 2026'!$G$2:$G$2719,'апрель 2026'!$D$2:$D$2719,$B165,'апрель 2026'!$J$2:$J$2719,AH$1)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SUMIFS('апрель 2026'!$G$2:$G$2719,'апрель 2026'!$D$2:$D$2719,$B166,'апрель 2026'!$J$2:$J$2719,D$1)</f>
        <v>0</v>
      </c>
      <c r="E166" s="144">
        <f>SUMIFS('апрель 2026'!$G$2:$G$2719,'апрель 2026'!$D$2:$D$2719,$B166,'апрель 2026'!$J$2:$J$2719,E$1)</f>
        <v>0</v>
      </c>
      <c r="F166" s="144">
        <f>SUMIFS('апрель 2026'!$G$2:$G$2719,'апрель 2026'!$D$2:$D$2719,$B166,'апрель 2026'!$J$2:$J$2719,F$1)</f>
        <v>0</v>
      </c>
      <c r="G166" s="144">
        <f>SUMIFS('апрель 2026'!$G$2:$G$2719,'апрель 2026'!$D$2:$D$2719,$B166,'апрель 2026'!$J$2:$J$2719,G$1)</f>
        <v>0</v>
      </c>
      <c r="H166" s="144">
        <f>SUMIFS('апрель 2026'!$G$2:$G$2719,'апрель 2026'!$D$2:$D$2719,$B166,'апрель 2026'!$J$2:$J$2719,H$1)</f>
        <v>0</v>
      </c>
      <c r="I166" s="144">
        <f>SUMIFS('апрель 2026'!$G$2:$G$2719,'апрель 2026'!$D$2:$D$2719,$B166,'апрель 2026'!$J$2:$J$2719,I$1)</f>
        <v>0</v>
      </c>
      <c r="J166" s="144">
        <f>SUMIFS('апрель 2026'!$G$2:$G$2719,'апрель 2026'!$D$2:$D$2719,$B166,'апрель 2026'!$J$2:$J$2719,J$1)</f>
        <v>0</v>
      </c>
      <c r="K166" s="144">
        <f>SUMIFS('апрель 2026'!$G$2:$G$2719,'апрель 2026'!$D$2:$D$2719,$B166,'апрель 2026'!$J$2:$J$2719,K$1)</f>
        <v>0</v>
      </c>
      <c r="L166" s="144">
        <f>SUMIFS('апрель 2026'!$G$2:$G$2719,'апрель 2026'!$D$2:$D$2719,$B166,'апрель 2026'!$J$2:$J$2719,L$1)</f>
        <v>0</v>
      </c>
      <c r="M166" s="144">
        <f>SUMIFS('апрель 2026'!$G$2:$G$2719,'апрель 2026'!$D$2:$D$2719,$B166,'апрель 2026'!$J$2:$J$2719,M$1)</f>
        <v>0</v>
      </c>
      <c r="N166" s="144">
        <f>SUMIFS('апрель 2026'!$G$2:$G$2719,'апрель 2026'!$D$2:$D$2719,$B166,'апрель 2026'!$J$2:$J$2719,N$1)</f>
        <v>0</v>
      </c>
      <c r="O166" s="144">
        <f>SUMIFS('апрель 2026'!$G$2:$G$2719,'апрель 2026'!$D$2:$D$2719,$B166,'апрель 2026'!$J$2:$J$2719,O$1)</f>
        <v>0</v>
      </c>
      <c r="P166" s="144">
        <f>SUMIFS('апрель 2026'!$G$2:$G$2719,'апрель 2026'!$D$2:$D$2719,$B166,'апрель 2026'!$J$2:$J$2719,P$1)</f>
        <v>0</v>
      </c>
      <c r="Q166" s="144">
        <f>SUMIFS('апрель 2026'!$G$2:$G$2719,'апрель 2026'!$D$2:$D$2719,$B166,'апрель 2026'!$J$2:$J$2719,Q$1)</f>
        <v>0</v>
      </c>
      <c r="R166" s="144">
        <f>SUMIFS('апрель 2026'!$G$2:$G$2719,'апрель 2026'!$D$2:$D$2719,$B166,'апрель 2026'!$J$2:$J$2719,R$1)</f>
        <v>0</v>
      </c>
      <c r="S166" s="144">
        <f>SUMIFS('апрель 2026'!$G$2:$G$2719,'апрель 2026'!$D$2:$D$2719,$B166,'апрель 2026'!$J$2:$J$2719,S$1)</f>
        <v>0</v>
      </c>
      <c r="T166" s="144">
        <f>SUMIFS('апрель 2026'!$G$2:$G$2719,'апрель 2026'!$D$2:$D$2719,$B166,'апрель 2026'!$J$2:$J$2719,T$1)</f>
        <v>0</v>
      </c>
      <c r="U166" s="144">
        <f>SUMIFS('апрель 2026'!$G$2:$G$2719,'апрель 2026'!$D$2:$D$2719,$B166,'апрель 2026'!$J$2:$J$2719,U$1)</f>
        <v>0</v>
      </c>
      <c r="V166" s="144">
        <f>SUMIFS('апрель 2026'!$G$2:$G$2719,'апрель 2026'!$D$2:$D$2719,$B166,'апрель 2026'!$J$2:$J$2719,V$1)</f>
        <v>0</v>
      </c>
      <c r="W166" s="144">
        <f>SUMIFS('апрель 2026'!$G$2:$G$2719,'апрель 2026'!$D$2:$D$2719,$B166,'апрель 2026'!$J$2:$J$2719,W$1)</f>
        <v>0</v>
      </c>
      <c r="X166" s="144">
        <f>SUMIFS('апрель 2026'!$G$2:$G$2719,'апрель 2026'!$D$2:$D$2719,$B166,'апрель 2026'!$J$2:$J$2719,X$1)</f>
        <v>0</v>
      </c>
      <c r="Y166" s="144">
        <f>SUMIFS('апрель 2026'!$G$2:$G$2719,'апрель 2026'!$D$2:$D$2719,$B166,'апрель 2026'!$J$2:$J$2719,Y$1)</f>
        <v>0</v>
      </c>
      <c r="Z166" s="144">
        <f>SUMIFS('апрель 2026'!$G$2:$G$2719,'апрель 2026'!$D$2:$D$2719,$B166,'апрель 2026'!$J$2:$J$2719,Z$1)</f>
        <v>0</v>
      </c>
      <c r="AA166" s="144">
        <f>SUMIFS('апрель 2026'!$G$2:$G$2719,'апрель 2026'!$D$2:$D$2719,$B166,'апрель 2026'!$J$2:$J$2719,AA$1)</f>
        <v>0</v>
      </c>
      <c r="AB166" s="144">
        <f>SUMIFS('апрель 2026'!$G$2:$G$2719,'апрель 2026'!$D$2:$D$2719,$B166,'апрель 2026'!$J$2:$J$2719,AB$1)</f>
        <v>0</v>
      </c>
      <c r="AC166" s="144">
        <f>SUMIFS('апрель 2026'!$G$2:$G$2719,'апрель 2026'!$D$2:$D$2719,$B166,'апрель 2026'!$J$2:$J$2719,AC$1)</f>
        <v>0</v>
      </c>
      <c r="AD166" s="144">
        <f>SUMIFS('апрель 2026'!$G$2:$G$2719,'апрель 2026'!$D$2:$D$2719,$B166,'апрель 2026'!$J$2:$J$2719,AD$1)</f>
        <v>0</v>
      </c>
      <c r="AE166" s="144">
        <f>SUMIFS('апрель 2026'!$G$2:$G$2719,'апрель 2026'!$D$2:$D$2719,$B166,'апрель 2026'!$J$2:$J$2719,AE$1)</f>
        <v>0</v>
      </c>
      <c r="AF166" s="144">
        <f>SUMIFS('апрель 2026'!$G$2:$G$2719,'апрель 2026'!$D$2:$D$2719,$B166,'апрель 2026'!$J$2:$J$2719,AF$1)</f>
        <v>0</v>
      </c>
      <c r="AG166" s="144">
        <f>SUMIFS('апрель 2026'!$G$2:$G$2719,'апрель 2026'!$D$2:$D$2719,$B166,'апрель 2026'!$J$2:$J$2719,AG$1)</f>
        <v>0</v>
      </c>
      <c r="AH166" s="144">
        <f>SUMIFS('апрель 2026'!$G$2:$G$2719,'апрель 2026'!$D$2:$D$2719,$B166,'апрель 2026'!$J$2:$J$2719,AH$1)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SUMIFS('апрель 2026'!$G$2:$G$2719,'апрель 2026'!$D$2:$D$2719,$B167,'апрель 2026'!$J$2:$J$2719,D$1)</f>
        <v>0</v>
      </c>
      <c r="E167" s="144">
        <f>SUMIFS('апрель 2026'!$G$2:$G$2719,'апрель 2026'!$D$2:$D$2719,$B167,'апрель 2026'!$J$2:$J$2719,E$1)</f>
        <v>0</v>
      </c>
      <c r="F167" s="144">
        <f>SUMIFS('апрель 2026'!$G$2:$G$2719,'апрель 2026'!$D$2:$D$2719,$B167,'апрель 2026'!$J$2:$J$2719,F$1)</f>
        <v>0</v>
      </c>
      <c r="G167" s="144">
        <f>SUMIFS('апрель 2026'!$G$2:$G$2719,'апрель 2026'!$D$2:$D$2719,$B167,'апрель 2026'!$J$2:$J$2719,G$1)</f>
        <v>0</v>
      </c>
      <c r="H167" s="144">
        <f>SUMIFS('апрель 2026'!$G$2:$G$2719,'апрель 2026'!$D$2:$D$2719,$B167,'апрель 2026'!$J$2:$J$2719,H$1)</f>
        <v>0</v>
      </c>
      <c r="I167" s="144">
        <f>SUMIFS('апрель 2026'!$G$2:$G$2719,'апрель 2026'!$D$2:$D$2719,$B167,'апрель 2026'!$J$2:$J$2719,I$1)</f>
        <v>0</v>
      </c>
      <c r="J167" s="144">
        <f>SUMIFS('апрель 2026'!$G$2:$G$2719,'апрель 2026'!$D$2:$D$2719,$B167,'апрель 2026'!$J$2:$J$2719,J$1)</f>
        <v>0</v>
      </c>
      <c r="K167" s="144">
        <f>SUMIFS('апрель 2026'!$G$2:$G$2719,'апрель 2026'!$D$2:$D$2719,$B167,'апрель 2026'!$J$2:$J$2719,K$1)</f>
        <v>0</v>
      </c>
      <c r="L167" s="144">
        <f>SUMIFS('апрель 2026'!$G$2:$G$2719,'апрель 2026'!$D$2:$D$2719,$B167,'апрель 2026'!$J$2:$J$2719,L$1)</f>
        <v>0</v>
      </c>
      <c r="M167" s="144">
        <f>SUMIFS('апрель 2026'!$G$2:$G$2719,'апрель 2026'!$D$2:$D$2719,$B167,'апрель 2026'!$J$2:$J$2719,M$1)</f>
        <v>6</v>
      </c>
      <c r="N167" s="144">
        <f>SUMIFS('апрель 2026'!$G$2:$G$2719,'апрель 2026'!$D$2:$D$2719,$B167,'апрель 2026'!$J$2:$J$2719,N$1)</f>
        <v>0</v>
      </c>
      <c r="O167" s="144">
        <f>SUMIFS('апрель 2026'!$G$2:$G$2719,'апрель 2026'!$D$2:$D$2719,$B167,'апрель 2026'!$J$2:$J$2719,O$1)</f>
        <v>0</v>
      </c>
      <c r="P167" s="144">
        <f>SUMIFS('апрель 2026'!$G$2:$G$2719,'апрель 2026'!$D$2:$D$2719,$B167,'апрель 2026'!$J$2:$J$2719,P$1)</f>
        <v>0</v>
      </c>
      <c r="Q167" s="144">
        <f>SUMIFS('апрель 2026'!$G$2:$G$2719,'апрель 2026'!$D$2:$D$2719,$B167,'апрель 2026'!$J$2:$J$2719,Q$1)</f>
        <v>0</v>
      </c>
      <c r="R167" s="144">
        <f>SUMIFS('апрель 2026'!$G$2:$G$2719,'апрель 2026'!$D$2:$D$2719,$B167,'апрель 2026'!$J$2:$J$2719,R$1)</f>
        <v>0</v>
      </c>
      <c r="S167" s="144">
        <f>SUMIFS('апрель 2026'!$G$2:$G$2719,'апрель 2026'!$D$2:$D$2719,$B167,'апрель 2026'!$J$2:$J$2719,S$1)</f>
        <v>0</v>
      </c>
      <c r="T167" s="144">
        <f>SUMIFS('апрель 2026'!$G$2:$G$2719,'апрель 2026'!$D$2:$D$2719,$B167,'апрель 2026'!$J$2:$J$2719,T$1)</f>
        <v>0</v>
      </c>
      <c r="U167" s="144">
        <f>SUMIFS('апрель 2026'!$G$2:$G$2719,'апрель 2026'!$D$2:$D$2719,$B167,'апрель 2026'!$J$2:$J$2719,U$1)</f>
        <v>0</v>
      </c>
      <c r="V167" s="144">
        <f>SUMIFS('апрель 2026'!$G$2:$G$2719,'апрель 2026'!$D$2:$D$2719,$B167,'апрель 2026'!$J$2:$J$2719,V$1)</f>
        <v>0</v>
      </c>
      <c r="W167" s="144">
        <f>SUMIFS('апрель 2026'!$G$2:$G$2719,'апрель 2026'!$D$2:$D$2719,$B167,'апрель 2026'!$J$2:$J$2719,W$1)</f>
        <v>0</v>
      </c>
      <c r="X167" s="144">
        <f>SUMIFS('апрель 2026'!$G$2:$G$2719,'апрель 2026'!$D$2:$D$2719,$B167,'апрель 2026'!$J$2:$J$2719,X$1)</f>
        <v>0</v>
      </c>
      <c r="Y167" s="144">
        <f>SUMIFS('апрель 2026'!$G$2:$G$2719,'апрель 2026'!$D$2:$D$2719,$B167,'апрель 2026'!$J$2:$J$2719,Y$1)</f>
        <v>0</v>
      </c>
      <c r="Z167" s="144">
        <f>SUMIFS('апрель 2026'!$G$2:$G$2719,'апрель 2026'!$D$2:$D$2719,$B167,'апрель 2026'!$J$2:$J$2719,Z$1)</f>
        <v>0</v>
      </c>
      <c r="AA167" s="144">
        <f>SUMIFS('апрель 2026'!$G$2:$G$2719,'апрель 2026'!$D$2:$D$2719,$B167,'апрель 2026'!$J$2:$J$2719,AA$1)</f>
        <v>0</v>
      </c>
      <c r="AB167" s="144">
        <f>SUMIFS('апрель 2026'!$G$2:$G$2719,'апрель 2026'!$D$2:$D$2719,$B167,'апрель 2026'!$J$2:$J$2719,AB$1)</f>
        <v>0</v>
      </c>
      <c r="AC167" s="144">
        <f>SUMIFS('апрель 2026'!$G$2:$G$2719,'апрель 2026'!$D$2:$D$2719,$B167,'апрель 2026'!$J$2:$J$2719,AC$1)</f>
        <v>0</v>
      </c>
      <c r="AD167" s="144">
        <f>SUMIFS('апрель 2026'!$G$2:$G$2719,'апрель 2026'!$D$2:$D$2719,$B167,'апрель 2026'!$J$2:$J$2719,AD$1)</f>
        <v>0</v>
      </c>
      <c r="AE167" s="144">
        <f>SUMIFS('апрель 2026'!$G$2:$G$2719,'апрель 2026'!$D$2:$D$2719,$B167,'апрель 2026'!$J$2:$J$2719,AE$1)</f>
        <v>0</v>
      </c>
      <c r="AF167" s="144">
        <f>SUMIFS('апрель 2026'!$G$2:$G$2719,'апрель 2026'!$D$2:$D$2719,$B167,'апрель 2026'!$J$2:$J$2719,AF$1)</f>
        <v>0</v>
      </c>
      <c r="AG167" s="144">
        <f>SUMIFS('апрель 2026'!$G$2:$G$2719,'апрель 2026'!$D$2:$D$2719,$B167,'апрель 2026'!$J$2:$J$2719,AG$1)</f>
        <v>0</v>
      </c>
      <c r="AH167" s="144">
        <f>SUMIFS('апрель 2026'!$G$2:$G$2719,'апрель 2026'!$D$2:$D$2719,$B167,'апрель 2026'!$J$2:$J$2719,AH$1)</f>
        <v>0</v>
      </c>
      <c r="AI167" s="20">
        <f t="shared" si="1"/>
        <v>6</v>
      </c>
    </row>
    <row r="168" spans="2:35" ht="15" customHeight="1" x14ac:dyDescent="0.25">
      <c r="B168" s="85" t="s">
        <v>175</v>
      </c>
      <c r="C168" s="83">
        <v>25</v>
      </c>
      <c r="D168" s="144">
        <f>SUMIFS('апрель 2026'!$G$2:$G$2719,'апрель 2026'!$D$2:$D$2719,$B168,'апрель 2026'!$J$2:$J$2719,D$1)</f>
        <v>0</v>
      </c>
      <c r="E168" s="144">
        <f>SUMIFS('апрель 2026'!$G$2:$G$2719,'апрель 2026'!$D$2:$D$2719,$B168,'апрель 2026'!$J$2:$J$2719,E$1)</f>
        <v>0</v>
      </c>
      <c r="F168" s="144">
        <f>SUMIFS('апрель 2026'!$G$2:$G$2719,'апрель 2026'!$D$2:$D$2719,$B168,'апрель 2026'!$J$2:$J$2719,F$1)</f>
        <v>0</v>
      </c>
      <c r="G168" s="144">
        <f>SUMIFS('апрель 2026'!$G$2:$G$2719,'апрель 2026'!$D$2:$D$2719,$B168,'апрель 2026'!$J$2:$J$2719,G$1)</f>
        <v>0</v>
      </c>
      <c r="H168" s="144">
        <f>SUMIFS('апрель 2026'!$G$2:$G$2719,'апрель 2026'!$D$2:$D$2719,$B168,'апрель 2026'!$J$2:$J$2719,H$1)</f>
        <v>0</v>
      </c>
      <c r="I168" s="144">
        <f>SUMIFS('апрель 2026'!$G$2:$G$2719,'апрель 2026'!$D$2:$D$2719,$B168,'апрель 2026'!$J$2:$J$2719,I$1)</f>
        <v>0</v>
      </c>
      <c r="J168" s="144">
        <f>SUMIFS('апрель 2026'!$G$2:$G$2719,'апрель 2026'!$D$2:$D$2719,$B168,'апрель 2026'!$J$2:$J$2719,J$1)</f>
        <v>0</v>
      </c>
      <c r="K168" s="144">
        <f>SUMIFS('апрель 2026'!$G$2:$G$2719,'апрель 2026'!$D$2:$D$2719,$B168,'апрель 2026'!$J$2:$J$2719,K$1)</f>
        <v>0</v>
      </c>
      <c r="L168" s="144">
        <f>SUMIFS('апрель 2026'!$G$2:$G$2719,'апрель 2026'!$D$2:$D$2719,$B168,'апрель 2026'!$J$2:$J$2719,L$1)</f>
        <v>0</v>
      </c>
      <c r="M168" s="144">
        <f>SUMIFS('апрель 2026'!$G$2:$G$2719,'апрель 2026'!$D$2:$D$2719,$B168,'апрель 2026'!$J$2:$J$2719,M$1)</f>
        <v>0</v>
      </c>
      <c r="N168" s="144">
        <f>SUMIFS('апрель 2026'!$G$2:$G$2719,'апрель 2026'!$D$2:$D$2719,$B168,'апрель 2026'!$J$2:$J$2719,N$1)</f>
        <v>0</v>
      </c>
      <c r="O168" s="144">
        <f>SUMIFS('апрель 2026'!$G$2:$G$2719,'апрель 2026'!$D$2:$D$2719,$B168,'апрель 2026'!$J$2:$J$2719,O$1)</f>
        <v>0</v>
      </c>
      <c r="P168" s="144">
        <f>SUMIFS('апрель 2026'!$G$2:$G$2719,'апрель 2026'!$D$2:$D$2719,$B168,'апрель 2026'!$J$2:$J$2719,P$1)</f>
        <v>0</v>
      </c>
      <c r="Q168" s="144">
        <f>SUMIFS('апрель 2026'!$G$2:$G$2719,'апрель 2026'!$D$2:$D$2719,$B168,'апрель 2026'!$J$2:$J$2719,Q$1)</f>
        <v>0</v>
      </c>
      <c r="R168" s="144">
        <f>SUMIFS('апрель 2026'!$G$2:$G$2719,'апрель 2026'!$D$2:$D$2719,$B168,'апрель 2026'!$J$2:$J$2719,R$1)</f>
        <v>0</v>
      </c>
      <c r="S168" s="144">
        <f>SUMIFS('апрель 2026'!$G$2:$G$2719,'апрель 2026'!$D$2:$D$2719,$B168,'апрель 2026'!$J$2:$J$2719,S$1)</f>
        <v>0</v>
      </c>
      <c r="T168" s="144">
        <f>SUMIFS('апрель 2026'!$G$2:$G$2719,'апрель 2026'!$D$2:$D$2719,$B168,'апрель 2026'!$J$2:$J$2719,T$1)</f>
        <v>0</v>
      </c>
      <c r="U168" s="144">
        <f>SUMIFS('апрель 2026'!$G$2:$G$2719,'апрель 2026'!$D$2:$D$2719,$B168,'апрель 2026'!$J$2:$J$2719,U$1)</f>
        <v>0</v>
      </c>
      <c r="V168" s="144">
        <f>SUMIFS('апрель 2026'!$G$2:$G$2719,'апрель 2026'!$D$2:$D$2719,$B168,'апрель 2026'!$J$2:$J$2719,V$1)</f>
        <v>0</v>
      </c>
      <c r="W168" s="144">
        <f>SUMIFS('апрель 2026'!$G$2:$G$2719,'апрель 2026'!$D$2:$D$2719,$B168,'апрель 2026'!$J$2:$J$2719,W$1)</f>
        <v>0</v>
      </c>
      <c r="X168" s="144">
        <f>SUMIFS('апрель 2026'!$G$2:$G$2719,'апрель 2026'!$D$2:$D$2719,$B168,'апрель 2026'!$J$2:$J$2719,X$1)</f>
        <v>0</v>
      </c>
      <c r="Y168" s="144">
        <f>SUMIFS('апрель 2026'!$G$2:$G$2719,'апрель 2026'!$D$2:$D$2719,$B168,'апрель 2026'!$J$2:$J$2719,Y$1)</f>
        <v>0</v>
      </c>
      <c r="Z168" s="144">
        <f>SUMIFS('апрель 2026'!$G$2:$G$2719,'апрель 2026'!$D$2:$D$2719,$B168,'апрель 2026'!$J$2:$J$2719,Z$1)</f>
        <v>0</v>
      </c>
      <c r="AA168" s="144">
        <f>SUMIFS('апрель 2026'!$G$2:$G$2719,'апрель 2026'!$D$2:$D$2719,$B168,'апрель 2026'!$J$2:$J$2719,AA$1)</f>
        <v>0</v>
      </c>
      <c r="AB168" s="144">
        <f>SUMIFS('апрель 2026'!$G$2:$G$2719,'апрель 2026'!$D$2:$D$2719,$B168,'апрель 2026'!$J$2:$J$2719,AB$1)</f>
        <v>0</v>
      </c>
      <c r="AC168" s="144">
        <f>SUMIFS('апрель 2026'!$G$2:$G$2719,'апрель 2026'!$D$2:$D$2719,$B168,'апрель 2026'!$J$2:$J$2719,AC$1)</f>
        <v>0</v>
      </c>
      <c r="AD168" s="144">
        <f>SUMIFS('апрель 2026'!$G$2:$G$2719,'апрель 2026'!$D$2:$D$2719,$B168,'апрель 2026'!$J$2:$J$2719,AD$1)</f>
        <v>0</v>
      </c>
      <c r="AE168" s="144">
        <f>SUMIFS('апрель 2026'!$G$2:$G$2719,'апрель 2026'!$D$2:$D$2719,$B168,'апрель 2026'!$J$2:$J$2719,AE$1)</f>
        <v>0</v>
      </c>
      <c r="AF168" s="144">
        <f>SUMIFS('апрель 2026'!$G$2:$G$2719,'апрель 2026'!$D$2:$D$2719,$B168,'апрель 2026'!$J$2:$J$2719,AF$1)</f>
        <v>0</v>
      </c>
      <c r="AG168" s="144">
        <f>SUMIFS('апрель 2026'!$G$2:$G$2719,'апрель 2026'!$D$2:$D$2719,$B168,'апрель 2026'!$J$2:$J$2719,AG$1)</f>
        <v>0</v>
      </c>
      <c r="AH168" s="144">
        <f>SUMIFS('апрель 2026'!$G$2:$G$2719,'апрель 2026'!$D$2:$D$2719,$B168,'апрель 2026'!$J$2:$J$2719,AH$1)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SUMIFS('апрель 2026'!$G$2:$G$2719,'апрель 2026'!$D$2:$D$2719,$B169,'апрель 2026'!$J$2:$J$2719,D$1)</f>
        <v>0</v>
      </c>
      <c r="E169" s="144">
        <f>SUMIFS('апрель 2026'!$G$2:$G$2719,'апрель 2026'!$D$2:$D$2719,$B169,'апрель 2026'!$J$2:$J$2719,E$1)</f>
        <v>0</v>
      </c>
      <c r="F169" s="144">
        <f>SUMIFS('апрель 2026'!$G$2:$G$2719,'апрель 2026'!$D$2:$D$2719,$B169,'апрель 2026'!$J$2:$J$2719,F$1)</f>
        <v>0</v>
      </c>
      <c r="G169" s="144">
        <f>SUMIFS('апрель 2026'!$G$2:$G$2719,'апрель 2026'!$D$2:$D$2719,$B169,'апрель 2026'!$J$2:$J$2719,G$1)</f>
        <v>0</v>
      </c>
      <c r="H169" s="144">
        <f>SUMIFS('апрель 2026'!$G$2:$G$2719,'апрель 2026'!$D$2:$D$2719,$B169,'апрель 2026'!$J$2:$J$2719,H$1)</f>
        <v>0</v>
      </c>
      <c r="I169" s="144">
        <f>SUMIFS('апрель 2026'!$G$2:$G$2719,'апрель 2026'!$D$2:$D$2719,$B169,'апрель 2026'!$J$2:$J$2719,I$1)</f>
        <v>0</v>
      </c>
      <c r="J169" s="144">
        <f>SUMIFS('апрель 2026'!$G$2:$G$2719,'апрель 2026'!$D$2:$D$2719,$B169,'апрель 2026'!$J$2:$J$2719,J$1)</f>
        <v>0</v>
      </c>
      <c r="K169" s="144">
        <f>SUMIFS('апрель 2026'!$G$2:$G$2719,'апрель 2026'!$D$2:$D$2719,$B169,'апрель 2026'!$J$2:$J$2719,K$1)</f>
        <v>0</v>
      </c>
      <c r="L169" s="144">
        <f>SUMIFS('апрель 2026'!$G$2:$G$2719,'апрель 2026'!$D$2:$D$2719,$B169,'апрель 2026'!$J$2:$J$2719,L$1)</f>
        <v>0</v>
      </c>
      <c r="M169" s="144">
        <f>SUMIFS('апрель 2026'!$G$2:$G$2719,'апрель 2026'!$D$2:$D$2719,$B169,'апрель 2026'!$J$2:$J$2719,M$1)</f>
        <v>0</v>
      </c>
      <c r="N169" s="144">
        <f>SUMIFS('апрель 2026'!$G$2:$G$2719,'апрель 2026'!$D$2:$D$2719,$B169,'апрель 2026'!$J$2:$J$2719,N$1)</f>
        <v>0</v>
      </c>
      <c r="O169" s="144">
        <f>SUMIFS('апрель 2026'!$G$2:$G$2719,'апрель 2026'!$D$2:$D$2719,$B169,'апрель 2026'!$J$2:$J$2719,O$1)</f>
        <v>0</v>
      </c>
      <c r="P169" s="144">
        <f>SUMIFS('апрель 2026'!$G$2:$G$2719,'апрель 2026'!$D$2:$D$2719,$B169,'апрель 2026'!$J$2:$J$2719,P$1)</f>
        <v>0</v>
      </c>
      <c r="Q169" s="144">
        <f>SUMIFS('апрель 2026'!$G$2:$G$2719,'апрель 2026'!$D$2:$D$2719,$B169,'апрель 2026'!$J$2:$J$2719,Q$1)</f>
        <v>0</v>
      </c>
      <c r="R169" s="144">
        <f>SUMIFS('апрель 2026'!$G$2:$G$2719,'апрель 2026'!$D$2:$D$2719,$B169,'апрель 2026'!$J$2:$J$2719,R$1)</f>
        <v>0</v>
      </c>
      <c r="S169" s="144">
        <f>SUMIFS('апрель 2026'!$G$2:$G$2719,'апрель 2026'!$D$2:$D$2719,$B169,'апрель 2026'!$J$2:$J$2719,S$1)</f>
        <v>0</v>
      </c>
      <c r="T169" s="144">
        <f>SUMIFS('апрель 2026'!$G$2:$G$2719,'апрель 2026'!$D$2:$D$2719,$B169,'апрель 2026'!$J$2:$J$2719,T$1)</f>
        <v>0</v>
      </c>
      <c r="U169" s="144">
        <f>SUMIFS('апрель 2026'!$G$2:$G$2719,'апрель 2026'!$D$2:$D$2719,$B169,'апрель 2026'!$J$2:$J$2719,U$1)</f>
        <v>0</v>
      </c>
      <c r="V169" s="144">
        <f>SUMIFS('апрель 2026'!$G$2:$G$2719,'апрель 2026'!$D$2:$D$2719,$B169,'апрель 2026'!$J$2:$J$2719,V$1)</f>
        <v>0</v>
      </c>
      <c r="W169" s="144">
        <f>SUMIFS('апрель 2026'!$G$2:$G$2719,'апрель 2026'!$D$2:$D$2719,$B169,'апрель 2026'!$J$2:$J$2719,W$1)</f>
        <v>0</v>
      </c>
      <c r="X169" s="144">
        <f>SUMIFS('апрель 2026'!$G$2:$G$2719,'апрель 2026'!$D$2:$D$2719,$B169,'апрель 2026'!$J$2:$J$2719,X$1)</f>
        <v>0</v>
      </c>
      <c r="Y169" s="144">
        <f>SUMIFS('апрель 2026'!$G$2:$G$2719,'апрель 2026'!$D$2:$D$2719,$B169,'апрель 2026'!$J$2:$J$2719,Y$1)</f>
        <v>0</v>
      </c>
      <c r="Z169" s="144">
        <f>SUMIFS('апрель 2026'!$G$2:$G$2719,'апрель 2026'!$D$2:$D$2719,$B169,'апрель 2026'!$J$2:$J$2719,Z$1)</f>
        <v>0</v>
      </c>
      <c r="AA169" s="144">
        <f>SUMIFS('апрель 2026'!$G$2:$G$2719,'апрель 2026'!$D$2:$D$2719,$B169,'апрель 2026'!$J$2:$J$2719,AA$1)</f>
        <v>0</v>
      </c>
      <c r="AB169" s="144">
        <f>SUMIFS('апрель 2026'!$G$2:$G$2719,'апрель 2026'!$D$2:$D$2719,$B169,'апрель 2026'!$J$2:$J$2719,AB$1)</f>
        <v>0</v>
      </c>
      <c r="AC169" s="144">
        <f>SUMIFS('апрель 2026'!$G$2:$G$2719,'апрель 2026'!$D$2:$D$2719,$B169,'апрель 2026'!$J$2:$J$2719,AC$1)</f>
        <v>0</v>
      </c>
      <c r="AD169" s="144">
        <f>SUMIFS('апрель 2026'!$G$2:$G$2719,'апрель 2026'!$D$2:$D$2719,$B169,'апрель 2026'!$J$2:$J$2719,AD$1)</f>
        <v>0</v>
      </c>
      <c r="AE169" s="144">
        <f>SUMIFS('апрель 2026'!$G$2:$G$2719,'апрель 2026'!$D$2:$D$2719,$B169,'апрель 2026'!$J$2:$J$2719,AE$1)</f>
        <v>0</v>
      </c>
      <c r="AF169" s="144">
        <f>SUMIFS('апрель 2026'!$G$2:$G$2719,'апрель 2026'!$D$2:$D$2719,$B169,'апрель 2026'!$J$2:$J$2719,AF$1)</f>
        <v>0</v>
      </c>
      <c r="AG169" s="144">
        <f>SUMIFS('апрель 2026'!$G$2:$G$2719,'апрель 2026'!$D$2:$D$2719,$B169,'апрель 2026'!$J$2:$J$2719,AG$1)</f>
        <v>0</v>
      </c>
      <c r="AH169" s="144">
        <f>SUMIFS('апрель 2026'!$G$2:$G$2719,'апрель 2026'!$D$2:$D$2719,$B169,'апрель 2026'!$J$2:$J$2719,AH$1)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SUMIFS('апрель 2026'!$G$2:$G$2719,'апрель 2026'!$D$2:$D$2719,$B170,'апрель 2026'!$J$2:$J$2719,D$1)</f>
        <v>0</v>
      </c>
      <c r="E170" s="144">
        <f>SUMIFS('апрель 2026'!$G$2:$G$2719,'апрель 2026'!$D$2:$D$2719,$B170,'апрель 2026'!$J$2:$J$2719,E$1)</f>
        <v>0</v>
      </c>
      <c r="F170" s="144">
        <f>SUMIFS('апрель 2026'!$G$2:$G$2719,'апрель 2026'!$D$2:$D$2719,$B170,'апрель 2026'!$J$2:$J$2719,F$1)</f>
        <v>0</v>
      </c>
      <c r="G170" s="144">
        <f>SUMIFS('апрель 2026'!$G$2:$G$2719,'апрель 2026'!$D$2:$D$2719,$B170,'апрель 2026'!$J$2:$J$2719,G$1)</f>
        <v>0</v>
      </c>
      <c r="H170" s="144">
        <f>SUMIFS('апрель 2026'!$G$2:$G$2719,'апрель 2026'!$D$2:$D$2719,$B170,'апрель 2026'!$J$2:$J$2719,H$1)</f>
        <v>0</v>
      </c>
      <c r="I170" s="144">
        <f>SUMIFS('апрель 2026'!$G$2:$G$2719,'апрель 2026'!$D$2:$D$2719,$B170,'апрель 2026'!$J$2:$J$2719,I$1)</f>
        <v>0</v>
      </c>
      <c r="J170" s="144">
        <f>SUMIFS('апрель 2026'!$G$2:$G$2719,'апрель 2026'!$D$2:$D$2719,$B170,'апрель 2026'!$J$2:$J$2719,J$1)</f>
        <v>0</v>
      </c>
      <c r="K170" s="144">
        <f>SUMIFS('апрель 2026'!$G$2:$G$2719,'апрель 2026'!$D$2:$D$2719,$B170,'апрель 2026'!$J$2:$J$2719,K$1)</f>
        <v>0</v>
      </c>
      <c r="L170" s="144">
        <f>SUMIFS('апрель 2026'!$G$2:$G$2719,'апрель 2026'!$D$2:$D$2719,$B170,'апрель 2026'!$J$2:$J$2719,L$1)</f>
        <v>0</v>
      </c>
      <c r="M170" s="144">
        <f>SUMIFS('апрель 2026'!$G$2:$G$2719,'апрель 2026'!$D$2:$D$2719,$B170,'апрель 2026'!$J$2:$J$2719,M$1)</f>
        <v>0</v>
      </c>
      <c r="N170" s="144">
        <f>SUMIFS('апрель 2026'!$G$2:$G$2719,'апрель 2026'!$D$2:$D$2719,$B170,'апрель 2026'!$J$2:$J$2719,N$1)</f>
        <v>0</v>
      </c>
      <c r="O170" s="144">
        <f>SUMIFS('апрель 2026'!$G$2:$G$2719,'апрель 2026'!$D$2:$D$2719,$B170,'апрель 2026'!$J$2:$J$2719,O$1)</f>
        <v>0</v>
      </c>
      <c r="P170" s="144">
        <f>SUMIFS('апрель 2026'!$G$2:$G$2719,'апрель 2026'!$D$2:$D$2719,$B170,'апрель 2026'!$J$2:$J$2719,P$1)</f>
        <v>0</v>
      </c>
      <c r="Q170" s="144">
        <f>SUMIFS('апрель 2026'!$G$2:$G$2719,'апрель 2026'!$D$2:$D$2719,$B170,'апрель 2026'!$J$2:$J$2719,Q$1)</f>
        <v>0</v>
      </c>
      <c r="R170" s="144">
        <f>SUMIFS('апрель 2026'!$G$2:$G$2719,'апрель 2026'!$D$2:$D$2719,$B170,'апрель 2026'!$J$2:$J$2719,R$1)</f>
        <v>0</v>
      </c>
      <c r="S170" s="144">
        <f>SUMIFS('апрель 2026'!$G$2:$G$2719,'апрель 2026'!$D$2:$D$2719,$B170,'апрель 2026'!$J$2:$J$2719,S$1)</f>
        <v>0</v>
      </c>
      <c r="T170" s="144">
        <f>SUMIFS('апрель 2026'!$G$2:$G$2719,'апрель 2026'!$D$2:$D$2719,$B170,'апрель 2026'!$J$2:$J$2719,T$1)</f>
        <v>0</v>
      </c>
      <c r="U170" s="144">
        <f>SUMIFS('апрель 2026'!$G$2:$G$2719,'апрель 2026'!$D$2:$D$2719,$B170,'апрель 2026'!$J$2:$J$2719,U$1)</f>
        <v>0</v>
      </c>
      <c r="V170" s="144">
        <f>SUMIFS('апрель 2026'!$G$2:$G$2719,'апрель 2026'!$D$2:$D$2719,$B170,'апрель 2026'!$J$2:$J$2719,V$1)</f>
        <v>0</v>
      </c>
      <c r="W170" s="144">
        <f>SUMIFS('апрель 2026'!$G$2:$G$2719,'апрель 2026'!$D$2:$D$2719,$B170,'апрель 2026'!$J$2:$J$2719,W$1)</f>
        <v>0</v>
      </c>
      <c r="X170" s="144">
        <f>SUMIFS('апрель 2026'!$G$2:$G$2719,'апрель 2026'!$D$2:$D$2719,$B170,'апрель 2026'!$J$2:$J$2719,X$1)</f>
        <v>0</v>
      </c>
      <c r="Y170" s="144">
        <f>SUMIFS('апрель 2026'!$G$2:$G$2719,'апрель 2026'!$D$2:$D$2719,$B170,'апрель 2026'!$J$2:$J$2719,Y$1)</f>
        <v>0</v>
      </c>
      <c r="Z170" s="144">
        <f>SUMIFS('апрель 2026'!$G$2:$G$2719,'апрель 2026'!$D$2:$D$2719,$B170,'апрель 2026'!$J$2:$J$2719,Z$1)</f>
        <v>0</v>
      </c>
      <c r="AA170" s="144">
        <f>SUMIFS('апрель 2026'!$G$2:$G$2719,'апрель 2026'!$D$2:$D$2719,$B170,'апрель 2026'!$J$2:$J$2719,AA$1)</f>
        <v>0</v>
      </c>
      <c r="AB170" s="144">
        <f>SUMIFS('апрель 2026'!$G$2:$G$2719,'апрель 2026'!$D$2:$D$2719,$B170,'апрель 2026'!$J$2:$J$2719,AB$1)</f>
        <v>0</v>
      </c>
      <c r="AC170" s="144">
        <f>SUMIFS('апрель 2026'!$G$2:$G$2719,'апрель 2026'!$D$2:$D$2719,$B170,'апрель 2026'!$J$2:$J$2719,AC$1)</f>
        <v>0</v>
      </c>
      <c r="AD170" s="144">
        <f>SUMIFS('апрель 2026'!$G$2:$G$2719,'апрель 2026'!$D$2:$D$2719,$B170,'апрель 2026'!$J$2:$J$2719,AD$1)</f>
        <v>0</v>
      </c>
      <c r="AE170" s="144">
        <f>SUMIFS('апрель 2026'!$G$2:$G$2719,'апрель 2026'!$D$2:$D$2719,$B170,'апрель 2026'!$J$2:$J$2719,AE$1)</f>
        <v>0</v>
      </c>
      <c r="AF170" s="144">
        <f>SUMIFS('апрель 2026'!$G$2:$G$2719,'апрель 2026'!$D$2:$D$2719,$B170,'апрель 2026'!$J$2:$J$2719,AF$1)</f>
        <v>0</v>
      </c>
      <c r="AG170" s="144">
        <f>SUMIFS('апрель 2026'!$G$2:$G$2719,'апрель 2026'!$D$2:$D$2719,$B170,'апрель 2026'!$J$2:$J$2719,AG$1)</f>
        <v>0</v>
      </c>
      <c r="AH170" s="144">
        <f>SUMIFS('апрель 2026'!$G$2:$G$2719,'апрель 2026'!$D$2:$D$2719,$B170,'апрель 2026'!$J$2:$J$2719,AH$1)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SUMIFS('апрель 2026'!$G$2:$G$2719,'апрель 2026'!$D$2:$D$2719,$B171,'апрель 2026'!$J$2:$J$2719,D$1)</f>
        <v>0</v>
      </c>
      <c r="E171" s="144">
        <f>SUMIFS('апрель 2026'!$G$2:$G$2719,'апрель 2026'!$D$2:$D$2719,$B171,'апрель 2026'!$J$2:$J$2719,E$1)</f>
        <v>0</v>
      </c>
      <c r="F171" s="144">
        <f>SUMIFS('апрель 2026'!$G$2:$G$2719,'апрель 2026'!$D$2:$D$2719,$B171,'апрель 2026'!$J$2:$J$2719,F$1)</f>
        <v>0</v>
      </c>
      <c r="G171" s="144">
        <f>SUMIFS('апрель 2026'!$G$2:$G$2719,'апрель 2026'!$D$2:$D$2719,$B171,'апрель 2026'!$J$2:$J$2719,G$1)</f>
        <v>0</v>
      </c>
      <c r="H171" s="144">
        <f>SUMIFS('апрель 2026'!$G$2:$G$2719,'апрель 2026'!$D$2:$D$2719,$B171,'апрель 2026'!$J$2:$J$2719,H$1)</f>
        <v>0</v>
      </c>
      <c r="I171" s="144">
        <f>SUMIFS('апрель 2026'!$G$2:$G$2719,'апрель 2026'!$D$2:$D$2719,$B171,'апрель 2026'!$J$2:$J$2719,I$1)</f>
        <v>0</v>
      </c>
      <c r="J171" s="144">
        <f>SUMIFS('апрель 2026'!$G$2:$G$2719,'апрель 2026'!$D$2:$D$2719,$B171,'апрель 2026'!$J$2:$J$2719,J$1)</f>
        <v>0</v>
      </c>
      <c r="K171" s="144">
        <f>SUMIFS('апрель 2026'!$G$2:$G$2719,'апрель 2026'!$D$2:$D$2719,$B171,'апрель 2026'!$J$2:$J$2719,K$1)</f>
        <v>0</v>
      </c>
      <c r="L171" s="144">
        <f>SUMIFS('апрель 2026'!$G$2:$G$2719,'апрель 2026'!$D$2:$D$2719,$B171,'апрель 2026'!$J$2:$J$2719,L$1)</f>
        <v>0</v>
      </c>
      <c r="M171" s="144">
        <f>SUMIFS('апрель 2026'!$G$2:$G$2719,'апрель 2026'!$D$2:$D$2719,$B171,'апрель 2026'!$J$2:$J$2719,M$1)</f>
        <v>0</v>
      </c>
      <c r="N171" s="144">
        <f>SUMIFS('апрель 2026'!$G$2:$G$2719,'апрель 2026'!$D$2:$D$2719,$B171,'апрель 2026'!$J$2:$J$2719,N$1)</f>
        <v>0</v>
      </c>
      <c r="O171" s="144">
        <f>SUMIFS('апрель 2026'!$G$2:$G$2719,'апрель 2026'!$D$2:$D$2719,$B171,'апрель 2026'!$J$2:$J$2719,O$1)</f>
        <v>0</v>
      </c>
      <c r="P171" s="144">
        <f>SUMIFS('апрель 2026'!$G$2:$G$2719,'апрель 2026'!$D$2:$D$2719,$B171,'апрель 2026'!$J$2:$J$2719,P$1)</f>
        <v>0</v>
      </c>
      <c r="Q171" s="144">
        <f>SUMIFS('апрель 2026'!$G$2:$G$2719,'апрель 2026'!$D$2:$D$2719,$B171,'апрель 2026'!$J$2:$J$2719,Q$1)</f>
        <v>0</v>
      </c>
      <c r="R171" s="144">
        <f>SUMIFS('апрель 2026'!$G$2:$G$2719,'апрель 2026'!$D$2:$D$2719,$B171,'апрель 2026'!$J$2:$J$2719,R$1)</f>
        <v>0</v>
      </c>
      <c r="S171" s="144">
        <f>SUMIFS('апрель 2026'!$G$2:$G$2719,'апрель 2026'!$D$2:$D$2719,$B171,'апрель 2026'!$J$2:$J$2719,S$1)</f>
        <v>0</v>
      </c>
      <c r="T171" s="144">
        <f>SUMIFS('апрель 2026'!$G$2:$G$2719,'апрель 2026'!$D$2:$D$2719,$B171,'апрель 2026'!$J$2:$J$2719,T$1)</f>
        <v>0</v>
      </c>
      <c r="U171" s="144">
        <f>SUMIFS('апрель 2026'!$G$2:$G$2719,'апрель 2026'!$D$2:$D$2719,$B171,'апрель 2026'!$J$2:$J$2719,U$1)</f>
        <v>0</v>
      </c>
      <c r="V171" s="144">
        <f>SUMIFS('апрель 2026'!$G$2:$G$2719,'апрель 2026'!$D$2:$D$2719,$B171,'апрель 2026'!$J$2:$J$2719,V$1)</f>
        <v>0</v>
      </c>
      <c r="W171" s="144">
        <f>SUMIFS('апрель 2026'!$G$2:$G$2719,'апрель 2026'!$D$2:$D$2719,$B171,'апрель 2026'!$J$2:$J$2719,W$1)</f>
        <v>0</v>
      </c>
      <c r="X171" s="144">
        <f>SUMIFS('апрель 2026'!$G$2:$G$2719,'апрель 2026'!$D$2:$D$2719,$B171,'апрель 2026'!$J$2:$J$2719,X$1)</f>
        <v>0</v>
      </c>
      <c r="Y171" s="144">
        <f>SUMIFS('апрель 2026'!$G$2:$G$2719,'апрель 2026'!$D$2:$D$2719,$B171,'апрель 2026'!$J$2:$J$2719,Y$1)</f>
        <v>0</v>
      </c>
      <c r="Z171" s="144">
        <f>SUMIFS('апрель 2026'!$G$2:$G$2719,'апрель 2026'!$D$2:$D$2719,$B171,'апрель 2026'!$J$2:$J$2719,Z$1)</f>
        <v>0</v>
      </c>
      <c r="AA171" s="144">
        <f>SUMIFS('апрель 2026'!$G$2:$G$2719,'апрель 2026'!$D$2:$D$2719,$B171,'апрель 2026'!$J$2:$J$2719,AA$1)</f>
        <v>0</v>
      </c>
      <c r="AB171" s="144">
        <f>SUMIFS('апрель 2026'!$G$2:$G$2719,'апрель 2026'!$D$2:$D$2719,$B171,'апрель 2026'!$J$2:$J$2719,AB$1)</f>
        <v>0</v>
      </c>
      <c r="AC171" s="144">
        <f>SUMIFS('апрель 2026'!$G$2:$G$2719,'апрель 2026'!$D$2:$D$2719,$B171,'апрель 2026'!$J$2:$J$2719,AC$1)</f>
        <v>0</v>
      </c>
      <c r="AD171" s="144">
        <f>SUMIFS('апрель 2026'!$G$2:$G$2719,'апрель 2026'!$D$2:$D$2719,$B171,'апрель 2026'!$J$2:$J$2719,AD$1)</f>
        <v>0</v>
      </c>
      <c r="AE171" s="144">
        <f>SUMIFS('апрель 2026'!$G$2:$G$2719,'апрель 2026'!$D$2:$D$2719,$B171,'апрель 2026'!$J$2:$J$2719,AE$1)</f>
        <v>0</v>
      </c>
      <c r="AF171" s="144">
        <f>SUMIFS('апрель 2026'!$G$2:$G$2719,'апрель 2026'!$D$2:$D$2719,$B171,'апрель 2026'!$J$2:$J$2719,AF$1)</f>
        <v>0</v>
      </c>
      <c r="AG171" s="144">
        <f>SUMIFS('апрель 2026'!$G$2:$G$2719,'апрель 2026'!$D$2:$D$2719,$B171,'апрель 2026'!$J$2:$J$2719,AG$1)</f>
        <v>0</v>
      </c>
      <c r="AH171" s="144">
        <f>SUMIFS('апрель 2026'!$G$2:$G$2719,'апрель 2026'!$D$2:$D$2719,$B171,'апрель 2026'!$J$2:$J$2719,AH$1)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SUMIFS('апрель 2026'!$G$2:$G$2719,'апрель 2026'!$D$2:$D$2719,$B172,'апрель 2026'!$J$2:$J$2719,D$1)</f>
        <v>0</v>
      </c>
      <c r="E172" s="144">
        <f>SUMIFS('апрель 2026'!$G$2:$G$2719,'апрель 2026'!$D$2:$D$2719,$B172,'апрель 2026'!$J$2:$J$2719,E$1)</f>
        <v>0</v>
      </c>
      <c r="F172" s="144">
        <f>SUMIFS('апрель 2026'!$G$2:$G$2719,'апрель 2026'!$D$2:$D$2719,$B172,'апрель 2026'!$J$2:$J$2719,F$1)</f>
        <v>0</v>
      </c>
      <c r="G172" s="144">
        <f>SUMIFS('апрель 2026'!$G$2:$G$2719,'апрель 2026'!$D$2:$D$2719,$B172,'апрель 2026'!$J$2:$J$2719,G$1)</f>
        <v>0</v>
      </c>
      <c r="H172" s="144">
        <f>SUMIFS('апрель 2026'!$G$2:$G$2719,'апрель 2026'!$D$2:$D$2719,$B172,'апрель 2026'!$J$2:$J$2719,H$1)</f>
        <v>0</v>
      </c>
      <c r="I172" s="144">
        <f>SUMIFS('апрель 2026'!$G$2:$G$2719,'апрель 2026'!$D$2:$D$2719,$B172,'апрель 2026'!$J$2:$J$2719,I$1)</f>
        <v>0</v>
      </c>
      <c r="J172" s="144">
        <f>SUMIFS('апрель 2026'!$G$2:$G$2719,'апрель 2026'!$D$2:$D$2719,$B172,'апрель 2026'!$J$2:$J$2719,J$1)</f>
        <v>0</v>
      </c>
      <c r="K172" s="144">
        <f>SUMIFS('апрель 2026'!$G$2:$G$2719,'апрель 2026'!$D$2:$D$2719,$B172,'апрель 2026'!$J$2:$J$2719,K$1)</f>
        <v>0</v>
      </c>
      <c r="L172" s="144">
        <f>SUMIFS('апрель 2026'!$G$2:$G$2719,'апрель 2026'!$D$2:$D$2719,$B172,'апрель 2026'!$J$2:$J$2719,L$1)</f>
        <v>0</v>
      </c>
      <c r="M172" s="144">
        <f>SUMIFS('апрель 2026'!$G$2:$G$2719,'апрель 2026'!$D$2:$D$2719,$B172,'апрель 2026'!$J$2:$J$2719,M$1)</f>
        <v>0</v>
      </c>
      <c r="N172" s="144">
        <f>SUMIFS('апрель 2026'!$G$2:$G$2719,'апрель 2026'!$D$2:$D$2719,$B172,'апрель 2026'!$J$2:$J$2719,N$1)</f>
        <v>0</v>
      </c>
      <c r="O172" s="144">
        <f>SUMIFS('апрель 2026'!$G$2:$G$2719,'апрель 2026'!$D$2:$D$2719,$B172,'апрель 2026'!$J$2:$J$2719,O$1)</f>
        <v>0</v>
      </c>
      <c r="P172" s="144">
        <f>SUMIFS('апрель 2026'!$G$2:$G$2719,'апрель 2026'!$D$2:$D$2719,$B172,'апрель 2026'!$J$2:$J$2719,P$1)</f>
        <v>0</v>
      </c>
      <c r="Q172" s="144">
        <f>SUMIFS('апрель 2026'!$G$2:$G$2719,'апрель 2026'!$D$2:$D$2719,$B172,'апрель 2026'!$J$2:$J$2719,Q$1)</f>
        <v>0</v>
      </c>
      <c r="R172" s="144">
        <f>SUMIFS('апрель 2026'!$G$2:$G$2719,'апрель 2026'!$D$2:$D$2719,$B172,'апрель 2026'!$J$2:$J$2719,R$1)</f>
        <v>0</v>
      </c>
      <c r="S172" s="144">
        <f>SUMIFS('апрель 2026'!$G$2:$G$2719,'апрель 2026'!$D$2:$D$2719,$B172,'апрель 2026'!$J$2:$J$2719,S$1)</f>
        <v>0</v>
      </c>
      <c r="T172" s="144">
        <f>SUMIFS('апрель 2026'!$G$2:$G$2719,'апрель 2026'!$D$2:$D$2719,$B172,'апрель 2026'!$J$2:$J$2719,T$1)</f>
        <v>0</v>
      </c>
      <c r="U172" s="144">
        <f>SUMIFS('апрель 2026'!$G$2:$G$2719,'апрель 2026'!$D$2:$D$2719,$B172,'апрель 2026'!$J$2:$J$2719,U$1)</f>
        <v>0</v>
      </c>
      <c r="V172" s="144">
        <f>SUMIFS('апрель 2026'!$G$2:$G$2719,'апрель 2026'!$D$2:$D$2719,$B172,'апрель 2026'!$J$2:$J$2719,V$1)</f>
        <v>0</v>
      </c>
      <c r="W172" s="144">
        <f>SUMIFS('апрель 2026'!$G$2:$G$2719,'апрель 2026'!$D$2:$D$2719,$B172,'апрель 2026'!$J$2:$J$2719,W$1)</f>
        <v>0</v>
      </c>
      <c r="X172" s="144">
        <f>SUMIFS('апрель 2026'!$G$2:$G$2719,'апрель 2026'!$D$2:$D$2719,$B172,'апрель 2026'!$J$2:$J$2719,X$1)</f>
        <v>0</v>
      </c>
      <c r="Y172" s="144">
        <f>SUMIFS('апрель 2026'!$G$2:$G$2719,'апрель 2026'!$D$2:$D$2719,$B172,'апрель 2026'!$J$2:$J$2719,Y$1)</f>
        <v>0</v>
      </c>
      <c r="Z172" s="144">
        <f>SUMIFS('апрель 2026'!$G$2:$G$2719,'апрель 2026'!$D$2:$D$2719,$B172,'апрель 2026'!$J$2:$J$2719,Z$1)</f>
        <v>0</v>
      </c>
      <c r="AA172" s="144">
        <f>SUMIFS('апрель 2026'!$G$2:$G$2719,'апрель 2026'!$D$2:$D$2719,$B172,'апрель 2026'!$J$2:$J$2719,AA$1)</f>
        <v>0</v>
      </c>
      <c r="AB172" s="144">
        <f>SUMIFS('апрель 2026'!$G$2:$G$2719,'апрель 2026'!$D$2:$D$2719,$B172,'апрель 2026'!$J$2:$J$2719,AB$1)</f>
        <v>0</v>
      </c>
      <c r="AC172" s="144">
        <f>SUMIFS('апрель 2026'!$G$2:$G$2719,'апрель 2026'!$D$2:$D$2719,$B172,'апрель 2026'!$J$2:$J$2719,AC$1)</f>
        <v>0</v>
      </c>
      <c r="AD172" s="144">
        <f>SUMIFS('апрель 2026'!$G$2:$G$2719,'апрель 2026'!$D$2:$D$2719,$B172,'апрель 2026'!$J$2:$J$2719,AD$1)</f>
        <v>0</v>
      </c>
      <c r="AE172" s="144">
        <f>SUMIFS('апрель 2026'!$G$2:$G$2719,'апрель 2026'!$D$2:$D$2719,$B172,'апрель 2026'!$J$2:$J$2719,AE$1)</f>
        <v>0</v>
      </c>
      <c r="AF172" s="144">
        <f>SUMIFS('апрель 2026'!$G$2:$G$2719,'апрель 2026'!$D$2:$D$2719,$B172,'апрель 2026'!$J$2:$J$2719,AF$1)</f>
        <v>0</v>
      </c>
      <c r="AG172" s="144">
        <f>SUMIFS('апрель 2026'!$G$2:$G$2719,'апрель 2026'!$D$2:$D$2719,$B172,'апрель 2026'!$J$2:$J$2719,AG$1)</f>
        <v>0</v>
      </c>
      <c r="AH172" s="144">
        <f>SUMIFS('апрель 2026'!$G$2:$G$2719,'апрель 2026'!$D$2:$D$2719,$B172,'апрель 2026'!$J$2:$J$2719,AH$1)</f>
        <v>0</v>
      </c>
      <c r="AI172" s="20">
        <f t="shared" ref="AI172:AI179" si="2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SUMIFS('апрель 2026'!$G$2:$G$2719,'апрель 2026'!$D$2:$D$2719,$B173,'апрель 2026'!$J$2:$J$2719,D$1)</f>
        <v>0</v>
      </c>
      <c r="E173" s="144">
        <f>SUMIFS('апрель 2026'!$G$2:$G$2719,'апрель 2026'!$D$2:$D$2719,$B173,'апрель 2026'!$J$2:$J$2719,E$1)</f>
        <v>0</v>
      </c>
      <c r="F173" s="144">
        <f>SUMIFS('апрель 2026'!$G$2:$G$2719,'апрель 2026'!$D$2:$D$2719,$B173,'апрель 2026'!$J$2:$J$2719,F$1)</f>
        <v>0</v>
      </c>
      <c r="G173" s="144">
        <f>SUMIFS('апрель 2026'!$G$2:$G$2719,'апрель 2026'!$D$2:$D$2719,$B173,'апрель 2026'!$J$2:$J$2719,G$1)</f>
        <v>0</v>
      </c>
      <c r="H173" s="144">
        <f>SUMIFS('апрель 2026'!$G$2:$G$2719,'апрель 2026'!$D$2:$D$2719,$B173,'апрель 2026'!$J$2:$J$2719,H$1)</f>
        <v>0</v>
      </c>
      <c r="I173" s="144">
        <f>SUMIFS('апрель 2026'!$G$2:$G$2719,'апрель 2026'!$D$2:$D$2719,$B173,'апрель 2026'!$J$2:$J$2719,I$1)</f>
        <v>0</v>
      </c>
      <c r="J173" s="144">
        <f>SUMIFS('апрель 2026'!$G$2:$G$2719,'апрель 2026'!$D$2:$D$2719,$B173,'апрель 2026'!$J$2:$J$2719,J$1)</f>
        <v>0</v>
      </c>
      <c r="K173" s="144">
        <f>SUMIFS('апрель 2026'!$G$2:$G$2719,'апрель 2026'!$D$2:$D$2719,$B173,'апрель 2026'!$J$2:$J$2719,K$1)</f>
        <v>0</v>
      </c>
      <c r="L173" s="144">
        <f>SUMIFS('апрель 2026'!$G$2:$G$2719,'апрель 2026'!$D$2:$D$2719,$B173,'апрель 2026'!$J$2:$J$2719,L$1)</f>
        <v>0</v>
      </c>
      <c r="M173" s="144">
        <f>SUMIFS('апрель 2026'!$G$2:$G$2719,'апрель 2026'!$D$2:$D$2719,$B173,'апрель 2026'!$J$2:$J$2719,M$1)</f>
        <v>0</v>
      </c>
      <c r="N173" s="144">
        <f>SUMIFS('апрель 2026'!$G$2:$G$2719,'апрель 2026'!$D$2:$D$2719,$B173,'апрель 2026'!$J$2:$J$2719,N$1)</f>
        <v>0</v>
      </c>
      <c r="O173" s="144">
        <f>SUMIFS('апрель 2026'!$G$2:$G$2719,'апрель 2026'!$D$2:$D$2719,$B173,'апрель 2026'!$J$2:$J$2719,O$1)</f>
        <v>0</v>
      </c>
      <c r="P173" s="144">
        <f>SUMIFS('апрель 2026'!$G$2:$G$2719,'апрель 2026'!$D$2:$D$2719,$B173,'апрель 2026'!$J$2:$J$2719,P$1)</f>
        <v>0</v>
      </c>
      <c r="Q173" s="144">
        <f>SUMIFS('апрель 2026'!$G$2:$G$2719,'апрель 2026'!$D$2:$D$2719,$B173,'апрель 2026'!$J$2:$J$2719,Q$1)</f>
        <v>0</v>
      </c>
      <c r="R173" s="144">
        <f>SUMIFS('апрель 2026'!$G$2:$G$2719,'апрель 2026'!$D$2:$D$2719,$B173,'апрель 2026'!$J$2:$J$2719,R$1)</f>
        <v>0</v>
      </c>
      <c r="S173" s="144">
        <f>SUMIFS('апрель 2026'!$G$2:$G$2719,'апрель 2026'!$D$2:$D$2719,$B173,'апрель 2026'!$J$2:$J$2719,S$1)</f>
        <v>0</v>
      </c>
      <c r="T173" s="144">
        <f>SUMIFS('апрель 2026'!$G$2:$G$2719,'апрель 2026'!$D$2:$D$2719,$B173,'апрель 2026'!$J$2:$J$2719,T$1)</f>
        <v>0</v>
      </c>
      <c r="U173" s="144">
        <f>SUMIFS('апрель 2026'!$G$2:$G$2719,'апрель 2026'!$D$2:$D$2719,$B173,'апрель 2026'!$J$2:$J$2719,U$1)</f>
        <v>0</v>
      </c>
      <c r="V173" s="144">
        <f>SUMIFS('апрель 2026'!$G$2:$G$2719,'апрель 2026'!$D$2:$D$2719,$B173,'апрель 2026'!$J$2:$J$2719,V$1)</f>
        <v>0</v>
      </c>
      <c r="W173" s="144">
        <f>SUMIFS('апрель 2026'!$G$2:$G$2719,'апрель 2026'!$D$2:$D$2719,$B173,'апрель 2026'!$J$2:$J$2719,W$1)</f>
        <v>0</v>
      </c>
      <c r="X173" s="144">
        <f>SUMIFS('апрель 2026'!$G$2:$G$2719,'апрель 2026'!$D$2:$D$2719,$B173,'апрель 2026'!$J$2:$J$2719,X$1)</f>
        <v>0</v>
      </c>
      <c r="Y173" s="144">
        <f>SUMIFS('апрель 2026'!$G$2:$G$2719,'апрель 2026'!$D$2:$D$2719,$B173,'апрель 2026'!$J$2:$J$2719,Y$1)</f>
        <v>0</v>
      </c>
      <c r="Z173" s="144">
        <f>SUMIFS('апрель 2026'!$G$2:$G$2719,'апрель 2026'!$D$2:$D$2719,$B173,'апрель 2026'!$J$2:$J$2719,Z$1)</f>
        <v>0</v>
      </c>
      <c r="AA173" s="144">
        <f>SUMIFS('апрель 2026'!$G$2:$G$2719,'апрель 2026'!$D$2:$D$2719,$B173,'апрель 2026'!$J$2:$J$2719,AA$1)</f>
        <v>0</v>
      </c>
      <c r="AB173" s="144">
        <f>SUMIFS('апрель 2026'!$G$2:$G$2719,'апрель 2026'!$D$2:$D$2719,$B173,'апрель 2026'!$J$2:$J$2719,AB$1)</f>
        <v>0</v>
      </c>
      <c r="AC173" s="144">
        <f>SUMIFS('апрель 2026'!$G$2:$G$2719,'апрель 2026'!$D$2:$D$2719,$B173,'апрель 2026'!$J$2:$J$2719,AC$1)</f>
        <v>0</v>
      </c>
      <c r="AD173" s="144">
        <f>SUMIFS('апрель 2026'!$G$2:$G$2719,'апрель 2026'!$D$2:$D$2719,$B173,'апрель 2026'!$J$2:$J$2719,AD$1)</f>
        <v>0</v>
      </c>
      <c r="AE173" s="144">
        <f>SUMIFS('апрель 2026'!$G$2:$G$2719,'апрель 2026'!$D$2:$D$2719,$B173,'апрель 2026'!$J$2:$J$2719,AE$1)</f>
        <v>0</v>
      </c>
      <c r="AF173" s="144">
        <f>SUMIFS('апрель 2026'!$G$2:$G$2719,'апрель 2026'!$D$2:$D$2719,$B173,'апрель 2026'!$J$2:$J$2719,AF$1)</f>
        <v>0</v>
      </c>
      <c r="AG173" s="144">
        <f>SUMIFS('апрель 2026'!$G$2:$G$2719,'апрель 2026'!$D$2:$D$2719,$B173,'апрель 2026'!$J$2:$J$2719,AG$1)</f>
        <v>0</v>
      </c>
      <c r="AH173" s="144">
        <f>SUMIFS('апрель 2026'!$G$2:$G$2719,'апрель 2026'!$D$2:$D$2719,$B173,'апрель 2026'!$J$2:$J$2719,AH$1)</f>
        <v>0</v>
      </c>
      <c r="AI173" s="20">
        <f t="shared" si="2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SUMIFS('апрель 2026'!$G$2:$G$2719,'апрель 2026'!$D$2:$D$2719,$B174,'апрель 2026'!$J$2:$J$2719,D$1)</f>
        <v>0</v>
      </c>
      <c r="E174" s="144">
        <f>SUMIFS('апрель 2026'!$G$2:$G$2719,'апрель 2026'!$D$2:$D$2719,$B174,'апрель 2026'!$J$2:$J$2719,E$1)</f>
        <v>0</v>
      </c>
      <c r="F174" s="144">
        <f>SUMIFS('апрель 2026'!$G$2:$G$2719,'апрель 2026'!$D$2:$D$2719,$B174,'апрель 2026'!$J$2:$J$2719,F$1)</f>
        <v>0</v>
      </c>
      <c r="G174" s="144">
        <f>SUMIFS('апрель 2026'!$G$2:$G$2719,'апрель 2026'!$D$2:$D$2719,$B174,'апрель 2026'!$J$2:$J$2719,G$1)</f>
        <v>0</v>
      </c>
      <c r="H174" s="144">
        <f>SUMIFS('апрель 2026'!$G$2:$G$2719,'апрель 2026'!$D$2:$D$2719,$B174,'апрель 2026'!$J$2:$J$2719,H$1)</f>
        <v>0</v>
      </c>
      <c r="I174" s="144">
        <f>SUMIFS('апрель 2026'!$G$2:$G$2719,'апрель 2026'!$D$2:$D$2719,$B174,'апрель 2026'!$J$2:$J$2719,I$1)</f>
        <v>0</v>
      </c>
      <c r="J174" s="144">
        <f>SUMIFS('апрель 2026'!$G$2:$G$2719,'апрель 2026'!$D$2:$D$2719,$B174,'апрель 2026'!$J$2:$J$2719,J$1)</f>
        <v>0</v>
      </c>
      <c r="K174" s="144">
        <f>SUMIFS('апрель 2026'!$G$2:$G$2719,'апрель 2026'!$D$2:$D$2719,$B174,'апрель 2026'!$J$2:$J$2719,K$1)</f>
        <v>0</v>
      </c>
      <c r="L174" s="144">
        <f>SUMIFS('апрель 2026'!$G$2:$G$2719,'апрель 2026'!$D$2:$D$2719,$B174,'апрель 2026'!$J$2:$J$2719,L$1)</f>
        <v>0</v>
      </c>
      <c r="M174" s="144">
        <f>SUMIFS('апрель 2026'!$G$2:$G$2719,'апрель 2026'!$D$2:$D$2719,$B174,'апрель 2026'!$J$2:$J$2719,M$1)</f>
        <v>0</v>
      </c>
      <c r="N174" s="144">
        <f>SUMIFS('апрель 2026'!$G$2:$G$2719,'апрель 2026'!$D$2:$D$2719,$B174,'апрель 2026'!$J$2:$J$2719,N$1)</f>
        <v>0</v>
      </c>
      <c r="O174" s="144">
        <f>SUMIFS('апрель 2026'!$G$2:$G$2719,'апрель 2026'!$D$2:$D$2719,$B174,'апрель 2026'!$J$2:$J$2719,O$1)</f>
        <v>0</v>
      </c>
      <c r="P174" s="144">
        <f>SUMIFS('апрель 2026'!$G$2:$G$2719,'апрель 2026'!$D$2:$D$2719,$B174,'апрель 2026'!$J$2:$J$2719,P$1)</f>
        <v>0</v>
      </c>
      <c r="Q174" s="144">
        <f>SUMIFS('апрель 2026'!$G$2:$G$2719,'апрель 2026'!$D$2:$D$2719,$B174,'апрель 2026'!$J$2:$J$2719,Q$1)</f>
        <v>0</v>
      </c>
      <c r="R174" s="144">
        <f>SUMIFS('апрель 2026'!$G$2:$G$2719,'апрель 2026'!$D$2:$D$2719,$B174,'апрель 2026'!$J$2:$J$2719,R$1)</f>
        <v>0</v>
      </c>
      <c r="S174" s="144">
        <f>SUMIFS('апрель 2026'!$G$2:$G$2719,'апрель 2026'!$D$2:$D$2719,$B174,'апрель 2026'!$J$2:$J$2719,S$1)</f>
        <v>0</v>
      </c>
      <c r="T174" s="144">
        <f>SUMIFS('апрель 2026'!$G$2:$G$2719,'апрель 2026'!$D$2:$D$2719,$B174,'апрель 2026'!$J$2:$J$2719,T$1)</f>
        <v>0</v>
      </c>
      <c r="U174" s="144">
        <f>SUMIFS('апрель 2026'!$G$2:$G$2719,'апрель 2026'!$D$2:$D$2719,$B174,'апрель 2026'!$J$2:$J$2719,U$1)</f>
        <v>0</v>
      </c>
      <c r="V174" s="144">
        <f>SUMIFS('апрель 2026'!$G$2:$G$2719,'апрель 2026'!$D$2:$D$2719,$B174,'апрель 2026'!$J$2:$J$2719,V$1)</f>
        <v>0</v>
      </c>
      <c r="W174" s="144">
        <f>SUMIFS('апрель 2026'!$G$2:$G$2719,'апрель 2026'!$D$2:$D$2719,$B174,'апрель 2026'!$J$2:$J$2719,W$1)</f>
        <v>0</v>
      </c>
      <c r="X174" s="144">
        <f>SUMIFS('апрель 2026'!$G$2:$G$2719,'апрель 2026'!$D$2:$D$2719,$B174,'апрель 2026'!$J$2:$J$2719,X$1)</f>
        <v>0</v>
      </c>
      <c r="Y174" s="144">
        <f>SUMIFS('апрель 2026'!$G$2:$G$2719,'апрель 2026'!$D$2:$D$2719,$B174,'апрель 2026'!$J$2:$J$2719,Y$1)</f>
        <v>0</v>
      </c>
      <c r="Z174" s="144">
        <f>SUMIFS('апрель 2026'!$G$2:$G$2719,'апрель 2026'!$D$2:$D$2719,$B174,'апрель 2026'!$J$2:$J$2719,Z$1)</f>
        <v>0</v>
      </c>
      <c r="AA174" s="144">
        <f>SUMIFS('апрель 2026'!$G$2:$G$2719,'апрель 2026'!$D$2:$D$2719,$B174,'апрель 2026'!$J$2:$J$2719,AA$1)</f>
        <v>0</v>
      </c>
      <c r="AB174" s="144">
        <f>SUMIFS('апрель 2026'!$G$2:$G$2719,'апрель 2026'!$D$2:$D$2719,$B174,'апрель 2026'!$J$2:$J$2719,AB$1)</f>
        <v>0</v>
      </c>
      <c r="AC174" s="144">
        <f>SUMIFS('апрель 2026'!$G$2:$G$2719,'апрель 2026'!$D$2:$D$2719,$B174,'апрель 2026'!$J$2:$J$2719,AC$1)</f>
        <v>0</v>
      </c>
      <c r="AD174" s="144">
        <f>SUMIFS('апрель 2026'!$G$2:$G$2719,'апрель 2026'!$D$2:$D$2719,$B174,'апрель 2026'!$J$2:$J$2719,AD$1)</f>
        <v>0</v>
      </c>
      <c r="AE174" s="144">
        <f>SUMIFS('апрель 2026'!$G$2:$G$2719,'апрель 2026'!$D$2:$D$2719,$B174,'апрель 2026'!$J$2:$J$2719,AE$1)</f>
        <v>0</v>
      </c>
      <c r="AF174" s="144">
        <f>SUMIFS('апрель 2026'!$G$2:$G$2719,'апрель 2026'!$D$2:$D$2719,$B174,'апрель 2026'!$J$2:$J$2719,AF$1)</f>
        <v>0</v>
      </c>
      <c r="AG174" s="144">
        <f>SUMIFS('апрель 2026'!$G$2:$G$2719,'апрель 2026'!$D$2:$D$2719,$B174,'апрель 2026'!$J$2:$J$2719,AG$1)</f>
        <v>0</v>
      </c>
      <c r="AH174" s="144">
        <f>SUMIFS('апрель 2026'!$G$2:$G$2719,'апрель 2026'!$D$2:$D$2719,$B174,'апрель 2026'!$J$2:$J$2719,AH$1)</f>
        <v>0</v>
      </c>
      <c r="AI174" s="20">
        <f t="shared" si="2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SUMIFS('апрель 2026'!$G$2:$G$2719,'апрель 2026'!$D$2:$D$2719,$B175,'апрель 2026'!$J$2:$J$2719,D$1)</f>
        <v>0</v>
      </c>
      <c r="E175" s="144">
        <f>SUMIFS('апрель 2026'!$G$2:$G$2719,'апрель 2026'!$D$2:$D$2719,$B175,'апрель 2026'!$J$2:$J$2719,E$1)</f>
        <v>0</v>
      </c>
      <c r="F175" s="144">
        <f>SUMIFS('апрель 2026'!$G$2:$G$2719,'апрель 2026'!$D$2:$D$2719,$B175,'апрель 2026'!$J$2:$J$2719,F$1)</f>
        <v>0</v>
      </c>
      <c r="G175" s="144">
        <f>SUMIFS('апрель 2026'!$G$2:$G$2719,'апрель 2026'!$D$2:$D$2719,$B175,'апрель 2026'!$J$2:$J$2719,G$1)</f>
        <v>0</v>
      </c>
      <c r="H175" s="144">
        <f>SUMIFS('апрель 2026'!$G$2:$G$2719,'апрель 2026'!$D$2:$D$2719,$B175,'апрель 2026'!$J$2:$J$2719,H$1)</f>
        <v>0</v>
      </c>
      <c r="I175" s="144">
        <f>SUMIFS('апрель 2026'!$G$2:$G$2719,'апрель 2026'!$D$2:$D$2719,$B175,'апрель 2026'!$J$2:$J$2719,I$1)</f>
        <v>0</v>
      </c>
      <c r="J175" s="144">
        <f>SUMIFS('апрель 2026'!$G$2:$G$2719,'апрель 2026'!$D$2:$D$2719,$B175,'апрель 2026'!$J$2:$J$2719,J$1)</f>
        <v>0</v>
      </c>
      <c r="K175" s="144">
        <f>SUMIFS('апрель 2026'!$G$2:$G$2719,'апрель 2026'!$D$2:$D$2719,$B175,'апрель 2026'!$J$2:$J$2719,K$1)</f>
        <v>0</v>
      </c>
      <c r="L175" s="144">
        <f>SUMIFS('апрель 2026'!$G$2:$G$2719,'апрель 2026'!$D$2:$D$2719,$B175,'апрель 2026'!$J$2:$J$2719,L$1)</f>
        <v>0</v>
      </c>
      <c r="M175" s="144">
        <f>SUMIFS('апрель 2026'!$G$2:$G$2719,'апрель 2026'!$D$2:$D$2719,$B175,'апрель 2026'!$J$2:$J$2719,M$1)</f>
        <v>0</v>
      </c>
      <c r="N175" s="144">
        <f>SUMIFS('апрель 2026'!$G$2:$G$2719,'апрель 2026'!$D$2:$D$2719,$B175,'апрель 2026'!$J$2:$J$2719,N$1)</f>
        <v>0</v>
      </c>
      <c r="O175" s="144">
        <f>SUMIFS('апрель 2026'!$G$2:$G$2719,'апрель 2026'!$D$2:$D$2719,$B175,'апрель 2026'!$J$2:$J$2719,O$1)</f>
        <v>0</v>
      </c>
      <c r="P175" s="144">
        <f>SUMIFS('апрель 2026'!$G$2:$G$2719,'апрель 2026'!$D$2:$D$2719,$B175,'апрель 2026'!$J$2:$J$2719,P$1)</f>
        <v>0</v>
      </c>
      <c r="Q175" s="144">
        <f>SUMIFS('апрель 2026'!$G$2:$G$2719,'апрель 2026'!$D$2:$D$2719,$B175,'апрель 2026'!$J$2:$J$2719,Q$1)</f>
        <v>0</v>
      </c>
      <c r="R175" s="144">
        <f>SUMIFS('апрель 2026'!$G$2:$G$2719,'апрель 2026'!$D$2:$D$2719,$B175,'апрель 2026'!$J$2:$J$2719,R$1)</f>
        <v>0</v>
      </c>
      <c r="S175" s="144">
        <f>SUMIFS('апрель 2026'!$G$2:$G$2719,'апрель 2026'!$D$2:$D$2719,$B175,'апрель 2026'!$J$2:$J$2719,S$1)</f>
        <v>0</v>
      </c>
      <c r="T175" s="144">
        <f>SUMIFS('апрель 2026'!$G$2:$G$2719,'апрель 2026'!$D$2:$D$2719,$B175,'апрель 2026'!$J$2:$J$2719,T$1)</f>
        <v>0</v>
      </c>
      <c r="U175" s="144">
        <f>SUMIFS('апрель 2026'!$G$2:$G$2719,'апрель 2026'!$D$2:$D$2719,$B175,'апрель 2026'!$J$2:$J$2719,U$1)</f>
        <v>0</v>
      </c>
      <c r="V175" s="144">
        <f>SUMIFS('апрель 2026'!$G$2:$G$2719,'апрель 2026'!$D$2:$D$2719,$B175,'апрель 2026'!$J$2:$J$2719,V$1)</f>
        <v>0</v>
      </c>
      <c r="W175" s="144">
        <f>SUMIFS('апрель 2026'!$G$2:$G$2719,'апрель 2026'!$D$2:$D$2719,$B175,'апрель 2026'!$J$2:$J$2719,W$1)</f>
        <v>0</v>
      </c>
      <c r="X175" s="144">
        <f>SUMIFS('апрель 2026'!$G$2:$G$2719,'апрель 2026'!$D$2:$D$2719,$B175,'апрель 2026'!$J$2:$J$2719,X$1)</f>
        <v>0</v>
      </c>
      <c r="Y175" s="144">
        <f>SUMIFS('апрель 2026'!$G$2:$G$2719,'апрель 2026'!$D$2:$D$2719,$B175,'апрель 2026'!$J$2:$J$2719,Y$1)</f>
        <v>0</v>
      </c>
      <c r="Z175" s="144">
        <f>SUMIFS('апрель 2026'!$G$2:$G$2719,'апрель 2026'!$D$2:$D$2719,$B175,'апрель 2026'!$J$2:$J$2719,Z$1)</f>
        <v>0</v>
      </c>
      <c r="AA175" s="144">
        <f>SUMIFS('апрель 2026'!$G$2:$G$2719,'апрель 2026'!$D$2:$D$2719,$B175,'апрель 2026'!$J$2:$J$2719,AA$1)</f>
        <v>0</v>
      </c>
      <c r="AB175" s="144">
        <f>SUMIFS('апрель 2026'!$G$2:$G$2719,'апрель 2026'!$D$2:$D$2719,$B175,'апрель 2026'!$J$2:$J$2719,AB$1)</f>
        <v>0</v>
      </c>
      <c r="AC175" s="144">
        <f>SUMIFS('апрель 2026'!$G$2:$G$2719,'апрель 2026'!$D$2:$D$2719,$B175,'апрель 2026'!$J$2:$J$2719,AC$1)</f>
        <v>0</v>
      </c>
      <c r="AD175" s="144">
        <f>SUMIFS('апрель 2026'!$G$2:$G$2719,'апрель 2026'!$D$2:$D$2719,$B175,'апрель 2026'!$J$2:$J$2719,AD$1)</f>
        <v>0</v>
      </c>
      <c r="AE175" s="144">
        <f>SUMIFS('апрель 2026'!$G$2:$G$2719,'апрель 2026'!$D$2:$D$2719,$B175,'апрель 2026'!$J$2:$J$2719,AE$1)</f>
        <v>0</v>
      </c>
      <c r="AF175" s="144">
        <f>SUMIFS('апрель 2026'!$G$2:$G$2719,'апрель 2026'!$D$2:$D$2719,$B175,'апрель 2026'!$J$2:$J$2719,AF$1)</f>
        <v>0</v>
      </c>
      <c r="AG175" s="144">
        <f>SUMIFS('апрель 2026'!$G$2:$G$2719,'апрель 2026'!$D$2:$D$2719,$B175,'апрель 2026'!$J$2:$J$2719,AG$1)</f>
        <v>0</v>
      </c>
      <c r="AH175" s="144">
        <f>SUMIFS('апрель 2026'!$G$2:$G$2719,'апрель 2026'!$D$2:$D$2719,$B175,'апрель 2026'!$J$2:$J$2719,AH$1)</f>
        <v>0</v>
      </c>
      <c r="AI175" s="20">
        <f t="shared" si="2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SUMIFS('апрель 2026'!$G$2:$G$2719,'апрель 2026'!$D$2:$D$2719,$B176,'апрель 2026'!$J$2:$J$2719,D$1)</f>
        <v>0</v>
      </c>
      <c r="E176" s="144">
        <f>SUMIFS('апрель 2026'!$G$2:$G$2719,'апрель 2026'!$D$2:$D$2719,$B176,'апрель 2026'!$J$2:$J$2719,E$1)</f>
        <v>0</v>
      </c>
      <c r="F176" s="144">
        <f>SUMIFS('апрель 2026'!$G$2:$G$2719,'апрель 2026'!$D$2:$D$2719,$B176,'апрель 2026'!$J$2:$J$2719,F$1)</f>
        <v>0</v>
      </c>
      <c r="G176" s="144">
        <f>SUMIFS('апрель 2026'!$G$2:$G$2719,'апрель 2026'!$D$2:$D$2719,$B176,'апрель 2026'!$J$2:$J$2719,G$1)</f>
        <v>0</v>
      </c>
      <c r="H176" s="144">
        <f>SUMIFS('апрель 2026'!$G$2:$G$2719,'апрель 2026'!$D$2:$D$2719,$B176,'апрель 2026'!$J$2:$J$2719,H$1)</f>
        <v>0</v>
      </c>
      <c r="I176" s="144">
        <f>SUMIFS('апрель 2026'!$G$2:$G$2719,'апрель 2026'!$D$2:$D$2719,$B176,'апрель 2026'!$J$2:$J$2719,I$1)</f>
        <v>0</v>
      </c>
      <c r="J176" s="144">
        <f>SUMIFS('апрель 2026'!$G$2:$G$2719,'апрель 2026'!$D$2:$D$2719,$B176,'апрель 2026'!$J$2:$J$2719,J$1)</f>
        <v>0</v>
      </c>
      <c r="K176" s="144">
        <f>SUMIFS('апрель 2026'!$G$2:$G$2719,'апрель 2026'!$D$2:$D$2719,$B176,'апрель 2026'!$J$2:$J$2719,K$1)</f>
        <v>0</v>
      </c>
      <c r="L176" s="144">
        <f>SUMIFS('апрель 2026'!$G$2:$G$2719,'апрель 2026'!$D$2:$D$2719,$B176,'апрель 2026'!$J$2:$J$2719,L$1)</f>
        <v>0</v>
      </c>
      <c r="M176" s="144">
        <f>SUMIFS('апрель 2026'!$G$2:$G$2719,'апрель 2026'!$D$2:$D$2719,$B176,'апрель 2026'!$J$2:$J$2719,M$1)</f>
        <v>5</v>
      </c>
      <c r="N176" s="144">
        <f>SUMIFS('апрель 2026'!$G$2:$G$2719,'апрель 2026'!$D$2:$D$2719,$B176,'апрель 2026'!$J$2:$J$2719,N$1)</f>
        <v>0</v>
      </c>
      <c r="O176" s="144">
        <f>SUMIFS('апрель 2026'!$G$2:$G$2719,'апрель 2026'!$D$2:$D$2719,$B176,'апрель 2026'!$J$2:$J$2719,O$1)</f>
        <v>0</v>
      </c>
      <c r="P176" s="144">
        <f>SUMIFS('апрель 2026'!$G$2:$G$2719,'апрель 2026'!$D$2:$D$2719,$B176,'апрель 2026'!$J$2:$J$2719,P$1)</f>
        <v>0</v>
      </c>
      <c r="Q176" s="144">
        <f>SUMIFS('апрель 2026'!$G$2:$G$2719,'апрель 2026'!$D$2:$D$2719,$B176,'апрель 2026'!$J$2:$J$2719,Q$1)</f>
        <v>0</v>
      </c>
      <c r="R176" s="144">
        <f>SUMIFS('апрель 2026'!$G$2:$G$2719,'апрель 2026'!$D$2:$D$2719,$B176,'апрель 2026'!$J$2:$J$2719,R$1)</f>
        <v>0</v>
      </c>
      <c r="S176" s="144">
        <f>SUMIFS('апрель 2026'!$G$2:$G$2719,'апрель 2026'!$D$2:$D$2719,$B176,'апрель 2026'!$J$2:$J$2719,S$1)</f>
        <v>0</v>
      </c>
      <c r="T176" s="144">
        <f>SUMIFS('апрель 2026'!$G$2:$G$2719,'апрель 2026'!$D$2:$D$2719,$B176,'апрель 2026'!$J$2:$J$2719,T$1)</f>
        <v>0</v>
      </c>
      <c r="U176" s="144">
        <f>SUMIFS('апрель 2026'!$G$2:$G$2719,'апрель 2026'!$D$2:$D$2719,$B176,'апрель 2026'!$J$2:$J$2719,U$1)</f>
        <v>0</v>
      </c>
      <c r="V176" s="144">
        <f>SUMIFS('апрель 2026'!$G$2:$G$2719,'апрель 2026'!$D$2:$D$2719,$B176,'апрель 2026'!$J$2:$J$2719,V$1)</f>
        <v>0</v>
      </c>
      <c r="W176" s="144">
        <f>SUMIFS('апрель 2026'!$G$2:$G$2719,'апрель 2026'!$D$2:$D$2719,$B176,'апрель 2026'!$J$2:$J$2719,W$1)</f>
        <v>0</v>
      </c>
      <c r="X176" s="144">
        <f>SUMIFS('апрель 2026'!$G$2:$G$2719,'апрель 2026'!$D$2:$D$2719,$B176,'апрель 2026'!$J$2:$J$2719,X$1)</f>
        <v>0</v>
      </c>
      <c r="Y176" s="144">
        <f>SUMIFS('апрель 2026'!$G$2:$G$2719,'апрель 2026'!$D$2:$D$2719,$B176,'апрель 2026'!$J$2:$J$2719,Y$1)</f>
        <v>0</v>
      </c>
      <c r="Z176" s="144">
        <f>SUMIFS('апрель 2026'!$G$2:$G$2719,'апрель 2026'!$D$2:$D$2719,$B176,'апрель 2026'!$J$2:$J$2719,Z$1)</f>
        <v>0</v>
      </c>
      <c r="AA176" s="144">
        <f>SUMIFS('апрель 2026'!$G$2:$G$2719,'апрель 2026'!$D$2:$D$2719,$B176,'апрель 2026'!$J$2:$J$2719,AA$1)</f>
        <v>0</v>
      </c>
      <c r="AB176" s="144">
        <f>SUMIFS('апрель 2026'!$G$2:$G$2719,'апрель 2026'!$D$2:$D$2719,$B176,'апрель 2026'!$J$2:$J$2719,AB$1)</f>
        <v>0</v>
      </c>
      <c r="AC176" s="144">
        <f>SUMIFS('апрель 2026'!$G$2:$G$2719,'апрель 2026'!$D$2:$D$2719,$B176,'апрель 2026'!$J$2:$J$2719,AC$1)</f>
        <v>0</v>
      </c>
      <c r="AD176" s="144">
        <f>SUMIFS('апрель 2026'!$G$2:$G$2719,'апрель 2026'!$D$2:$D$2719,$B176,'апрель 2026'!$J$2:$J$2719,AD$1)</f>
        <v>0</v>
      </c>
      <c r="AE176" s="144">
        <f>SUMIFS('апрель 2026'!$G$2:$G$2719,'апрель 2026'!$D$2:$D$2719,$B176,'апрель 2026'!$J$2:$J$2719,AE$1)</f>
        <v>0</v>
      </c>
      <c r="AF176" s="144">
        <f>SUMIFS('апрель 2026'!$G$2:$G$2719,'апрель 2026'!$D$2:$D$2719,$B176,'апрель 2026'!$J$2:$J$2719,AF$1)</f>
        <v>0</v>
      </c>
      <c r="AG176" s="144">
        <f>SUMIFS('апрель 2026'!$G$2:$G$2719,'апрель 2026'!$D$2:$D$2719,$B176,'апрель 2026'!$J$2:$J$2719,AG$1)</f>
        <v>0</v>
      </c>
      <c r="AH176" s="144">
        <f>SUMIFS('апрель 2026'!$G$2:$G$2719,'апрель 2026'!$D$2:$D$2719,$B176,'апрель 2026'!$J$2:$J$2719,AH$1)</f>
        <v>0</v>
      </c>
      <c r="AI176" s="20">
        <f t="shared" si="2"/>
        <v>5</v>
      </c>
    </row>
    <row r="177" spans="2:35" ht="15" customHeight="1" x14ac:dyDescent="0.25">
      <c r="B177" s="82" t="s">
        <v>330</v>
      </c>
      <c r="C177" s="81">
        <v>200</v>
      </c>
      <c r="D177" s="144">
        <f>SUMIFS('апрель 2026'!$G$2:$G$2719,'апрель 2026'!$D$2:$D$2719,$B177,'апрель 2026'!$J$2:$J$2719,D$1)</f>
        <v>0</v>
      </c>
      <c r="E177" s="144">
        <f>SUMIFS('апрель 2026'!$G$2:$G$2719,'апрель 2026'!$D$2:$D$2719,$B177,'апрель 2026'!$J$2:$J$2719,E$1)</f>
        <v>0</v>
      </c>
      <c r="F177" s="144">
        <f>SUMIFS('апрель 2026'!$G$2:$G$2719,'апрель 2026'!$D$2:$D$2719,$B177,'апрель 2026'!$J$2:$J$2719,F$1)</f>
        <v>0</v>
      </c>
      <c r="G177" s="144">
        <f>SUMIFS('апрель 2026'!$G$2:$G$2719,'апрель 2026'!$D$2:$D$2719,$B177,'апрель 2026'!$J$2:$J$2719,G$1)</f>
        <v>0</v>
      </c>
      <c r="H177" s="144">
        <f>SUMIFS('апрель 2026'!$G$2:$G$2719,'апрель 2026'!$D$2:$D$2719,$B177,'апрель 2026'!$J$2:$J$2719,H$1)</f>
        <v>0</v>
      </c>
      <c r="I177" s="144">
        <f>SUMIFS('апрель 2026'!$G$2:$G$2719,'апрель 2026'!$D$2:$D$2719,$B177,'апрель 2026'!$J$2:$J$2719,I$1)</f>
        <v>0</v>
      </c>
      <c r="J177" s="144">
        <f>SUMIFS('апрель 2026'!$G$2:$G$2719,'апрель 2026'!$D$2:$D$2719,$B177,'апрель 2026'!$J$2:$J$2719,J$1)</f>
        <v>0</v>
      </c>
      <c r="K177" s="144">
        <f>SUMIFS('апрель 2026'!$G$2:$G$2719,'апрель 2026'!$D$2:$D$2719,$B177,'апрель 2026'!$J$2:$J$2719,K$1)</f>
        <v>0</v>
      </c>
      <c r="L177" s="144">
        <f>SUMIFS('апрель 2026'!$G$2:$G$2719,'апрель 2026'!$D$2:$D$2719,$B177,'апрель 2026'!$J$2:$J$2719,L$1)</f>
        <v>0</v>
      </c>
      <c r="M177" s="144">
        <f>SUMIFS('апрель 2026'!$G$2:$G$2719,'апрель 2026'!$D$2:$D$2719,$B177,'апрель 2026'!$J$2:$J$2719,M$1)</f>
        <v>6</v>
      </c>
      <c r="N177" s="144">
        <f>SUMIFS('апрель 2026'!$G$2:$G$2719,'апрель 2026'!$D$2:$D$2719,$B177,'апрель 2026'!$J$2:$J$2719,N$1)</f>
        <v>0</v>
      </c>
      <c r="O177" s="144">
        <f>SUMIFS('апрель 2026'!$G$2:$G$2719,'апрель 2026'!$D$2:$D$2719,$B177,'апрель 2026'!$J$2:$J$2719,O$1)</f>
        <v>0</v>
      </c>
      <c r="P177" s="144">
        <f>SUMIFS('апрель 2026'!$G$2:$G$2719,'апрель 2026'!$D$2:$D$2719,$B177,'апрель 2026'!$J$2:$J$2719,P$1)</f>
        <v>0</v>
      </c>
      <c r="Q177" s="144">
        <f>SUMIFS('апрель 2026'!$G$2:$G$2719,'апрель 2026'!$D$2:$D$2719,$B177,'апрель 2026'!$J$2:$J$2719,Q$1)</f>
        <v>0</v>
      </c>
      <c r="R177" s="144">
        <f>SUMIFS('апрель 2026'!$G$2:$G$2719,'апрель 2026'!$D$2:$D$2719,$B177,'апрель 2026'!$J$2:$J$2719,R$1)</f>
        <v>0</v>
      </c>
      <c r="S177" s="144">
        <f>SUMIFS('апрель 2026'!$G$2:$G$2719,'апрель 2026'!$D$2:$D$2719,$B177,'апрель 2026'!$J$2:$J$2719,S$1)</f>
        <v>0</v>
      </c>
      <c r="T177" s="144">
        <f>SUMIFS('апрель 2026'!$G$2:$G$2719,'апрель 2026'!$D$2:$D$2719,$B177,'апрель 2026'!$J$2:$J$2719,T$1)</f>
        <v>0</v>
      </c>
      <c r="U177" s="144">
        <f>SUMIFS('апрель 2026'!$G$2:$G$2719,'апрель 2026'!$D$2:$D$2719,$B177,'апрель 2026'!$J$2:$J$2719,U$1)</f>
        <v>0</v>
      </c>
      <c r="V177" s="144">
        <f>SUMIFS('апрель 2026'!$G$2:$G$2719,'апрель 2026'!$D$2:$D$2719,$B177,'апрель 2026'!$J$2:$J$2719,V$1)</f>
        <v>0</v>
      </c>
      <c r="W177" s="144">
        <f>SUMIFS('апрель 2026'!$G$2:$G$2719,'апрель 2026'!$D$2:$D$2719,$B177,'апрель 2026'!$J$2:$J$2719,W$1)</f>
        <v>0</v>
      </c>
      <c r="X177" s="144">
        <f>SUMIFS('апрель 2026'!$G$2:$G$2719,'апрель 2026'!$D$2:$D$2719,$B177,'апрель 2026'!$J$2:$J$2719,X$1)</f>
        <v>0</v>
      </c>
      <c r="Y177" s="144">
        <f>SUMIFS('апрель 2026'!$G$2:$G$2719,'апрель 2026'!$D$2:$D$2719,$B177,'апрель 2026'!$J$2:$J$2719,Y$1)</f>
        <v>0</v>
      </c>
      <c r="Z177" s="144">
        <f>SUMIFS('апрель 2026'!$G$2:$G$2719,'апрель 2026'!$D$2:$D$2719,$B177,'апрель 2026'!$J$2:$J$2719,Z$1)</f>
        <v>0</v>
      </c>
      <c r="AA177" s="144">
        <f>SUMIFS('апрель 2026'!$G$2:$G$2719,'апрель 2026'!$D$2:$D$2719,$B177,'апрель 2026'!$J$2:$J$2719,AA$1)</f>
        <v>0</v>
      </c>
      <c r="AB177" s="144">
        <f>SUMIFS('апрель 2026'!$G$2:$G$2719,'апрель 2026'!$D$2:$D$2719,$B177,'апрель 2026'!$J$2:$J$2719,AB$1)</f>
        <v>0</v>
      </c>
      <c r="AC177" s="144">
        <f>SUMIFS('апрель 2026'!$G$2:$G$2719,'апрель 2026'!$D$2:$D$2719,$B177,'апрель 2026'!$J$2:$J$2719,AC$1)</f>
        <v>0</v>
      </c>
      <c r="AD177" s="144">
        <f>SUMIFS('апрель 2026'!$G$2:$G$2719,'апрель 2026'!$D$2:$D$2719,$B177,'апрель 2026'!$J$2:$J$2719,AD$1)</f>
        <v>0</v>
      </c>
      <c r="AE177" s="144">
        <f>SUMIFS('апрель 2026'!$G$2:$G$2719,'апрель 2026'!$D$2:$D$2719,$B177,'апрель 2026'!$J$2:$J$2719,AE$1)</f>
        <v>0</v>
      </c>
      <c r="AF177" s="144">
        <f>SUMIFS('апрель 2026'!$G$2:$G$2719,'апрель 2026'!$D$2:$D$2719,$B177,'апрель 2026'!$J$2:$J$2719,AF$1)</f>
        <v>0</v>
      </c>
      <c r="AG177" s="144">
        <f>SUMIFS('апрель 2026'!$G$2:$G$2719,'апрель 2026'!$D$2:$D$2719,$B177,'апрель 2026'!$J$2:$J$2719,AG$1)</f>
        <v>0</v>
      </c>
      <c r="AH177" s="144">
        <f>SUMIFS('апрель 2026'!$G$2:$G$2719,'апрель 2026'!$D$2:$D$2719,$B177,'апрель 2026'!$J$2:$J$2719,AH$1)</f>
        <v>0</v>
      </c>
      <c r="AI177" s="20">
        <f t="shared" si="2"/>
        <v>6</v>
      </c>
    </row>
    <row r="178" spans="2:35" ht="15" customHeight="1" x14ac:dyDescent="0.25">
      <c r="B178" s="82" t="s">
        <v>362</v>
      </c>
      <c r="C178" s="81">
        <v>30</v>
      </c>
      <c r="D178" s="144">
        <f>SUMIFS('апрель 2026'!$G$2:$G$2719,'апрель 2026'!$D$2:$D$2719,$B178,'апрель 2026'!$J$2:$J$2719,D$1)</f>
        <v>0</v>
      </c>
      <c r="E178" s="144">
        <f>SUMIFS('апрель 2026'!$G$2:$G$2719,'апрель 2026'!$D$2:$D$2719,$B178,'апрель 2026'!$J$2:$J$2719,E$1)</f>
        <v>0</v>
      </c>
      <c r="F178" s="144">
        <f>SUMIFS('апрель 2026'!$G$2:$G$2719,'апрель 2026'!$D$2:$D$2719,$B178,'апрель 2026'!$J$2:$J$2719,F$1)</f>
        <v>0</v>
      </c>
      <c r="G178" s="144">
        <f>SUMIFS('апрель 2026'!$G$2:$G$2719,'апрель 2026'!$D$2:$D$2719,$B178,'апрель 2026'!$J$2:$J$2719,G$1)</f>
        <v>0</v>
      </c>
      <c r="H178" s="144">
        <f>SUMIFS('апрель 2026'!$G$2:$G$2719,'апрель 2026'!$D$2:$D$2719,$B178,'апрель 2026'!$J$2:$J$2719,H$1)</f>
        <v>0</v>
      </c>
      <c r="I178" s="144">
        <f>SUMIFS('апрель 2026'!$G$2:$G$2719,'апрель 2026'!$D$2:$D$2719,$B178,'апрель 2026'!$J$2:$J$2719,I$1)</f>
        <v>0</v>
      </c>
      <c r="J178" s="144">
        <f>SUMIFS('апрель 2026'!$G$2:$G$2719,'апрель 2026'!$D$2:$D$2719,$B178,'апрель 2026'!$J$2:$J$2719,J$1)</f>
        <v>0</v>
      </c>
      <c r="K178" s="144">
        <f>SUMIFS('апрель 2026'!$G$2:$G$2719,'апрель 2026'!$D$2:$D$2719,$B178,'апрель 2026'!$J$2:$J$2719,K$1)</f>
        <v>0</v>
      </c>
      <c r="L178" s="144">
        <f>SUMIFS('апрель 2026'!$G$2:$G$2719,'апрель 2026'!$D$2:$D$2719,$B178,'апрель 2026'!$J$2:$J$2719,L$1)</f>
        <v>0</v>
      </c>
      <c r="M178" s="144">
        <f>SUMIFS('апрель 2026'!$G$2:$G$2719,'апрель 2026'!$D$2:$D$2719,$B178,'апрель 2026'!$J$2:$J$2719,M$1)</f>
        <v>0</v>
      </c>
      <c r="N178" s="144">
        <f>SUMIFS('апрель 2026'!$G$2:$G$2719,'апрель 2026'!$D$2:$D$2719,$B178,'апрель 2026'!$J$2:$J$2719,N$1)</f>
        <v>0</v>
      </c>
      <c r="O178" s="144">
        <f>SUMIFS('апрель 2026'!$G$2:$G$2719,'апрель 2026'!$D$2:$D$2719,$B178,'апрель 2026'!$J$2:$J$2719,O$1)</f>
        <v>0</v>
      </c>
      <c r="P178" s="144">
        <f>SUMIFS('апрель 2026'!$G$2:$G$2719,'апрель 2026'!$D$2:$D$2719,$B178,'апрель 2026'!$J$2:$J$2719,P$1)</f>
        <v>0</v>
      </c>
      <c r="Q178" s="144">
        <f>SUMIFS('апрель 2026'!$G$2:$G$2719,'апрель 2026'!$D$2:$D$2719,$B178,'апрель 2026'!$J$2:$J$2719,Q$1)</f>
        <v>0</v>
      </c>
      <c r="R178" s="144">
        <f>SUMIFS('апрель 2026'!$G$2:$G$2719,'апрель 2026'!$D$2:$D$2719,$B178,'апрель 2026'!$J$2:$J$2719,R$1)</f>
        <v>0</v>
      </c>
      <c r="S178" s="144">
        <f>SUMIFS('апрель 2026'!$G$2:$G$2719,'апрель 2026'!$D$2:$D$2719,$B178,'апрель 2026'!$J$2:$J$2719,S$1)</f>
        <v>0</v>
      </c>
      <c r="T178" s="144">
        <f>SUMIFS('апрель 2026'!$G$2:$G$2719,'апрель 2026'!$D$2:$D$2719,$B178,'апрель 2026'!$J$2:$J$2719,T$1)</f>
        <v>0</v>
      </c>
      <c r="U178" s="144">
        <f>SUMIFS('апрель 2026'!$G$2:$G$2719,'апрель 2026'!$D$2:$D$2719,$B178,'апрель 2026'!$J$2:$J$2719,U$1)</f>
        <v>0</v>
      </c>
      <c r="V178" s="144">
        <f>SUMIFS('апрель 2026'!$G$2:$G$2719,'апрель 2026'!$D$2:$D$2719,$B178,'апрель 2026'!$J$2:$J$2719,V$1)</f>
        <v>0</v>
      </c>
      <c r="W178" s="144">
        <f>SUMIFS('апрель 2026'!$G$2:$G$2719,'апрель 2026'!$D$2:$D$2719,$B178,'апрель 2026'!$J$2:$J$2719,W$1)</f>
        <v>0</v>
      </c>
      <c r="X178" s="144">
        <f>SUMIFS('апрель 2026'!$G$2:$G$2719,'апрель 2026'!$D$2:$D$2719,$B178,'апрель 2026'!$J$2:$J$2719,X$1)</f>
        <v>0</v>
      </c>
      <c r="Y178" s="144">
        <f>SUMIFS('апрель 2026'!$G$2:$G$2719,'апрель 2026'!$D$2:$D$2719,$B178,'апрель 2026'!$J$2:$J$2719,Y$1)</f>
        <v>0</v>
      </c>
      <c r="Z178" s="144">
        <f>SUMIFS('апрель 2026'!$G$2:$G$2719,'апрель 2026'!$D$2:$D$2719,$B178,'апрель 2026'!$J$2:$J$2719,Z$1)</f>
        <v>0</v>
      </c>
      <c r="AA178" s="144">
        <f>SUMIFS('апрель 2026'!$G$2:$G$2719,'апрель 2026'!$D$2:$D$2719,$B178,'апрель 2026'!$J$2:$J$2719,AA$1)</f>
        <v>0</v>
      </c>
      <c r="AB178" s="144">
        <f>SUMIFS('апрель 2026'!$G$2:$G$2719,'апрель 2026'!$D$2:$D$2719,$B178,'апрель 2026'!$J$2:$J$2719,AB$1)</f>
        <v>0</v>
      </c>
      <c r="AC178" s="144">
        <f>SUMIFS('апрель 2026'!$G$2:$G$2719,'апрель 2026'!$D$2:$D$2719,$B178,'апрель 2026'!$J$2:$J$2719,AC$1)</f>
        <v>0</v>
      </c>
      <c r="AD178" s="144">
        <f>SUMIFS('апрель 2026'!$G$2:$G$2719,'апрель 2026'!$D$2:$D$2719,$B178,'апрель 2026'!$J$2:$J$2719,AD$1)</f>
        <v>0</v>
      </c>
      <c r="AE178" s="144">
        <f>SUMIFS('апрель 2026'!$G$2:$G$2719,'апрель 2026'!$D$2:$D$2719,$B178,'апрель 2026'!$J$2:$J$2719,AE$1)</f>
        <v>0</v>
      </c>
      <c r="AF178" s="144">
        <f>SUMIFS('апрель 2026'!$G$2:$G$2719,'апрель 2026'!$D$2:$D$2719,$B178,'апрель 2026'!$J$2:$J$2719,AF$1)</f>
        <v>0</v>
      </c>
      <c r="AG178" s="144">
        <f>SUMIFS('апрель 2026'!$G$2:$G$2719,'апрель 2026'!$D$2:$D$2719,$B178,'апрель 2026'!$J$2:$J$2719,AG$1)</f>
        <v>0</v>
      </c>
      <c r="AH178" s="144">
        <f>SUMIFS('апрель 2026'!$G$2:$G$2719,'апрель 2026'!$D$2:$D$2719,$B178,'апрель 2026'!$J$2:$J$2719,AH$1)</f>
        <v>0</v>
      </c>
      <c r="AI178" s="20">
        <f t="shared" si="2"/>
        <v>0</v>
      </c>
    </row>
    <row r="179" spans="2:35" ht="15" customHeight="1" x14ac:dyDescent="0.25">
      <c r="B179" s="82" t="s">
        <v>376</v>
      </c>
      <c r="C179" s="81">
        <v>30</v>
      </c>
      <c r="D179" s="144">
        <f>SUMIFS('апрель 2026'!$G$2:$G$2719,'апрель 2026'!$D$2:$D$2719,$B179,'апрель 2026'!$J$2:$J$2719,D$1)</f>
        <v>0</v>
      </c>
      <c r="E179" s="144">
        <f>SUMIFS('апрель 2026'!$G$2:$G$2719,'апрель 2026'!$D$2:$D$2719,$B179,'апрель 2026'!$J$2:$J$2719,E$1)</f>
        <v>0</v>
      </c>
      <c r="F179" s="144">
        <f>SUMIFS('апрель 2026'!$G$2:$G$2719,'апрель 2026'!$D$2:$D$2719,$B179,'апрель 2026'!$J$2:$J$2719,F$1)</f>
        <v>0</v>
      </c>
      <c r="G179" s="144">
        <f>SUMIFS('апрель 2026'!$G$2:$G$2719,'апрель 2026'!$D$2:$D$2719,$B179,'апрель 2026'!$J$2:$J$2719,G$1)</f>
        <v>0</v>
      </c>
      <c r="H179" s="144">
        <f>SUMIFS('апрель 2026'!$G$2:$G$2719,'апрель 2026'!$D$2:$D$2719,$B179,'апрель 2026'!$J$2:$J$2719,H$1)</f>
        <v>0</v>
      </c>
      <c r="I179" s="144">
        <f>SUMIFS('апрель 2026'!$G$2:$G$2719,'апрель 2026'!$D$2:$D$2719,$B179,'апрель 2026'!$J$2:$J$2719,I$1)</f>
        <v>0</v>
      </c>
      <c r="J179" s="144">
        <f>SUMIFS('апрель 2026'!$G$2:$G$2719,'апрель 2026'!$D$2:$D$2719,$B179,'апрель 2026'!$J$2:$J$2719,J$1)</f>
        <v>0</v>
      </c>
      <c r="K179" s="144">
        <f>SUMIFS('апрель 2026'!$G$2:$G$2719,'апрель 2026'!$D$2:$D$2719,$B179,'апрель 2026'!$J$2:$J$2719,K$1)</f>
        <v>0</v>
      </c>
      <c r="L179" s="144">
        <f>SUMIFS('апрель 2026'!$G$2:$G$2719,'апрель 2026'!$D$2:$D$2719,$B179,'апрель 2026'!$J$2:$J$2719,L$1)</f>
        <v>0</v>
      </c>
      <c r="M179" s="144">
        <f>SUMIFS('апрель 2026'!$G$2:$G$2719,'апрель 2026'!$D$2:$D$2719,$B179,'апрель 2026'!$J$2:$J$2719,M$1)</f>
        <v>0</v>
      </c>
      <c r="N179" s="144">
        <f>SUMIFS('апрель 2026'!$G$2:$G$2719,'апрель 2026'!$D$2:$D$2719,$B179,'апрель 2026'!$J$2:$J$2719,N$1)</f>
        <v>0</v>
      </c>
      <c r="O179" s="144">
        <f>SUMIFS('апрель 2026'!$G$2:$G$2719,'апрель 2026'!$D$2:$D$2719,$B179,'апрель 2026'!$J$2:$J$2719,O$1)</f>
        <v>0</v>
      </c>
      <c r="P179" s="144">
        <f>SUMIFS('апрель 2026'!$G$2:$G$2719,'апрель 2026'!$D$2:$D$2719,$B179,'апрель 2026'!$J$2:$J$2719,P$1)</f>
        <v>0</v>
      </c>
      <c r="Q179" s="144">
        <f>SUMIFS('апрель 2026'!$G$2:$G$2719,'апрель 2026'!$D$2:$D$2719,$B179,'апрель 2026'!$J$2:$J$2719,Q$1)</f>
        <v>0</v>
      </c>
      <c r="R179" s="144">
        <f>SUMIFS('апрель 2026'!$G$2:$G$2719,'апрель 2026'!$D$2:$D$2719,$B179,'апрель 2026'!$J$2:$J$2719,R$1)</f>
        <v>0</v>
      </c>
      <c r="S179" s="144">
        <f>SUMIFS('апрель 2026'!$G$2:$G$2719,'апрель 2026'!$D$2:$D$2719,$B179,'апрель 2026'!$J$2:$J$2719,S$1)</f>
        <v>0</v>
      </c>
      <c r="T179" s="144">
        <f>SUMIFS('апрель 2026'!$G$2:$G$2719,'апрель 2026'!$D$2:$D$2719,$B179,'апрель 2026'!$J$2:$J$2719,T$1)</f>
        <v>0</v>
      </c>
      <c r="U179" s="144">
        <f>SUMIFS('апрель 2026'!$G$2:$G$2719,'апрель 2026'!$D$2:$D$2719,$B179,'апрель 2026'!$J$2:$J$2719,U$1)</f>
        <v>0</v>
      </c>
      <c r="V179" s="144">
        <f>SUMIFS('апрель 2026'!$G$2:$G$2719,'апрель 2026'!$D$2:$D$2719,$B179,'апрель 2026'!$J$2:$J$2719,V$1)</f>
        <v>0</v>
      </c>
      <c r="W179" s="144">
        <f>SUMIFS('апрель 2026'!$G$2:$G$2719,'апрель 2026'!$D$2:$D$2719,$B179,'апрель 2026'!$J$2:$J$2719,W$1)</f>
        <v>0</v>
      </c>
      <c r="X179" s="144">
        <f>SUMIFS('апрель 2026'!$G$2:$G$2719,'апрель 2026'!$D$2:$D$2719,$B179,'апрель 2026'!$J$2:$J$2719,X$1)</f>
        <v>288</v>
      </c>
      <c r="Y179" s="144">
        <f>SUMIFS('апрель 2026'!$G$2:$G$2719,'апрель 2026'!$D$2:$D$2719,$B179,'апрель 2026'!$J$2:$J$2719,Y$1)</f>
        <v>0</v>
      </c>
      <c r="Z179" s="144">
        <f>SUMIFS('апрель 2026'!$G$2:$G$2719,'апрель 2026'!$D$2:$D$2719,$B179,'апрель 2026'!$J$2:$J$2719,Z$1)</f>
        <v>0</v>
      </c>
      <c r="AA179" s="144">
        <f>SUMIFS('апрель 2026'!$G$2:$G$2719,'апрель 2026'!$D$2:$D$2719,$B179,'апрель 2026'!$J$2:$J$2719,AA$1)</f>
        <v>0</v>
      </c>
      <c r="AB179" s="144">
        <f>SUMIFS('апрель 2026'!$G$2:$G$2719,'апрель 2026'!$D$2:$D$2719,$B179,'апрель 2026'!$J$2:$J$2719,AB$1)</f>
        <v>0</v>
      </c>
      <c r="AC179" s="144">
        <f>SUMIFS('апрель 2026'!$G$2:$G$2719,'апрель 2026'!$D$2:$D$2719,$B179,'апрель 2026'!$J$2:$J$2719,AC$1)</f>
        <v>0</v>
      </c>
      <c r="AD179" s="144">
        <f>SUMIFS('апрель 2026'!$G$2:$G$2719,'апрель 2026'!$D$2:$D$2719,$B179,'апрель 2026'!$J$2:$J$2719,AD$1)</f>
        <v>0</v>
      </c>
      <c r="AE179" s="144">
        <f>SUMIFS('апрель 2026'!$G$2:$G$2719,'апрель 2026'!$D$2:$D$2719,$B179,'апрель 2026'!$J$2:$J$2719,AE$1)</f>
        <v>0</v>
      </c>
      <c r="AF179" s="144">
        <f>SUMIFS('апрель 2026'!$G$2:$G$2719,'апрель 2026'!$D$2:$D$2719,$B179,'апрель 2026'!$J$2:$J$2719,AF$1)</f>
        <v>0</v>
      </c>
      <c r="AG179" s="144">
        <f>SUMIFS('апрель 2026'!$G$2:$G$2719,'апрель 2026'!$D$2:$D$2719,$B179,'апрель 2026'!$J$2:$J$2719,AG$1)</f>
        <v>0</v>
      </c>
      <c r="AH179" s="144">
        <f>SUMIFS('апрель 2026'!$G$2:$G$2719,'апрель 2026'!$D$2:$D$2719,$B179,'апрель 2026'!$J$2:$J$2719,AH$1)</f>
        <v>0</v>
      </c>
      <c r="AI179" s="20">
        <f t="shared" si="2"/>
        <v>288</v>
      </c>
    </row>
    <row r="180" spans="2:35" ht="15" customHeight="1" x14ac:dyDescent="0.25">
      <c r="B180" s="82" t="s">
        <v>789</v>
      </c>
      <c r="C180" s="81">
        <v>190</v>
      </c>
      <c r="D180" s="144">
        <f>SUMIFS('апрель 2026'!$G$2:$G$2719,'апрель 2026'!$D$2:$D$2719,$B180,'апрель 2026'!$J$2:$J$2719,D$1)</f>
        <v>0</v>
      </c>
      <c r="E180" s="144">
        <f>SUMIFS('апрель 2026'!$G$2:$G$2719,'апрель 2026'!$D$2:$D$2719,$B180,'апрель 2026'!$J$2:$J$2719,E$1)</f>
        <v>0</v>
      </c>
      <c r="F180" s="144">
        <f>SUMIFS('апрель 2026'!$G$2:$G$2719,'апрель 2026'!$D$2:$D$2719,$B180,'апрель 2026'!$J$2:$J$2719,F$1)</f>
        <v>0</v>
      </c>
      <c r="G180" s="144">
        <f>SUMIFS('апрель 2026'!$G$2:$G$2719,'апрель 2026'!$D$2:$D$2719,$B180,'апрель 2026'!$J$2:$J$2719,G$1)</f>
        <v>0</v>
      </c>
      <c r="H180" s="144">
        <f>SUMIFS('апрель 2026'!$G$2:$G$2719,'апрель 2026'!$D$2:$D$2719,$B180,'апрель 2026'!$J$2:$J$2719,H$1)</f>
        <v>0</v>
      </c>
      <c r="I180" s="144">
        <f>SUMIFS('апрель 2026'!$G$2:$G$2719,'апрель 2026'!$D$2:$D$2719,$B180,'апрель 2026'!$J$2:$J$2719,I$1)</f>
        <v>0</v>
      </c>
      <c r="J180" s="144">
        <f>SUMIFS('апрель 2026'!$G$2:$G$2719,'апрель 2026'!$D$2:$D$2719,$B180,'апрель 2026'!$J$2:$J$2719,J$1)</f>
        <v>0</v>
      </c>
      <c r="K180" s="144">
        <f>SUMIFS('апрель 2026'!$G$2:$G$2719,'апрель 2026'!$D$2:$D$2719,$B180,'апрель 2026'!$J$2:$J$2719,K$1)</f>
        <v>0</v>
      </c>
      <c r="L180" s="144">
        <f>SUMIFS('апрель 2026'!$G$2:$G$2719,'апрель 2026'!$D$2:$D$2719,$B180,'апрель 2026'!$J$2:$J$2719,L$1)</f>
        <v>0</v>
      </c>
      <c r="M180" s="144">
        <f>SUMIFS('апрель 2026'!$G$2:$G$2719,'апрель 2026'!$D$2:$D$2719,$B180,'апрель 2026'!$J$2:$J$2719,M$1)</f>
        <v>46</v>
      </c>
      <c r="N180" s="144">
        <f>SUMIFS('апрель 2026'!$G$2:$G$2719,'апрель 2026'!$D$2:$D$2719,$B180,'апрель 2026'!$J$2:$J$2719,N$1)</f>
        <v>0</v>
      </c>
      <c r="O180" s="144">
        <f>SUMIFS('апрель 2026'!$G$2:$G$2719,'апрель 2026'!$D$2:$D$2719,$B180,'апрель 2026'!$J$2:$J$2719,O$1)</f>
        <v>0</v>
      </c>
      <c r="P180" s="144">
        <f>SUMIFS('апрель 2026'!$G$2:$G$2719,'апрель 2026'!$D$2:$D$2719,$B180,'апрель 2026'!$J$2:$J$2719,P$1)</f>
        <v>0</v>
      </c>
      <c r="Q180" s="144">
        <f>SUMIFS('апрель 2026'!$G$2:$G$2719,'апрель 2026'!$D$2:$D$2719,$B180,'апрель 2026'!$J$2:$J$2719,Q$1)</f>
        <v>0</v>
      </c>
      <c r="R180" s="144">
        <f>SUMIFS('апрель 2026'!$G$2:$G$2719,'апрель 2026'!$D$2:$D$2719,$B180,'апрель 2026'!$J$2:$J$2719,R$1)</f>
        <v>0</v>
      </c>
      <c r="S180" s="144">
        <f>SUMIFS('апрель 2026'!$G$2:$G$2719,'апрель 2026'!$D$2:$D$2719,$B180,'апрель 2026'!$J$2:$J$2719,S$1)</f>
        <v>0</v>
      </c>
      <c r="T180" s="144">
        <f>SUMIFS('апрель 2026'!$G$2:$G$2719,'апрель 2026'!$D$2:$D$2719,$B180,'апрель 2026'!$J$2:$J$2719,T$1)</f>
        <v>0</v>
      </c>
      <c r="U180" s="144">
        <f>SUMIFS('апрель 2026'!$G$2:$G$2719,'апрель 2026'!$D$2:$D$2719,$B180,'апрель 2026'!$J$2:$J$2719,U$1)</f>
        <v>0</v>
      </c>
      <c r="V180" s="144">
        <f>SUMIFS('апрель 2026'!$G$2:$G$2719,'апрель 2026'!$D$2:$D$2719,$B180,'апрель 2026'!$J$2:$J$2719,V$1)</f>
        <v>0</v>
      </c>
      <c r="W180" s="144">
        <f>SUMIFS('апрель 2026'!$G$2:$G$2719,'апрель 2026'!$D$2:$D$2719,$B180,'апрель 2026'!$J$2:$J$2719,W$1)</f>
        <v>0</v>
      </c>
      <c r="X180" s="144">
        <f>SUMIFS('апрель 2026'!$G$2:$G$2719,'апрель 2026'!$D$2:$D$2719,$B180,'апрель 2026'!$J$2:$J$2719,X$1)</f>
        <v>0</v>
      </c>
      <c r="Y180" s="144">
        <f>SUMIFS('апрель 2026'!$G$2:$G$2719,'апрель 2026'!$D$2:$D$2719,$B180,'апрель 2026'!$J$2:$J$2719,Y$1)</f>
        <v>0</v>
      </c>
      <c r="Z180" s="144">
        <f>SUMIFS('апрель 2026'!$G$2:$G$2719,'апрель 2026'!$D$2:$D$2719,$B180,'апрель 2026'!$J$2:$J$2719,Z$1)</f>
        <v>0</v>
      </c>
      <c r="AA180" s="144">
        <f>SUMIFS('апрель 2026'!$G$2:$G$2719,'апрель 2026'!$D$2:$D$2719,$B180,'апрель 2026'!$J$2:$J$2719,AA$1)</f>
        <v>0</v>
      </c>
      <c r="AB180" s="144">
        <f>SUMIFS('апрель 2026'!$G$2:$G$2719,'апрель 2026'!$D$2:$D$2719,$B180,'апрель 2026'!$J$2:$J$2719,AB$1)</f>
        <v>0</v>
      </c>
      <c r="AC180" s="144">
        <f>SUMIFS('апрель 2026'!$G$2:$G$2719,'апрель 2026'!$D$2:$D$2719,$B180,'апрель 2026'!$J$2:$J$2719,AC$1)</f>
        <v>0</v>
      </c>
      <c r="AD180" s="144">
        <f>SUMIFS('апрель 2026'!$G$2:$G$2719,'апрель 2026'!$D$2:$D$2719,$B180,'апрель 2026'!$J$2:$J$2719,AD$1)</f>
        <v>0</v>
      </c>
      <c r="AE180" s="144">
        <f>SUMIFS('апрель 2026'!$G$2:$G$2719,'апрель 2026'!$D$2:$D$2719,$B180,'апрель 2026'!$J$2:$J$2719,AE$1)</f>
        <v>0</v>
      </c>
      <c r="AF180" s="144">
        <f>SUMIFS('апрель 2026'!$G$2:$G$2719,'апрель 2026'!$D$2:$D$2719,$B180,'апрель 2026'!$J$2:$J$2719,AF$1)</f>
        <v>0</v>
      </c>
      <c r="AG180" s="144">
        <f>SUMIFS('апрель 2026'!$G$2:$G$2719,'апрель 2026'!$D$2:$D$2719,$B180,'апрель 2026'!$J$2:$J$2719,AG$1)</f>
        <v>0</v>
      </c>
      <c r="AH180" s="144">
        <f>SUMIFS('апрель 2026'!$G$2:$G$2719,'апрель 2026'!$D$2:$D$2719,$B180,'апрель 2026'!$J$2:$J$2719,AH$1)</f>
        <v>0</v>
      </c>
      <c r="AI180" s="20"/>
    </row>
    <row r="181" spans="2:35" ht="15" customHeight="1" x14ac:dyDescent="0.25">
      <c r="B181" s="82"/>
      <c r="C181" s="81"/>
      <c r="D181" s="144">
        <f>SUMIFS('апрель 2026'!$G$2:$G$2719,'апрель 2026'!$D$2:$D$2719,$B181,'апрель 2026'!$J$2:$J$2719,D$1)</f>
        <v>0</v>
      </c>
      <c r="E181" s="144">
        <f>SUMIFS('апрель 2026'!$G$2:$G$2719,'апрель 2026'!$D$2:$D$2719,$B181,'апрель 2026'!$J$2:$J$2719,E$1)</f>
        <v>0</v>
      </c>
      <c r="F181" s="144">
        <f>SUMIFS('апрель 2026'!$G$2:$G$2719,'апрель 2026'!$D$2:$D$2719,$B181,'апрель 2026'!$J$2:$J$2719,F$1)</f>
        <v>0</v>
      </c>
      <c r="G181" s="144">
        <f>SUMIFS('апрель 2026'!$G$2:$G$2719,'апрель 2026'!$D$2:$D$2719,$B181,'апрель 2026'!$J$2:$J$2719,G$1)</f>
        <v>0</v>
      </c>
      <c r="H181" s="144">
        <f>SUMIFS('апрель 2026'!$G$2:$G$2719,'апрель 2026'!$D$2:$D$2719,$B181,'апрель 2026'!$J$2:$J$2719,H$1)</f>
        <v>0</v>
      </c>
      <c r="I181" s="144">
        <f>SUMIFS('апрель 2026'!$G$2:$G$2719,'апрель 2026'!$D$2:$D$2719,$B181,'апрель 2026'!$J$2:$J$2719,I$1)</f>
        <v>0</v>
      </c>
      <c r="J181" s="144">
        <f>SUMIFS('апрель 2026'!$G$2:$G$2719,'апрель 2026'!$D$2:$D$2719,$B181,'апрель 2026'!$J$2:$J$2719,J$1)</f>
        <v>0</v>
      </c>
      <c r="K181" s="144">
        <f>SUMIFS('апрель 2026'!$G$2:$G$2719,'апрель 2026'!$D$2:$D$2719,$B181,'апрель 2026'!$J$2:$J$2719,K$1)</f>
        <v>0</v>
      </c>
      <c r="L181" s="144">
        <f>SUMIFS('апрель 2026'!$G$2:$G$2719,'апрель 2026'!$D$2:$D$2719,$B181,'апрель 2026'!$J$2:$J$2719,L$1)</f>
        <v>0</v>
      </c>
      <c r="M181" s="144">
        <f>SUMIFS('апрель 2026'!$G$2:$G$2719,'апрель 2026'!$D$2:$D$2719,$B181,'апрель 2026'!$J$2:$J$2719,M$1)</f>
        <v>0</v>
      </c>
      <c r="N181" s="144">
        <f>SUMIFS('апрель 2026'!$G$2:$G$2719,'апрель 2026'!$D$2:$D$2719,$B181,'апрель 2026'!$J$2:$J$2719,N$1)</f>
        <v>0</v>
      </c>
      <c r="O181" s="144">
        <f>SUMIFS('апрель 2026'!$G$2:$G$2719,'апрель 2026'!$D$2:$D$2719,$B181,'апрель 2026'!$J$2:$J$2719,O$1)</f>
        <v>0</v>
      </c>
      <c r="P181" s="144">
        <f>SUMIFS('апрель 2026'!$G$2:$G$2719,'апрель 2026'!$D$2:$D$2719,$B181,'апрель 2026'!$J$2:$J$2719,P$1)</f>
        <v>0</v>
      </c>
      <c r="Q181" s="144">
        <f>SUMIFS('апрель 2026'!$G$2:$G$2719,'апрель 2026'!$D$2:$D$2719,$B181,'апрель 2026'!$J$2:$J$2719,Q$1)</f>
        <v>0</v>
      </c>
      <c r="R181" s="144">
        <f>SUMIFS('апрель 2026'!$G$2:$G$2719,'апрель 2026'!$D$2:$D$2719,$B181,'апрель 2026'!$J$2:$J$2719,R$1)</f>
        <v>0</v>
      </c>
      <c r="S181" s="144">
        <f>SUMIFS('апрель 2026'!$G$2:$G$2719,'апрель 2026'!$D$2:$D$2719,$B181,'апрель 2026'!$J$2:$J$2719,S$1)</f>
        <v>0</v>
      </c>
      <c r="T181" s="144">
        <f>SUMIFS('апрель 2026'!$G$2:$G$2719,'апрель 2026'!$D$2:$D$2719,$B181,'апрель 2026'!$J$2:$J$2719,T$1)</f>
        <v>0</v>
      </c>
      <c r="U181" s="144">
        <f>SUMIFS('апрель 2026'!$G$2:$G$2719,'апрель 2026'!$D$2:$D$2719,$B181,'апрель 2026'!$J$2:$J$2719,U$1)</f>
        <v>0</v>
      </c>
      <c r="V181" s="144">
        <f>SUMIFS('апрель 2026'!$G$2:$G$2719,'апрель 2026'!$D$2:$D$2719,$B181,'апрель 2026'!$J$2:$J$2719,V$1)</f>
        <v>0</v>
      </c>
      <c r="W181" s="144">
        <f>SUMIFS('апрель 2026'!$G$2:$G$2719,'апрель 2026'!$D$2:$D$2719,$B181,'апрель 2026'!$J$2:$J$2719,W$1)</f>
        <v>0</v>
      </c>
      <c r="X181" s="144">
        <f>SUMIFS('апрель 2026'!$G$2:$G$2719,'апрель 2026'!$D$2:$D$2719,$B181,'апрель 2026'!$J$2:$J$2719,X$1)</f>
        <v>0</v>
      </c>
      <c r="Y181" s="144">
        <f>SUMIFS('апрель 2026'!$G$2:$G$2719,'апрель 2026'!$D$2:$D$2719,$B181,'апрель 2026'!$J$2:$J$2719,Y$1)</f>
        <v>0</v>
      </c>
      <c r="Z181" s="144">
        <f>SUMIFS('апрель 2026'!$G$2:$G$2719,'апрель 2026'!$D$2:$D$2719,$B181,'апрель 2026'!$J$2:$J$2719,Z$1)</f>
        <v>0</v>
      </c>
      <c r="AA181" s="144">
        <f>SUMIFS('апрель 2026'!$G$2:$G$2719,'апрель 2026'!$D$2:$D$2719,$B181,'апрель 2026'!$J$2:$J$2719,AA$1)</f>
        <v>0</v>
      </c>
      <c r="AB181" s="144">
        <f>SUMIFS('апрель 2026'!$G$2:$G$2719,'апрель 2026'!$D$2:$D$2719,$B181,'апрель 2026'!$J$2:$J$2719,AB$1)</f>
        <v>0</v>
      </c>
      <c r="AC181" s="144">
        <f>SUMIFS('апрель 2026'!$G$2:$G$2719,'апрель 2026'!$D$2:$D$2719,$B181,'апрель 2026'!$J$2:$J$2719,AC$1)</f>
        <v>0</v>
      </c>
      <c r="AD181" s="144">
        <f>SUMIFS('апрель 2026'!$G$2:$G$2719,'апрель 2026'!$D$2:$D$2719,$B181,'апрель 2026'!$J$2:$J$2719,AD$1)</f>
        <v>0</v>
      </c>
      <c r="AE181" s="144">
        <f>SUMIFS('апрель 2026'!$G$2:$G$2719,'апрель 2026'!$D$2:$D$2719,$B181,'апрель 2026'!$J$2:$J$2719,AE$1)</f>
        <v>0</v>
      </c>
      <c r="AF181" s="144">
        <f>SUMIFS('апрель 2026'!$G$2:$G$2719,'апрель 2026'!$D$2:$D$2719,$B181,'апрель 2026'!$J$2:$J$2719,AF$1)</f>
        <v>0</v>
      </c>
      <c r="AG181" s="144">
        <f>SUMIFS('апрель 2026'!$G$2:$G$2719,'апрель 2026'!$D$2:$D$2719,$B181,'апрель 2026'!$J$2:$J$2719,AG$1)</f>
        <v>0</v>
      </c>
      <c r="AH181" s="144">
        <f>SUMIFS('апрель 2026'!$G$2:$G$2719,'апрель 2026'!$D$2:$D$2719,$B181,'апрель 2026'!$J$2:$J$2719,AH$1)</f>
        <v>0</v>
      </c>
      <c r="AI181" s="20"/>
    </row>
    <row r="182" spans="2:35" ht="15" customHeight="1" x14ac:dyDescent="0.25">
      <c r="B182" s="82"/>
      <c r="C182" s="81"/>
      <c r="D182" s="144">
        <f>SUMIFS('апрель 2026'!$G$2:$G$2719,'апрель 2026'!$D$2:$D$2719,$B182,'апрель 2026'!$J$2:$J$2719,D$1)</f>
        <v>0</v>
      </c>
      <c r="E182" s="144">
        <f>SUMIFS('апрель 2026'!$G$2:$G$2719,'апрель 2026'!$D$2:$D$2719,$B182,'апрель 2026'!$J$2:$J$2719,E$1)</f>
        <v>0</v>
      </c>
      <c r="F182" s="144">
        <f>SUMIFS('апрель 2026'!$G$2:$G$2719,'апрель 2026'!$D$2:$D$2719,$B182,'апрель 2026'!$J$2:$J$2719,F$1)</f>
        <v>0</v>
      </c>
      <c r="G182" s="144">
        <f>SUMIFS('апрель 2026'!$G$2:$G$2719,'апрель 2026'!$D$2:$D$2719,$B182,'апрель 2026'!$J$2:$J$2719,G$1)</f>
        <v>0</v>
      </c>
      <c r="H182" s="144">
        <f>SUMIFS('апрель 2026'!$G$2:$G$2719,'апрель 2026'!$D$2:$D$2719,$B182,'апрель 2026'!$J$2:$J$2719,H$1)</f>
        <v>0</v>
      </c>
      <c r="I182" s="144">
        <f>SUMIFS('апрель 2026'!$G$2:$G$2719,'апрель 2026'!$D$2:$D$2719,$B182,'апрель 2026'!$J$2:$J$2719,I$1)</f>
        <v>0</v>
      </c>
      <c r="J182" s="144">
        <f>SUMIFS('апрель 2026'!$G$2:$G$2719,'апрель 2026'!$D$2:$D$2719,$B182,'апрель 2026'!$J$2:$J$2719,J$1)</f>
        <v>0</v>
      </c>
      <c r="K182" s="144">
        <f>SUMIFS('апрель 2026'!$G$2:$G$2719,'апрель 2026'!$D$2:$D$2719,$B182,'апрель 2026'!$J$2:$J$2719,K$1)</f>
        <v>0</v>
      </c>
      <c r="L182" s="144">
        <f>SUMIFS('апрель 2026'!$G$2:$G$2719,'апрель 2026'!$D$2:$D$2719,$B182,'апрель 2026'!$J$2:$J$2719,L$1)</f>
        <v>0</v>
      </c>
      <c r="M182" s="144">
        <f>SUMIFS('апрель 2026'!$G$2:$G$2719,'апрель 2026'!$D$2:$D$2719,$B182,'апрель 2026'!$J$2:$J$2719,M$1)</f>
        <v>0</v>
      </c>
      <c r="N182" s="144">
        <f>SUMIFS('апрель 2026'!$G$2:$G$2719,'апрель 2026'!$D$2:$D$2719,$B182,'апрель 2026'!$J$2:$J$2719,N$1)</f>
        <v>0</v>
      </c>
      <c r="O182" s="144">
        <f>SUMIFS('апрель 2026'!$G$2:$G$2719,'апрель 2026'!$D$2:$D$2719,$B182,'апрель 2026'!$J$2:$J$2719,O$1)</f>
        <v>0</v>
      </c>
      <c r="P182" s="144">
        <f>SUMIFS('апрель 2026'!$G$2:$G$2719,'апрель 2026'!$D$2:$D$2719,$B182,'апрель 2026'!$J$2:$J$2719,P$1)</f>
        <v>0</v>
      </c>
      <c r="Q182" s="144">
        <f>SUMIFS('апрель 2026'!$G$2:$G$2719,'апрель 2026'!$D$2:$D$2719,$B182,'апрель 2026'!$J$2:$J$2719,Q$1)</f>
        <v>0</v>
      </c>
      <c r="R182" s="144">
        <f>SUMIFS('апрель 2026'!$G$2:$G$2719,'апрель 2026'!$D$2:$D$2719,$B182,'апрель 2026'!$J$2:$J$2719,R$1)</f>
        <v>0</v>
      </c>
      <c r="S182" s="144">
        <f>SUMIFS('апрель 2026'!$G$2:$G$2719,'апрель 2026'!$D$2:$D$2719,$B182,'апрель 2026'!$J$2:$J$2719,S$1)</f>
        <v>0</v>
      </c>
      <c r="T182" s="144">
        <f>SUMIFS('апрель 2026'!$G$2:$G$2719,'апрель 2026'!$D$2:$D$2719,$B182,'апрель 2026'!$J$2:$J$2719,T$1)</f>
        <v>0</v>
      </c>
      <c r="U182" s="144">
        <f>SUMIFS('апрель 2026'!$G$2:$G$2719,'апрель 2026'!$D$2:$D$2719,$B182,'апрель 2026'!$J$2:$J$2719,U$1)</f>
        <v>0</v>
      </c>
      <c r="V182" s="144">
        <f>SUMIFS('апрель 2026'!$G$2:$G$2719,'апрель 2026'!$D$2:$D$2719,$B182,'апрель 2026'!$J$2:$J$2719,V$1)</f>
        <v>0</v>
      </c>
      <c r="W182" s="144">
        <f>SUMIFS('апрель 2026'!$G$2:$G$2719,'апрель 2026'!$D$2:$D$2719,$B182,'апрель 2026'!$J$2:$J$2719,W$1)</f>
        <v>0</v>
      </c>
      <c r="X182" s="144">
        <f>SUMIFS('апрель 2026'!$G$2:$G$2719,'апрель 2026'!$D$2:$D$2719,$B182,'апрель 2026'!$J$2:$J$2719,X$1)</f>
        <v>0</v>
      </c>
      <c r="Y182" s="144">
        <f>SUMIFS('апрель 2026'!$G$2:$G$2719,'апрель 2026'!$D$2:$D$2719,$B182,'апрель 2026'!$J$2:$J$2719,Y$1)</f>
        <v>0</v>
      </c>
      <c r="Z182" s="144">
        <f>SUMIFS('апрель 2026'!$G$2:$G$2719,'апрель 2026'!$D$2:$D$2719,$B182,'апрель 2026'!$J$2:$J$2719,Z$1)</f>
        <v>0</v>
      </c>
      <c r="AA182" s="144">
        <f>SUMIFS('апрель 2026'!$G$2:$G$2719,'апрель 2026'!$D$2:$D$2719,$B182,'апрель 2026'!$J$2:$J$2719,AA$1)</f>
        <v>0</v>
      </c>
      <c r="AB182" s="144">
        <f>SUMIFS('апрель 2026'!$G$2:$G$2719,'апрель 2026'!$D$2:$D$2719,$B182,'апрель 2026'!$J$2:$J$2719,AB$1)</f>
        <v>0</v>
      </c>
      <c r="AC182" s="144">
        <f>SUMIFS('апрель 2026'!$G$2:$G$2719,'апрель 2026'!$D$2:$D$2719,$B182,'апрель 2026'!$J$2:$J$2719,AC$1)</f>
        <v>0</v>
      </c>
      <c r="AD182" s="144">
        <f>SUMIFS('апрель 2026'!$G$2:$G$2719,'апрель 2026'!$D$2:$D$2719,$B182,'апрель 2026'!$J$2:$J$2719,AD$1)</f>
        <v>0</v>
      </c>
      <c r="AE182" s="144">
        <f>SUMIFS('апрель 2026'!$G$2:$G$2719,'апрель 2026'!$D$2:$D$2719,$B182,'апрель 2026'!$J$2:$J$2719,AE$1)</f>
        <v>0</v>
      </c>
      <c r="AF182" s="144">
        <f>SUMIFS('апрель 2026'!$G$2:$G$2719,'апрель 2026'!$D$2:$D$2719,$B182,'апрель 2026'!$J$2:$J$2719,AF$1)</f>
        <v>0</v>
      </c>
      <c r="AG182" s="144">
        <f>SUMIFS('апрель 2026'!$G$2:$G$2719,'апрель 2026'!$D$2:$D$2719,$B182,'апрель 2026'!$J$2:$J$2719,AG$1)</f>
        <v>0</v>
      </c>
      <c r="AH182" s="144">
        <f>SUMIFS('апрель 2026'!$G$2:$G$2719,'апрель 2026'!$D$2:$D$2719,$B182,'апрель 2026'!$J$2:$J$2719,AH$1)</f>
        <v>0</v>
      </c>
      <c r="AI182" s="20"/>
    </row>
    <row r="183" spans="2:35" ht="15" customHeight="1" x14ac:dyDescent="0.25">
      <c r="B183" s="82"/>
      <c r="C183" s="81"/>
      <c r="D183" s="144">
        <f>SUMIFS('апрель 2026'!$G$2:$G$2719,'апрель 2026'!$D$2:$D$2719,$B183,'апрель 2026'!$J$2:$J$2719,D$1)</f>
        <v>0</v>
      </c>
      <c r="E183" s="144">
        <f>SUMIFS('апрель 2026'!$G$2:$G$2719,'апрель 2026'!$D$2:$D$2719,$B183,'апрель 2026'!$J$2:$J$2719,E$1)</f>
        <v>0</v>
      </c>
      <c r="F183" s="144">
        <f>SUMIFS('апрель 2026'!$G$2:$G$2719,'апрель 2026'!$D$2:$D$2719,$B183,'апрель 2026'!$J$2:$J$2719,F$1)</f>
        <v>0</v>
      </c>
      <c r="G183" s="144">
        <f>SUMIFS('апрель 2026'!$G$2:$G$2719,'апрель 2026'!$D$2:$D$2719,$B183,'апрель 2026'!$J$2:$J$2719,G$1)</f>
        <v>0</v>
      </c>
      <c r="H183" s="144">
        <f>SUMIFS('апрель 2026'!$G$2:$G$2719,'апрель 2026'!$D$2:$D$2719,$B183,'апрель 2026'!$J$2:$J$2719,H$1)</f>
        <v>0</v>
      </c>
      <c r="I183" s="144">
        <f>SUMIFS('апрель 2026'!$G$2:$G$2719,'апрель 2026'!$D$2:$D$2719,$B183,'апрель 2026'!$J$2:$J$2719,I$1)</f>
        <v>0</v>
      </c>
      <c r="J183" s="144">
        <f>SUMIFS('апрель 2026'!$G$2:$G$2719,'апрель 2026'!$D$2:$D$2719,$B183,'апрель 2026'!$J$2:$J$2719,J$1)</f>
        <v>0</v>
      </c>
      <c r="K183" s="144">
        <f>SUMIFS('апрель 2026'!$G$2:$G$2719,'апрель 2026'!$D$2:$D$2719,$B183,'апрель 2026'!$J$2:$J$2719,K$1)</f>
        <v>0</v>
      </c>
      <c r="L183" s="144">
        <f>SUMIFS('апрель 2026'!$G$2:$G$2719,'апрель 2026'!$D$2:$D$2719,$B183,'апрель 2026'!$J$2:$J$2719,L$1)</f>
        <v>0</v>
      </c>
      <c r="M183" s="144">
        <f>SUMIFS('апрель 2026'!$G$2:$G$2719,'апрель 2026'!$D$2:$D$2719,$B183,'апрель 2026'!$J$2:$J$2719,M$1)</f>
        <v>0</v>
      </c>
      <c r="N183" s="144">
        <f>SUMIFS('апрель 2026'!$G$2:$G$2719,'апрель 2026'!$D$2:$D$2719,$B183,'апрель 2026'!$J$2:$J$2719,N$1)</f>
        <v>0</v>
      </c>
      <c r="O183" s="144">
        <f>SUMIFS('апрель 2026'!$G$2:$G$2719,'апрель 2026'!$D$2:$D$2719,$B183,'апрель 2026'!$J$2:$J$2719,O$1)</f>
        <v>0</v>
      </c>
      <c r="P183" s="144">
        <f>SUMIFS('апрель 2026'!$G$2:$G$2719,'апрель 2026'!$D$2:$D$2719,$B183,'апрель 2026'!$J$2:$J$2719,P$1)</f>
        <v>0</v>
      </c>
      <c r="Q183" s="144">
        <f>SUMIFS('апрель 2026'!$G$2:$G$2719,'апрель 2026'!$D$2:$D$2719,$B183,'апрель 2026'!$J$2:$J$2719,Q$1)</f>
        <v>0</v>
      </c>
      <c r="R183" s="144">
        <f>SUMIFS('апрель 2026'!$G$2:$G$2719,'апрель 2026'!$D$2:$D$2719,$B183,'апрель 2026'!$J$2:$J$2719,R$1)</f>
        <v>0</v>
      </c>
      <c r="S183" s="144">
        <f>SUMIFS('апрель 2026'!$G$2:$G$2719,'апрель 2026'!$D$2:$D$2719,$B183,'апрель 2026'!$J$2:$J$2719,S$1)</f>
        <v>0</v>
      </c>
      <c r="T183" s="144">
        <f>SUMIFS('апрель 2026'!$G$2:$G$2719,'апрель 2026'!$D$2:$D$2719,$B183,'апрель 2026'!$J$2:$J$2719,T$1)</f>
        <v>0</v>
      </c>
      <c r="U183" s="144">
        <f>SUMIFS('апрель 2026'!$G$2:$G$2719,'апрель 2026'!$D$2:$D$2719,$B183,'апрель 2026'!$J$2:$J$2719,U$1)</f>
        <v>0</v>
      </c>
      <c r="V183" s="144">
        <f>SUMIFS('апрель 2026'!$G$2:$G$2719,'апрель 2026'!$D$2:$D$2719,$B183,'апрель 2026'!$J$2:$J$2719,V$1)</f>
        <v>0</v>
      </c>
      <c r="W183" s="144">
        <f>SUMIFS('апрель 2026'!$G$2:$G$2719,'апрель 2026'!$D$2:$D$2719,$B183,'апрель 2026'!$J$2:$J$2719,W$1)</f>
        <v>0</v>
      </c>
      <c r="X183" s="144">
        <f>SUMIFS('апрель 2026'!$G$2:$G$2719,'апрель 2026'!$D$2:$D$2719,$B183,'апрель 2026'!$J$2:$J$2719,X$1)</f>
        <v>0</v>
      </c>
      <c r="Y183" s="144">
        <f>SUMIFS('апрель 2026'!$G$2:$G$2719,'апрель 2026'!$D$2:$D$2719,$B183,'апрель 2026'!$J$2:$J$2719,Y$1)</f>
        <v>0</v>
      </c>
      <c r="Z183" s="144">
        <f>SUMIFS('апрель 2026'!$G$2:$G$2719,'апрель 2026'!$D$2:$D$2719,$B183,'апрель 2026'!$J$2:$J$2719,Z$1)</f>
        <v>0</v>
      </c>
      <c r="AA183" s="144">
        <f>SUMIFS('апрель 2026'!$G$2:$G$2719,'апрель 2026'!$D$2:$D$2719,$B183,'апрель 2026'!$J$2:$J$2719,AA$1)</f>
        <v>0</v>
      </c>
      <c r="AB183" s="144">
        <f>SUMIFS('апрель 2026'!$G$2:$G$2719,'апрель 2026'!$D$2:$D$2719,$B183,'апрель 2026'!$J$2:$J$2719,AB$1)</f>
        <v>0</v>
      </c>
      <c r="AC183" s="144">
        <f>SUMIFS('апрель 2026'!$G$2:$G$2719,'апрель 2026'!$D$2:$D$2719,$B183,'апрель 2026'!$J$2:$J$2719,AC$1)</f>
        <v>0</v>
      </c>
      <c r="AD183" s="144">
        <f>SUMIFS('апрель 2026'!$G$2:$G$2719,'апрель 2026'!$D$2:$D$2719,$B183,'апрель 2026'!$J$2:$J$2719,AD$1)</f>
        <v>0</v>
      </c>
      <c r="AE183" s="144">
        <f>SUMIFS('апрель 2026'!$G$2:$G$2719,'апрель 2026'!$D$2:$D$2719,$B183,'апрель 2026'!$J$2:$J$2719,AE$1)</f>
        <v>0</v>
      </c>
      <c r="AF183" s="144">
        <f>SUMIFS('апрель 2026'!$G$2:$G$2719,'апрель 2026'!$D$2:$D$2719,$B183,'апрель 2026'!$J$2:$J$2719,AF$1)</f>
        <v>0</v>
      </c>
      <c r="AG183" s="144">
        <f>SUMIFS('апрель 2026'!$G$2:$G$2719,'апрель 2026'!$D$2:$D$2719,$B183,'апрель 2026'!$J$2:$J$2719,AG$1)</f>
        <v>0</v>
      </c>
      <c r="AH183" s="144">
        <f>SUMIFS('апрель 2026'!$G$2:$G$2719,'апрель 2026'!$D$2:$D$2719,$B183,'апрель 2026'!$J$2:$J$2719,AH$1)</f>
        <v>0</v>
      </c>
      <c r="AI183" s="20"/>
    </row>
    <row r="184" spans="2:35" ht="15" customHeight="1" x14ac:dyDescent="0.25">
      <c r="B184" s="82"/>
      <c r="C184" s="81"/>
      <c r="D184" s="144">
        <f>SUMIFS('апрель 2026'!$G$2:$G$2719,'апрель 2026'!$D$2:$D$2719,$B184,'апрель 2026'!$J$2:$J$2719,D$1)</f>
        <v>0</v>
      </c>
      <c r="E184" s="144">
        <f>SUMIFS('апрель 2026'!$G$2:$G$2719,'апрель 2026'!$D$2:$D$2719,$B184,'апрель 2026'!$J$2:$J$2719,E$1)</f>
        <v>0</v>
      </c>
      <c r="F184" s="144">
        <f>SUMIFS('апрель 2026'!$G$2:$G$2719,'апрель 2026'!$D$2:$D$2719,$B184,'апрель 2026'!$J$2:$J$2719,F$1)</f>
        <v>0</v>
      </c>
      <c r="G184" s="144">
        <f>SUMIFS('апрель 2026'!$G$2:$G$2719,'апрель 2026'!$D$2:$D$2719,$B184,'апрель 2026'!$J$2:$J$2719,G$1)</f>
        <v>0</v>
      </c>
      <c r="H184" s="144">
        <f>SUMIFS('апрель 2026'!$G$2:$G$2719,'апрель 2026'!$D$2:$D$2719,$B184,'апрель 2026'!$J$2:$J$2719,H$1)</f>
        <v>0</v>
      </c>
      <c r="I184" s="144">
        <f>SUMIFS('апрель 2026'!$G$2:$G$2719,'апрель 2026'!$D$2:$D$2719,$B184,'апрель 2026'!$J$2:$J$2719,I$1)</f>
        <v>0</v>
      </c>
      <c r="J184" s="144">
        <f>SUMIFS('апрель 2026'!$G$2:$G$2719,'апрель 2026'!$D$2:$D$2719,$B184,'апрель 2026'!$J$2:$J$2719,J$1)</f>
        <v>0</v>
      </c>
      <c r="K184" s="144">
        <f>SUMIFS('апрель 2026'!$G$2:$G$2719,'апрель 2026'!$D$2:$D$2719,$B184,'апрель 2026'!$J$2:$J$2719,K$1)</f>
        <v>0</v>
      </c>
      <c r="L184" s="144">
        <f>SUMIFS('апрель 2026'!$G$2:$G$2719,'апрель 2026'!$D$2:$D$2719,$B184,'апрель 2026'!$J$2:$J$2719,L$1)</f>
        <v>0</v>
      </c>
      <c r="M184" s="144">
        <f>SUMIFS('апрель 2026'!$G$2:$G$2719,'апрель 2026'!$D$2:$D$2719,$B184,'апрель 2026'!$J$2:$J$2719,M$1)</f>
        <v>0</v>
      </c>
      <c r="N184" s="144">
        <f>SUMIFS('апрель 2026'!$G$2:$G$2719,'апрель 2026'!$D$2:$D$2719,$B184,'апрель 2026'!$J$2:$J$2719,N$1)</f>
        <v>0</v>
      </c>
      <c r="O184" s="144">
        <f>SUMIFS('апрель 2026'!$G$2:$G$2719,'апрель 2026'!$D$2:$D$2719,$B184,'апрель 2026'!$J$2:$J$2719,O$1)</f>
        <v>0</v>
      </c>
      <c r="P184" s="144">
        <f>SUMIFS('апрель 2026'!$G$2:$G$2719,'апрель 2026'!$D$2:$D$2719,$B184,'апрель 2026'!$J$2:$J$2719,P$1)</f>
        <v>0</v>
      </c>
      <c r="Q184" s="144">
        <f>SUMIFS('апрель 2026'!$G$2:$G$2719,'апрель 2026'!$D$2:$D$2719,$B184,'апрель 2026'!$J$2:$J$2719,Q$1)</f>
        <v>0</v>
      </c>
      <c r="R184" s="144">
        <f>SUMIFS('апрель 2026'!$G$2:$G$2719,'апрель 2026'!$D$2:$D$2719,$B184,'апрель 2026'!$J$2:$J$2719,R$1)</f>
        <v>0</v>
      </c>
      <c r="S184" s="144">
        <f>SUMIFS('апрель 2026'!$G$2:$G$2719,'апрель 2026'!$D$2:$D$2719,$B184,'апрель 2026'!$J$2:$J$2719,S$1)</f>
        <v>0</v>
      </c>
      <c r="T184" s="144">
        <f>SUMIFS('апрель 2026'!$G$2:$G$2719,'апрель 2026'!$D$2:$D$2719,$B184,'апрель 2026'!$J$2:$J$2719,T$1)</f>
        <v>0</v>
      </c>
      <c r="U184" s="144">
        <f>SUMIFS('апрель 2026'!$G$2:$G$2719,'апрель 2026'!$D$2:$D$2719,$B184,'апрель 2026'!$J$2:$J$2719,U$1)</f>
        <v>0</v>
      </c>
      <c r="V184" s="144">
        <f>SUMIFS('апрель 2026'!$G$2:$G$2719,'апрель 2026'!$D$2:$D$2719,$B184,'апрель 2026'!$J$2:$J$2719,V$1)</f>
        <v>0</v>
      </c>
      <c r="W184" s="144">
        <f>SUMIFS('апрель 2026'!$G$2:$G$2719,'апрель 2026'!$D$2:$D$2719,$B184,'апрель 2026'!$J$2:$J$2719,W$1)</f>
        <v>0</v>
      </c>
      <c r="X184" s="144">
        <f>SUMIFS('апрель 2026'!$G$2:$G$2719,'апрель 2026'!$D$2:$D$2719,$B184,'апрель 2026'!$J$2:$J$2719,X$1)</f>
        <v>0</v>
      </c>
      <c r="Y184" s="144">
        <f>SUMIFS('апрель 2026'!$G$2:$G$2719,'апрель 2026'!$D$2:$D$2719,$B184,'апрель 2026'!$J$2:$J$2719,Y$1)</f>
        <v>0</v>
      </c>
      <c r="Z184" s="144">
        <f>SUMIFS('апрель 2026'!$G$2:$G$2719,'апрель 2026'!$D$2:$D$2719,$B184,'апрель 2026'!$J$2:$J$2719,Z$1)</f>
        <v>0</v>
      </c>
      <c r="AA184" s="144">
        <f>SUMIFS('апрель 2026'!$G$2:$G$2719,'апрель 2026'!$D$2:$D$2719,$B184,'апрель 2026'!$J$2:$J$2719,AA$1)</f>
        <v>0</v>
      </c>
      <c r="AB184" s="144">
        <f>SUMIFS('апрель 2026'!$G$2:$G$2719,'апрель 2026'!$D$2:$D$2719,$B184,'апрель 2026'!$J$2:$J$2719,AB$1)</f>
        <v>0</v>
      </c>
      <c r="AC184" s="144">
        <f>SUMIFS('апрель 2026'!$G$2:$G$2719,'апрель 2026'!$D$2:$D$2719,$B184,'апрель 2026'!$J$2:$J$2719,AC$1)</f>
        <v>0</v>
      </c>
      <c r="AD184" s="144">
        <f>SUMIFS('апрель 2026'!$G$2:$G$2719,'апрель 2026'!$D$2:$D$2719,$B184,'апрель 2026'!$J$2:$J$2719,AD$1)</f>
        <v>0</v>
      </c>
      <c r="AE184" s="144">
        <f>SUMIFS('апрель 2026'!$G$2:$G$2719,'апрель 2026'!$D$2:$D$2719,$B184,'апрель 2026'!$J$2:$J$2719,AE$1)</f>
        <v>0</v>
      </c>
      <c r="AF184" s="144">
        <f>SUMIFS('апрель 2026'!$G$2:$G$2719,'апрель 2026'!$D$2:$D$2719,$B184,'апрель 2026'!$J$2:$J$2719,AF$1)</f>
        <v>0</v>
      </c>
      <c r="AG184" s="144">
        <f>SUMIFS('апрель 2026'!$G$2:$G$2719,'апрель 2026'!$D$2:$D$2719,$B184,'апрель 2026'!$J$2:$J$2719,AG$1)</f>
        <v>0</v>
      </c>
      <c r="AH184" s="144">
        <f>SUMIFS('апрель 2026'!$G$2:$G$2719,'апрель 2026'!$D$2:$D$2719,$B184,'апрель 2026'!$J$2:$J$2719,AH$1)</f>
        <v>0</v>
      </c>
      <c r="AI184" s="20"/>
    </row>
    <row r="185" spans="2:35" ht="15" customHeight="1" x14ac:dyDescent="0.25">
      <c r="B185" s="82"/>
      <c r="C185" s="81"/>
      <c r="D185" s="144">
        <f>SUMIFS('апрель 2026'!$G$2:$G$2719,'апрель 2026'!$D$2:$D$2719,$B185,'апрель 2026'!$J$2:$J$2719,D$1)</f>
        <v>0</v>
      </c>
      <c r="E185" s="144">
        <f>SUMIFS('апрель 2026'!$G$2:$G$2719,'апрель 2026'!$D$2:$D$2719,$B185,'апрель 2026'!$J$2:$J$2719,E$1)</f>
        <v>0</v>
      </c>
      <c r="F185" s="144">
        <f>SUMIFS('апрель 2026'!$G$2:$G$2719,'апрель 2026'!$D$2:$D$2719,$B185,'апрель 2026'!$J$2:$J$2719,F$1)</f>
        <v>0</v>
      </c>
      <c r="G185" s="144">
        <f>SUMIFS('апрель 2026'!$G$2:$G$2719,'апрель 2026'!$D$2:$D$2719,$B185,'апрель 2026'!$J$2:$J$2719,G$1)</f>
        <v>0</v>
      </c>
      <c r="H185" s="144">
        <f>SUMIFS('апрель 2026'!$G$2:$G$2719,'апрель 2026'!$D$2:$D$2719,$B185,'апрель 2026'!$J$2:$J$2719,H$1)</f>
        <v>0</v>
      </c>
      <c r="I185" s="144">
        <f>SUMIFS('апрель 2026'!$G$2:$G$2719,'апрель 2026'!$D$2:$D$2719,$B185,'апрель 2026'!$J$2:$J$2719,I$1)</f>
        <v>0</v>
      </c>
      <c r="J185" s="144">
        <f>SUMIFS('апрель 2026'!$G$2:$G$2719,'апрель 2026'!$D$2:$D$2719,$B185,'апрель 2026'!$J$2:$J$2719,J$1)</f>
        <v>0</v>
      </c>
      <c r="K185" s="144">
        <f>SUMIFS('апрель 2026'!$G$2:$G$2719,'апрель 2026'!$D$2:$D$2719,$B185,'апрель 2026'!$J$2:$J$2719,K$1)</f>
        <v>0</v>
      </c>
      <c r="L185" s="144">
        <f>SUMIFS('апрель 2026'!$G$2:$G$2719,'апрель 2026'!$D$2:$D$2719,$B185,'апрель 2026'!$J$2:$J$2719,L$1)</f>
        <v>0</v>
      </c>
      <c r="M185" s="144">
        <f>SUMIFS('апрель 2026'!$G$2:$G$2719,'апрель 2026'!$D$2:$D$2719,$B185,'апрель 2026'!$J$2:$J$2719,M$1)</f>
        <v>0</v>
      </c>
      <c r="N185" s="144">
        <f>SUMIFS('апрель 2026'!$G$2:$G$2719,'апрель 2026'!$D$2:$D$2719,$B185,'апрель 2026'!$J$2:$J$2719,N$1)</f>
        <v>0</v>
      </c>
      <c r="O185" s="144">
        <f>SUMIFS('апрель 2026'!$G$2:$G$2719,'апрель 2026'!$D$2:$D$2719,$B185,'апрель 2026'!$J$2:$J$2719,O$1)</f>
        <v>0</v>
      </c>
      <c r="P185" s="144">
        <f>SUMIFS('апрель 2026'!$G$2:$G$2719,'апрель 2026'!$D$2:$D$2719,$B185,'апрель 2026'!$J$2:$J$2719,P$1)</f>
        <v>0</v>
      </c>
      <c r="Q185" s="144">
        <f>SUMIFS('апрель 2026'!$G$2:$G$2719,'апрель 2026'!$D$2:$D$2719,$B185,'апрель 2026'!$J$2:$J$2719,Q$1)</f>
        <v>0</v>
      </c>
      <c r="R185" s="144">
        <f>SUMIFS('апрель 2026'!$G$2:$G$2719,'апрель 2026'!$D$2:$D$2719,$B185,'апрель 2026'!$J$2:$J$2719,R$1)</f>
        <v>0</v>
      </c>
      <c r="S185" s="144">
        <f>SUMIFS('апрель 2026'!$G$2:$G$2719,'апрель 2026'!$D$2:$D$2719,$B185,'апрель 2026'!$J$2:$J$2719,S$1)</f>
        <v>0</v>
      </c>
      <c r="T185" s="144">
        <f>SUMIFS('апрель 2026'!$G$2:$G$2719,'апрель 2026'!$D$2:$D$2719,$B185,'апрель 2026'!$J$2:$J$2719,T$1)</f>
        <v>0</v>
      </c>
      <c r="U185" s="144">
        <f>SUMIFS('апрель 2026'!$G$2:$G$2719,'апрель 2026'!$D$2:$D$2719,$B185,'апрель 2026'!$J$2:$J$2719,U$1)</f>
        <v>0</v>
      </c>
      <c r="V185" s="144">
        <f>SUMIFS('апрель 2026'!$G$2:$G$2719,'апрель 2026'!$D$2:$D$2719,$B185,'апрель 2026'!$J$2:$J$2719,V$1)</f>
        <v>0</v>
      </c>
      <c r="W185" s="144">
        <f>SUMIFS('апрель 2026'!$G$2:$G$2719,'апрель 2026'!$D$2:$D$2719,$B185,'апрель 2026'!$J$2:$J$2719,W$1)</f>
        <v>0</v>
      </c>
      <c r="X185" s="144">
        <f>SUMIFS('апрель 2026'!$G$2:$G$2719,'апрель 2026'!$D$2:$D$2719,$B185,'апрель 2026'!$J$2:$J$2719,X$1)</f>
        <v>0</v>
      </c>
      <c r="Y185" s="144">
        <f>SUMIFS('апрель 2026'!$G$2:$G$2719,'апрель 2026'!$D$2:$D$2719,$B185,'апрель 2026'!$J$2:$J$2719,Y$1)</f>
        <v>0</v>
      </c>
      <c r="Z185" s="144">
        <f>SUMIFS('апрель 2026'!$G$2:$G$2719,'апрель 2026'!$D$2:$D$2719,$B185,'апрель 2026'!$J$2:$J$2719,Z$1)</f>
        <v>0</v>
      </c>
      <c r="AA185" s="144">
        <f>SUMIFS('апрель 2026'!$G$2:$G$2719,'апрель 2026'!$D$2:$D$2719,$B185,'апрель 2026'!$J$2:$J$2719,AA$1)</f>
        <v>0</v>
      </c>
      <c r="AB185" s="144">
        <f>SUMIFS('апрель 2026'!$G$2:$G$2719,'апрель 2026'!$D$2:$D$2719,$B185,'апрель 2026'!$J$2:$J$2719,AB$1)</f>
        <v>0</v>
      </c>
      <c r="AC185" s="144">
        <f>SUMIFS('апрель 2026'!$G$2:$G$2719,'апрель 2026'!$D$2:$D$2719,$B185,'апрель 2026'!$J$2:$J$2719,AC$1)</f>
        <v>0</v>
      </c>
      <c r="AD185" s="144">
        <f>SUMIFS('апрель 2026'!$G$2:$G$2719,'апрель 2026'!$D$2:$D$2719,$B185,'апрель 2026'!$J$2:$J$2719,AD$1)</f>
        <v>0</v>
      </c>
      <c r="AE185" s="144">
        <f>SUMIFS('апрель 2026'!$G$2:$G$2719,'апрель 2026'!$D$2:$D$2719,$B185,'апрель 2026'!$J$2:$J$2719,AE$1)</f>
        <v>0</v>
      </c>
      <c r="AF185" s="144">
        <f>SUMIFS('апрель 2026'!$G$2:$G$2719,'апрель 2026'!$D$2:$D$2719,$B185,'апрель 2026'!$J$2:$J$2719,AF$1)</f>
        <v>0</v>
      </c>
      <c r="AG185" s="144">
        <f>SUMIFS('апрель 2026'!$G$2:$G$2719,'апрель 2026'!$D$2:$D$2719,$B185,'апрель 2026'!$J$2:$J$2719,AG$1)</f>
        <v>0</v>
      </c>
      <c r="AH185" s="144">
        <f>SUMIFS('апрель 2026'!$G$2:$G$2719,'апрель 2026'!$D$2:$D$2719,$B185,'апрель 2026'!$J$2:$J$2719,AH$1)</f>
        <v>0</v>
      </c>
      <c r="AI185" s="20"/>
    </row>
    <row r="186" spans="2:35" ht="15" customHeight="1" x14ac:dyDescent="0.25">
      <c r="B186" s="82"/>
      <c r="C186" s="81"/>
      <c r="D186" s="144">
        <f>SUMIFS('апрель 2026'!$G$2:$G$2719,'апрель 2026'!$D$2:$D$2719,$B186,'апрель 2026'!$J$2:$J$2719,D$1)</f>
        <v>0</v>
      </c>
      <c r="E186" s="144">
        <f>SUMIFS('апрель 2026'!$G$2:$G$2719,'апрель 2026'!$D$2:$D$2719,$B186,'апрель 2026'!$J$2:$J$2719,E$1)</f>
        <v>0</v>
      </c>
      <c r="F186" s="144">
        <f>SUMIFS('апрель 2026'!$G$2:$G$2719,'апрель 2026'!$D$2:$D$2719,$B186,'апрель 2026'!$J$2:$J$2719,F$1)</f>
        <v>0</v>
      </c>
      <c r="G186" s="144">
        <f>SUMIFS('апрель 2026'!$G$2:$G$2719,'апрель 2026'!$D$2:$D$2719,$B186,'апрель 2026'!$J$2:$J$2719,G$1)</f>
        <v>0</v>
      </c>
      <c r="H186" s="144">
        <f>SUMIFS('апрель 2026'!$G$2:$G$2719,'апрель 2026'!$D$2:$D$2719,$B186,'апрель 2026'!$J$2:$J$2719,H$1)</f>
        <v>0</v>
      </c>
      <c r="I186" s="144">
        <f>SUMIFS('апрель 2026'!$G$2:$G$2719,'апрель 2026'!$D$2:$D$2719,$B186,'апрель 2026'!$J$2:$J$2719,I$1)</f>
        <v>0</v>
      </c>
      <c r="J186" s="144">
        <f>SUMIFS('апрель 2026'!$G$2:$G$2719,'апрель 2026'!$D$2:$D$2719,$B186,'апрель 2026'!$J$2:$J$2719,J$1)</f>
        <v>0</v>
      </c>
      <c r="K186" s="144">
        <f>SUMIFS('апрель 2026'!$G$2:$G$2719,'апрель 2026'!$D$2:$D$2719,$B186,'апрель 2026'!$J$2:$J$2719,K$1)</f>
        <v>0</v>
      </c>
      <c r="L186" s="144">
        <f>SUMIFS('апрель 2026'!$G$2:$G$2719,'апрель 2026'!$D$2:$D$2719,$B186,'апрель 2026'!$J$2:$J$2719,L$1)</f>
        <v>0</v>
      </c>
      <c r="M186" s="144">
        <f>SUMIFS('апрель 2026'!$G$2:$G$2719,'апрель 2026'!$D$2:$D$2719,$B186,'апрель 2026'!$J$2:$J$2719,M$1)</f>
        <v>0</v>
      </c>
      <c r="N186" s="144">
        <f>SUMIFS('апрель 2026'!$G$2:$G$2719,'апрель 2026'!$D$2:$D$2719,$B186,'апрель 2026'!$J$2:$J$2719,N$1)</f>
        <v>0</v>
      </c>
      <c r="O186" s="144">
        <f>SUMIFS('апрель 2026'!$G$2:$G$2719,'апрель 2026'!$D$2:$D$2719,$B186,'апрель 2026'!$J$2:$J$2719,O$1)</f>
        <v>0</v>
      </c>
      <c r="P186" s="144">
        <f>SUMIFS('апрель 2026'!$G$2:$G$2719,'апрель 2026'!$D$2:$D$2719,$B186,'апрель 2026'!$J$2:$J$2719,P$1)</f>
        <v>0</v>
      </c>
      <c r="Q186" s="144">
        <f>SUMIFS('апрель 2026'!$G$2:$G$2719,'апрель 2026'!$D$2:$D$2719,$B186,'апрель 2026'!$J$2:$J$2719,Q$1)</f>
        <v>0</v>
      </c>
      <c r="R186" s="144">
        <f>SUMIFS('апрель 2026'!$G$2:$G$2719,'апрель 2026'!$D$2:$D$2719,$B186,'апрель 2026'!$J$2:$J$2719,R$1)</f>
        <v>0</v>
      </c>
      <c r="S186" s="144">
        <f>SUMIFS('апрель 2026'!$G$2:$G$2719,'апрель 2026'!$D$2:$D$2719,$B186,'апрель 2026'!$J$2:$J$2719,S$1)</f>
        <v>0</v>
      </c>
      <c r="T186" s="144">
        <f>SUMIFS('апрель 2026'!$G$2:$G$2719,'апрель 2026'!$D$2:$D$2719,$B186,'апрель 2026'!$J$2:$J$2719,T$1)</f>
        <v>0</v>
      </c>
      <c r="U186" s="144">
        <f>SUMIFS('апрель 2026'!$G$2:$G$2719,'апрель 2026'!$D$2:$D$2719,$B186,'апрель 2026'!$J$2:$J$2719,U$1)</f>
        <v>0</v>
      </c>
      <c r="V186" s="144">
        <f>SUMIFS('апрель 2026'!$G$2:$G$2719,'апрель 2026'!$D$2:$D$2719,$B186,'апрель 2026'!$J$2:$J$2719,V$1)</f>
        <v>0</v>
      </c>
      <c r="W186" s="144">
        <f>SUMIFS('апрель 2026'!$G$2:$G$2719,'апрель 2026'!$D$2:$D$2719,$B186,'апрель 2026'!$J$2:$J$2719,W$1)</f>
        <v>0</v>
      </c>
      <c r="X186" s="144">
        <f>SUMIFS('апрель 2026'!$G$2:$G$2719,'апрель 2026'!$D$2:$D$2719,$B186,'апрель 2026'!$J$2:$J$2719,X$1)</f>
        <v>0</v>
      </c>
      <c r="Y186" s="144">
        <f>SUMIFS('апрель 2026'!$G$2:$G$2719,'апрель 2026'!$D$2:$D$2719,$B186,'апрель 2026'!$J$2:$J$2719,Y$1)</f>
        <v>0</v>
      </c>
      <c r="Z186" s="144">
        <f>SUMIFS('апрель 2026'!$G$2:$G$2719,'апрель 2026'!$D$2:$D$2719,$B186,'апрель 2026'!$J$2:$J$2719,Z$1)</f>
        <v>0</v>
      </c>
      <c r="AA186" s="144">
        <f>SUMIFS('апрель 2026'!$G$2:$G$2719,'апрель 2026'!$D$2:$D$2719,$B186,'апрель 2026'!$J$2:$J$2719,AA$1)</f>
        <v>0</v>
      </c>
      <c r="AB186" s="144">
        <f>SUMIFS('апрель 2026'!$G$2:$G$2719,'апрель 2026'!$D$2:$D$2719,$B186,'апрель 2026'!$J$2:$J$2719,AB$1)</f>
        <v>0</v>
      </c>
      <c r="AC186" s="144">
        <f>SUMIFS('апрель 2026'!$G$2:$G$2719,'апрель 2026'!$D$2:$D$2719,$B186,'апрель 2026'!$J$2:$J$2719,AC$1)</f>
        <v>0</v>
      </c>
      <c r="AD186" s="144">
        <f>SUMIFS('апрель 2026'!$G$2:$G$2719,'апрель 2026'!$D$2:$D$2719,$B186,'апрель 2026'!$J$2:$J$2719,AD$1)</f>
        <v>0</v>
      </c>
      <c r="AE186" s="144">
        <f>SUMIFS('апрель 2026'!$G$2:$G$2719,'апрель 2026'!$D$2:$D$2719,$B186,'апрель 2026'!$J$2:$J$2719,AE$1)</f>
        <v>0</v>
      </c>
      <c r="AF186" s="144">
        <f>SUMIFS('апрель 2026'!$G$2:$G$2719,'апрель 2026'!$D$2:$D$2719,$B186,'апрель 2026'!$J$2:$J$2719,AF$1)</f>
        <v>0</v>
      </c>
      <c r="AG186" s="144">
        <f>SUMIFS('апрель 2026'!$G$2:$G$2719,'апрель 2026'!$D$2:$D$2719,$B186,'апрель 2026'!$J$2:$J$2719,AG$1)</f>
        <v>0</v>
      </c>
      <c r="AH186" s="144">
        <f>SUMIFS('апрель 2026'!$G$2:$G$2719,'апрель 2026'!$D$2:$D$2719,$B186,'апрель 2026'!$J$2:$J$2719,AH$1)</f>
        <v>0</v>
      </c>
      <c r="AI186" s="20"/>
    </row>
    <row r="187" spans="2:35" ht="15" customHeight="1" x14ac:dyDescent="0.25">
      <c r="B187" s="82"/>
      <c r="C187" s="81"/>
      <c r="D187" s="144">
        <f>SUMIFS('апрель 2026'!$G$2:$G$2719,'апрель 2026'!$D$2:$D$2719,$B187,'апрель 2026'!$J$2:$J$2719,D$1)</f>
        <v>0</v>
      </c>
      <c r="E187" s="144">
        <f>SUMIFS('апрель 2026'!$G$2:$G$2719,'апрель 2026'!$D$2:$D$2719,$B187,'апрель 2026'!$J$2:$J$2719,E$1)</f>
        <v>0</v>
      </c>
      <c r="F187" s="144">
        <f>SUMIFS('апрель 2026'!$G$2:$G$2719,'апрель 2026'!$D$2:$D$2719,$B187,'апрель 2026'!$J$2:$J$2719,F$1)</f>
        <v>0</v>
      </c>
      <c r="G187" s="144">
        <f>SUMIFS('апрель 2026'!$G$2:$G$2719,'апрель 2026'!$D$2:$D$2719,$B187,'апрель 2026'!$J$2:$J$2719,G$1)</f>
        <v>0</v>
      </c>
      <c r="H187" s="144">
        <f>SUMIFS('апрель 2026'!$G$2:$G$2719,'апрель 2026'!$D$2:$D$2719,$B187,'апрель 2026'!$J$2:$J$2719,H$1)</f>
        <v>0</v>
      </c>
      <c r="I187" s="144">
        <f>SUMIFS('апрель 2026'!$G$2:$G$2719,'апрель 2026'!$D$2:$D$2719,$B187,'апрель 2026'!$J$2:$J$2719,I$1)</f>
        <v>0</v>
      </c>
      <c r="J187" s="144">
        <f>SUMIFS('апрель 2026'!$G$2:$G$2719,'апрель 2026'!$D$2:$D$2719,$B187,'апрель 2026'!$J$2:$J$2719,J$1)</f>
        <v>0</v>
      </c>
      <c r="K187" s="144">
        <f>SUMIFS('апрель 2026'!$G$2:$G$2719,'апрель 2026'!$D$2:$D$2719,$B187,'апрель 2026'!$J$2:$J$2719,K$1)</f>
        <v>0</v>
      </c>
      <c r="L187" s="144">
        <f>SUMIFS('апрель 2026'!$G$2:$G$2719,'апрель 2026'!$D$2:$D$2719,$B187,'апрель 2026'!$J$2:$J$2719,L$1)</f>
        <v>0</v>
      </c>
      <c r="M187" s="144">
        <f>SUMIFS('апрель 2026'!$G$2:$G$2719,'апрель 2026'!$D$2:$D$2719,$B187,'апрель 2026'!$J$2:$J$2719,M$1)</f>
        <v>0</v>
      </c>
      <c r="N187" s="144">
        <f>SUMIFS('апрель 2026'!$G$2:$G$2719,'апрель 2026'!$D$2:$D$2719,$B187,'апрель 2026'!$J$2:$J$2719,N$1)</f>
        <v>0</v>
      </c>
      <c r="O187" s="144">
        <f>SUMIFS('апрель 2026'!$G$2:$G$2719,'апрель 2026'!$D$2:$D$2719,$B187,'апрель 2026'!$J$2:$J$2719,O$1)</f>
        <v>0</v>
      </c>
      <c r="P187" s="144">
        <f>SUMIFS('апрель 2026'!$G$2:$G$2719,'апрель 2026'!$D$2:$D$2719,$B187,'апрель 2026'!$J$2:$J$2719,P$1)</f>
        <v>0</v>
      </c>
      <c r="Q187" s="144">
        <f>SUMIFS('апрель 2026'!$G$2:$G$2719,'апрель 2026'!$D$2:$D$2719,$B187,'апрель 2026'!$J$2:$J$2719,Q$1)</f>
        <v>0</v>
      </c>
      <c r="R187" s="144">
        <f>SUMIFS('апрель 2026'!$G$2:$G$2719,'апрель 2026'!$D$2:$D$2719,$B187,'апрель 2026'!$J$2:$J$2719,R$1)</f>
        <v>0</v>
      </c>
      <c r="S187" s="144">
        <f>SUMIFS('апрель 2026'!$G$2:$G$2719,'апрель 2026'!$D$2:$D$2719,$B187,'апрель 2026'!$J$2:$J$2719,S$1)</f>
        <v>0</v>
      </c>
      <c r="T187" s="144">
        <f>SUMIFS('апрель 2026'!$G$2:$G$2719,'апрель 2026'!$D$2:$D$2719,$B187,'апрель 2026'!$J$2:$J$2719,T$1)</f>
        <v>0</v>
      </c>
      <c r="U187" s="144">
        <f>SUMIFS('апрель 2026'!$G$2:$G$2719,'апрель 2026'!$D$2:$D$2719,$B187,'апрель 2026'!$J$2:$J$2719,U$1)</f>
        <v>0</v>
      </c>
      <c r="V187" s="144">
        <f>SUMIFS('апрель 2026'!$G$2:$G$2719,'апрель 2026'!$D$2:$D$2719,$B187,'апрель 2026'!$J$2:$J$2719,V$1)</f>
        <v>0</v>
      </c>
      <c r="W187" s="144">
        <f>SUMIFS('апрель 2026'!$G$2:$G$2719,'апрель 2026'!$D$2:$D$2719,$B187,'апрель 2026'!$J$2:$J$2719,W$1)</f>
        <v>0</v>
      </c>
      <c r="X187" s="144">
        <f>SUMIFS('апрель 2026'!$G$2:$G$2719,'апрель 2026'!$D$2:$D$2719,$B187,'апрель 2026'!$J$2:$J$2719,X$1)</f>
        <v>0</v>
      </c>
      <c r="Y187" s="144">
        <f>SUMIFS('апрель 2026'!$G$2:$G$2719,'апрель 2026'!$D$2:$D$2719,$B187,'апрель 2026'!$J$2:$J$2719,Y$1)</f>
        <v>0</v>
      </c>
      <c r="Z187" s="144">
        <f>SUMIFS('апрель 2026'!$G$2:$G$2719,'апрель 2026'!$D$2:$D$2719,$B187,'апрель 2026'!$J$2:$J$2719,Z$1)</f>
        <v>0</v>
      </c>
      <c r="AA187" s="144">
        <f>SUMIFS('апрель 2026'!$G$2:$G$2719,'апрель 2026'!$D$2:$D$2719,$B187,'апрель 2026'!$J$2:$J$2719,AA$1)</f>
        <v>0</v>
      </c>
      <c r="AB187" s="144">
        <f>SUMIFS('апрель 2026'!$G$2:$G$2719,'апрель 2026'!$D$2:$D$2719,$B187,'апрель 2026'!$J$2:$J$2719,AB$1)</f>
        <v>0</v>
      </c>
      <c r="AC187" s="144">
        <f>SUMIFS('апрель 2026'!$G$2:$G$2719,'апрель 2026'!$D$2:$D$2719,$B187,'апрель 2026'!$J$2:$J$2719,AC$1)</f>
        <v>0</v>
      </c>
      <c r="AD187" s="144">
        <f>SUMIFS('апрель 2026'!$G$2:$G$2719,'апрель 2026'!$D$2:$D$2719,$B187,'апрель 2026'!$J$2:$J$2719,AD$1)</f>
        <v>0</v>
      </c>
      <c r="AE187" s="144">
        <f>SUMIFS('апрель 2026'!$G$2:$G$2719,'апрель 2026'!$D$2:$D$2719,$B187,'апрель 2026'!$J$2:$J$2719,AE$1)</f>
        <v>0</v>
      </c>
      <c r="AF187" s="144">
        <f>SUMIFS('апрель 2026'!$G$2:$G$2719,'апрель 2026'!$D$2:$D$2719,$B187,'апрель 2026'!$J$2:$J$2719,AF$1)</f>
        <v>0</v>
      </c>
      <c r="AG187" s="144">
        <f>SUMIFS('апрель 2026'!$G$2:$G$2719,'апрель 2026'!$D$2:$D$2719,$B187,'апрель 2026'!$J$2:$J$2719,AG$1)</f>
        <v>0</v>
      </c>
      <c r="AH187" s="144">
        <f>SUMIFS('апрель 2026'!$G$2:$G$2719,'апрель 2026'!$D$2:$D$2719,$B187,'апрель 2026'!$J$2:$J$2719,AH$1)</f>
        <v>0</v>
      </c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242"/>
  <sheetViews>
    <sheetView showZeros="0" topLeftCell="A66" zoomScale="70" zoomScaleNormal="70" workbookViewId="0">
      <selection activeCell="B109" sqref="B109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46082</v>
      </c>
      <c r="C1" s="67"/>
      <c r="D1" s="68">
        <f>B1</f>
        <v>46082</v>
      </c>
      <c r="E1" s="68">
        <f>D1+1</f>
        <v>46083</v>
      </c>
      <c r="F1" s="68">
        <f t="shared" ref="F1:AH1" si="0">E1+1</f>
        <v>46084</v>
      </c>
      <c r="G1" s="68">
        <f t="shared" si="0"/>
        <v>46085</v>
      </c>
      <c r="H1" s="68">
        <f t="shared" si="0"/>
        <v>46086</v>
      </c>
      <c r="I1" s="68">
        <f t="shared" si="0"/>
        <v>46087</v>
      </c>
      <c r="J1" s="68">
        <f t="shared" si="0"/>
        <v>46088</v>
      </c>
      <c r="K1" s="68">
        <f t="shared" si="0"/>
        <v>46089</v>
      </c>
      <c r="L1" s="68">
        <f t="shared" si="0"/>
        <v>46090</v>
      </c>
      <c r="M1" s="68">
        <f t="shared" si="0"/>
        <v>46091</v>
      </c>
      <c r="N1" s="68">
        <f t="shared" si="0"/>
        <v>46092</v>
      </c>
      <c r="O1" s="68">
        <f t="shared" si="0"/>
        <v>46093</v>
      </c>
      <c r="P1" s="68">
        <f t="shared" si="0"/>
        <v>46094</v>
      </c>
      <c r="Q1" s="68">
        <f t="shared" si="0"/>
        <v>46095</v>
      </c>
      <c r="R1" s="68">
        <f t="shared" si="0"/>
        <v>46096</v>
      </c>
      <c r="S1" s="68">
        <f t="shared" si="0"/>
        <v>46097</v>
      </c>
      <c r="T1" s="68">
        <f t="shared" si="0"/>
        <v>46098</v>
      </c>
      <c r="U1" s="68">
        <f t="shared" si="0"/>
        <v>46099</v>
      </c>
      <c r="V1" s="68">
        <f t="shared" si="0"/>
        <v>46100</v>
      </c>
      <c r="W1" s="68">
        <f t="shared" si="0"/>
        <v>46101</v>
      </c>
      <c r="X1" s="68">
        <f t="shared" si="0"/>
        <v>46102</v>
      </c>
      <c r="Y1" s="68">
        <f t="shared" si="0"/>
        <v>46103</v>
      </c>
      <c r="Z1" s="68">
        <f t="shared" si="0"/>
        <v>46104</v>
      </c>
      <c r="AA1" s="68">
        <f t="shared" si="0"/>
        <v>46105</v>
      </c>
      <c r="AB1" s="68">
        <f t="shared" si="0"/>
        <v>46106</v>
      </c>
      <c r="AC1" s="68">
        <f t="shared" si="0"/>
        <v>46107</v>
      </c>
      <c r="AD1" s="68">
        <f t="shared" si="0"/>
        <v>46108</v>
      </c>
      <c r="AE1" s="68">
        <f t="shared" si="0"/>
        <v>46109</v>
      </c>
      <c r="AF1" s="68">
        <f t="shared" si="0"/>
        <v>46110</v>
      </c>
      <c r="AG1" s="68">
        <f t="shared" si="0"/>
        <v>46111</v>
      </c>
      <c r="AH1" s="68">
        <f t="shared" si="0"/>
        <v>46112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SUMIFS('март 2026'!$G$2:$G$2701,'март 2026'!$D$2:$D$2701,$B3,'март 2026'!$J$2:$J$2701,D$1)</f>
        <v>0</v>
      </c>
      <c r="E3" s="75">
        <f>SUMIFS('март 2026'!$G$2:$G$2701,'март 2026'!$D$2:$D$2701,$B3,'март 2026'!$J$2:$J$2701,E$1)</f>
        <v>0</v>
      </c>
      <c r="F3" s="75">
        <f>SUMIFS('март 2026'!$G$2:$G$2701,'март 2026'!$D$2:$D$2701,$B3,'март 2026'!$J$2:$J$2701,F$1)</f>
        <v>0</v>
      </c>
      <c r="G3" s="75">
        <f>SUMIFS('март 2026'!$G$2:$G$2701,'март 2026'!$D$2:$D$2701,$B3,'март 2026'!$J$2:$J$2701,G$1)</f>
        <v>0</v>
      </c>
      <c r="H3" s="75">
        <f>SUMIFS('март 2026'!$G$2:$G$2701,'март 2026'!$D$2:$D$2701,$B3,'март 2026'!$J$2:$J$2701,H$1)</f>
        <v>0</v>
      </c>
      <c r="I3" s="75">
        <f>SUMIFS('март 2026'!$G$2:$G$2701,'март 2026'!$D$2:$D$2701,$B3,'март 2026'!$J$2:$J$2701,I$1)</f>
        <v>0</v>
      </c>
      <c r="J3" s="75">
        <f>SUMIFS('март 2026'!$G$2:$G$2701,'март 2026'!$D$2:$D$2701,$B3,'март 2026'!$J$2:$J$2701,J$1)</f>
        <v>0</v>
      </c>
      <c r="K3" s="75">
        <f>SUMIFS('март 2026'!$G$2:$G$2701,'март 2026'!$D$2:$D$2701,$B3,'март 2026'!$J$2:$J$2701,K$1)</f>
        <v>0</v>
      </c>
      <c r="L3" s="75">
        <f>SUMIFS('март 2026'!$G$2:$G$2701,'март 2026'!$D$2:$D$2701,$B3,'март 2026'!$J$2:$J$2701,L$1)</f>
        <v>0</v>
      </c>
      <c r="M3" s="75">
        <f>SUMIFS('март 2026'!$G$2:$G$2701,'март 2026'!$D$2:$D$2701,$B3,'март 2026'!$J$2:$J$2701,M$1)</f>
        <v>0</v>
      </c>
      <c r="N3" s="75">
        <f>SUMIFS('март 2026'!$G$2:$G$2701,'март 2026'!$D$2:$D$2701,$B3,'март 2026'!$J$2:$J$2701,N$1)</f>
        <v>0</v>
      </c>
      <c r="O3" s="75">
        <f>SUMIFS('март 2026'!$G$2:$G$2701,'март 2026'!$D$2:$D$2701,$B3,'март 2026'!$J$2:$J$2701,O$1)</f>
        <v>0</v>
      </c>
      <c r="P3" s="75">
        <f>SUMIFS('март 2026'!$G$2:$G$2701,'март 2026'!$D$2:$D$2701,$B3,'март 2026'!$J$2:$J$2701,P$1)</f>
        <v>0</v>
      </c>
      <c r="Q3" s="75">
        <f>SUMIFS('март 2026'!$G$2:$G$2701,'март 2026'!$D$2:$D$2701,$B3,'март 2026'!$J$2:$J$2701,Q$1)</f>
        <v>0</v>
      </c>
      <c r="R3" s="75">
        <f>SUMIFS('март 2026'!$G$2:$G$2701,'март 2026'!$D$2:$D$2701,$B3,'март 2026'!$J$2:$J$2701,R$1)</f>
        <v>0</v>
      </c>
      <c r="S3" s="75">
        <f>SUMIFS('март 2026'!$G$2:$G$2701,'март 2026'!$D$2:$D$2701,$B3,'март 2026'!$J$2:$J$2701,S$1)</f>
        <v>0</v>
      </c>
      <c r="T3" s="75">
        <f>SUMIFS('март 2026'!$G$2:$G$2701,'март 2026'!$D$2:$D$2701,$B3,'март 2026'!$J$2:$J$2701,T$1)</f>
        <v>0</v>
      </c>
      <c r="U3" s="75">
        <f>SUMIFS('март 2026'!$G$2:$G$2701,'март 2026'!$D$2:$D$2701,$B3,'март 2026'!$J$2:$J$2701,U$1)</f>
        <v>0</v>
      </c>
      <c r="V3" s="75">
        <f>SUMIFS('март 2026'!$G$2:$G$2701,'март 2026'!$D$2:$D$2701,$B3,'март 2026'!$J$2:$J$2701,V$1)</f>
        <v>0</v>
      </c>
      <c r="W3" s="75">
        <f>SUMIFS('март 2026'!$G$2:$G$2701,'март 2026'!$D$2:$D$2701,$B3,'март 2026'!$J$2:$J$2701,W$1)</f>
        <v>0</v>
      </c>
      <c r="X3" s="75">
        <f>SUMIFS('март 2026'!$G$2:$G$2701,'март 2026'!$D$2:$D$2701,$B3,'март 2026'!$J$2:$J$2701,X$1)</f>
        <v>0</v>
      </c>
      <c r="Y3" s="75">
        <f>SUMIFS('март 2026'!$G$2:$G$2701,'март 2026'!$D$2:$D$2701,$B3,'март 2026'!$J$2:$J$2701,Y$1)</f>
        <v>0</v>
      </c>
      <c r="Z3" s="75">
        <f>SUMIFS('март 2026'!$G$2:$G$2701,'март 2026'!$D$2:$D$2701,$B3,'март 2026'!$J$2:$J$2701,Z$1)</f>
        <v>0</v>
      </c>
      <c r="AA3" s="75">
        <f>SUMIFS('март 2026'!$G$2:$G$2701,'март 2026'!$D$2:$D$2701,$B3,'март 2026'!$J$2:$J$2701,AA$1)</f>
        <v>0</v>
      </c>
      <c r="AB3" s="75">
        <f>SUMIFS('март 2026'!$G$2:$G$2701,'март 2026'!$D$2:$D$2701,$B3,'март 2026'!$J$2:$J$2701,AB$1)</f>
        <v>0</v>
      </c>
      <c r="AC3" s="75">
        <f>SUMIFS('март 2026'!$G$2:$G$2701,'март 2026'!$D$2:$D$2701,$B3,'март 2026'!$J$2:$J$2701,AC$1)</f>
        <v>0</v>
      </c>
      <c r="AD3" s="75">
        <f>SUMIFS('март 2026'!$G$2:$G$2701,'март 2026'!$D$2:$D$2701,$B3,'март 2026'!$J$2:$J$2701,AD$1)</f>
        <v>0</v>
      </c>
      <c r="AE3" s="75">
        <f>SUMIFS('март 2026'!$G$2:$G$2701,'март 2026'!$D$2:$D$2701,$B3,'март 2026'!$J$2:$J$2701,AE$1)</f>
        <v>0</v>
      </c>
      <c r="AF3" s="75">
        <f>SUMIFS('март 2026'!$G$2:$G$2701,'март 2026'!$D$2:$D$2701,$B3,'март 2026'!$J$2:$J$2701,AF$1)</f>
        <v>0</v>
      </c>
      <c r="AG3" s="75">
        <f>SUMIFS('март 2026'!$G$2:$G$2701,'март 2026'!$D$2:$D$2701,$B3,'март 2026'!$J$2:$J$2701,AG$1)</f>
        <v>0</v>
      </c>
      <c r="AH3" s="75">
        <f>SUMIFS('март 2026'!$G$2:$G$2701,'март 2026'!$D$2:$D$2701,$B3,'март 2026'!$J$2:$J$2701,AH$1)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SUMIFS('март 2026'!$G$2:$G$2701,'март 2026'!$D$2:$D$2701,$B4,'март 2026'!$J$2:$J$2701,D$1)</f>
        <v>0</v>
      </c>
      <c r="E4" s="75">
        <f>SUMIFS('март 2026'!$G$2:$G$2701,'март 2026'!$D$2:$D$2701,$B4,'март 2026'!$J$2:$J$2701,E$1)</f>
        <v>0</v>
      </c>
      <c r="F4" s="75">
        <f>SUMIFS('март 2026'!$G$2:$G$2701,'март 2026'!$D$2:$D$2701,$B4,'март 2026'!$J$2:$J$2701,F$1)</f>
        <v>0</v>
      </c>
      <c r="G4" s="75">
        <f>SUMIFS('март 2026'!$G$2:$G$2701,'март 2026'!$D$2:$D$2701,$B4,'март 2026'!$J$2:$J$2701,G$1)</f>
        <v>0</v>
      </c>
      <c r="H4" s="75">
        <f>SUMIFS('март 2026'!$G$2:$G$2701,'март 2026'!$D$2:$D$2701,$B4,'март 2026'!$J$2:$J$2701,H$1)</f>
        <v>0</v>
      </c>
      <c r="I4" s="75">
        <f>SUMIFS('март 2026'!$G$2:$G$2701,'март 2026'!$D$2:$D$2701,$B4,'март 2026'!$J$2:$J$2701,I$1)</f>
        <v>0</v>
      </c>
      <c r="J4" s="75">
        <f>SUMIFS('март 2026'!$G$2:$G$2701,'март 2026'!$D$2:$D$2701,$B4,'март 2026'!$J$2:$J$2701,J$1)</f>
        <v>0</v>
      </c>
      <c r="K4" s="75">
        <f>SUMIFS('март 2026'!$G$2:$G$2701,'март 2026'!$D$2:$D$2701,$B4,'март 2026'!$J$2:$J$2701,K$1)</f>
        <v>0</v>
      </c>
      <c r="L4" s="75">
        <f>SUMIFS('март 2026'!$G$2:$G$2701,'март 2026'!$D$2:$D$2701,$B4,'март 2026'!$J$2:$J$2701,L$1)</f>
        <v>0</v>
      </c>
      <c r="M4" s="75">
        <f>SUMIFS('март 2026'!$G$2:$G$2701,'март 2026'!$D$2:$D$2701,$B4,'март 2026'!$J$2:$J$2701,M$1)</f>
        <v>0</v>
      </c>
      <c r="N4" s="75">
        <f>SUMIFS('март 2026'!$G$2:$G$2701,'март 2026'!$D$2:$D$2701,$B4,'март 2026'!$J$2:$J$2701,N$1)</f>
        <v>0</v>
      </c>
      <c r="O4" s="75">
        <f>SUMIFS('март 2026'!$G$2:$G$2701,'март 2026'!$D$2:$D$2701,$B4,'март 2026'!$J$2:$J$2701,O$1)</f>
        <v>0</v>
      </c>
      <c r="P4" s="75">
        <f>SUMIFS('март 2026'!$G$2:$G$2701,'март 2026'!$D$2:$D$2701,$B4,'март 2026'!$J$2:$J$2701,P$1)</f>
        <v>0</v>
      </c>
      <c r="Q4" s="75">
        <f>SUMIFS('март 2026'!$G$2:$G$2701,'март 2026'!$D$2:$D$2701,$B4,'март 2026'!$J$2:$J$2701,Q$1)</f>
        <v>0</v>
      </c>
      <c r="R4" s="75">
        <f>SUMIFS('март 2026'!$G$2:$G$2701,'март 2026'!$D$2:$D$2701,$B4,'март 2026'!$J$2:$J$2701,R$1)</f>
        <v>0</v>
      </c>
      <c r="S4" s="75">
        <f>SUMIFS('март 2026'!$G$2:$G$2701,'март 2026'!$D$2:$D$2701,$B4,'март 2026'!$J$2:$J$2701,S$1)</f>
        <v>0</v>
      </c>
      <c r="T4" s="75">
        <f>SUMIFS('март 2026'!$G$2:$G$2701,'март 2026'!$D$2:$D$2701,$B4,'март 2026'!$J$2:$J$2701,T$1)</f>
        <v>0</v>
      </c>
      <c r="U4" s="75">
        <f>SUMIFS('март 2026'!$G$2:$G$2701,'март 2026'!$D$2:$D$2701,$B4,'март 2026'!$J$2:$J$2701,U$1)</f>
        <v>0</v>
      </c>
      <c r="V4" s="75">
        <f>SUMIFS('март 2026'!$G$2:$G$2701,'март 2026'!$D$2:$D$2701,$B4,'март 2026'!$J$2:$J$2701,V$1)</f>
        <v>0</v>
      </c>
      <c r="W4" s="75">
        <f>SUMIFS('март 2026'!$G$2:$G$2701,'март 2026'!$D$2:$D$2701,$B4,'март 2026'!$J$2:$J$2701,W$1)</f>
        <v>0</v>
      </c>
      <c r="X4" s="75">
        <f>SUMIFS('март 2026'!$G$2:$G$2701,'март 2026'!$D$2:$D$2701,$B4,'март 2026'!$J$2:$J$2701,X$1)</f>
        <v>0</v>
      </c>
      <c r="Y4" s="75">
        <f>SUMIFS('март 2026'!$G$2:$G$2701,'март 2026'!$D$2:$D$2701,$B4,'март 2026'!$J$2:$J$2701,Y$1)</f>
        <v>0</v>
      </c>
      <c r="Z4" s="75">
        <f>SUMIFS('март 2026'!$G$2:$G$2701,'март 2026'!$D$2:$D$2701,$B4,'март 2026'!$J$2:$J$2701,Z$1)</f>
        <v>0</v>
      </c>
      <c r="AA4" s="75">
        <f>SUMIFS('март 2026'!$G$2:$G$2701,'март 2026'!$D$2:$D$2701,$B4,'март 2026'!$J$2:$J$2701,AA$1)</f>
        <v>0</v>
      </c>
      <c r="AB4" s="75">
        <f>SUMIFS('март 2026'!$G$2:$G$2701,'март 2026'!$D$2:$D$2701,$B4,'март 2026'!$J$2:$J$2701,AB$1)</f>
        <v>0</v>
      </c>
      <c r="AC4" s="75">
        <f>SUMIFS('март 2026'!$G$2:$G$2701,'март 2026'!$D$2:$D$2701,$B4,'март 2026'!$J$2:$J$2701,AC$1)</f>
        <v>0</v>
      </c>
      <c r="AD4" s="75">
        <f>SUMIFS('март 2026'!$G$2:$G$2701,'март 2026'!$D$2:$D$2701,$B4,'март 2026'!$J$2:$J$2701,AD$1)</f>
        <v>0</v>
      </c>
      <c r="AE4" s="75">
        <f>SUMIFS('март 2026'!$G$2:$G$2701,'март 2026'!$D$2:$D$2701,$B4,'март 2026'!$J$2:$J$2701,AE$1)</f>
        <v>0</v>
      </c>
      <c r="AF4" s="75">
        <f>SUMIFS('март 2026'!$G$2:$G$2701,'март 2026'!$D$2:$D$2701,$B4,'март 2026'!$J$2:$J$2701,AF$1)</f>
        <v>0</v>
      </c>
      <c r="AG4" s="75">
        <f>SUMIFS('март 2026'!$G$2:$G$2701,'март 2026'!$D$2:$D$2701,$B4,'март 2026'!$J$2:$J$2701,AG$1)</f>
        <v>800</v>
      </c>
      <c r="AH4" s="75">
        <f>SUMIFS('март 2026'!$G$2:$G$2701,'март 2026'!$D$2:$D$2701,$B4,'март 2026'!$J$2:$J$2701,AH$1)</f>
        <v>0</v>
      </c>
      <c r="AI4" s="164">
        <f t="shared" si="1"/>
        <v>800</v>
      </c>
    </row>
    <row r="5" spans="2:35" ht="15" customHeight="1" x14ac:dyDescent="0.25">
      <c r="B5" s="76" t="s">
        <v>210</v>
      </c>
      <c r="C5" s="77">
        <v>25</v>
      </c>
      <c r="D5" s="75">
        <f>SUMIFS('март 2026'!$G$2:$G$2701,'март 2026'!$D$2:$D$2701,$B5,'март 2026'!$J$2:$J$2701,D$1)</f>
        <v>0</v>
      </c>
      <c r="E5" s="75">
        <f>SUMIFS('март 2026'!$G$2:$G$2701,'март 2026'!$D$2:$D$2701,$B5,'март 2026'!$J$2:$J$2701,E$1)</f>
        <v>0</v>
      </c>
      <c r="F5" s="75">
        <f>SUMIFS('март 2026'!$G$2:$G$2701,'март 2026'!$D$2:$D$2701,$B5,'март 2026'!$J$2:$J$2701,F$1)</f>
        <v>0</v>
      </c>
      <c r="G5" s="75">
        <f>SUMIFS('март 2026'!$G$2:$G$2701,'март 2026'!$D$2:$D$2701,$B5,'март 2026'!$J$2:$J$2701,G$1)</f>
        <v>0</v>
      </c>
      <c r="H5" s="75">
        <f>SUMIFS('март 2026'!$G$2:$G$2701,'март 2026'!$D$2:$D$2701,$B5,'март 2026'!$J$2:$J$2701,H$1)</f>
        <v>0</v>
      </c>
      <c r="I5" s="75">
        <f>SUMIFS('март 2026'!$G$2:$G$2701,'март 2026'!$D$2:$D$2701,$B5,'март 2026'!$J$2:$J$2701,I$1)</f>
        <v>0</v>
      </c>
      <c r="J5" s="75">
        <f>SUMIFS('март 2026'!$G$2:$G$2701,'март 2026'!$D$2:$D$2701,$B5,'март 2026'!$J$2:$J$2701,J$1)</f>
        <v>0</v>
      </c>
      <c r="K5" s="75">
        <f>SUMIFS('март 2026'!$G$2:$G$2701,'март 2026'!$D$2:$D$2701,$B5,'март 2026'!$J$2:$J$2701,K$1)</f>
        <v>0</v>
      </c>
      <c r="L5" s="75">
        <f>SUMIFS('март 2026'!$G$2:$G$2701,'март 2026'!$D$2:$D$2701,$B5,'март 2026'!$J$2:$J$2701,L$1)</f>
        <v>0</v>
      </c>
      <c r="M5" s="75">
        <f>SUMIFS('март 2026'!$G$2:$G$2701,'март 2026'!$D$2:$D$2701,$B5,'март 2026'!$J$2:$J$2701,M$1)</f>
        <v>0</v>
      </c>
      <c r="N5" s="75">
        <f>SUMIFS('март 2026'!$G$2:$G$2701,'март 2026'!$D$2:$D$2701,$B5,'март 2026'!$J$2:$J$2701,N$1)</f>
        <v>0</v>
      </c>
      <c r="O5" s="75">
        <f>SUMIFS('март 2026'!$G$2:$G$2701,'март 2026'!$D$2:$D$2701,$B5,'март 2026'!$J$2:$J$2701,O$1)</f>
        <v>0</v>
      </c>
      <c r="P5" s="75">
        <f>SUMIFS('март 2026'!$G$2:$G$2701,'март 2026'!$D$2:$D$2701,$B5,'март 2026'!$J$2:$J$2701,P$1)</f>
        <v>0</v>
      </c>
      <c r="Q5" s="75">
        <f>SUMIFS('март 2026'!$G$2:$G$2701,'март 2026'!$D$2:$D$2701,$B5,'март 2026'!$J$2:$J$2701,Q$1)</f>
        <v>0</v>
      </c>
      <c r="R5" s="75">
        <f>SUMIFS('март 2026'!$G$2:$G$2701,'март 2026'!$D$2:$D$2701,$B5,'март 2026'!$J$2:$J$2701,R$1)</f>
        <v>0</v>
      </c>
      <c r="S5" s="75">
        <f>SUMIFS('март 2026'!$G$2:$G$2701,'март 2026'!$D$2:$D$2701,$B5,'март 2026'!$J$2:$J$2701,S$1)</f>
        <v>0</v>
      </c>
      <c r="T5" s="75">
        <f>SUMIFS('март 2026'!$G$2:$G$2701,'март 2026'!$D$2:$D$2701,$B5,'март 2026'!$J$2:$J$2701,T$1)</f>
        <v>0</v>
      </c>
      <c r="U5" s="75">
        <f>SUMIFS('март 2026'!$G$2:$G$2701,'март 2026'!$D$2:$D$2701,$B5,'март 2026'!$J$2:$J$2701,U$1)</f>
        <v>0</v>
      </c>
      <c r="V5" s="75">
        <f>SUMIFS('март 2026'!$G$2:$G$2701,'март 2026'!$D$2:$D$2701,$B5,'март 2026'!$J$2:$J$2701,V$1)</f>
        <v>0</v>
      </c>
      <c r="W5" s="75">
        <f>SUMIFS('март 2026'!$G$2:$G$2701,'март 2026'!$D$2:$D$2701,$B5,'март 2026'!$J$2:$J$2701,W$1)</f>
        <v>0</v>
      </c>
      <c r="X5" s="75">
        <f>SUMIFS('март 2026'!$G$2:$G$2701,'март 2026'!$D$2:$D$2701,$B5,'март 2026'!$J$2:$J$2701,X$1)</f>
        <v>0</v>
      </c>
      <c r="Y5" s="75">
        <f>SUMIFS('март 2026'!$G$2:$G$2701,'март 2026'!$D$2:$D$2701,$B5,'март 2026'!$J$2:$J$2701,Y$1)</f>
        <v>0</v>
      </c>
      <c r="Z5" s="75">
        <f>SUMIFS('март 2026'!$G$2:$G$2701,'март 2026'!$D$2:$D$2701,$B5,'март 2026'!$J$2:$J$2701,Z$1)</f>
        <v>0</v>
      </c>
      <c r="AA5" s="75">
        <f>SUMIFS('март 2026'!$G$2:$G$2701,'март 2026'!$D$2:$D$2701,$B5,'март 2026'!$J$2:$J$2701,AA$1)</f>
        <v>0</v>
      </c>
      <c r="AB5" s="75">
        <f>SUMIFS('март 2026'!$G$2:$G$2701,'март 2026'!$D$2:$D$2701,$B5,'март 2026'!$J$2:$J$2701,AB$1)</f>
        <v>0</v>
      </c>
      <c r="AC5" s="75">
        <f>SUMIFS('март 2026'!$G$2:$G$2701,'март 2026'!$D$2:$D$2701,$B5,'март 2026'!$J$2:$J$2701,AC$1)</f>
        <v>0</v>
      </c>
      <c r="AD5" s="75">
        <f>SUMIFS('март 2026'!$G$2:$G$2701,'март 2026'!$D$2:$D$2701,$B5,'март 2026'!$J$2:$J$2701,AD$1)</f>
        <v>0</v>
      </c>
      <c r="AE5" s="75">
        <f>SUMIFS('март 2026'!$G$2:$G$2701,'март 2026'!$D$2:$D$2701,$B5,'март 2026'!$J$2:$J$2701,AE$1)</f>
        <v>0</v>
      </c>
      <c r="AF5" s="75">
        <f>SUMIFS('март 2026'!$G$2:$G$2701,'март 2026'!$D$2:$D$2701,$B5,'март 2026'!$J$2:$J$2701,AF$1)</f>
        <v>0</v>
      </c>
      <c r="AG5" s="75">
        <f>SUMIFS('март 2026'!$G$2:$G$2701,'март 2026'!$D$2:$D$2701,$B5,'март 2026'!$J$2:$J$2701,AG$1)</f>
        <v>0</v>
      </c>
      <c r="AH5" s="75">
        <f>SUMIFS('март 2026'!$G$2:$G$2701,'март 2026'!$D$2:$D$2701,$B5,'март 2026'!$J$2:$J$2701,AH$1)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SUMIFS('март 2026'!$G$2:$G$2701,'март 2026'!$D$2:$D$2701,$B6,'март 2026'!$J$2:$J$2701,D$1)</f>
        <v>0</v>
      </c>
      <c r="E6" s="75">
        <f>SUMIFS('март 2026'!$G$2:$G$2701,'март 2026'!$D$2:$D$2701,$B6,'март 2026'!$J$2:$J$2701,E$1)</f>
        <v>0</v>
      </c>
      <c r="F6" s="75">
        <f>SUMIFS('март 2026'!$G$2:$G$2701,'март 2026'!$D$2:$D$2701,$B6,'март 2026'!$J$2:$J$2701,F$1)</f>
        <v>0</v>
      </c>
      <c r="G6" s="75">
        <f>SUMIFS('март 2026'!$G$2:$G$2701,'март 2026'!$D$2:$D$2701,$B6,'март 2026'!$J$2:$J$2701,G$1)</f>
        <v>0</v>
      </c>
      <c r="H6" s="75">
        <f>SUMIFS('март 2026'!$G$2:$G$2701,'март 2026'!$D$2:$D$2701,$B6,'март 2026'!$J$2:$J$2701,H$1)</f>
        <v>0</v>
      </c>
      <c r="I6" s="75">
        <f>SUMIFS('март 2026'!$G$2:$G$2701,'март 2026'!$D$2:$D$2701,$B6,'март 2026'!$J$2:$J$2701,I$1)</f>
        <v>0</v>
      </c>
      <c r="J6" s="75">
        <f>SUMIFS('март 2026'!$G$2:$G$2701,'март 2026'!$D$2:$D$2701,$B6,'март 2026'!$J$2:$J$2701,J$1)</f>
        <v>0</v>
      </c>
      <c r="K6" s="75">
        <f>SUMIFS('март 2026'!$G$2:$G$2701,'март 2026'!$D$2:$D$2701,$B6,'март 2026'!$J$2:$J$2701,K$1)</f>
        <v>0</v>
      </c>
      <c r="L6" s="75">
        <f>SUMIFS('март 2026'!$G$2:$G$2701,'март 2026'!$D$2:$D$2701,$B6,'март 2026'!$J$2:$J$2701,L$1)</f>
        <v>0</v>
      </c>
      <c r="M6" s="75">
        <f>SUMIFS('март 2026'!$G$2:$G$2701,'март 2026'!$D$2:$D$2701,$B6,'март 2026'!$J$2:$J$2701,M$1)</f>
        <v>0</v>
      </c>
      <c r="N6" s="75">
        <f>SUMIFS('март 2026'!$G$2:$G$2701,'март 2026'!$D$2:$D$2701,$B6,'март 2026'!$J$2:$J$2701,N$1)</f>
        <v>0</v>
      </c>
      <c r="O6" s="75">
        <f>SUMIFS('март 2026'!$G$2:$G$2701,'март 2026'!$D$2:$D$2701,$B6,'март 2026'!$J$2:$J$2701,O$1)</f>
        <v>0</v>
      </c>
      <c r="P6" s="75">
        <f>SUMIFS('март 2026'!$G$2:$G$2701,'март 2026'!$D$2:$D$2701,$B6,'март 2026'!$J$2:$J$2701,P$1)</f>
        <v>0</v>
      </c>
      <c r="Q6" s="75">
        <f>SUMIFS('март 2026'!$G$2:$G$2701,'март 2026'!$D$2:$D$2701,$B6,'март 2026'!$J$2:$J$2701,Q$1)</f>
        <v>0</v>
      </c>
      <c r="R6" s="75">
        <f>SUMIFS('март 2026'!$G$2:$G$2701,'март 2026'!$D$2:$D$2701,$B6,'март 2026'!$J$2:$J$2701,R$1)</f>
        <v>0</v>
      </c>
      <c r="S6" s="75">
        <f>SUMIFS('март 2026'!$G$2:$G$2701,'март 2026'!$D$2:$D$2701,$B6,'март 2026'!$J$2:$J$2701,S$1)</f>
        <v>0</v>
      </c>
      <c r="T6" s="75">
        <f>SUMIFS('март 2026'!$G$2:$G$2701,'март 2026'!$D$2:$D$2701,$B6,'март 2026'!$J$2:$J$2701,T$1)</f>
        <v>0</v>
      </c>
      <c r="U6" s="75">
        <f>SUMIFS('март 2026'!$G$2:$G$2701,'март 2026'!$D$2:$D$2701,$B6,'март 2026'!$J$2:$J$2701,U$1)</f>
        <v>0</v>
      </c>
      <c r="V6" s="75">
        <f>SUMIFS('март 2026'!$G$2:$G$2701,'март 2026'!$D$2:$D$2701,$B6,'март 2026'!$J$2:$J$2701,V$1)</f>
        <v>0</v>
      </c>
      <c r="W6" s="75">
        <f>SUMIFS('март 2026'!$G$2:$G$2701,'март 2026'!$D$2:$D$2701,$B6,'март 2026'!$J$2:$J$2701,W$1)</f>
        <v>0</v>
      </c>
      <c r="X6" s="75">
        <f>SUMIFS('март 2026'!$G$2:$G$2701,'март 2026'!$D$2:$D$2701,$B6,'март 2026'!$J$2:$J$2701,X$1)</f>
        <v>0</v>
      </c>
      <c r="Y6" s="75">
        <f>SUMIFS('март 2026'!$G$2:$G$2701,'март 2026'!$D$2:$D$2701,$B6,'март 2026'!$J$2:$J$2701,Y$1)</f>
        <v>0</v>
      </c>
      <c r="Z6" s="75">
        <f>SUMIFS('март 2026'!$G$2:$G$2701,'март 2026'!$D$2:$D$2701,$B6,'март 2026'!$J$2:$J$2701,Z$1)</f>
        <v>0</v>
      </c>
      <c r="AA6" s="75">
        <f>SUMIFS('март 2026'!$G$2:$G$2701,'март 2026'!$D$2:$D$2701,$B6,'март 2026'!$J$2:$J$2701,AA$1)</f>
        <v>0</v>
      </c>
      <c r="AB6" s="75">
        <f>SUMIFS('март 2026'!$G$2:$G$2701,'март 2026'!$D$2:$D$2701,$B6,'март 2026'!$J$2:$J$2701,AB$1)</f>
        <v>0</v>
      </c>
      <c r="AC6" s="75">
        <f>SUMIFS('март 2026'!$G$2:$G$2701,'март 2026'!$D$2:$D$2701,$B6,'март 2026'!$J$2:$J$2701,AC$1)</f>
        <v>0</v>
      </c>
      <c r="AD6" s="75">
        <f>SUMIFS('март 2026'!$G$2:$G$2701,'март 2026'!$D$2:$D$2701,$B6,'март 2026'!$J$2:$J$2701,AD$1)</f>
        <v>0</v>
      </c>
      <c r="AE6" s="75">
        <f>SUMIFS('март 2026'!$G$2:$G$2701,'март 2026'!$D$2:$D$2701,$B6,'март 2026'!$J$2:$J$2701,AE$1)</f>
        <v>0</v>
      </c>
      <c r="AF6" s="75">
        <f>SUMIFS('март 2026'!$G$2:$G$2701,'март 2026'!$D$2:$D$2701,$B6,'март 2026'!$J$2:$J$2701,AF$1)</f>
        <v>0</v>
      </c>
      <c r="AG6" s="75">
        <f>SUMIFS('март 2026'!$G$2:$G$2701,'март 2026'!$D$2:$D$2701,$B6,'март 2026'!$J$2:$J$2701,AG$1)</f>
        <v>0</v>
      </c>
      <c r="AH6" s="75">
        <f>SUMIFS('март 2026'!$G$2:$G$2701,'март 2026'!$D$2:$D$2701,$B6,'март 2026'!$J$2:$J$2701,AH$1)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SUMIFS('март 2026'!$G$2:$G$2701,'март 2026'!$D$2:$D$2701,$B7,'март 2026'!$J$2:$J$2701,D$1)</f>
        <v>0</v>
      </c>
      <c r="E7" s="75">
        <f>SUMIFS('март 2026'!$G$2:$G$2701,'март 2026'!$D$2:$D$2701,$B7,'март 2026'!$J$2:$J$2701,E$1)</f>
        <v>0</v>
      </c>
      <c r="F7" s="75">
        <f>SUMIFS('март 2026'!$G$2:$G$2701,'март 2026'!$D$2:$D$2701,$B7,'март 2026'!$J$2:$J$2701,F$1)</f>
        <v>0</v>
      </c>
      <c r="G7" s="75">
        <f>SUMIFS('март 2026'!$G$2:$G$2701,'март 2026'!$D$2:$D$2701,$B7,'март 2026'!$J$2:$J$2701,G$1)</f>
        <v>0</v>
      </c>
      <c r="H7" s="75">
        <f>SUMIFS('март 2026'!$G$2:$G$2701,'март 2026'!$D$2:$D$2701,$B7,'март 2026'!$J$2:$J$2701,H$1)</f>
        <v>0</v>
      </c>
      <c r="I7" s="75">
        <f>SUMIFS('март 2026'!$G$2:$G$2701,'март 2026'!$D$2:$D$2701,$B7,'март 2026'!$J$2:$J$2701,I$1)</f>
        <v>0</v>
      </c>
      <c r="J7" s="75">
        <f>SUMIFS('март 2026'!$G$2:$G$2701,'март 2026'!$D$2:$D$2701,$B7,'март 2026'!$J$2:$J$2701,J$1)</f>
        <v>0</v>
      </c>
      <c r="K7" s="75">
        <f>SUMIFS('март 2026'!$G$2:$G$2701,'март 2026'!$D$2:$D$2701,$B7,'март 2026'!$J$2:$J$2701,K$1)</f>
        <v>0</v>
      </c>
      <c r="L7" s="75">
        <f>SUMIFS('март 2026'!$G$2:$G$2701,'март 2026'!$D$2:$D$2701,$B7,'март 2026'!$J$2:$J$2701,L$1)</f>
        <v>0</v>
      </c>
      <c r="M7" s="75">
        <f>SUMIFS('март 2026'!$G$2:$G$2701,'март 2026'!$D$2:$D$2701,$B7,'март 2026'!$J$2:$J$2701,M$1)</f>
        <v>0</v>
      </c>
      <c r="N7" s="75">
        <f>SUMIFS('март 2026'!$G$2:$G$2701,'март 2026'!$D$2:$D$2701,$B7,'март 2026'!$J$2:$J$2701,N$1)</f>
        <v>0</v>
      </c>
      <c r="O7" s="75">
        <f>SUMIFS('март 2026'!$G$2:$G$2701,'март 2026'!$D$2:$D$2701,$B7,'март 2026'!$J$2:$J$2701,O$1)</f>
        <v>0</v>
      </c>
      <c r="P7" s="75">
        <f>SUMIFS('март 2026'!$G$2:$G$2701,'март 2026'!$D$2:$D$2701,$B7,'март 2026'!$J$2:$J$2701,P$1)</f>
        <v>0</v>
      </c>
      <c r="Q7" s="75">
        <f>SUMIFS('март 2026'!$G$2:$G$2701,'март 2026'!$D$2:$D$2701,$B7,'март 2026'!$J$2:$J$2701,Q$1)</f>
        <v>0</v>
      </c>
      <c r="R7" s="75">
        <f>SUMIFS('март 2026'!$G$2:$G$2701,'март 2026'!$D$2:$D$2701,$B7,'март 2026'!$J$2:$J$2701,R$1)</f>
        <v>0</v>
      </c>
      <c r="S7" s="75">
        <f>SUMIFS('март 2026'!$G$2:$G$2701,'март 2026'!$D$2:$D$2701,$B7,'март 2026'!$J$2:$J$2701,S$1)</f>
        <v>0</v>
      </c>
      <c r="T7" s="75">
        <f>SUMIFS('март 2026'!$G$2:$G$2701,'март 2026'!$D$2:$D$2701,$B7,'март 2026'!$J$2:$J$2701,T$1)</f>
        <v>0</v>
      </c>
      <c r="U7" s="75">
        <f>SUMIFS('март 2026'!$G$2:$G$2701,'март 2026'!$D$2:$D$2701,$B7,'март 2026'!$J$2:$J$2701,U$1)</f>
        <v>0</v>
      </c>
      <c r="V7" s="75">
        <f>SUMIFS('март 2026'!$G$2:$G$2701,'март 2026'!$D$2:$D$2701,$B7,'март 2026'!$J$2:$J$2701,V$1)</f>
        <v>0</v>
      </c>
      <c r="W7" s="75">
        <f>SUMIFS('март 2026'!$G$2:$G$2701,'март 2026'!$D$2:$D$2701,$B7,'март 2026'!$J$2:$J$2701,W$1)</f>
        <v>0</v>
      </c>
      <c r="X7" s="75">
        <f>SUMIFS('март 2026'!$G$2:$G$2701,'март 2026'!$D$2:$D$2701,$B7,'март 2026'!$J$2:$J$2701,X$1)</f>
        <v>0</v>
      </c>
      <c r="Y7" s="75">
        <f>SUMIFS('март 2026'!$G$2:$G$2701,'март 2026'!$D$2:$D$2701,$B7,'март 2026'!$J$2:$J$2701,Y$1)</f>
        <v>0</v>
      </c>
      <c r="Z7" s="75">
        <f>SUMIFS('март 2026'!$G$2:$G$2701,'март 2026'!$D$2:$D$2701,$B7,'март 2026'!$J$2:$J$2701,Z$1)</f>
        <v>0</v>
      </c>
      <c r="AA7" s="75">
        <f>SUMIFS('март 2026'!$G$2:$G$2701,'март 2026'!$D$2:$D$2701,$B7,'март 2026'!$J$2:$J$2701,AA$1)</f>
        <v>0</v>
      </c>
      <c r="AB7" s="75">
        <f>SUMIFS('март 2026'!$G$2:$G$2701,'март 2026'!$D$2:$D$2701,$B7,'март 2026'!$J$2:$J$2701,AB$1)</f>
        <v>0</v>
      </c>
      <c r="AC7" s="75">
        <f>SUMIFS('март 2026'!$G$2:$G$2701,'март 2026'!$D$2:$D$2701,$B7,'март 2026'!$J$2:$J$2701,AC$1)</f>
        <v>0</v>
      </c>
      <c r="AD7" s="75">
        <f>SUMIFS('март 2026'!$G$2:$G$2701,'март 2026'!$D$2:$D$2701,$B7,'март 2026'!$J$2:$J$2701,AD$1)</f>
        <v>0</v>
      </c>
      <c r="AE7" s="75">
        <f>SUMIFS('март 2026'!$G$2:$G$2701,'март 2026'!$D$2:$D$2701,$B7,'март 2026'!$J$2:$J$2701,AE$1)</f>
        <v>0</v>
      </c>
      <c r="AF7" s="75">
        <f>SUMIFS('март 2026'!$G$2:$G$2701,'март 2026'!$D$2:$D$2701,$B7,'март 2026'!$J$2:$J$2701,AF$1)</f>
        <v>0</v>
      </c>
      <c r="AG7" s="75">
        <f>SUMIFS('март 2026'!$G$2:$G$2701,'март 2026'!$D$2:$D$2701,$B7,'март 2026'!$J$2:$J$2701,AG$1)</f>
        <v>0</v>
      </c>
      <c r="AH7" s="75">
        <f>SUMIFS('март 2026'!$G$2:$G$2701,'март 2026'!$D$2:$D$2701,$B7,'март 2026'!$J$2:$J$2701,AH$1)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SUMIFS('март 2026'!$G$2:$G$2701,'март 2026'!$D$2:$D$2701,$B8,'март 2026'!$J$2:$J$2701,D$1)</f>
        <v>0</v>
      </c>
      <c r="E8" s="75">
        <f>SUMIFS('март 2026'!$G$2:$G$2701,'март 2026'!$D$2:$D$2701,$B8,'март 2026'!$J$2:$J$2701,E$1)</f>
        <v>0</v>
      </c>
      <c r="F8" s="75">
        <f>SUMIFS('март 2026'!$G$2:$G$2701,'март 2026'!$D$2:$D$2701,$B8,'март 2026'!$J$2:$J$2701,F$1)</f>
        <v>0</v>
      </c>
      <c r="G8" s="75">
        <f>SUMIFS('март 2026'!$G$2:$G$2701,'март 2026'!$D$2:$D$2701,$B8,'март 2026'!$J$2:$J$2701,G$1)</f>
        <v>0</v>
      </c>
      <c r="H8" s="75">
        <f>SUMIFS('март 2026'!$G$2:$G$2701,'март 2026'!$D$2:$D$2701,$B8,'март 2026'!$J$2:$J$2701,H$1)</f>
        <v>0</v>
      </c>
      <c r="I8" s="75">
        <f>SUMIFS('март 2026'!$G$2:$G$2701,'март 2026'!$D$2:$D$2701,$B8,'март 2026'!$J$2:$J$2701,I$1)</f>
        <v>0</v>
      </c>
      <c r="J8" s="75">
        <f>SUMIFS('март 2026'!$G$2:$G$2701,'март 2026'!$D$2:$D$2701,$B8,'март 2026'!$J$2:$J$2701,J$1)</f>
        <v>0</v>
      </c>
      <c r="K8" s="75">
        <f>SUMIFS('март 2026'!$G$2:$G$2701,'март 2026'!$D$2:$D$2701,$B8,'март 2026'!$J$2:$J$2701,K$1)</f>
        <v>0</v>
      </c>
      <c r="L8" s="75">
        <f>SUMIFS('март 2026'!$G$2:$G$2701,'март 2026'!$D$2:$D$2701,$B8,'март 2026'!$J$2:$J$2701,L$1)</f>
        <v>0</v>
      </c>
      <c r="M8" s="75">
        <f>SUMIFS('март 2026'!$G$2:$G$2701,'март 2026'!$D$2:$D$2701,$B8,'март 2026'!$J$2:$J$2701,M$1)</f>
        <v>0</v>
      </c>
      <c r="N8" s="75">
        <f>SUMIFS('март 2026'!$G$2:$G$2701,'март 2026'!$D$2:$D$2701,$B8,'март 2026'!$J$2:$J$2701,N$1)</f>
        <v>0</v>
      </c>
      <c r="O8" s="75">
        <f>SUMIFS('март 2026'!$G$2:$G$2701,'март 2026'!$D$2:$D$2701,$B8,'март 2026'!$J$2:$J$2701,O$1)</f>
        <v>0</v>
      </c>
      <c r="P8" s="75">
        <f>SUMIFS('март 2026'!$G$2:$G$2701,'март 2026'!$D$2:$D$2701,$B8,'март 2026'!$J$2:$J$2701,P$1)</f>
        <v>0</v>
      </c>
      <c r="Q8" s="75">
        <f>SUMIFS('март 2026'!$G$2:$G$2701,'март 2026'!$D$2:$D$2701,$B8,'март 2026'!$J$2:$J$2701,Q$1)</f>
        <v>0</v>
      </c>
      <c r="R8" s="75">
        <f>SUMIFS('март 2026'!$G$2:$G$2701,'март 2026'!$D$2:$D$2701,$B8,'март 2026'!$J$2:$J$2701,R$1)</f>
        <v>0</v>
      </c>
      <c r="S8" s="75">
        <f>SUMIFS('март 2026'!$G$2:$G$2701,'март 2026'!$D$2:$D$2701,$B8,'март 2026'!$J$2:$J$2701,S$1)</f>
        <v>0</v>
      </c>
      <c r="T8" s="75">
        <f>SUMIFS('март 2026'!$G$2:$G$2701,'март 2026'!$D$2:$D$2701,$B8,'март 2026'!$J$2:$J$2701,T$1)</f>
        <v>0</v>
      </c>
      <c r="U8" s="75">
        <f>SUMIFS('март 2026'!$G$2:$G$2701,'март 2026'!$D$2:$D$2701,$B8,'март 2026'!$J$2:$J$2701,U$1)</f>
        <v>0</v>
      </c>
      <c r="V8" s="75">
        <f>SUMIFS('март 2026'!$G$2:$G$2701,'март 2026'!$D$2:$D$2701,$B8,'март 2026'!$J$2:$J$2701,V$1)</f>
        <v>0</v>
      </c>
      <c r="W8" s="75">
        <f>SUMIFS('март 2026'!$G$2:$G$2701,'март 2026'!$D$2:$D$2701,$B8,'март 2026'!$J$2:$J$2701,W$1)</f>
        <v>0</v>
      </c>
      <c r="X8" s="75">
        <f>SUMIFS('март 2026'!$G$2:$G$2701,'март 2026'!$D$2:$D$2701,$B8,'март 2026'!$J$2:$J$2701,X$1)</f>
        <v>0</v>
      </c>
      <c r="Y8" s="75">
        <f>SUMIFS('март 2026'!$G$2:$G$2701,'март 2026'!$D$2:$D$2701,$B8,'март 2026'!$J$2:$J$2701,Y$1)</f>
        <v>0</v>
      </c>
      <c r="Z8" s="75">
        <f>SUMIFS('март 2026'!$G$2:$G$2701,'март 2026'!$D$2:$D$2701,$B8,'март 2026'!$J$2:$J$2701,Z$1)</f>
        <v>0</v>
      </c>
      <c r="AA8" s="75">
        <f>SUMIFS('март 2026'!$G$2:$G$2701,'март 2026'!$D$2:$D$2701,$B8,'март 2026'!$J$2:$J$2701,AA$1)</f>
        <v>0</v>
      </c>
      <c r="AB8" s="75">
        <f>SUMIFS('март 2026'!$G$2:$G$2701,'март 2026'!$D$2:$D$2701,$B8,'март 2026'!$J$2:$J$2701,AB$1)</f>
        <v>0</v>
      </c>
      <c r="AC8" s="75">
        <f>SUMIFS('март 2026'!$G$2:$G$2701,'март 2026'!$D$2:$D$2701,$B8,'март 2026'!$J$2:$J$2701,AC$1)</f>
        <v>0</v>
      </c>
      <c r="AD8" s="75">
        <f>SUMIFS('март 2026'!$G$2:$G$2701,'март 2026'!$D$2:$D$2701,$B8,'март 2026'!$J$2:$J$2701,AD$1)</f>
        <v>0</v>
      </c>
      <c r="AE8" s="75">
        <f>SUMIFS('март 2026'!$G$2:$G$2701,'март 2026'!$D$2:$D$2701,$B8,'март 2026'!$J$2:$J$2701,AE$1)</f>
        <v>0</v>
      </c>
      <c r="AF8" s="75">
        <f>SUMIFS('март 2026'!$G$2:$G$2701,'март 2026'!$D$2:$D$2701,$B8,'март 2026'!$J$2:$J$2701,AF$1)</f>
        <v>0</v>
      </c>
      <c r="AG8" s="75">
        <f>SUMIFS('март 2026'!$G$2:$G$2701,'март 2026'!$D$2:$D$2701,$B8,'март 2026'!$J$2:$J$2701,AG$1)</f>
        <v>0</v>
      </c>
      <c r="AH8" s="75">
        <f>SUMIFS('март 2026'!$G$2:$G$2701,'март 2026'!$D$2:$D$2701,$B8,'март 2026'!$J$2:$J$2701,AH$1)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SUMIFS('март 2026'!$G$2:$G$2701,'март 2026'!$D$2:$D$2701,$B9,'март 2026'!$J$2:$J$2701,D$1)</f>
        <v>0</v>
      </c>
      <c r="E9" s="75">
        <f>SUMIFS('март 2026'!$G$2:$G$2701,'март 2026'!$D$2:$D$2701,$B9,'март 2026'!$J$2:$J$2701,E$1)</f>
        <v>0</v>
      </c>
      <c r="F9" s="75">
        <f>SUMIFS('март 2026'!$G$2:$G$2701,'март 2026'!$D$2:$D$2701,$B9,'март 2026'!$J$2:$J$2701,F$1)</f>
        <v>0</v>
      </c>
      <c r="G9" s="75">
        <f>SUMIFS('март 2026'!$G$2:$G$2701,'март 2026'!$D$2:$D$2701,$B9,'март 2026'!$J$2:$J$2701,G$1)</f>
        <v>0</v>
      </c>
      <c r="H9" s="75">
        <f>SUMIFS('март 2026'!$G$2:$G$2701,'март 2026'!$D$2:$D$2701,$B9,'март 2026'!$J$2:$J$2701,H$1)</f>
        <v>0</v>
      </c>
      <c r="I9" s="75">
        <f>SUMIFS('март 2026'!$G$2:$G$2701,'март 2026'!$D$2:$D$2701,$B9,'март 2026'!$J$2:$J$2701,I$1)</f>
        <v>0</v>
      </c>
      <c r="J9" s="75">
        <f>SUMIFS('март 2026'!$G$2:$G$2701,'март 2026'!$D$2:$D$2701,$B9,'март 2026'!$J$2:$J$2701,J$1)</f>
        <v>0</v>
      </c>
      <c r="K9" s="75">
        <f>SUMIFS('март 2026'!$G$2:$G$2701,'март 2026'!$D$2:$D$2701,$B9,'март 2026'!$J$2:$J$2701,K$1)</f>
        <v>0</v>
      </c>
      <c r="L9" s="75">
        <f>SUMIFS('март 2026'!$G$2:$G$2701,'март 2026'!$D$2:$D$2701,$B9,'март 2026'!$J$2:$J$2701,L$1)</f>
        <v>0</v>
      </c>
      <c r="M9" s="75">
        <f>SUMIFS('март 2026'!$G$2:$G$2701,'март 2026'!$D$2:$D$2701,$B9,'март 2026'!$J$2:$J$2701,M$1)</f>
        <v>0</v>
      </c>
      <c r="N9" s="75">
        <f>SUMIFS('март 2026'!$G$2:$G$2701,'март 2026'!$D$2:$D$2701,$B9,'март 2026'!$J$2:$J$2701,N$1)</f>
        <v>0</v>
      </c>
      <c r="O9" s="75">
        <f>SUMIFS('март 2026'!$G$2:$G$2701,'март 2026'!$D$2:$D$2701,$B9,'март 2026'!$J$2:$J$2701,O$1)</f>
        <v>0</v>
      </c>
      <c r="P9" s="75">
        <f>SUMIFS('март 2026'!$G$2:$G$2701,'март 2026'!$D$2:$D$2701,$B9,'март 2026'!$J$2:$J$2701,P$1)</f>
        <v>0</v>
      </c>
      <c r="Q9" s="75">
        <f>SUMIFS('март 2026'!$G$2:$G$2701,'март 2026'!$D$2:$D$2701,$B9,'март 2026'!$J$2:$J$2701,Q$1)</f>
        <v>0</v>
      </c>
      <c r="R9" s="75">
        <f>SUMIFS('март 2026'!$G$2:$G$2701,'март 2026'!$D$2:$D$2701,$B9,'март 2026'!$J$2:$J$2701,R$1)</f>
        <v>0</v>
      </c>
      <c r="S9" s="75">
        <f>SUMIFS('март 2026'!$G$2:$G$2701,'март 2026'!$D$2:$D$2701,$B9,'март 2026'!$J$2:$J$2701,S$1)</f>
        <v>0</v>
      </c>
      <c r="T9" s="75">
        <f>SUMIFS('март 2026'!$G$2:$G$2701,'март 2026'!$D$2:$D$2701,$B9,'март 2026'!$J$2:$J$2701,T$1)</f>
        <v>0</v>
      </c>
      <c r="U9" s="75">
        <f>SUMIFS('март 2026'!$G$2:$G$2701,'март 2026'!$D$2:$D$2701,$B9,'март 2026'!$J$2:$J$2701,U$1)</f>
        <v>0</v>
      </c>
      <c r="V9" s="75">
        <f>SUMIFS('март 2026'!$G$2:$G$2701,'март 2026'!$D$2:$D$2701,$B9,'март 2026'!$J$2:$J$2701,V$1)</f>
        <v>0</v>
      </c>
      <c r="W9" s="75">
        <f>SUMIFS('март 2026'!$G$2:$G$2701,'март 2026'!$D$2:$D$2701,$B9,'март 2026'!$J$2:$J$2701,W$1)</f>
        <v>0</v>
      </c>
      <c r="X9" s="75">
        <f>SUMIFS('март 2026'!$G$2:$G$2701,'март 2026'!$D$2:$D$2701,$B9,'март 2026'!$J$2:$J$2701,X$1)</f>
        <v>0</v>
      </c>
      <c r="Y9" s="75">
        <f>SUMIFS('март 2026'!$G$2:$G$2701,'март 2026'!$D$2:$D$2701,$B9,'март 2026'!$J$2:$J$2701,Y$1)</f>
        <v>0</v>
      </c>
      <c r="Z9" s="75">
        <f>SUMIFS('март 2026'!$G$2:$G$2701,'март 2026'!$D$2:$D$2701,$B9,'март 2026'!$J$2:$J$2701,Z$1)</f>
        <v>0</v>
      </c>
      <c r="AA9" s="75">
        <f>SUMIFS('март 2026'!$G$2:$G$2701,'март 2026'!$D$2:$D$2701,$B9,'март 2026'!$J$2:$J$2701,AA$1)</f>
        <v>0</v>
      </c>
      <c r="AB9" s="75">
        <f>SUMIFS('март 2026'!$G$2:$G$2701,'март 2026'!$D$2:$D$2701,$B9,'март 2026'!$J$2:$J$2701,AB$1)</f>
        <v>0</v>
      </c>
      <c r="AC9" s="75">
        <f>SUMIFS('март 2026'!$G$2:$G$2701,'март 2026'!$D$2:$D$2701,$B9,'март 2026'!$J$2:$J$2701,AC$1)</f>
        <v>0</v>
      </c>
      <c r="AD9" s="75">
        <f>SUMIFS('март 2026'!$G$2:$G$2701,'март 2026'!$D$2:$D$2701,$B9,'март 2026'!$J$2:$J$2701,AD$1)</f>
        <v>0</v>
      </c>
      <c r="AE9" s="75">
        <f>SUMIFS('март 2026'!$G$2:$G$2701,'март 2026'!$D$2:$D$2701,$B9,'март 2026'!$J$2:$J$2701,AE$1)</f>
        <v>0</v>
      </c>
      <c r="AF9" s="75">
        <f>SUMIFS('март 2026'!$G$2:$G$2701,'март 2026'!$D$2:$D$2701,$B9,'март 2026'!$J$2:$J$2701,AF$1)</f>
        <v>0</v>
      </c>
      <c r="AG9" s="75">
        <f>SUMIFS('март 2026'!$G$2:$G$2701,'март 2026'!$D$2:$D$2701,$B9,'март 2026'!$J$2:$J$2701,AG$1)</f>
        <v>0</v>
      </c>
      <c r="AH9" s="75">
        <f>SUMIFS('март 2026'!$G$2:$G$2701,'март 2026'!$D$2:$D$2701,$B9,'март 2026'!$J$2:$J$2701,AH$1)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SUMIFS('март 2026'!$G$2:$G$2701,'март 2026'!$D$2:$D$2701,$B10,'март 2026'!$J$2:$J$2701,D$1)</f>
        <v>0</v>
      </c>
      <c r="E10" s="75">
        <f>SUMIFS('март 2026'!$G$2:$G$2701,'март 2026'!$D$2:$D$2701,$B10,'март 2026'!$J$2:$J$2701,E$1)</f>
        <v>0</v>
      </c>
      <c r="F10" s="75">
        <f>SUMIFS('март 2026'!$G$2:$G$2701,'март 2026'!$D$2:$D$2701,$B10,'март 2026'!$J$2:$J$2701,F$1)</f>
        <v>0</v>
      </c>
      <c r="G10" s="75">
        <f>SUMIFS('март 2026'!$G$2:$G$2701,'март 2026'!$D$2:$D$2701,$B10,'март 2026'!$J$2:$J$2701,G$1)</f>
        <v>0</v>
      </c>
      <c r="H10" s="75">
        <f>SUMIFS('март 2026'!$G$2:$G$2701,'март 2026'!$D$2:$D$2701,$B10,'март 2026'!$J$2:$J$2701,H$1)</f>
        <v>0</v>
      </c>
      <c r="I10" s="75">
        <f>SUMIFS('март 2026'!$G$2:$G$2701,'март 2026'!$D$2:$D$2701,$B10,'март 2026'!$J$2:$J$2701,I$1)</f>
        <v>0</v>
      </c>
      <c r="J10" s="75">
        <f>SUMIFS('март 2026'!$G$2:$G$2701,'март 2026'!$D$2:$D$2701,$B10,'март 2026'!$J$2:$J$2701,J$1)</f>
        <v>0</v>
      </c>
      <c r="K10" s="75">
        <f>SUMIFS('март 2026'!$G$2:$G$2701,'март 2026'!$D$2:$D$2701,$B10,'март 2026'!$J$2:$J$2701,K$1)</f>
        <v>0</v>
      </c>
      <c r="L10" s="75">
        <f>SUMIFS('март 2026'!$G$2:$G$2701,'март 2026'!$D$2:$D$2701,$B10,'март 2026'!$J$2:$J$2701,L$1)</f>
        <v>0</v>
      </c>
      <c r="M10" s="75">
        <f>SUMIFS('март 2026'!$G$2:$G$2701,'март 2026'!$D$2:$D$2701,$B10,'март 2026'!$J$2:$J$2701,M$1)</f>
        <v>0</v>
      </c>
      <c r="N10" s="75">
        <f>SUMIFS('март 2026'!$G$2:$G$2701,'март 2026'!$D$2:$D$2701,$B10,'март 2026'!$J$2:$J$2701,N$1)</f>
        <v>0</v>
      </c>
      <c r="O10" s="75">
        <f>SUMIFS('март 2026'!$G$2:$G$2701,'март 2026'!$D$2:$D$2701,$B10,'март 2026'!$J$2:$J$2701,O$1)</f>
        <v>0</v>
      </c>
      <c r="P10" s="75">
        <f>SUMIFS('март 2026'!$G$2:$G$2701,'март 2026'!$D$2:$D$2701,$B10,'март 2026'!$J$2:$J$2701,P$1)</f>
        <v>0</v>
      </c>
      <c r="Q10" s="75">
        <f>SUMIFS('март 2026'!$G$2:$G$2701,'март 2026'!$D$2:$D$2701,$B10,'март 2026'!$J$2:$J$2701,Q$1)</f>
        <v>0</v>
      </c>
      <c r="R10" s="75">
        <f>SUMIFS('март 2026'!$G$2:$G$2701,'март 2026'!$D$2:$D$2701,$B10,'март 2026'!$J$2:$J$2701,R$1)</f>
        <v>0</v>
      </c>
      <c r="S10" s="75">
        <f>SUMIFS('март 2026'!$G$2:$G$2701,'март 2026'!$D$2:$D$2701,$B10,'март 2026'!$J$2:$J$2701,S$1)</f>
        <v>0</v>
      </c>
      <c r="T10" s="75">
        <f>SUMIFS('март 2026'!$G$2:$G$2701,'март 2026'!$D$2:$D$2701,$B10,'март 2026'!$J$2:$J$2701,T$1)</f>
        <v>0</v>
      </c>
      <c r="U10" s="75">
        <f>SUMIFS('март 2026'!$G$2:$G$2701,'март 2026'!$D$2:$D$2701,$B10,'март 2026'!$J$2:$J$2701,U$1)</f>
        <v>0</v>
      </c>
      <c r="V10" s="75">
        <f>SUMIFS('март 2026'!$G$2:$G$2701,'март 2026'!$D$2:$D$2701,$B10,'март 2026'!$J$2:$J$2701,V$1)</f>
        <v>0</v>
      </c>
      <c r="W10" s="75">
        <f>SUMIFS('март 2026'!$G$2:$G$2701,'март 2026'!$D$2:$D$2701,$B10,'март 2026'!$J$2:$J$2701,W$1)</f>
        <v>0</v>
      </c>
      <c r="X10" s="75">
        <f>SUMIFS('март 2026'!$G$2:$G$2701,'март 2026'!$D$2:$D$2701,$B10,'март 2026'!$J$2:$J$2701,X$1)</f>
        <v>0</v>
      </c>
      <c r="Y10" s="75">
        <f>SUMIFS('март 2026'!$G$2:$G$2701,'март 2026'!$D$2:$D$2701,$B10,'март 2026'!$J$2:$J$2701,Y$1)</f>
        <v>0</v>
      </c>
      <c r="Z10" s="75">
        <f>SUMIFS('март 2026'!$G$2:$G$2701,'март 2026'!$D$2:$D$2701,$B10,'март 2026'!$J$2:$J$2701,Z$1)</f>
        <v>0</v>
      </c>
      <c r="AA10" s="75">
        <f>SUMIFS('март 2026'!$G$2:$G$2701,'март 2026'!$D$2:$D$2701,$B10,'март 2026'!$J$2:$J$2701,AA$1)</f>
        <v>0</v>
      </c>
      <c r="AB10" s="75">
        <f>SUMIFS('март 2026'!$G$2:$G$2701,'март 2026'!$D$2:$D$2701,$B10,'март 2026'!$J$2:$J$2701,AB$1)</f>
        <v>0</v>
      </c>
      <c r="AC10" s="75">
        <f>SUMIFS('март 2026'!$G$2:$G$2701,'март 2026'!$D$2:$D$2701,$B10,'март 2026'!$J$2:$J$2701,AC$1)</f>
        <v>0</v>
      </c>
      <c r="AD10" s="75">
        <f>SUMIFS('март 2026'!$G$2:$G$2701,'март 2026'!$D$2:$D$2701,$B10,'март 2026'!$J$2:$J$2701,AD$1)</f>
        <v>0</v>
      </c>
      <c r="AE10" s="75">
        <f>SUMIFS('март 2026'!$G$2:$G$2701,'март 2026'!$D$2:$D$2701,$B10,'март 2026'!$J$2:$J$2701,AE$1)</f>
        <v>0</v>
      </c>
      <c r="AF10" s="75">
        <f>SUMIFS('март 2026'!$G$2:$G$2701,'март 2026'!$D$2:$D$2701,$B10,'март 2026'!$J$2:$J$2701,AF$1)</f>
        <v>0</v>
      </c>
      <c r="AG10" s="75">
        <f>SUMIFS('март 2026'!$G$2:$G$2701,'март 2026'!$D$2:$D$2701,$B10,'март 2026'!$J$2:$J$2701,AG$1)</f>
        <v>0</v>
      </c>
      <c r="AH10" s="75">
        <f>SUMIFS('март 2026'!$G$2:$G$2701,'март 2026'!$D$2:$D$2701,$B10,'март 2026'!$J$2:$J$2701,AH$1)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SUMIFS('март 2026'!$G$2:$G$2701,'март 2026'!$D$2:$D$2701,$B11,'март 2026'!$J$2:$J$2701,D$1)</f>
        <v>0</v>
      </c>
      <c r="E11" s="75">
        <f>SUMIFS('март 2026'!$G$2:$G$2701,'март 2026'!$D$2:$D$2701,$B11,'март 2026'!$J$2:$J$2701,E$1)</f>
        <v>0</v>
      </c>
      <c r="F11" s="75">
        <f>SUMIFS('март 2026'!$G$2:$G$2701,'март 2026'!$D$2:$D$2701,$B11,'март 2026'!$J$2:$J$2701,F$1)</f>
        <v>800</v>
      </c>
      <c r="G11" s="75">
        <f>SUMIFS('март 2026'!$G$2:$G$2701,'март 2026'!$D$2:$D$2701,$B11,'март 2026'!$J$2:$J$2701,G$1)</f>
        <v>0</v>
      </c>
      <c r="H11" s="75">
        <f>SUMIFS('март 2026'!$G$2:$G$2701,'март 2026'!$D$2:$D$2701,$B11,'март 2026'!$J$2:$J$2701,H$1)</f>
        <v>0</v>
      </c>
      <c r="I11" s="75">
        <f>SUMIFS('март 2026'!$G$2:$G$2701,'март 2026'!$D$2:$D$2701,$B11,'март 2026'!$J$2:$J$2701,I$1)</f>
        <v>0</v>
      </c>
      <c r="J11" s="75">
        <f>SUMIFS('март 2026'!$G$2:$G$2701,'март 2026'!$D$2:$D$2701,$B11,'март 2026'!$J$2:$J$2701,J$1)</f>
        <v>0</v>
      </c>
      <c r="K11" s="75">
        <f>SUMIFS('март 2026'!$G$2:$G$2701,'март 2026'!$D$2:$D$2701,$B11,'март 2026'!$J$2:$J$2701,K$1)</f>
        <v>0</v>
      </c>
      <c r="L11" s="75">
        <f>SUMIFS('март 2026'!$G$2:$G$2701,'март 2026'!$D$2:$D$2701,$B11,'март 2026'!$J$2:$J$2701,L$1)</f>
        <v>0</v>
      </c>
      <c r="M11" s="75">
        <f>SUMIFS('март 2026'!$G$2:$G$2701,'март 2026'!$D$2:$D$2701,$B11,'март 2026'!$J$2:$J$2701,M$1)</f>
        <v>800</v>
      </c>
      <c r="N11" s="75">
        <f>SUMIFS('март 2026'!$G$2:$G$2701,'март 2026'!$D$2:$D$2701,$B11,'март 2026'!$J$2:$J$2701,N$1)</f>
        <v>0</v>
      </c>
      <c r="O11" s="75">
        <f>SUMIFS('март 2026'!$G$2:$G$2701,'март 2026'!$D$2:$D$2701,$B11,'март 2026'!$J$2:$J$2701,O$1)</f>
        <v>0</v>
      </c>
      <c r="P11" s="75">
        <f>SUMIFS('март 2026'!$G$2:$G$2701,'март 2026'!$D$2:$D$2701,$B11,'март 2026'!$J$2:$J$2701,P$1)</f>
        <v>0</v>
      </c>
      <c r="Q11" s="75">
        <f>SUMIFS('март 2026'!$G$2:$G$2701,'март 2026'!$D$2:$D$2701,$B11,'март 2026'!$J$2:$J$2701,Q$1)</f>
        <v>0</v>
      </c>
      <c r="R11" s="75">
        <f>SUMIFS('март 2026'!$G$2:$G$2701,'март 2026'!$D$2:$D$2701,$B11,'март 2026'!$J$2:$J$2701,R$1)</f>
        <v>0</v>
      </c>
      <c r="S11" s="75">
        <f>SUMIFS('март 2026'!$G$2:$G$2701,'март 2026'!$D$2:$D$2701,$B11,'март 2026'!$J$2:$J$2701,S$1)</f>
        <v>0</v>
      </c>
      <c r="T11" s="75">
        <f>SUMIFS('март 2026'!$G$2:$G$2701,'март 2026'!$D$2:$D$2701,$B11,'март 2026'!$J$2:$J$2701,T$1)</f>
        <v>800</v>
      </c>
      <c r="U11" s="75">
        <f>SUMIFS('март 2026'!$G$2:$G$2701,'март 2026'!$D$2:$D$2701,$B11,'март 2026'!$J$2:$J$2701,U$1)</f>
        <v>800</v>
      </c>
      <c r="V11" s="75">
        <f>SUMIFS('март 2026'!$G$2:$G$2701,'март 2026'!$D$2:$D$2701,$B11,'март 2026'!$J$2:$J$2701,V$1)</f>
        <v>0</v>
      </c>
      <c r="W11" s="75">
        <f>SUMIFS('март 2026'!$G$2:$G$2701,'март 2026'!$D$2:$D$2701,$B11,'март 2026'!$J$2:$J$2701,W$1)</f>
        <v>0</v>
      </c>
      <c r="X11" s="75">
        <f>SUMIFS('март 2026'!$G$2:$G$2701,'март 2026'!$D$2:$D$2701,$B11,'март 2026'!$J$2:$J$2701,X$1)</f>
        <v>0</v>
      </c>
      <c r="Y11" s="75">
        <f>SUMIFS('март 2026'!$G$2:$G$2701,'март 2026'!$D$2:$D$2701,$B11,'март 2026'!$J$2:$J$2701,Y$1)</f>
        <v>0</v>
      </c>
      <c r="Z11" s="75">
        <f>SUMIFS('март 2026'!$G$2:$G$2701,'март 2026'!$D$2:$D$2701,$B11,'март 2026'!$J$2:$J$2701,Z$1)</f>
        <v>1280</v>
      </c>
      <c r="AA11" s="75">
        <f>SUMIFS('март 2026'!$G$2:$G$2701,'март 2026'!$D$2:$D$2701,$B11,'март 2026'!$J$2:$J$2701,AA$1)</f>
        <v>800</v>
      </c>
      <c r="AB11" s="75">
        <f>SUMIFS('март 2026'!$G$2:$G$2701,'март 2026'!$D$2:$D$2701,$B11,'март 2026'!$J$2:$J$2701,AB$1)</f>
        <v>800</v>
      </c>
      <c r="AC11" s="75">
        <f>SUMIFS('март 2026'!$G$2:$G$2701,'март 2026'!$D$2:$D$2701,$B11,'март 2026'!$J$2:$J$2701,AC$1)</f>
        <v>0</v>
      </c>
      <c r="AD11" s="75">
        <f>SUMIFS('март 2026'!$G$2:$G$2701,'март 2026'!$D$2:$D$2701,$B11,'март 2026'!$J$2:$J$2701,AD$1)</f>
        <v>0</v>
      </c>
      <c r="AE11" s="75">
        <f>SUMIFS('март 2026'!$G$2:$G$2701,'март 2026'!$D$2:$D$2701,$B11,'март 2026'!$J$2:$J$2701,AE$1)</f>
        <v>0</v>
      </c>
      <c r="AF11" s="75">
        <f>SUMIFS('март 2026'!$G$2:$G$2701,'март 2026'!$D$2:$D$2701,$B11,'март 2026'!$J$2:$J$2701,AF$1)</f>
        <v>0</v>
      </c>
      <c r="AG11" s="75">
        <f>SUMIFS('март 2026'!$G$2:$G$2701,'март 2026'!$D$2:$D$2701,$B11,'март 2026'!$J$2:$J$2701,AG$1)</f>
        <v>800</v>
      </c>
      <c r="AH11" s="75">
        <f>SUMIFS('март 2026'!$G$2:$G$2701,'март 2026'!$D$2:$D$2701,$B11,'март 2026'!$J$2:$J$2701,AH$1)</f>
        <v>1520</v>
      </c>
      <c r="AI11" s="20">
        <f t="shared" si="1"/>
        <v>8400</v>
      </c>
    </row>
    <row r="12" spans="2:35" ht="15" customHeight="1" x14ac:dyDescent="0.25">
      <c r="B12" s="79" t="s">
        <v>224</v>
      </c>
      <c r="C12" s="80">
        <v>22.68</v>
      </c>
      <c r="D12" s="75">
        <f>SUMIFS('март 2026'!$G$2:$G$2701,'март 2026'!$D$2:$D$2701,$B12,'март 2026'!$J$2:$J$2701,D$1)</f>
        <v>0</v>
      </c>
      <c r="E12" s="75">
        <f>SUMIFS('март 2026'!$G$2:$G$2701,'март 2026'!$D$2:$D$2701,$B12,'март 2026'!$J$2:$J$2701,E$1)</f>
        <v>0</v>
      </c>
      <c r="F12" s="75">
        <f>SUMIFS('март 2026'!$G$2:$G$2701,'март 2026'!$D$2:$D$2701,$B12,'март 2026'!$J$2:$J$2701,F$1)</f>
        <v>0</v>
      </c>
      <c r="G12" s="75">
        <f>SUMIFS('март 2026'!$G$2:$G$2701,'март 2026'!$D$2:$D$2701,$B12,'март 2026'!$J$2:$J$2701,G$1)</f>
        <v>0</v>
      </c>
      <c r="H12" s="75">
        <f>SUMIFS('март 2026'!$G$2:$G$2701,'март 2026'!$D$2:$D$2701,$B12,'март 2026'!$J$2:$J$2701,H$1)</f>
        <v>0</v>
      </c>
      <c r="I12" s="75">
        <f>SUMIFS('март 2026'!$G$2:$G$2701,'март 2026'!$D$2:$D$2701,$B12,'март 2026'!$J$2:$J$2701,I$1)</f>
        <v>0</v>
      </c>
      <c r="J12" s="75">
        <f>SUMIFS('март 2026'!$G$2:$G$2701,'март 2026'!$D$2:$D$2701,$B12,'март 2026'!$J$2:$J$2701,J$1)</f>
        <v>0</v>
      </c>
      <c r="K12" s="75">
        <f>SUMIFS('март 2026'!$G$2:$G$2701,'март 2026'!$D$2:$D$2701,$B12,'март 2026'!$J$2:$J$2701,K$1)</f>
        <v>0</v>
      </c>
      <c r="L12" s="75">
        <f>SUMIFS('март 2026'!$G$2:$G$2701,'март 2026'!$D$2:$D$2701,$B12,'март 2026'!$J$2:$J$2701,L$1)</f>
        <v>0</v>
      </c>
      <c r="M12" s="75">
        <f>SUMIFS('март 2026'!$G$2:$G$2701,'март 2026'!$D$2:$D$2701,$B12,'март 2026'!$J$2:$J$2701,M$1)</f>
        <v>0</v>
      </c>
      <c r="N12" s="75">
        <f>SUMIFS('март 2026'!$G$2:$G$2701,'март 2026'!$D$2:$D$2701,$B12,'март 2026'!$J$2:$J$2701,N$1)</f>
        <v>0</v>
      </c>
      <c r="O12" s="75">
        <f>SUMIFS('март 2026'!$G$2:$G$2701,'март 2026'!$D$2:$D$2701,$B12,'март 2026'!$J$2:$J$2701,O$1)</f>
        <v>0</v>
      </c>
      <c r="P12" s="75">
        <f>SUMIFS('март 2026'!$G$2:$G$2701,'март 2026'!$D$2:$D$2701,$B12,'март 2026'!$J$2:$J$2701,P$1)</f>
        <v>0</v>
      </c>
      <c r="Q12" s="75">
        <f>SUMIFS('март 2026'!$G$2:$G$2701,'март 2026'!$D$2:$D$2701,$B12,'март 2026'!$J$2:$J$2701,Q$1)</f>
        <v>0</v>
      </c>
      <c r="R12" s="75">
        <f>SUMIFS('март 2026'!$G$2:$G$2701,'март 2026'!$D$2:$D$2701,$B12,'март 2026'!$J$2:$J$2701,R$1)</f>
        <v>0</v>
      </c>
      <c r="S12" s="75">
        <f>SUMIFS('март 2026'!$G$2:$G$2701,'март 2026'!$D$2:$D$2701,$B12,'март 2026'!$J$2:$J$2701,S$1)</f>
        <v>0</v>
      </c>
      <c r="T12" s="75">
        <f>SUMIFS('март 2026'!$G$2:$G$2701,'март 2026'!$D$2:$D$2701,$B12,'март 2026'!$J$2:$J$2701,T$1)</f>
        <v>0</v>
      </c>
      <c r="U12" s="75">
        <f>SUMIFS('март 2026'!$G$2:$G$2701,'март 2026'!$D$2:$D$2701,$B12,'март 2026'!$J$2:$J$2701,U$1)</f>
        <v>0</v>
      </c>
      <c r="V12" s="75">
        <f>SUMIFS('март 2026'!$G$2:$G$2701,'март 2026'!$D$2:$D$2701,$B12,'март 2026'!$J$2:$J$2701,V$1)</f>
        <v>0</v>
      </c>
      <c r="W12" s="75">
        <f>SUMIFS('март 2026'!$G$2:$G$2701,'март 2026'!$D$2:$D$2701,$B12,'март 2026'!$J$2:$J$2701,W$1)</f>
        <v>0</v>
      </c>
      <c r="X12" s="75">
        <f>SUMIFS('март 2026'!$G$2:$G$2701,'март 2026'!$D$2:$D$2701,$B12,'март 2026'!$J$2:$J$2701,X$1)</f>
        <v>0</v>
      </c>
      <c r="Y12" s="75">
        <f>SUMIFS('март 2026'!$G$2:$G$2701,'март 2026'!$D$2:$D$2701,$B12,'март 2026'!$J$2:$J$2701,Y$1)</f>
        <v>0</v>
      </c>
      <c r="Z12" s="75">
        <f>SUMIFS('март 2026'!$G$2:$G$2701,'март 2026'!$D$2:$D$2701,$B12,'март 2026'!$J$2:$J$2701,Z$1)</f>
        <v>0</v>
      </c>
      <c r="AA12" s="75">
        <f>SUMIFS('март 2026'!$G$2:$G$2701,'март 2026'!$D$2:$D$2701,$B12,'март 2026'!$J$2:$J$2701,AA$1)</f>
        <v>0</v>
      </c>
      <c r="AB12" s="75">
        <f>SUMIFS('март 2026'!$G$2:$G$2701,'март 2026'!$D$2:$D$2701,$B12,'март 2026'!$J$2:$J$2701,AB$1)</f>
        <v>0</v>
      </c>
      <c r="AC12" s="75">
        <f>SUMIFS('март 2026'!$G$2:$G$2701,'март 2026'!$D$2:$D$2701,$B12,'март 2026'!$J$2:$J$2701,AC$1)</f>
        <v>0</v>
      </c>
      <c r="AD12" s="75">
        <f>SUMIFS('март 2026'!$G$2:$G$2701,'март 2026'!$D$2:$D$2701,$B12,'март 2026'!$J$2:$J$2701,AD$1)</f>
        <v>0</v>
      </c>
      <c r="AE12" s="75">
        <f>SUMIFS('март 2026'!$G$2:$G$2701,'март 2026'!$D$2:$D$2701,$B12,'март 2026'!$J$2:$J$2701,AE$1)</f>
        <v>0</v>
      </c>
      <c r="AF12" s="75">
        <f>SUMIFS('март 2026'!$G$2:$G$2701,'март 2026'!$D$2:$D$2701,$B12,'март 2026'!$J$2:$J$2701,AF$1)</f>
        <v>0</v>
      </c>
      <c r="AG12" s="75">
        <f>SUMIFS('март 2026'!$G$2:$G$2701,'март 2026'!$D$2:$D$2701,$B12,'март 2026'!$J$2:$J$2701,AG$1)</f>
        <v>0</v>
      </c>
      <c r="AH12" s="75">
        <f>SUMIFS('март 2026'!$G$2:$G$2701,'март 2026'!$D$2:$D$2701,$B12,'март 2026'!$J$2:$J$2701,AH$1)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SUMIFS('март 2026'!$G$2:$G$2701,'март 2026'!$D$2:$D$2701,$B13,'март 2026'!$J$2:$J$2701,D$1)</f>
        <v>0</v>
      </c>
      <c r="E13" s="75">
        <f>SUMIFS('март 2026'!$G$2:$G$2701,'март 2026'!$D$2:$D$2701,$B13,'март 2026'!$J$2:$J$2701,E$1)</f>
        <v>0</v>
      </c>
      <c r="F13" s="75">
        <f>SUMIFS('март 2026'!$G$2:$G$2701,'март 2026'!$D$2:$D$2701,$B13,'март 2026'!$J$2:$J$2701,F$1)</f>
        <v>0</v>
      </c>
      <c r="G13" s="75">
        <f>SUMIFS('март 2026'!$G$2:$G$2701,'март 2026'!$D$2:$D$2701,$B13,'март 2026'!$J$2:$J$2701,G$1)</f>
        <v>0</v>
      </c>
      <c r="H13" s="75">
        <f>SUMIFS('март 2026'!$G$2:$G$2701,'март 2026'!$D$2:$D$2701,$B13,'март 2026'!$J$2:$J$2701,H$1)</f>
        <v>0</v>
      </c>
      <c r="I13" s="75">
        <f>SUMIFS('март 2026'!$G$2:$G$2701,'март 2026'!$D$2:$D$2701,$B13,'март 2026'!$J$2:$J$2701,I$1)</f>
        <v>0</v>
      </c>
      <c r="J13" s="75">
        <f>SUMIFS('март 2026'!$G$2:$G$2701,'март 2026'!$D$2:$D$2701,$B13,'март 2026'!$J$2:$J$2701,J$1)</f>
        <v>0</v>
      </c>
      <c r="K13" s="75">
        <f>SUMIFS('март 2026'!$G$2:$G$2701,'март 2026'!$D$2:$D$2701,$B13,'март 2026'!$J$2:$J$2701,K$1)</f>
        <v>0</v>
      </c>
      <c r="L13" s="75">
        <f>SUMIFS('март 2026'!$G$2:$G$2701,'март 2026'!$D$2:$D$2701,$B13,'март 2026'!$J$2:$J$2701,L$1)</f>
        <v>0</v>
      </c>
      <c r="M13" s="75">
        <f>SUMIFS('март 2026'!$G$2:$G$2701,'март 2026'!$D$2:$D$2701,$B13,'март 2026'!$J$2:$J$2701,M$1)</f>
        <v>0</v>
      </c>
      <c r="N13" s="75">
        <f>SUMIFS('март 2026'!$G$2:$G$2701,'март 2026'!$D$2:$D$2701,$B13,'март 2026'!$J$2:$J$2701,N$1)</f>
        <v>0</v>
      </c>
      <c r="O13" s="75">
        <f>SUMIFS('март 2026'!$G$2:$G$2701,'март 2026'!$D$2:$D$2701,$B13,'март 2026'!$J$2:$J$2701,O$1)</f>
        <v>0</v>
      </c>
      <c r="P13" s="75">
        <f>SUMIFS('март 2026'!$G$2:$G$2701,'март 2026'!$D$2:$D$2701,$B13,'март 2026'!$J$2:$J$2701,P$1)</f>
        <v>0</v>
      </c>
      <c r="Q13" s="75">
        <f>SUMIFS('март 2026'!$G$2:$G$2701,'март 2026'!$D$2:$D$2701,$B13,'март 2026'!$J$2:$J$2701,Q$1)</f>
        <v>0</v>
      </c>
      <c r="R13" s="75">
        <f>SUMIFS('март 2026'!$G$2:$G$2701,'март 2026'!$D$2:$D$2701,$B13,'март 2026'!$J$2:$J$2701,R$1)</f>
        <v>0</v>
      </c>
      <c r="S13" s="75">
        <f>SUMIFS('март 2026'!$G$2:$G$2701,'март 2026'!$D$2:$D$2701,$B13,'март 2026'!$J$2:$J$2701,S$1)</f>
        <v>0</v>
      </c>
      <c r="T13" s="75">
        <f>SUMIFS('март 2026'!$G$2:$G$2701,'март 2026'!$D$2:$D$2701,$B13,'март 2026'!$J$2:$J$2701,T$1)</f>
        <v>0</v>
      </c>
      <c r="U13" s="75">
        <f>SUMIFS('март 2026'!$G$2:$G$2701,'март 2026'!$D$2:$D$2701,$B13,'март 2026'!$J$2:$J$2701,U$1)</f>
        <v>0</v>
      </c>
      <c r="V13" s="75">
        <f>SUMIFS('март 2026'!$G$2:$G$2701,'март 2026'!$D$2:$D$2701,$B13,'март 2026'!$J$2:$J$2701,V$1)</f>
        <v>0</v>
      </c>
      <c r="W13" s="75">
        <f>SUMIFS('март 2026'!$G$2:$G$2701,'март 2026'!$D$2:$D$2701,$B13,'март 2026'!$J$2:$J$2701,W$1)</f>
        <v>0</v>
      </c>
      <c r="X13" s="75">
        <f>SUMIFS('март 2026'!$G$2:$G$2701,'март 2026'!$D$2:$D$2701,$B13,'март 2026'!$J$2:$J$2701,X$1)</f>
        <v>0</v>
      </c>
      <c r="Y13" s="75">
        <f>SUMIFS('март 2026'!$G$2:$G$2701,'март 2026'!$D$2:$D$2701,$B13,'март 2026'!$J$2:$J$2701,Y$1)</f>
        <v>0</v>
      </c>
      <c r="Z13" s="75">
        <f>SUMIFS('март 2026'!$G$2:$G$2701,'март 2026'!$D$2:$D$2701,$B13,'март 2026'!$J$2:$J$2701,Z$1)</f>
        <v>0</v>
      </c>
      <c r="AA13" s="75">
        <f>SUMIFS('март 2026'!$G$2:$G$2701,'март 2026'!$D$2:$D$2701,$B13,'март 2026'!$J$2:$J$2701,AA$1)</f>
        <v>0</v>
      </c>
      <c r="AB13" s="75">
        <f>SUMIFS('март 2026'!$G$2:$G$2701,'март 2026'!$D$2:$D$2701,$B13,'март 2026'!$J$2:$J$2701,AB$1)</f>
        <v>0</v>
      </c>
      <c r="AC13" s="75">
        <f>SUMIFS('март 2026'!$G$2:$G$2701,'март 2026'!$D$2:$D$2701,$B13,'март 2026'!$J$2:$J$2701,AC$1)</f>
        <v>0</v>
      </c>
      <c r="AD13" s="75">
        <f>SUMIFS('март 2026'!$G$2:$G$2701,'март 2026'!$D$2:$D$2701,$B13,'март 2026'!$J$2:$J$2701,AD$1)</f>
        <v>0</v>
      </c>
      <c r="AE13" s="75">
        <f>SUMIFS('март 2026'!$G$2:$G$2701,'март 2026'!$D$2:$D$2701,$B13,'март 2026'!$J$2:$J$2701,AE$1)</f>
        <v>0</v>
      </c>
      <c r="AF13" s="75">
        <f>SUMIFS('март 2026'!$G$2:$G$2701,'март 2026'!$D$2:$D$2701,$B13,'март 2026'!$J$2:$J$2701,AF$1)</f>
        <v>0</v>
      </c>
      <c r="AG13" s="75">
        <f>SUMIFS('март 2026'!$G$2:$G$2701,'март 2026'!$D$2:$D$2701,$B13,'март 2026'!$J$2:$J$2701,AG$1)</f>
        <v>0</v>
      </c>
      <c r="AH13" s="75">
        <f>SUMIFS('март 2026'!$G$2:$G$2701,'март 2026'!$D$2:$D$2701,$B13,'март 2026'!$J$2:$J$2701,AH$1)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SUMIFS('март 2026'!$G$2:$G$2701,'март 2026'!$D$2:$D$2701,$B14,'март 2026'!$J$2:$J$2701,D$1)</f>
        <v>0</v>
      </c>
      <c r="E14" s="75">
        <f>SUMIFS('март 2026'!$G$2:$G$2701,'март 2026'!$D$2:$D$2701,$B14,'март 2026'!$J$2:$J$2701,E$1)</f>
        <v>0</v>
      </c>
      <c r="F14" s="75">
        <f>SUMIFS('март 2026'!$G$2:$G$2701,'март 2026'!$D$2:$D$2701,$B14,'март 2026'!$J$2:$J$2701,F$1)</f>
        <v>0</v>
      </c>
      <c r="G14" s="75">
        <f>SUMIFS('март 2026'!$G$2:$G$2701,'март 2026'!$D$2:$D$2701,$B14,'март 2026'!$J$2:$J$2701,G$1)</f>
        <v>0</v>
      </c>
      <c r="H14" s="75">
        <f>SUMIFS('март 2026'!$G$2:$G$2701,'март 2026'!$D$2:$D$2701,$B14,'март 2026'!$J$2:$J$2701,H$1)</f>
        <v>0</v>
      </c>
      <c r="I14" s="75">
        <f>SUMIFS('март 2026'!$G$2:$G$2701,'март 2026'!$D$2:$D$2701,$B14,'март 2026'!$J$2:$J$2701,I$1)</f>
        <v>0</v>
      </c>
      <c r="J14" s="75">
        <f>SUMIFS('март 2026'!$G$2:$G$2701,'март 2026'!$D$2:$D$2701,$B14,'март 2026'!$J$2:$J$2701,J$1)</f>
        <v>0</v>
      </c>
      <c r="K14" s="75">
        <f>SUMIFS('март 2026'!$G$2:$G$2701,'март 2026'!$D$2:$D$2701,$B14,'март 2026'!$J$2:$J$2701,K$1)</f>
        <v>0</v>
      </c>
      <c r="L14" s="75">
        <f>SUMIFS('март 2026'!$G$2:$G$2701,'март 2026'!$D$2:$D$2701,$B14,'март 2026'!$J$2:$J$2701,L$1)</f>
        <v>0</v>
      </c>
      <c r="M14" s="75">
        <f>SUMIFS('март 2026'!$G$2:$G$2701,'март 2026'!$D$2:$D$2701,$B14,'март 2026'!$J$2:$J$2701,M$1)</f>
        <v>0</v>
      </c>
      <c r="N14" s="75">
        <f>SUMIFS('март 2026'!$G$2:$G$2701,'март 2026'!$D$2:$D$2701,$B14,'март 2026'!$J$2:$J$2701,N$1)</f>
        <v>0</v>
      </c>
      <c r="O14" s="75">
        <f>SUMIFS('март 2026'!$G$2:$G$2701,'март 2026'!$D$2:$D$2701,$B14,'март 2026'!$J$2:$J$2701,O$1)</f>
        <v>0</v>
      </c>
      <c r="P14" s="75">
        <f>SUMIFS('март 2026'!$G$2:$G$2701,'март 2026'!$D$2:$D$2701,$B14,'март 2026'!$J$2:$J$2701,P$1)</f>
        <v>0</v>
      </c>
      <c r="Q14" s="75">
        <f>SUMIFS('март 2026'!$G$2:$G$2701,'март 2026'!$D$2:$D$2701,$B14,'март 2026'!$J$2:$J$2701,Q$1)</f>
        <v>0</v>
      </c>
      <c r="R14" s="75">
        <f>SUMIFS('март 2026'!$G$2:$G$2701,'март 2026'!$D$2:$D$2701,$B14,'март 2026'!$J$2:$J$2701,R$1)</f>
        <v>0</v>
      </c>
      <c r="S14" s="75">
        <f>SUMIFS('март 2026'!$G$2:$G$2701,'март 2026'!$D$2:$D$2701,$B14,'март 2026'!$J$2:$J$2701,S$1)</f>
        <v>0</v>
      </c>
      <c r="T14" s="75">
        <f>SUMIFS('март 2026'!$G$2:$G$2701,'март 2026'!$D$2:$D$2701,$B14,'март 2026'!$J$2:$J$2701,T$1)</f>
        <v>0</v>
      </c>
      <c r="U14" s="75">
        <f>SUMIFS('март 2026'!$G$2:$G$2701,'март 2026'!$D$2:$D$2701,$B14,'март 2026'!$J$2:$J$2701,U$1)</f>
        <v>0</v>
      </c>
      <c r="V14" s="75">
        <f>SUMIFS('март 2026'!$G$2:$G$2701,'март 2026'!$D$2:$D$2701,$B14,'март 2026'!$J$2:$J$2701,V$1)</f>
        <v>0</v>
      </c>
      <c r="W14" s="75">
        <f>SUMIFS('март 2026'!$G$2:$G$2701,'март 2026'!$D$2:$D$2701,$B14,'март 2026'!$J$2:$J$2701,W$1)</f>
        <v>0</v>
      </c>
      <c r="X14" s="75">
        <f>SUMIFS('март 2026'!$G$2:$G$2701,'март 2026'!$D$2:$D$2701,$B14,'март 2026'!$J$2:$J$2701,X$1)</f>
        <v>0</v>
      </c>
      <c r="Y14" s="75">
        <f>SUMIFS('март 2026'!$G$2:$G$2701,'март 2026'!$D$2:$D$2701,$B14,'март 2026'!$J$2:$J$2701,Y$1)</f>
        <v>0</v>
      </c>
      <c r="Z14" s="75">
        <f>SUMIFS('март 2026'!$G$2:$G$2701,'март 2026'!$D$2:$D$2701,$B14,'март 2026'!$J$2:$J$2701,Z$1)</f>
        <v>0</v>
      </c>
      <c r="AA14" s="75">
        <f>SUMIFS('март 2026'!$G$2:$G$2701,'март 2026'!$D$2:$D$2701,$B14,'март 2026'!$J$2:$J$2701,AA$1)</f>
        <v>0</v>
      </c>
      <c r="AB14" s="75">
        <f>SUMIFS('март 2026'!$G$2:$G$2701,'март 2026'!$D$2:$D$2701,$B14,'март 2026'!$J$2:$J$2701,AB$1)</f>
        <v>0</v>
      </c>
      <c r="AC14" s="75">
        <f>SUMIFS('март 2026'!$G$2:$G$2701,'март 2026'!$D$2:$D$2701,$B14,'март 2026'!$J$2:$J$2701,AC$1)</f>
        <v>0</v>
      </c>
      <c r="AD14" s="75">
        <f>SUMIFS('март 2026'!$G$2:$G$2701,'март 2026'!$D$2:$D$2701,$B14,'март 2026'!$J$2:$J$2701,AD$1)</f>
        <v>0</v>
      </c>
      <c r="AE14" s="75">
        <f>SUMIFS('март 2026'!$G$2:$G$2701,'март 2026'!$D$2:$D$2701,$B14,'март 2026'!$J$2:$J$2701,AE$1)</f>
        <v>0</v>
      </c>
      <c r="AF14" s="75">
        <f>SUMIFS('март 2026'!$G$2:$G$2701,'март 2026'!$D$2:$D$2701,$B14,'март 2026'!$J$2:$J$2701,AF$1)</f>
        <v>0</v>
      </c>
      <c r="AG14" s="75">
        <f>SUMIFS('март 2026'!$G$2:$G$2701,'март 2026'!$D$2:$D$2701,$B14,'март 2026'!$J$2:$J$2701,AG$1)</f>
        <v>0</v>
      </c>
      <c r="AH14" s="75">
        <f>SUMIFS('март 2026'!$G$2:$G$2701,'март 2026'!$D$2:$D$2701,$B14,'март 2026'!$J$2:$J$2701,AH$1)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SUMIFS('март 2026'!$G$2:$G$2701,'март 2026'!$D$2:$D$2701,$B15,'март 2026'!$J$2:$J$2701,D$1)</f>
        <v>0</v>
      </c>
      <c r="E15" s="75">
        <f>SUMIFS('март 2026'!$G$2:$G$2701,'март 2026'!$D$2:$D$2701,$B15,'март 2026'!$J$2:$J$2701,E$1)</f>
        <v>0</v>
      </c>
      <c r="F15" s="75">
        <f>SUMIFS('март 2026'!$G$2:$G$2701,'март 2026'!$D$2:$D$2701,$B15,'март 2026'!$J$2:$J$2701,F$1)</f>
        <v>0</v>
      </c>
      <c r="G15" s="75">
        <f>SUMIFS('март 2026'!$G$2:$G$2701,'март 2026'!$D$2:$D$2701,$B15,'март 2026'!$J$2:$J$2701,G$1)</f>
        <v>0</v>
      </c>
      <c r="H15" s="75">
        <f>SUMIFS('март 2026'!$G$2:$G$2701,'март 2026'!$D$2:$D$2701,$B15,'март 2026'!$J$2:$J$2701,H$1)</f>
        <v>0</v>
      </c>
      <c r="I15" s="75">
        <f>SUMIFS('март 2026'!$G$2:$G$2701,'март 2026'!$D$2:$D$2701,$B15,'март 2026'!$J$2:$J$2701,I$1)</f>
        <v>0</v>
      </c>
      <c r="J15" s="75">
        <f>SUMIFS('март 2026'!$G$2:$G$2701,'март 2026'!$D$2:$D$2701,$B15,'март 2026'!$J$2:$J$2701,J$1)</f>
        <v>0</v>
      </c>
      <c r="K15" s="75">
        <f>SUMIFS('март 2026'!$G$2:$G$2701,'март 2026'!$D$2:$D$2701,$B15,'март 2026'!$J$2:$J$2701,K$1)</f>
        <v>0</v>
      </c>
      <c r="L15" s="75">
        <f>SUMIFS('март 2026'!$G$2:$G$2701,'март 2026'!$D$2:$D$2701,$B15,'март 2026'!$J$2:$J$2701,L$1)</f>
        <v>0</v>
      </c>
      <c r="M15" s="75">
        <f>SUMIFS('март 2026'!$G$2:$G$2701,'март 2026'!$D$2:$D$2701,$B15,'март 2026'!$J$2:$J$2701,M$1)</f>
        <v>0</v>
      </c>
      <c r="N15" s="75">
        <f>SUMIFS('март 2026'!$G$2:$G$2701,'март 2026'!$D$2:$D$2701,$B15,'март 2026'!$J$2:$J$2701,N$1)</f>
        <v>0</v>
      </c>
      <c r="O15" s="75">
        <f>SUMIFS('март 2026'!$G$2:$G$2701,'март 2026'!$D$2:$D$2701,$B15,'март 2026'!$J$2:$J$2701,O$1)</f>
        <v>0</v>
      </c>
      <c r="P15" s="75">
        <f>SUMIFS('март 2026'!$G$2:$G$2701,'март 2026'!$D$2:$D$2701,$B15,'март 2026'!$J$2:$J$2701,P$1)</f>
        <v>0</v>
      </c>
      <c r="Q15" s="75">
        <f>SUMIFS('март 2026'!$G$2:$G$2701,'март 2026'!$D$2:$D$2701,$B15,'март 2026'!$J$2:$J$2701,Q$1)</f>
        <v>0</v>
      </c>
      <c r="R15" s="75">
        <f>SUMIFS('март 2026'!$G$2:$G$2701,'март 2026'!$D$2:$D$2701,$B15,'март 2026'!$J$2:$J$2701,R$1)</f>
        <v>0</v>
      </c>
      <c r="S15" s="75">
        <f>SUMIFS('март 2026'!$G$2:$G$2701,'март 2026'!$D$2:$D$2701,$B15,'март 2026'!$J$2:$J$2701,S$1)</f>
        <v>0</v>
      </c>
      <c r="T15" s="75">
        <f>SUMIFS('март 2026'!$G$2:$G$2701,'март 2026'!$D$2:$D$2701,$B15,'март 2026'!$J$2:$J$2701,T$1)</f>
        <v>0</v>
      </c>
      <c r="U15" s="75">
        <f>SUMIFS('март 2026'!$G$2:$G$2701,'март 2026'!$D$2:$D$2701,$B15,'март 2026'!$J$2:$J$2701,U$1)</f>
        <v>0</v>
      </c>
      <c r="V15" s="75">
        <f>SUMIFS('март 2026'!$G$2:$G$2701,'март 2026'!$D$2:$D$2701,$B15,'март 2026'!$J$2:$J$2701,V$1)</f>
        <v>0</v>
      </c>
      <c r="W15" s="75">
        <f>SUMIFS('март 2026'!$G$2:$G$2701,'март 2026'!$D$2:$D$2701,$B15,'март 2026'!$J$2:$J$2701,W$1)</f>
        <v>0</v>
      </c>
      <c r="X15" s="75">
        <f>SUMIFS('март 2026'!$G$2:$G$2701,'март 2026'!$D$2:$D$2701,$B15,'март 2026'!$J$2:$J$2701,X$1)</f>
        <v>0</v>
      </c>
      <c r="Y15" s="75">
        <f>SUMIFS('март 2026'!$G$2:$G$2701,'март 2026'!$D$2:$D$2701,$B15,'март 2026'!$J$2:$J$2701,Y$1)</f>
        <v>0</v>
      </c>
      <c r="Z15" s="75">
        <f>SUMIFS('март 2026'!$G$2:$G$2701,'март 2026'!$D$2:$D$2701,$B15,'март 2026'!$J$2:$J$2701,Z$1)</f>
        <v>0</v>
      </c>
      <c r="AA15" s="75">
        <f>SUMIFS('март 2026'!$G$2:$G$2701,'март 2026'!$D$2:$D$2701,$B15,'март 2026'!$J$2:$J$2701,AA$1)</f>
        <v>0</v>
      </c>
      <c r="AB15" s="75">
        <f>SUMIFS('март 2026'!$G$2:$G$2701,'март 2026'!$D$2:$D$2701,$B15,'март 2026'!$J$2:$J$2701,AB$1)</f>
        <v>0</v>
      </c>
      <c r="AC15" s="75">
        <f>SUMIFS('март 2026'!$G$2:$G$2701,'март 2026'!$D$2:$D$2701,$B15,'март 2026'!$J$2:$J$2701,AC$1)</f>
        <v>0</v>
      </c>
      <c r="AD15" s="75">
        <f>SUMIFS('март 2026'!$G$2:$G$2701,'март 2026'!$D$2:$D$2701,$B15,'март 2026'!$J$2:$J$2701,AD$1)</f>
        <v>0</v>
      </c>
      <c r="AE15" s="75">
        <f>SUMIFS('март 2026'!$G$2:$G$2701,'март 2026'!$D$2:$D$2701,$B15,'март 2026'!$J$2:$J$2701,AE$1)</f>
        <v>0</v>
      </c>
      <c r="AF15" s="75">
        <f>SUMIFS('март 2026'!$G$2:$G$2701,'март 2026'!$D$2:$D$2701,$B15,'март 2026'!$J$2:$J$2701,AF$1)</f>
        <v>0</v>
      </c>
      <c r="AG15" s="75">
        <f>SUMIFS('март 2026'!$G$2:$G$2701,'март 2026'!$D$2:$D$2701,$B15,'март 2026'!$J$2:$J$2701,AG$1)</f>
        <v>0</v>
      </c>
      <c r="AH15" s="75">
        <f>SUMIFS('март 2026'!$G$2:$G$2701,'март 2026'!$D$2:$D$2701,$B15,'март 2026'!$J$2:$J$2701,AH$1)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SUMIFS('март 2026'!$G$2:$G$2701,'март 2026'!$D$2:$D$2701,$B16,'март 2026'!$J$2:$J$2701,D$1)</f>
        <v>0</v>
      </c>
      <c r="E16" s="75">
        <f>SUMIFS('март 2026'!$G$2:$G$2701,'март 2026'!$D$2:$D$2701,$B16,'март 2026'!$J$2:$J$2701,E$1)</f>
        <v>0</v>
      </c>
      <c r="F16" s="75">
        <f>SUMIFS('март 2026'!$G$2:$G$2701,'март 2026'!$D$2:$D$2701,$B16,'март 2026'!$J$2:$J$2701,F$1)</f>
        <v>0</v>
      </c>
      <c r="G16" s="75">
        <f>SUMIFS('март 2026'!$G$2:$G$2701,'март 2026'!$D$2:$D$2701,$B16,'март 2026'!$J$2:$J$2701,G$1)</f>
        <v>0</v>
      </c>
      <c r="H16" s="75">
        <f>SUMIFS('март 2026'!$G$2:$G$2701,'март 2026'!$D$2:$D$2701,$B16,'март 2026'!$J$2:$J$2701,H$1)</f>
        <v>0</v>
      </c>
      <c r="I16" s="75">
        <f>SUMIFS('март 2026'!$G$2:$G$2701,'март 2026'!$D$2:$D$2701,$B16,'март 2026'!$J$2:$J$2701,I$1)</f>
        <v>0</v>
      </c>
      <c r="J16" s="75">
        <f>SUMIFS('март 2026'!$G$2:$G$2701,'март 2026'!$D$2:$D$2701,$B16,'март 2026'!$J$2:$J$2701,J$1)</f>
        <v>0</v>
      </c>
      <c r="K16" s="75">
        <f>SUMIFS('март 2026'!$G$2:$G$2701,'март 2026'!$D$2:$D$2701,$B16,'март 2026'!$J$2:$J$2701,K$1)</f>
        <v>0</v>
      </c>
      <c r="L16" s="75">
        <f>SUMIFS('март 2026'!$G$2:$G$2701,'март 2026'!$D$2:$D$2701,$B16,'март 2026'!$J$2:$J$2701,L$1)</f>
        <v>0</v>
      </c>
      <c r="M16" s="75">
        <f>SUMIFS('март 2026'!$G$2:$G$2701,'март 2026'!$D$2:$D$2701,$B16,'март 2026'!$J$2:$J$2701,M$1)</f>
        <v>0</v>
      </c>
      <c r="N16" s="75">
        <f>SUMIFS('март 2026'!$G$2:$G$2701,'март 2026'!$D$2:$D$2701,$B16,'март 2026'!$J$2:$J$2701,N$1)</f>
        <v>0</v>
      </c>
      <c r="O16" s="75">
        <f>SUMIFS('март 2026'!$G$2:$G$2701,'март 2026'!$D$2:$D$2701,$B16,'март 2026'!$J$2:$J$2701,O$1)</f>
        <v>0</v>
      </c>
      <c r="P16" s="75">
        <f>SUMIFS('март 2026'!$G$2:$G$2701,'март 2026'!$D$2:$D$2701,$B16,'март 2026'!$J$2:$J$2701,P$1)</f>
        <v>0</v>
      </c>
      <c r="Q16" s="75">
        <f>SUMIFS('март 2026'!$G$2:$G$2701,'март 2026'!$D$2:$D$2701,$B16,'март 2026'!$J$2:$J$2701,Q$1)</f>
        <v>0</v>
      </c>
      <c r="R16" s="75">
        <f>SUMIFS('март 2026'!$G$2:$G$2701,'март 2026'!$D$2:$D$2701,$B16,'март 2026'!$J$2:$J$2701,R$1)</f>
        <v>0</v>
      </c>
      <c r="S16" s="75">
        <f>SUMIFS('март 2026'!$G$2:$G$2701,'март 2026'!$D$2:$D$2701,$B16,'март 2026'!$J$2:$J$2701,S$1)</f>
        <v>0</v>
      </c>
      <c r="T16" s="75">
        <f>SUMIFS('март 2026'!$G$2:$G$2701,'март 2026'!$D$2:$D$2701,$B16,'март 2026'!$J$2:$J$2701,T$1)</f>
        <v>0</v>
      </c>
      <c r="U16" s="75">
        <f>SUMIFS('март 2026'!$G$2:$G$2701,'март 2026'!$D$2:$D$2701,$B16,'март 2026'!$J$2:$J$2701,U$1)</f>
        <v>1400</v>
      </c>
      <c r="V16" s="75">
        <f>SUMIFS('март 2026'!$G$2:$G$2701,'март 2026'!$D$2:$D$2701,$B16,'март 2026'!$J$2:$J$2701,V$1)</f>
        <v>0</v>
      </c>
      <c r="W16" s="75">
        <f>SUMIFS('март 2026'!$G$2:$G$2701,'март 2026'!$D$2:$D$2701,$B16,'март 2026'!$J$2:$J$2701,W$1)</f>
        <v>0</v>
      </c>
      <c r="X16" s="75">
        <f>SUMIFS('март 2026'!$G$2:$G$2701,'март 2026'!$D$2:$D$2701,$B16,'март 2026'!$J$2:$J$2701,X$1)</f>
        <v>0</v>
      </c>
      <c r="Y16" s="75">
        <f>SUMIFS('март 2026'!$G$2:$G$2701,'март 2026'!$D$2:$D$2701,$B16,'март 2026'!$J$2:$J$2701,Y$1)</f>
        <v>0</v>
      </c>
      <c r="Z16" s="75">
        <f>SUMIFS('март 2026'!$G$2:$G$2701,'март 2026'!$D$2:$D$2701,$B16,'март 2026'!$J$2:$J$2701,Z$1)</f>
        <v>0</v>
      </c>
      <c r="AA16" s="75">
        <f>SUMIFS('март 2026'!$G$2:$G$2701,'март 2026'!$D$2:$D$2701,$B16,'март 2026'!$J$2:$J$2701,AA$1)</f>
        <v>0</v>
      </c>
      <c r="AB16" s="75">
        <f>SUMIFS('март 2026'!$G$2:$G$2701,'март 2026'!$D$2:$D$2701,$B16,'март 2026'!$J$2:$J$2701,AB$1)</f>
        <v>0</v>
      </c>
      <c r="AC16" s="75">
        <f>SUMIFS('март 2026'!$G$2:$G$2701,'март 2026'!$D$2:$D$2701,$B16,'март 2026'!$J$2:$J$2701,AC$1)</f>
        <v>0</v>
      </c>
      <c r="AD16" s="75">
        <f>SUMIFS('март 2026'!$G$2:$G$2701,'март 2026'!$D$2:$D$2701,$B16,'март 2026'!$J$2:$J$2701,AD$1)</f>
        <v>805</v>
      </c>
      <c r="AE16" s="75">
        <f>SUMIFS('март 2026'!$G$2:$G$2701,'март 2026'!$D$2:$D$2701,$B16,'март 2026'!$J$2:$J$2701,AE$1)</f>
        <v>0</v>
      </c>
      <c r="AF16" s="75">
        <f>SUMIFS('март 2026'!$G$2:$G$2701,'март 2026'!$D$2:$D$2701,$B16,'март 2026'!$J$2:$J$2701,AF$1)</f>
        <v>0</v>
      </c>
      <c r="AG16" s="75">
        <f>SUMIFS('март 2026'!$G$2:$G$2701,'март 2026'!$D$2:$D$2701,$B16,'март 2026'!$J$2:$J$2701,AG$1)</f>
        <v>0</v>
      </c>
      <c r="AH16" s="75">
        <f>SUMIFS('март 2026'!$G$2:$G$2701,'март 2026'!$D$2:$D$2701,$B16,'март 2026'!$J$2:$J$2701,AH$1)</f>
        <v>0</v>
      </c>
      <c r="AI16" s="20">
        <f t="shared" si="1"/>
        <v>2205</v>
      </c>
    </row>
    <row r="17" spans="2:35" ht="15" customHeight="1" x14ac:dyDescent="0.25">
      <c r="B17" s="79" t="s">
        <v>227</v>
      </c>
      <c r="C17" s="80">
        <v>22.7</v>
      </c>
      <c r="D17" s="75">
        <f>SUMIFS('март 2026'!$G$2:$G$2701,'март 2026'!$D$2:$D$2701,$B17,'март 2026'!$J$2:$J$2701,D$1)</f>
        <v>0</v>
      </c>
      <c r="E17" s="75">
        <f>SUMIFS('март 2026'!$G$2:$G$2701,'март 2026'!$D$2:$D$2701,$B17,'март 2026'!$J$2:$J$2701,E$1)</f>
        <v>0</v>
      </c>
      <c r="F17" s="75">
        <f>SUMIFS('март 2026'!$G$2:$G$2701,'март 2026'!$D$2:$D$2701,$B17,'март 2026'!$J$2:$J$2701,F$1)</f>
        <v>0</v>
      </c>
      <c r="G17" s="75">
        <f>SUMIFS('март 2026'!$G$2:$G$2701,'март 2026'!$D$2:$D$2701,$B17,'март 2026'!$J$2:$J$2701,G$1)</f>
        <v>0</v>
      </c>
      <c r="H17" s="75">
        <f>SUMIFS('март 2026'!$G$2:$G$2701,'март 2026'!$D$2:$D$2701,$B17,'март 2026'!$J$2:$J$2701,H$1)</f>
        <v>0</v>
      </c>
      <c r="I17" s="75">
        <f>SUMIFS('март 2026'!$G$2:$G$2701,'март 2026'!$D$2:$D$2701,$B17,'март 2026'!$J$2:$J$2701,I$1)</f>
        <v>0</v>
      </c>
      <c r="J17" s="75">
        <f>SUMIFS('март 2026'!$G$2:$G$2701,'март 2026'!$D$2:$D$2701,$B17,'март 2026'!$J$2:$J$2701,J$1)</f>
        <v>0</v>
      </c>
      <c r="K17" s="75">
        <f>SUMIFS('март 2026'!$G$2:$G$2701,'март 2026'!$D$2:$D$2701,$B17,'март 2026'!$J$2:$J$2701,K$1)</f>
        <v>0</v>
      </c>
      <c r="L17" s="75">
        <f>SUMIFS('март 2026'!$G$2:$G$2701,'март 2026'!$D$2:$D$2701,$B17,'март 2026'!$J$2:$J$2701,L$1)</f>
        <v>0</v>
      </c>
      <c r="M17" s="75">
        <f>SUMIFS('март 2026'!$G$2:$G$2701,'март 2026'!$D$2:$D$2701,$B17,'март 2026'!$J$2:$J$2701,M$1)</f>
        <v>0</v>
      </c>
      <c r="N17" s="75">
        <f>SUMIFS('март 2026'!$G$2:$G$2701,'март 2026'!$D$2:$D$2701,$B17,'март 2026'!$J$2:$J$2701,N$1)</f>
        <v>0</v>
      </c>
      <c r="O17" s="75">
        <f>SUMIFS('март 2026'!$G$2:$G$2701,'март 2026'!$D$2:$D$2701,$B17,'март 2026'!$J$2:$J$2701,O$1)</f>
        <v>0</v>
      </c>
      <c r="P17" s="75">
        <f>SUMIFS('март 2026'!$G$2:$G$2701,'март 2026'!$D$2:$D$2701,$B17,'март 2026'!$J$2:$J$2701,P$1)</f>
        <v>0</v>
      </c>
      <c r="Q17" s="75">
        <f>SUMIFS('март 2026'!$G$2:$G$2701,'март 2026'!$D$2:$D$2701,$B17,'март 2026'!$J$2:$J$2701,Q$1)</f>
        <v>0</v>
      </c>
      <c r="R17" s="75">
        <f>SUMIFS('март 2026'!$G$2:$G$2701,'март 2026'!$D$2:$D$2701,$B17,'март 2026'!$J$2:$J$2701,R$1)</f>
        <v>0</v>
      </c>
      <c r="S17" s="75">
        <f>SUMIFS('март 2026'!$G$2:$G$2701,'март 2026'!$D$2:$D$2701,$B17,'март 2026'!$J$2:$J$2701,S$1)</f>
        <v>0</v>
      </c>
      <c r="T17" s="75">
        <f>SUMIFS('март 2026'!$G$2:$G$2701,'март 2026'!$D$2:$D$2701,$B17,'март 2026'!$J$2:$J$2701,T$1)</f>
        <v>0</v>
      </c>
      <c r="U17" s="75">
        <f>SUMIFS('март 2026'!$G$2:$G$2701,'март 2026'!$D$2:$D$2701,$B17,'март 2026'!$J$2:$J$2701,U$1)</f>
        <v>0</v>
      </c>
      <c r="V17" s="75">
        <f>SUMIFS('март 2026'!$G$2:$G$2701,'март 2026'!$D$2:$D$2701,$B17,'март 2026'!$J$2:$J$2701,V$1)</f>
        <v>0</v>
      </c>
      <c r="W17" s="75">
        <f>SUMIFS('март 2026'!$G$2:$G$2701,'март 2026'!$D$2:$D$2701,$B17,'март 2026'!$J$2:$J$2701,W$1)</f>
        <v>0</v>
      </c>
      <c r="X17" s="75">
        <f>SUMIFS('март 2026'!$G$2:$G$2701,'март 2026'!$D$2:$D$2701,$B17,'март 2026'!$J$2:$J$2701,X$1)</f>
        <v>0</v>
      </c>
      <c r="Y17" s="75">
        <f>SUMIFS('март 2026'!$G$2:$G$2701,'март 2026'!$D$2:$D$2701,$B17,'март 2026'!$J$2:$J$2701,Y$1)</f>
        <v>0</v>
      </c>
      <c r="Z17" s="75">
        <f>SUMIFS('март 2026'!$G$2:$G$2701,'март 2026'!$D$2:$D$2701,$B17,'март 2026'!$J$2:$J$2701,Z$1)</f>
        <v>0</v>
      </c>
      <c r="AA17" s="75">
        <f>SUMIFS('март 2026'!$G$2:$G$2701,'март 2026'!$D$2:$D$2701,$B17,'март 2026'!$J$2:$J$2701,AA$1)</f>
        <v>0</v>
      </c>
      <c r="AB17" s="75">
        <f>SUMIFS('март 2026'!$G$2:$G$2701,'март 2026'!$D$2:$D$2701,$B17,'март 2026'!$J$2:$J$2701,AB$1)</f>
        <v>0</v>
      </c>
      <c r="AC17" s="75">
        <f>SUMIFS('март 2026'!$G$2:$G$2701,'март 2026'!$D$2:$D$2701,$B17,'март 2026'!$J$2:$J$2701,AC$1)</f>
        <v>0</v>
      </c>
      <c r="AD17" s="75">
        <f>SUMIFS('март 2026'!$G$2:$G$2701,'март 2026'!$D$2:$D$2701,$B17,'март 2026'!$J$2:$J$2701,AD$1)</f>
        <v>0</v>
      </c>
      <c r="AE17" s="75">
        <f>SUMIFS('март 2026'!$G$2:$G$2701,'март 2026'!$D$2:$D$2701,$B17,'март 2026'!$J$2:$J$2701,AE$1)</f>
        <v>0</v>
      </c>
      <c r="AF17" s="75">
        <f>SUMIFS('март 2026'!$G$2:$G$2701,'март 2026'!$D$2:$D$2701,$B17,'март 2026'!$J$2:$J$2701,AF$1)</f>
        <v>0</v>
      </c>
      <c r="AG17" s="75">
        <f>SUMIFS('март 2026'!$G$2:$G$2701,'март 2026'!$D$2:$D$2701,$B17,'март 2026'!$J$2:$J$2701,AG$1)</f>
        <v>0</v>
      </c>
      <c r="AH17" s="75">
        <f>SUMIFS('март 2026'!$G$2:$G$2701,'март 2026'!$D$2:$D$2701,$B17,'март 2026'!$J$2:$J$2701,AH$1)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SUMIFS('март 2026'!$G$2:$G$2701,'март 2026'!$D$2:$D$2701,$B18,'март 2026'!$J$2:$J$2701,D$1)</f>
        <v>0</v>
      </c>
      <c r="E18" s="75">
        <f>SUMIFS('март 2026'!$G$2:$G$2701,'март 2026'!$D$2:$D$2701,$B18,'март 2026'!$J$2:$J$2701,E$1)</f>
        <v>0</v>
      </c>
      <c r="F18" s="75">
        <f>SUMIFS('март 2026'!$G$2:$G$2701,'март 2026'!$D$2:$D$2701,$B18,'март 2026'!$J$2:$J$2701,F$1)</f>
        <v>0</v>
      </c>
      <c r="G18" s="75">
        <f>SUMIFS('март 2026'!$G$2:$G$2701,'март 2026'!$D$2:$D$2701,$B18,'март 2026'!$J$2:$J$2701,G$1)</f>
        <v>0</v>
      </c>
      <c r="H18" s="75">
        <f>SUMIFS('март 2026'!$G$2:$G$2701,'март 2026'!$D$2:$D$2701,$B18,'март 2026'!$J$2:$J$2701,H$1)</f>
        <v>0</v>
      </c>
      <c r="I18" s="75">
        <f>SUMIFS('март 2026'!$G$2:$G$2701,'март 2026'!$D$2:$D$2701,$B18,'март 2026'!$J$2:$J$2701,I$1)</f>
        <v>0</v>
      </c>
      <c r="J18" s="75">
        <f>SUMIFS('март 2026'!$G$2:$G$2701,'март 2026'!$D$2:$D$2701,$B18,'март 2026'!$J$2:$J$2701,J$1)</f>
        <v>0</v>
      </c>
      <c r="K18" s="75">
        <f>SUMIFS('март 2026'!$G$2:$G$2701,'март 2026'!$D$2:$D$2701,$B18,'март 2026'!$J$2:$J$2701,K$1)</f>
        <v>0</v>
      </c>
      <c r="L18" s="75">
        <f>SUMIFS('март 2026'!$G$2:$G$2701,'март 2026'!$D$2:$D$2701,$B18,'март 2026'!$J$2:$J$2701,L$1)</f>
        <v>0</v>
      </c>
      <c r="M18" s="75">
        <f>SUMIFS('март 2026'!$G$2:$G$2701,'март 2026'!$D$2:$D$2701,$B18,'март 2026'!$J$2:$J$2701,M$1)</f>
        <v>0</v>
      </c>
      <c r="N18" s="75">
        <f>SUMIFS('март 2026'!$G$2:$G$2701,'март 2026'!$D$2:$D$2701,$B18,'март 2026'!$J$2:$J$2701,N$1)</f>
        <v>0</v>
      </c>
      <c r="O18" s="75">
        <f>SUMIFS('март 2026'!$G$2:$G$2701,'март 2026'!$D$2:$D$2701,$B18,'март 2026'!$J$2:$J$2701,O$1)</f>
        <v>0</v>
      </c>
      <c r="P18" s="75">
        <f>SUMIFS('март 2026'!$G$2:$G$2701,'март 2026'!$D$2:$D$2701,$B18,'март 2026'!$J$2:$J$2701,P$1)</f>
        <v>0</v>
      </c>
      <c r="Q18" s="75">
        <f>SUMIFS('март 2026'!$G$2:$G$2701,'март 2026'!$D$2:$D$2701,$B18,'март 2026'!$J$2:$J$2701,Q$1)</f>
        <v>0</v>
      </c>
      <c r="R18" s="75">
        <f>SUMIFS('март 2026'!$G$2:$G$2701,'март 2026'!$D$2:$D$2701,$B18,'март 2026'!$J$2:$J$2701,R$1)</f>
        <v>0</v>
      </c>
      <c r="S18" s="75">
        <f>SUMIFS('март 2026'!$G$2:$G$2701,'март 2026'!$D$2:$D$2701,$B18,'март 2026'!$J$2:$J$2701,S$1)</f>
        <v>0</v>
      </c>
      <c r="T18" s="75">
        <f>SUMIFS('март 2026'!$G$2:$G$2701,'март 2026'!$D$2:$D$2701,$B18,'март 2026'!$J$2:$J$2701,T$1)</f>
        <v>0</v>
      </c>
      <c r="U18" s="75">
        <f>SUMIFS('март 2026'!$G$2:$G$2701,'март 2026'!$D$2:$D$2701,$B18,'март 2026'!$J$2:$J$2701,U$1)</f>
        <v>0</v>
      </c>
      <c r="V18" s="75">
        <f>SUMIFS('март 2026'!$G$2:$G$2701,'март 2026'!$D$2:$D$2701,$B18,'март 2026'!$J$2:$J$2701,V$1)</f>
        <v>0</v>
      </c>
      <c r="W18" s="75">
        <f>SUMIFS('март 2026'!$G$2:$G$2701,'март 2026'!$D$2:$D$2701,$B18,'март 2026'!$J$2:$J$2701,W$1)</f>
        <v>0</v>
      </c>
      <c r="X18" s="75">
        <f>SUMIFS('март 2026'!$G$2:$G$2701,'март 2026'!$D$2:$D$2701,$B18,'март 2026'!$J$2:$J$2701,X$1)</f>
        <v>0</v>
      </c>
      <c r="Y18" s="75">
        <f>SUMIFS('март 2026'!$G$2:$G$2701,'март 2026'!$D$2:$D$2701,$B18,'март 2026'!$J$2:$J$2701,Y$1)</f>
        <v>0</v>
      </c>
      <c r="Z18" s="75">
        <f>SUMIFS('март 2026'!$G$2:$G$2701,'март 2026'!$D$2:$D$2701,$B18,'март 2026'!$J$2:$J$2701,Z$1)</f>
        <v>0</v>
      </c>
      <c r="AA18" s="75">
        <f>SUMIFS('март 2026'!$G$2:$G$2701,'март 2026'!$D$2:$D$2701,$B18,'март 2026'!$J$2:$J$2701,AA$1)</f>
        <v>0</v>
      </c>
      <c r="AB18" s="75">
        <f>SUMIFS('март 2026'!$G$2:$G$2701,'март 2026'!$D$2:$D$2701,$B18,'март 2026'!$J$2:$J$2701,AB$1)</f>
        <v>0</v>
      </c>
      <c r="AC18" s="75">
        <f>SUMIFS('март 2026'!$G$2:$G$2701,'март 2026'!$D$2:$D$2701,$B18,'март 2026'!$J$2:$J$2701,AC$1)</f>
        <v>0</v>
      </c>
      <c r="AD18" s="75">
        <f>SUMIFS('март 2026'!$G$2:$G$2701,'март 2026'!$D$2:$D$2701,$B18,'март 2026'!$J$2:$J$2701,AD$1)</f>
        <v>0</v>
      </c>
      <c r="AE18" s="75">
        <f>SUMIFS('март 2026'!$G$2:$G$2701,'март 2026'!$D$2:$D$2701,$B18,'март 2026'!$J$2:$J$2701,AE$1)</f>
        <v>0</v>
      </c>
      <c r="AF18" s="75">
        <f>SUMIFS('март 2026'!$G$2:$G$2701,'март 2026'!$D$2:$D$2701,$B18,'март 2026'!$J$2:$J$2701,AF$1)</f>
        <v>0</v>
      </c>
      <c r="AG18" s="75">
        <f>SUMIFS('март 2026'!$G$2:$G$2701,'март 2026'!$D$2:$D$2701,$B18,'март 2026'!$J$2:$J$2701,AG$1)</f>
        <v>0</v>
      </c>
      <c r="AH18" s="75">
        <f>SUMIFS('март 2026'!$G$2:$G$2701,'март 2026'!$D$2:$D$2701,$B18,'март 2026'!$J$2:$J$2701,AH$1)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SUMIFS('март 2026'!$G$2:$G$2701,'март 2026'!$D$2:$D$2701,$B19,'март 2026'!$J$2:$J$2701,D$1)</f>
        <v>0</v>
      </c>
      <c r="E19" s="75">
        <f>SUMIFS('март 2026'!$G$2:$G$2701,'март 2026'!$D$2:$D$2701,$B19,'март 2026'!$J$2:$J$2701,E$1)</f>
        <v>0</v>
      </c>
      <c r="F19" s="75">
        <f>SUMIFS('март 2026'!$G$2:$G$2701,'март 2026'!$D$2:$D$2701,$B19,'март 2026'!$J$2:$J$2701,F$1)</f>
        <v>0</v>
      </c>
      <c r="G19" s="75">
        <f>SUMIFS('март 2026'!$G$2:$G$2701,'март 2026'!$D$2:$D$2701,$B19,'март 2026'!$J$2:$J$2701,G$1)</f>
        <v>0</v>
      </c>
      <c r="H19" s="75">
        <f>SUMIFS('март 2026'!$G$2:$G$2701,'март 2026'!$D$2:$D$2701,$B19,'март 2026'!$J$2:$J$2701,H$1)</f>
        <v>0</v>
      </c>
      <c r="I19" s="75">
        <f>SUMIFS('март 2026'!$G$2:$G$2701,'март 2026'!$D$2:$D$2701,$B19,'март 2026'!$J$2:$J$2701,I$1)</f>
        <v>0</v>
      </c>
      <c r="J19" s="75">
        <f>SUMIFS('март 2026'!$G$2:$G$2701,'март 2026'!$D$2:$D$2701,$B19,'март 2026'!$J$2:$J$2701,J$1)</f>
        <v>0</v>
      </c>
      <c r="K19" s="75">
        <f>SUMIFS('март 2026'!$G$2:$G$2701,'март 2026'!$D$2:$D$2701,$B19,'март 2026'!$J$2:$J$2701,K$1)</f>
        <v>0</v>
      </c>
      <c r="L19" s="75">
        <f>SUMIFS('март 2026'!$G$2:$G$2701,'март 2026'!$D$2:$D$2701,$B19,'март 2026'!$J$2:$J$2701,L$1)</f>
        <v>0</v>
      </c>
      <c r="M19" s="75">
        <f>SUMIFS('март 2026'!$G$2:$G$2701,'март 2026'!$D$2:$D$2701,$B19,'март 2026'!$J$2:$J$2701,M$1)</f>
        <v>0</v>
      </c>
      <c r="N19" s="75">
        <f>SUMIFS('март 2026'!$G$2:$G$2701,'март 2026'!$D$2:$D$2701,$B19,'март 2026'!$J$2:$J$2701,N$1)</f>
        <v>0</v>
      </c>
      <c r="O19" s="75">
        <f>SUMIFS('март 2026'!$G$2:$G$2701,'март 2026'!$D$2:$D$2701,$B19,'март 2026'!$J$2:$J$2701,O$1)</f>
        <v>0</v>
      </c>
      <c r="P19" s="75">
        <f>SUMIFS('март 2026'!$G$2:$G$2701,'март 2026'!$D$2:$D$2701,$B19,'март 2026'!$J$2:$J$2701,P$1)</f>
        <v>0</v>
      </c>
      <c r="Q19" s="75">
        <f>SUMIFS('март 2026'!$G$2:$G$2701,'март 2026'!$D$2:$D$2701,$B19,'март 2026'!$J$2:$J$2701,Q$1)</f>
        <v>0</v>
      </c>
      <c r="R19" s="75">
        <f>SUMIFS('март 2026'!$G$2:$G$2701,'март 2026'!$D$2:$D$2701,$B19,'март 2026'!$J$2:$J$2701,R$1)</f>
        <v>0</v>
      </c>
      <c r="S19" s="75">
        <f>SUMIFS('март 2026'!$G$2:$G$2701,'март 2026'!$D$2:$D$2701,$B19,'март 2026'!$J$2:$J$2701,S$1)</f>
        <v>0</v>
      </c>
      <c r="T19" s="75">
        <f>SUMIFS('март 2026'!$G$2:$G$2701,'март 2026'!$D$2:$D$2701,$B19,'март 2026'!$J$2:$J$2701,T$1)</f>
        <v>0</v>
      </c>
      <c r="U19" s="75">
        <f>SUMIFS('март 2026'!$G$2:$G$2701,'март 2026'!$D$2:$D$2701,$B19,'март 2026'!$J$2:$J$2701,U$1)</f>
        <v>0</v>
      </c>
      <c r="V19" s="75">
        <f>SUMIFS('март 2026'!$G$2:$G$2701,'март 2026'!$D$2:$D$2701,$B19,'март 2026'!$J$2:$J$2701,V$1)</f>
        <v>0</v>
      </c>
      <c r="W19" s="75">
        <f>SUMIFS('март 2026'!$G$2:$G$2701,'март 2026'!$D$2:$D$2701,$B19,'март 2026'!$J$2:$J$2701,W$1)</f>
        <v>0</v>
      </c>
      <c r="X19" s="75">
        <f>SUMIFS('март 2026'!$G$2:$G$2701,'март 2026'!$D$2:$D$2701,$B19,'март 2026'!$J$2:$J$2701,X$1)</f>
        <v>0</v>
      </c>
      <c r="Y19" s="75">
        <f>SUMIFS('март 2026'!$G$2:$G$2701,'март 2026'!$D$2:$D$2701,$B19,'март 2026'!$J$2:$J$2701,Y$1)</f>
        <v>0</v>
      </c>
      <c r="Z19" s="75">
        <f>SUMIFS('март 2026'!$G$2:$G$2701,'март 2026'!$D$2:$D$2701,$B19,'март 2026'!$J$2:$J$2701,Z$1)</f>
        <v>0</v>
      </c>
      <c r="AA19" s="75">
        <f>SUMIFS('март 2026'!$G$2:$G$2701,'март 2026'!$D$2:$D$2701,$B19,'март 2026'!$J$2:$J$2701,AA$1)</f>
        <v>0</v>
      </c>
      <c r="AB19" s="75">
        <f>SUMIFS('март 2026'!$G$2:$G$2701,'март 2026'!$D$2:$D$2701,$B19,'март 2026'!$J$2:$J$2701,AB$1)</f>
        <v>0</v>
      </c>
      <c r="AC19" s="75">
        <f>SUMIFS('март 2026'!$G$2:$G$2701,'март 2026'!$D$2:$D$2701,$B19,'март 2026'!$J$2:$J$2701,AC$1)</f>
        <v>0</v>
      </c>
      <c r="AD19" s="75">
        <f>SUMIFS('март 2026'!$G$2:$G$2701,'март 2026'!$D$2:$D$2701,$B19,'март 2026'!$J$2:$J$2701,AD$1)</f>
        <v>0</v>
      </c>
      <c r="AE19" s="75">
        <f>SUMIFS('март 2026'!$G$2:$G$2701,'март 2026'!$D$2:$D$2701,$B19,'март 2026'!$J$2:$J$2701,AE$1)</f>
        <v>0</v>
      </c>
      <c r="AF19" s="75">
        <f>SUMIFS('март 2026'!$G$2:$G$2701,'март 2026'!$D$2:$D$2701,$B19,'март 2026'!$J$2:$J$2701,AF$1)</f>
        <v>0</v>
      </c>
      <c r="AG19" s="75">
        <f>SUMIFS('март 2026'!$G$2:$G$2701,'март 2026'!$D$2:$D$2701,$B19,'март 2026'!$J$2:$J$2701,AG$1)</f>
        <v>0</v>
      </c>
      <c r="AH19" s="75">
        <f>SUMIFS('март 2026'!$G$2:$G$2701,'март 2026'!$D$2:$D$2701,$B19,'март 2026'!$J$2:$J$2701,AH$1)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SUMIFS('март 2026'!$G$2:$G$2701,'март 2026'!$D$2:$D$2701,$B20,'март 2026'!$J$2:$J$2701,D$1)</f>
        <v>0</v>
      </c>
      <c r="E20" s="75">
        <f>SUMIFS('март 2026'!$G$2:$G$2701,'март 2026'!$D$2:$D$2701,$B20,'март 2026'!$J$2:$J$2701,E$1)</f>
        <v>0</v>
      </c>
      <c r="F20" s="75">
        <f>SUMIFS('март 2026'!$G$2:$G$2701,'март 2026'!$D$2:$D$2701,$B20,'март 2026'!$J$2:$J$2701,F$1)</f>
        <v>0</v>
      </c>
      <c r="G20" s="75">
        <f>SUMIFS('март 2026'!$G$2:$G$2701,'март 2026'!$D$2:$D$2701,$B20,'март 2026'!$J$2:$J$2701,G$1)</f>
        <v>0</v>
      </c>
      <c r="H20" s="75">
        <f>SUMIFS('март 2026'!$G$2:$G$2701,'март 2026'!$D$2:$D$2701,$B20,'март 2026'!$J$2:$J$2701,H$1)</f>
        <v>0</v>
      </c>
      <c r="I20" s="75">
        <f>SUMIFS('март 2026'!$G$2:$G$2701,'март 2026'!$D$2:$D$2701,$B20,'март 2026'!$J$2:$J$2701,I$1)</f>
        <v>0</v>
      </c>
      <c r="J20" s="75">
        <f>SUMIFS('март 2026'!$G$2:$G$2701,'март 2026'!$D$2:$D$2701,$B20,'март 2026'!$J$2:$J$2701,J$1)</f>
        <v>0</v>
      </c>
      <c r="K20" s="75">
        <f>SUMIFS('март 2026'!$G$2:$G$2701,'март 2026'!$D$2:$D$2701,$B20,'март 2026'!$J$2:$J$2701,K$1)</f>
        <v>0</v>
      </c>
      <c r="L20" s="75">
        <f>SUMIFS('март 2026'!$G$2:$G$2701,'март 2026'!$D$2:$D$2701,$B20,'март 2026'!$J$2:$J$2701,L$1)</f>
        <v>0</v>
      </c>
      <c r="M20" s="75">
        <f>SUMIFS('март 2026'!$G$2:$G$2701,'март 2026'!$D$2:$D$2701,$B20,'март 2026'!$J$2:$J$2701,M$1)</f>
        <v>0</v>
      </c>
      <c r="N20" s="75">
        <f>SUMIFS('март 2026'!$G$2:$G$2701,'март 2026'!$D$2:$D$2701,$B20,'март 2026'!$J$2:$J$2701,N$1)</f>
        <v>0</v>
      </c>
      <c r="O20" s="75">
        <f>SUMIFS('март 2026'!$G$2:$G$2701,'март 2026'!$D$2:$D$2701,$B20,'март 2026'!$J$2:$J$2701,O$1)</f>
        <v>0</v>
      </c>
      <c r="P20" s="75">
        <f>SUMIFS('март 2026'!$G$2:$G$2701,'март 2026'!$D$2:$D$2701,$B20,'март 2026'!$J$2:$J$2701,P$1)</f>
        <v>0</v>
      </c>
      <c r="Q20" s="75">
        <f>SUMIFS('март 2026'!$G$2:$G$2701,'март 2026'!$D$2:$D$2701,$B20,'март 2026'!$J$2:$J$2701,Q$1)</f>
        <v>0</v>
      </c>
      <c r="R20" s="75">
        <f>SUMIFS('март 2026'!$G$2:$G$2701,'март 2026'!$D$2:$D$2701,$B20,'март 2026'!$J$2:$J$2701,R$1)</f>
        <v>0</v>
      </c>
      <c r="S20" s="75">
        <f>SUMIFS('март 2026'!$G$2:$G$2701,'март 2026'!$D$2:$D$2701,$B20,'март 2026'!$J$2:$J$2701,S$1)</f>
        <v>0</v>
      </c>
      <c r="T20" s="75">
        <f>SUMIFS('март 2026'!$G$2:$G$2701,'март 2026'!$D$2:$D$2701,$B20,'март 2026'!$J$2:$J$2701,T$1)</f>
        <v>0</v>
      </c>
      <c r="U20" s="75">
        <f>SUMIFS('март 2026'!$G$2:$G$2701,'март 2026'!$D$2:$D$2701,$B20,'март 2026'!$J$2:$J$2701,U$1)</f>
        <v>0</v>
      </c>
      <c r="V20" s="75">
        <f>SUMIFS('март 2026'!$G$2:$G$2701,'март 2026'!$D$2:$D$2701,$B20,'март 2026'!$J$2:$J$2701,V$1)</f>
        <v>0</v>
      </c>
      <c r="W20" s="75">
        <f>SUMIFS('март 2026'!$G$2:$G$2701,'март 2026'!$D$2:$D$2701,$B20,'март 2026'!$J$2:$J$2701,W$1)</f>
        <v>0</v>
      </c>
      <c r="X20" s="75">
        <f>SUMIFS('март 2026'!$G$2:$G$2701,'март 2026'!$D$2:$D$2701,$B20,'март 2026'!$J$2:$J$2701,X$1)</f>
        <v>0</v>
      </c>
      <c r="Y20" s="75">
        <f>SUMIFS('март 2026'!$G$2:$G$2701,'март 2026'!$D$2:$D$2701,$B20,'март 2026'!$J$2:$J$2701,Y$1)</f>
        <v>0</v>
      </c>
      <c r="Z20" s="75">
        <f>SUMIFS('март 2026'!$G$2:$G$2701,'март 2026'!$D$2:$D$2701,$B20,'март 2026'!$J$2:$J$2701,Z$1)</f>
        <v>0</v>
      </c>
      <c r="AA20" s="75">
        <f>SUMIFS('март 2026'!$G$2:$G$2701,'март 2026'!$D$2:$D$2701,$B20,'март 2026'!$J$2:$J$2701,AA$1)</f>
        <v>0</v>
      </c>
      <c r="AB20" s="75">
        <f>SUMIFS('март 2026'!$G$2:$G$2701,'март 2026'!$D$2:$D$2701,$B20,'март 2026'!$J$2:$J$2701,AB$1)</f>
        <v>0</v>
      </c>
      <c r="AC20" s="75">
        <f>SUMIFS('март 2026'!$G$2:$G$2701,'март 2026'!$D$2:$D$2701,$B20,'март 2026'!$J$2:$J$2701,AC$1)</f>
        <v>0</v>
      </c>
      <c r="AD20" s="75">
        <f>SUMIFS('март 2026'!$G$2:$G$2701,'март 2026'!$D$2:$D$2701,$B20,'март 2026'!$J$2:$J$2701,AD$1)</f>
        <v>0</v>
      </c>
      <c r="AE20" s="75">
        <f>SUMIFS('март 2026'!$G$2:$G$2701,'март 2026'!$D$2:$D$2701,$B20,'март 2026'!$J$2:$J$2701,AE$1)</f>
        <v>0</v>
      </c>
      <c r="AF20" s="75">
        <f>SUMIFS('март 2026'!$G$2:$G$2701,'март 2026'!$D$2:$D$2701,$B20,'март 2026'!$J$2:$J$2701,AF$1)</f>
        <v>0</v>
      </c>
      <c r="AG20" s="75">
        <f>SUMIFS('март 2026'!$G$2:$G$2701,'март 2026'!$D$2:$D$2701,$B20,'март 2026'!$J$2:$J$2701,AG$1)</f>
        <v>0</v>
      </c>
      <c r="AH20" s="75">
        <f>SUMIFS('март 2026'!$G$2:$G$2701,'март 2026'!$D$2:$D$2701,$B20,'март 2026'!$J$2:$J$2701,AH$1)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SUMIFS('март 2026'!$G$2:$G$2701,'март 2026'!$D$2:$D$2701,$B21,'март 2026'!$J$2:$J$2701,D$1)</f>
        <v>0</v>
      </c>
      <c r="E21" s="75">
        <f>SUMIFS('март 2026'!$G$2:$G$2701,'март 2026'!$D$2:$D$2701,$B21,'март 2026'!$J$2:$J$2701,E$1)</f>
        <v>0</v>
      </c>
      <c r="F21" s="75">
        <f>SUMIFS('март 2026'!$G$2:$G$2701,'март 2026'!$D$2:$D$2701,$B21,'март 2026'!$J$2:$J$2701,F$1)</f>
        <v>0</v>
      </c>
      <c r="G21" s="75">
        <f>SUMIFS('март 2026'!$G$2:$G$2701,'март 2026'!$D$2:$D$2701,$B21,'март 2026'!$J$2:$J$2701,G$1)</f>
        <v>0</v>
      </c>
      <c r="H21" s="75">
        <f>SUMIFS('март 2026'!$G$2:$G$2701,'март 2026'!$D$2:$D$2701,$B21,'март 2026'!$J$2:$J$2701,H$1)</f>
        <v>0</v>
      </c>
      <c r="I21" s="75">
        <f>SUMIFS('март 2026'!$G$2:$G$2701,'март 2026'!$D$2:$D$2701,$B21,'март 2026'!$J$2:$J$2701,I$1)</f>
        <v>0</v>
      </c>
      <c r="J21" s="75">
        <f>SUMIFS('март 2026'!$G$2:$G$2701,'март 2026'!$D$2:$D$2701,$B21,'март 2026'!$J$2:$J$2701,J$1)</f>
        <v>0</v>
      </c>
      <c r="K21" s="75">
        <f>SUMIFS('март 2026'!$G$2:$G$2701,'март 2026'!$D$2:$D$2701,$B21,'март 2026'!$J$2:$J$2701,K$1)</f>
        <v>0</v>
      </c>
      <c r="L21" s="75">
        <f>SUMIFS('март 2026'!$G$2:$G$2701,'март 2026'!$D$2:$D$2701,$B21,'март 2026'!$J$2:$J$2701,L$1)</f>
        <v>0</v>
      </c>
      <c r="M21" s="75">
        <f>SUMIFS('март 2026'!$G$2:$G$2701,'март 2026'!$D$2:$D$2701,$B21,'март 2026'!$J$2:$J$2701,M$1)</f>
        <v>0</v>
      </c>
      <c r="N21" s="75">
        <f>SUMIFS('март 2026'!$G$2:$G$2701,'март 2026'!$D$2:$D$2701,$B21,'март 2026'!$J$2:$J$2701,N$1)</f>
        <v>0</v>
      </c>
      <c r="O21" s="75">
        <f>SUMIFS('март 2026'!$G$2:$G$2701,'март 2026'!$D$2:$D$2701,$B21,'март 2026'!$J$2:$J$2701,O$1)</f>
        <v>0</v>
      </c>
      <c r="P21" s="75">
        <f>SUMIFS('март 2026'!$G$2:$G$2701,'март 2026'!$D$2:$D$2701,$B21,'март 2026'!$J$2:$J$2701,P$1)</f>
        <v>0</v>
      </c>
      <c r="Q21" s="75">
        <f>SUMIFS('март 2026'!$G$2:$G$2701,'март 2026'!$D$2:$D$2701,$B21,'март 2026'!$J$2:$J$2701,Q$1)</f>
        <v>0</v>
      </c>
      <c r="R21" s="75">
        <f>SUMIFS('март 2026'!$G$2:$G$2701,'март 2026'!$D$2:$D$2701,$B21,'март 2026'!$J$2:$J$2701,R$1)</f>
        <v>0</v>
      </c>
      <c r="S21" s="75">
        <f>SUMIFS('март 2026'!$G$2:$G$2701,'март 2026'!$D$2:$D$2701,$B21,'март 2026'!$J$2:$J$2701,S$1)</f>
        <v>0</v>
      </c>
      <c r="T21" s="75">
        <f>SUMIFS('март 2026'!$G$2:$G$2701,'март 2026'!$D$2:$D$2701,$B21,'март 2026'!$J$2:$J$2701,T$1)</f>
        <v>0</v>
      </c>
      <c r="U21" s="75">
        <f>SUMIFS('март 2026'!$G$2:$G$2701,'март 2026'!$D$2:$D$2701,$B21,'март 2026'!$J$2:$J$2701,U$1)</f>
        <v>0</v>
      </c>
      <c r="V21" s="75">
        <f>SUMIFS('март 2026'!$G$2:$G$2701,'март 2026'!$D$2:$D$2701,$B21,'март 2026'!$J$2:$J$2701,V$1)</f>
        <v>0</v>
      </c>
      <c r="W21" s="75">
        <f>SUMIFS('март 2026'!$G$2:$G$2701,'март 2026'!$D$2:$D$2701,$B21,'март 2026'!$J$2:$J$2701,W$1)</f>
        <v>0</v>
      </c>
      <c r="X21" s="75">
        <f>SUMIFS('март 2026'!$G$2:$G$2701,'март 2026'!$D$2:$D$2701,$B21,'март 2026'!$J$2:$J$2701,X$1)</f>
        <v>0</v>
      </c>
      <c r="Y21" s="75">
        <f>SUMIFS('март 2026'!$G$2:$G$2701,'март 2026'!$D$2:$D$2701,$B21,'март 2026'!$J$2:$J$2701,Y$1)</f>
        <v>0</v>
      </c>
      <c r="Z21" s="75">
        <f>SUMIFS('март 2026'!$G$2:$G$2701,'март 2026'!$D$2:$D$2701,$B21,'март 2026'!$J$2:$J$2701,Z$1)</f>
        <v>0</v>
      </c>
      <c r="AA21" s="75">
        <f>SUMIFS('март 2026'!$G$2:$G$2701,'март 2026'!$D$2:$D$2701,$B21,'март 2026'!$J$2:$J$2701,AA$1)</f>
        <v>0</v>
      </c>
      <c r="AB21" s="75">
        <f>SUMIFS('март 2026'!$G$2:$G$2701,'март 2026'!$D$2:$D$2701,$B21,'март 2026'!$J$2:$J$2701,AB$1)</f>
        <v>0</v>
      </c>
      <c r="AC21" s="75">
        <f>SUMIFS('март 2026'!$G$2:$G$2701,'март 2026'!$D$2:$D$2701,$B21,'март 2026'!$J$2:$J$2701,AC$1)</f>
        <v>0</v>
      </c>
      <c r="AD21" s="75">
        <f>SUMIFS('март 2026'!$G$2:$G$2701,'март 2026'!$D$2:$D$2701,$B21,'март 2026'!$J$2:$J$2701,AD$1)</f>
        <v>0</v>
      </c>
      <c r="AE21" s="75">
        <f>SUMIFS('март 2026'!$G$2:$G$2701,'март 2026'!$D$2:$D$2701,$B21,'март 2026'!$J$2:$J$2701,AE$1)</f>
        <v>0</v>
      </c>
      <c r="AF21" s="75">
        <f>SUMIFS('март 2026'!$G$2:$G$2701,'март 2026'!$D$2:$D$2701,$B21,'март 2026'!$J$2:$J$2701,AF$1)</f>
        <v>0</v>
      </c>
      <c r="AG21" s="75">
        <f>SUMIFS('март 2026'!$G$2:$G$2701,'март 2026'!$D$2:$D$2701,$B21,'март 2026'!$J$2:$J$2701,AG$1)</f>
        <v>0</v>
      </c>
      <c r="AH21" s="75">
        <f>SUMIFS('март 2026'!$G$2:$G$2701,'март 2026'!$D$2:$D$2701,$B21,'март 2026'!$J$2:$J$2701,AH$1)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SUMIFS('март 2026'!$G$2:$G$2701,'март 2026'!$D$2:$D$2701,$B22,'март 2026'!$J$2:$J$2701,D$1)</f>
        <v>0</v>
      </c>
      <c r="E22" s="75">
        <f>SUMIFS('март 2026'!$G$2:$G$2701,'март 2026'!$D$2:$D$2701,$B22,'март 2026'!$J$2:$J$2701,E$1)</f>
        <v>0</v>
      </c>
      <c r="F22" s="75">
        <f>SUMIFS('март 2026'!$G$2:$G$2701,'март 2026'!$D$2:$D$2701,$B22,'март 2026'!$J$2:$J$2701,F$1)</f>
        <v>0</v>
      </c>
      <c r="G22" s="75">
        <f>SUMIFS('март 2026'!$G$2:$G$2701,'март 2026'!$D$2:$D$2701,$B22,'март 2026'!$J$2:$J$2701,G$1)</f>
        <v>0</v>
      </c>
      <c r="H22" s="75">
        <f>SUMIFS('март 2026'!$G$2:$G$2701,'март 2026'!$D$2:$D$2701,$B22,'март 2026'!$J$2:$J$2701,H$1)</f>
        <v>0</v>
      </c>
      <c r="I22" s="75">
        <f>SUMIFS('март 2026'!$G$2:$G$2701,'март 2026'!$D$2:$D$2701,$B22,'март 2026'!$J$2:$J$2701,I$1)</f>
        <v>0</v>
      </c>
      <c r="J22" s="75">
        <f>SUMIFS('март 2026'!$G$2:$G$2701,'март 2026'!$D$2:$D$2701,$B22,'март 2026'!$J$2:$J$2701,J$1)</f>
        <v>0</v>
      </c>
      <c r="K22" s="75">
        <f>SUMIFS('март 2026'!$G$2:$G$2701,'март 2026'!$D$2:$D$2701,$B22,'март 2026'!$J$2:$J$2701,K$1)</f>
        <v>0</v>
      </c>
      <c r="L22" s="75">
        <f>SUMIFS('март 2026'!$G$2:$G$2701,'март 2026'!$D$2:$D$2701,$B22,'март 2026'!$J$2:$J$2701,L$1)</f>
        <v>0</v>
      </c>
      <c r="M22" s="75">
        <f>SUMIFS('март 2026'!$G$2:$G$2701,'март 2026'!$D$2:$D$2701,$B22,'март 2026'!$J$2:$J$2701,M$1)</f>
        <v>0</v>
      </c>
      <c r="N22" s="75">
        <f>SUMIFS('март 2026'!$G$2:$G$2701,'март 2026'!$D$2:$D$2701,$B22,'март 2026'!$J$2:$J$2701,N$1)</f>
        <v>0</v>
      </c>
      <c r="O22" s="75">
        <f>SUMIFS('март 2026'!$G$2:$G$2701,'март 2026'!$D$2:$D$2701,$B22,'март 2026'!$J$2:$J$2701,O$1)</f>
        <v>0</v>
      </c>
      <c r="P22" s="75">
        <f>SUMIFS('март 2026'!$G$2:$G$2701,'март 2026'!$D$2:$D$2701,$B22,'март 2026'!$J$2:$J$2701,P$1)</f>
        <v>0</v>
      </c>
      <c r="Q22" s="75">
        <f>SUMIFS('март 2026'!$G$2:$G$2701,'март 2026'!$D$2:$D$2701,$B22,'март 2026'!$J$2:$J$2701,Q$1)</f>
        <v>0</v>
      </c>
      <c r="R22" s="75">
        <f>SUMIFS('март 2026'!$G$2:$G$2701,'март 2026'!$D$2:$D$2701,$B22,'март 2026'!$J$2:$J$2701,R$1)</f>
        <v>0</v>
      </c>
      <c r="S22" s="75">
        <f>SUMIFS('март 2026'!$G$2:$G$2701,'март 2026'!$D$2:$D$2701,$B22,'март 2026'!$J$2:$J$2701,S$1)</f>
        <v>0</v>
      </c>
      <c r="T22" s="75">
        <f>SUMIFS('март 2026'!$G$2:$G$2701,'март 2026'!$D$2:$D$2701,$B22,'март 2026'!$J$2:$J$2701,T$1)</f>
        <v>0</v>
      </c>
      <c r="U22" s="75">
        <f>SUMIFS('март 2026'!$G$2:$G$2701,'март 2026'!$D$2:$D$2701,$B22,'март 2026'!$J$2:$J$2701,U$1)</f>
        <v>0</v>
      </c>
      <c r="V22" s="75">
        <f>SUMIFS('март 2026'!$G$2:$G$2701,'март 2026'!$D$2:$D$2701,$B22,'март 2026'!$J$2:$J$2701,V$1)</f>
        <v>0</v>
      </c>
      <c r="W22" s="75">
        <f>SUMIFS('март 2026'!$G$2:$G$2701,'март 2026'!$D$2:$D$2701,$B22,'март 2026'!$J$2:$J$2701,W$1)</f>
        <v>0</v>
      </c>
      <c r="X22" s="75">
        <f>SUMIFS('март 2026'!$G$2:$G$2701,'март 2026'!$D$2:$D$2701,$B22,'март 2026'!$J$2:$J$2701,X$1)</f>
        <v>0</v>
      </c>
      <c r="Y22" s="75">
        <f>SUMIFS('март 2026'!$G$2:$G$2701,'март 2026'!$D$2:$D$2701,$B22,'март 2026'!$J$2:$J$2701,Y$1)</f>
        <v>0</v>
      </c>
      <c r="Z22" s="75">
        <f>SUMIFS('март 2026'!$G$2:$G$2701,'март 2026'!$D$2:$D$2701,$B22,'март 2026'!$J$2:$J$2701,Z$1)</f>
        <v>0</v>
      </c>
      <c r="AA22" s="75">
        <f>SUMIFS('март 2026'!$G$2:$G$2701,'март 2026'!$D$2:$D$2701,$B22,'март 2026'!$J$2:$J$2701,AA$1)</f>
        <v>0</v>
      </c>
      <c r="AB22" s="75">
        <f>SUMIFS('март 2026'!$G$2:$G$2701,'март 2026'!$D$2:$D$2701,$B22,'март 2026'!$J$2:$J$2701,AB$1)</f>
        <v>0</v>
      </c>
      <c r="AC22" s="75">
        <f>SUMIFS('март 2026'!$G$2:$G$2701,'март 2026'!$D$2:$D$2701,$B22,'март 2026'!$J$2:$J$2701,AC$1)</f>
        <v>0</v>
      </c>
      <c r="AD22" s="75">
        <f>SUMIFS('март 2026'!$G$2:$G$2701,'март 2026'!$D$2:$D$2701,$B22,'март 2026'!$J$2:$J$2701,AD$1)</f>
        <v>0</v>
      </c>
      <c r="AE22" s="75">
        <f>SUMIFS('март 2026'!$G$2:$G$2701,'март 2026'!$D$2:$D$2701,$B22,'март 2026'!$J$2:$J$2701,AE$1)</f>
        <v>0</v>
      </c>
      <c r="AF22" s="75">
        <f>SUMIFS('март 2026'!$G$2:$G$2701,'март 2026'!$D$2:$D$2701,$B22,'март 2026'!$J$2:$J$2701,AF$1)</f>
        <v>0</v>
      </c>
      <c r="AG22" s="75">
        <f>SUMIFS('март 2026'!$G$2:$G$2701,'март 2026'!$D$2:$D$2701,$B22,'март 2026'!$J$2:$J$2701,AG$1)</f>
        <v>0</v>
      </c>
      <c r="AH22" s="75">
        <f>SUMIFS('март 2026'!$G$2:$G$2701,'март 2026'!$D$2:$D$2701,$B22,'март 2026'!$J$2:$J$2701,AH$1)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SUMIFS('март 2026'!$G$2:$G$2701,'март 2026'!$D$2:$D$2701,$B23,'март 2026'!$J$2:$J$2701,D$1)</f>
        <v>0</v>
      </c>
      <c r="E23" s="75">
        <f>SUMIFS('март 2026'!$G$2:$G$2701,'март 2026'!$D$2:$D$2701,$B23,'март 2026'!$J$2:$J$2701,E$1)</f>
        <v>0</v>
      </c>
      <c r="F23" s="75">
        <f>SUMIFS('март 2026'!$G$2:$G$2701,'март 2026'!$D$2:$D$2701,$B23,'март 2026'!$J$2:$J$2701,F$1)</f>
        <v>0</v>
      </c>
      <c r="G23" s="75">
        <f>SUMIFS('март 2026'!$G$2:$G$2701,'март 2026'!$D$2:$D$2701,$B23,'март 2026'!$J$2:$J$2701,G$1)</f>
        <v>0</v>
      </c>
      <c r="H23" s="75">
        <f>SUMIFS('март 2026'!$G$2:$G$2701,'март 2026'!$D$2:$D$2701,$B23,'март 2026'!$J$2:$J$2701,H$1)</f>
        <v>0</v>
      </c>
      <c r="I23" s="75">
        <f>SUMIFS('март 2026'!$G$2:$G$2701,'март 2026'!$D$2:$D$2701,$B23,'март 2026'!$J$2:$J$2701,I$1)</f>
        <v>0</v>
      </c>
      <c r="J23" s="75">
        <f>SUMIFS('март 2026'!$G$2:$G$2701,'март 2026'!$D$2:$D$2701,$B23,'март 2026'!$J$2:$J$2701,J$1)</f>
        <v>0</v>
      </c>
      <c r="K23" s="75">
        <f>SUMIFS('март 2026'!$G$2:$G$2701,'март 2026'!$D$2:$D$2701,$B23,'март 2026'!$J$2:$J$2701,K$1)</f>
        <v>0</v>
      </c>
      <c r="L23" s="75">
        <f>SUMIFS('март 2026'!$G$2:$G$2701,'март 2026'!$D$2:$D$2701,$B23,'март 2026'!$J$2:$J$2701,L$1)</f>
        <v>0</v>
      </c>
      <c r="M23" s="75">
        <f>SUMIFS('март 2026'!$G$2:$G$2701,'март 2026'!$D$2:$D$2701,$B23,'март 2026'!$J$2:$J$2701,M$1)</f>
        <v>0</v>
      </c>
      <c r="N23" s="75">
        <f>SUMIFS('март 2026'!$G$2:$G$2701,'март 2026'!$D$2:$D$2701,$B23,'март 2026'!$J$2:$J$2701,N$1)</f>
        <v>0</v>
      </c>
      <c r="O23" s="75">
        <f>SUMIFS('март 2026'!$G$2:$G$2701,'март 2026'!$D$2:$D$2701,$B23,'март 2026'!$J$2:$J$2701,O$1)</f>
        <v>0</v>
      </c>
      <c r="P23" s="75">
        <f>SUMIFS('март 2026'!$G$2:$G$2701,'март 2026'!$D$2:$D$2701,$B23,'март 2026'!$J$2:$J$2701,P$1)</f>
        <v>0</v>
      </c>
      <c r="Q23" s="75">
        <f>SUMIFS('март 2026'!$G$2:$G$2701,'март 2026'!$D$2:$D$2701,$B23,'март 2026'!$J$2:$J$2701,Q$1)</f>
        <v>0</v>
      </c>
      <c r="R23" s="75">
        <f>SUMIFS('март 2026'!$G$2:$G$2701,'март 2026'!$D$2:$D$2701,$B23,'март 2026'!$J$2:$J$2701,R$1)</f>
        <v>0</v>
      </c>
      <c r="S23" s="75">
        <f>SUMIFS('март 2026'!$G$2:$G$2701,'март 2026'!$D$2:$D$2701,$B23,'март 2026'!$J$2:$J$2701,S$1)</f>
        <v>0</v>
      </c>
      <c r="T23" s="75">
        <f>SUMIFS('март 2026'!$G$2:$G$2701,'март 2026'!$D$2:$D$2701,$B23,'март 2026'!$J$2:$J$2701,T$1)</f>
        <v>0</v>
      </c>
      <c r="U23" s="75">
        <f>SUMIFS('март 2026'!$G$2:$G$2701,'март 2026'!$D$2:$D$2701,$B23,'март 2026'!$J$2:$J$2701,U$1)</f>
        <v>0</v>
      </c>
      <c r="V23" s="75">
        <f>SUMIFS('март 2026'!$G$2:$G$2701,'март 2026'!$D$2:$D$2701,$B23,'март 2026'!$J$2:$J$2701,V$1)</f>
        <v>0</v>
      </c>
      <c r="W23" s="75">
        <f>SUMIFS('март 2026'!$G$2:$G$2701,'март 2026'!$D$2:$D$2701,$B23,'март 2026'!$J$2:$J$2701,W$1)</f>
        <v>0</v>
      </c>
      <c r="X23" s="75">
        <f>SUMIFS('март 2026'!$G$2:$G$2701,'март 2026'!$D$2:$D$2701,$B23,'март 2026'!$J$2:$J$2701,X$1)</f>
        <v>0</v>
      </c>
      <c r="Y23" s="75">
        <f>SUMIFS('март 2026'!$G$2:$G$2701,'март 2026'!$D$2:$D$2701,$B23,'март 2026'!$J$2:$J$2701,Y$1)</f>
        <v>0</v>
      </c>
      <c r="Z23" s="75">
        <f>SUMIFS('март 2026'!$G$2:$G$2701,'март 2026'!$D$2:$D$2701,$B23,'март 2026'!$J$2:$J$2701,Z$1)</f>
        <v>0</v>
      </c>
      <c r="AA23" s="75">
        <f>SUMIFS('март 2026'!$G$2:$G$2701,'март 2026'!$D$2:$D$2701,$B23,'март 2026'!$J$2:$J$2701,AA$1)</f>
        <v>0</v>
      </c>
      <c r="AB23" s="75">
        <f>SUMIFS('март 2026'!$G$2:$G$2701,'март 2026'!$D$2:$D$2701,$B23,'март 2026'!$J$2:$J$2701,AB$1)</f>
        <v>0</v>
      </c>
      <c r="AC23" s="75">
        <f>SUMIFS('март 2026'!$G$2:$G$2701,'март 2026'!$D$2:$D$2701,$B23,'март 2026'!$J$2:$J$2701,AC$1)</f>
        <v>0</v>
      </c>
      <c r="AD23" s="75">
        <f>SUMIFS('март 2026'!$G$2:$G$2701,'март 2026'!$D$2:$D$2701,$B23,'март 2026'!$J$2:$J$2701,AD$1)</f>
        <v>0</v>
      </c>
      <c r="AE23" s="75">
        <f>SUMIFS('март 2026'!$G$2:$G$2701,'март 2026'!$D$2:$D$2701,$B23,'март 2026'!$J$2:$J$2701,AE$1)</f>
        <v>0</v>
      </c>
      <c r="AF23" s="75">
        <f>SUMIFS('март 2026'!$G$2:$G$2701,'март 2026'!$D$2:$D$2701,$B23,'март 2026'!$J$2:$J$2701,AF$1)</f>
        <v>0</v>
      </c>
      <c r="AG23" s="75">
        <f>SUMIFS('март 2026'!$G$2:$G$2701,'март 2026'!$D$2:$D$2701,$B23,'март 2026'!$J$2:$J$2701,AG$1)</f>
        <v>0</v>
      </c>
      <c r="AH23" s="75">
        <f>SUMIFS('март 2026'!$G$2:$G$2701,'март 2026'!$D$2:$D$2701,$B23,'март 2026'!$J$2:$J$2701,AH$1)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SUMIFS('март 2026'!$G$2:$G$2701,'март 2026'!$D$2:$D$2701,$B24,'март 2026'!$J$2:$J$2701,D$1)</f>
        <v>0</v>
      </c>
      <c r="E24" s="75">
        <f>SUMIFS('март 2026'!$G$2:$G$2701,'март 2026'!$D$2:$D$2701,$B24,'март 2026'!$J$2:$J$2701,E$1)</f>
        <v>0</v>
      </c>
      <c r="F24" s="75">
        <f>SUMIFS('март 2026'!$G$2:$G$2701,'март 2026'!$D$2:$D$2701,$B24,'март 2026'!$J$2:$J$2701,F$1)</f>
        <v>0</v>
      </c>
      <c r="G24" s="75">
        <f>SUMIFS('март 2026'!$G$2:$G$2701,'март 2026'!$D$2:$D$2701,$B24,'март 2026'!$J$2:$J$2701,G$1)</f>
        <v>0</v>
      </c>
      <c r="H24" s="75">
        <f>SUMIFS('март 2026'!$G$2:$G$2701,'март 2026'!$D$2:$D$2701,$B24,'март 2026'!$J$2:$J$2701,H$1)</f>
        <v>0</v>
      </c>
      <c r="I24" s="75">
        <f>SUMIFS('март 2026'!$G$2:$G$2701,'март 2026'!$D$2:$D$2701,$B24,'март 2026'!$J$2:$J$2701,I$1)</f>
        <v>0</v>
      </c>
      <c r="J24" s="75">
        <f>SUMIFS('март 2026'!$G$2:$G$2701,'март 2026'!$D$2:$D$2701,$B24,'март 2026'!$J$2:$J$2701,J$1)</f>
        <v>0</v>
      </c>
      <c r="K24" s="75">
        <f>SUMIFS('март 2026'!$G$2:$G$2701,'март 2026'!$D$2:$D$2701,$B24,'март 2026'!$J$2:$J$2701,K$1)</f>
        <v>0</v>
      </c>
      <c r="L24" s="75">
        <f>SUMIFS('март 2026'!$G$2:$G$2701,'март 2026'!$D$2:$D$2701,$B24,'март 2026'!$J$2:$J$2701,L$1)</f>
        <v>0</v>
      </c>
      <c r="M24" s="75">
        <f>SUMIFS('март 2026'!$G$2:$G$2701,'март 2026'!$D$2:$D$2701,$B24,'март 2026'!$J$2:$J$2701,M$1)</f>
        <v>0</v>
      </c>
      <c r="N24" s="75">
        <f>SUMIFS('март 2026'!$G$2:$G$2701,'март 2026'!$D$2:$D$2701,$B24,'март 2026'!$J$2:$J$2701,N$1)</f>
        <v>0</v>
      </c>
      <c r="O24" s="75">
        <f>SUMIFS('март 2026'!$G$2:$G$2701,'март 2026'!$D$2:$D$2701,$B24,'март 2026'!$J$2:$J$2701,O$1)</f>
        <v>0</v>
      </c>
      <c r="P24" s="75">
        <f>SUMIFS('март 2026'!$G$2:$G$2701,'март 2026'!$D$2:$D$2701,$B24,'март 2026'!$J$2:$J$2701,P$1)</f>
        <v>0</v>
      </c>
      <c r="Q24" s="75">
        <f>SUMIFS('март 2026'!$G$2:$G$2701,'март 2026'!$D$2:$D$2701,$B24,'март 2026'!$J$2:$J$2701,Q$1)</f>
        <v>0</v>
      </c>
      <c r="R24" s="75">
        <f>SUMIFS('март 2026'!$G$2:$G$2701,'март 2026'!$D$2:$D$2701,$B24,'март 2026'!$J$2:$J$2701,R$1)</f>
        <v>0</v>
      </c>
      <c r="S24" s="75">
        <f>SUMIFS('март 2026'!$G$2:$G$2701,'март 2026'!$D$2:$D$2701,$B24,'март 2026'!$J$2:$J$2701,S$1)</f>
        <v>0</v>
      </c>
      <c r="T24" s="75">
        <f>SUMIFS('март 2026'!$G$2:$G$2701,'март 2026'!$D$2:$D$2701,$B24,'март 2026'!$J$2:$J$2701,T$1)</f>
        <v>0</v>
      </c>
      <c r="U24" s="75">
        <f>SUMIFS('март 2026'!$G$2:$G$2701,'март 2026'!$D$2:$D$2701,$B24,'март 2026'!$J$2:$J$2701,U$1)</f>
        <v>0</v>
      </c>
      <c r="V24" s="75">
        <f>SUMIFS('март 2026'!$G$2:$G$2701,'март 2026'!$D$2:$D$2701,$B24,'март 2026'!$J$2:$J$2701,V$1)</f>
        <v>0</v>
      </c>
      <c r="W24" s="75">
        <f>SUMIFS('март 2026'!$G$2:$G$2701,'март 2026'!$D$2:$D$2701,$B24,'март 2026'!$J$2:$J$2701,W$1)</f>
        <v>0</v>
      </c>
      <c r="X24" s="75">
        <f>SUMIFS('март 2026'!$G$2:$G$2701,'март 2026'!$D$2:$D$2701,$B24,'март 2026'!$J$2:$J$2701,X$1)</f>
        <v>0</v>
      </c>
      <c r="Y24" s="75">
        <f>SUMIFS('март 2026'!$G$2:$G$2701,'март 2026'!$D$2:$D$2701,$B24,'март 2026'!$J$2:$J$2701,Y$1)</f>
        <v>0</v>
      </c>
      <c r="Z24" s="75">
        <f>SUMIFS('март 2026'!$G$2:$G$2701,'март 2026'!$D$2:$D$2701,$B24,'март 2026'!$J$2:$J$2701,Z$1)</f>
        <v>0</v>
      </c>
      <c r="AA24" s="75">
        <f>SUMIFS('март 2026'!$G$2:$G$2701,'март 2026'!$D$2:$D$2701,$B24,'март 2026'!$J$2:$J$2701,AA$1)</f>
        <v>0</v>
      </c>
      <c r="AB24" s="75">
        <f>SUMIFS('март 2026'!$G$2:$G$2701,'март 2026'!$D$2:$D$2701,$B24,'март 2026'!$J$2:$J$2701,AB$1)</f>
        <v>0</v>
      </c>
      <c r="AC24" s="75">
        <f>SUMIFS('март 2026'!$G$2:$G$2701,'март 2026'!$D$2:$D$2701,$B24,'март 2026'!$J$2:$J$2701,AC$1)</f>
        <v>0</v>
      </c>
      <c r="AD24" s="75">
        <f>SUMIFS('март 2026'!$G$2:$G$2701,'март 2026'!$D$2:$D$2701,$B24,'март 2026'!$J$2:$J$2701,AD$1)</f>
        <v>0</v>
      </c>
      <c r="AE24" s="75">
        <f>SUMIFS('март 2026'!$G$2:$G$2701,'март 2026'!$D$2:$D$2701,$B24,'март 2026'!$J$2:$J$2701,AE$1)</f>
        <v>0</v>
      </c>
      <c r="AF24" s="75">
        <f>SUMIFS('март 2026'!$G$2:$G$2701,'март 2026'!$D$2:$D$2701,$B24,'март 2026'!$J$2:$J$2701,AF$1)</f>
        <v>0</v>
      </c>
      <c r="AG24" s="75">
        <f>SUMIFS('март 2026'!$G$2:$G$2701,'март 2026'!$D$2:$D$2701,$B24,'март 2026'!$J$2:$J$2701,AG$1)</f>
        <v>0</v>
      </c>
      <c r="AH24" s="75">
        <f>SUMIFS('март 2026'!$G$2:$G$2701,'март 2026'!$D$2:$D$2701,$B24,'март 2026'!$J$2:$J$2701,AH$1)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SUMIFS('март 2026'!$G$2:$G$2701,'март 2026'!$D$2:$D$2701,$B25,'март 2026'!$J$2:$J$2701,D$1)</f>
        <v>0</v>
      </c>
      <c r="E25" s="75">
        <f>SUMIFS('март 2026'!$G$2:$G$2701,'март 2026'!$D$2:$D$2701,$B25,'март 2026'!$J$2:$J$2701,E$1)</f>
        <v>0</v>
      </c>
      <c r="F25" s="75">
        <f>SUMIFS('март 2026'!$G$2:$G$2701,'март 2026'!$D$2:$D$2701,$B25,'март 2026'!$J$2:$J$2701,F$1)</f>
        <v>0</v>
      </c>
      <c r="G25" s="75">
        <f>SUMIFS('март 2026'!$G$2:$G$2701,'март 2026'!$D$2:$D$2701,$B25,'март 2026'!$J$2:$J$2701,G$1)</f>
        <v>0</v>
      </c>
      <c r="H25" s="75">
        <f>SUMIFS('март 2026'!$G$2:$G$2701,'март 2026'!$D$2:$D$2701,$B25,'март 2026'!$J$2:$J$2701,H$1)</f>
        <v>0</v>
      </c>
      <c r="I25" s="75">
        <f>SUMIFS('март 2026'!$G$2:$G$2701,'март 2026'!$D$2:$D$2701,$B25,'март 2026'!$J$2:$J$2701,I$1)</f>
        <v>0</v>
      </c>
      <c r="J25" s="75">
        <f>SUMIFS('март 2026'!$G$2:$G$2701,'март 2026'!$D$2:$D$2701,$B25,'март 2026'!$J$2:$J$2701,J$1)</f>
        <v>0</v>
      </c>
      <c r="K25" s="75">
        <f>SUMIFS('март 2026'!$G$2:$G$2701,'март 2026'!$D$2:$D$2701,$B25,'март 2026'!$J$2:$J$2701,K$1)</f>
        <v>0</v>
      </c>
      <c r="L25" s="75">
        <f>SUMIFS('март 2026'!$G$2:$G$2701,'март 2026'!$D$2:$D$2701,$B25,'март 2026'!$J$2:$J$2701,L$1)</f>
        <v>0</v>
      </c>
      <c r="M25" s="75">
        <f>SUMIFS('март 2026'!$G$2:$G$2701,'март 2026'!$D$2:$D$2701,$B25,'март 2026'!$J$2:$J$2701,M$1)</f>
        <v>0</v>
      </c>
      <c r="N25" s="75">
        <f>SUMIFS('март 2026'!$G$2:$G$2701,'март 2026'!$D$2:$D$2701,$B25,'март 2026'!$J$2:$J$2701,N$1)</f>
        <v>0</v>
      </c>
      <c r="O25" s="75">
        <f>SUMIFS('март 2026'!$G$2:$G$2701,'март 2026'!$D$2:$D$2701,$B25,'март 2026'!$J$2:$J$2701,O$1)</f>
        <v>0</v>
      </c>
      <c r="P25" s="75">
        <f>SUMIFS('март 2026'!$G$2:$G$2701,'март 2026'!$D$2:$D$2701,$B25,'март 2026'!$J$2:$J$2701,P$1)</f>
        <v>0</v>
      </c>
      <c r="Q25" s="75">
        <f>SUMIFS('март 2026'!$G$2:$G$2701,'март 2026'!$D$2:$D$2701,$B25,'март 2026'!$J$2:$J$2701,Q$1)</f>
        <v>0</v>
      </c>
      <c r="R25" s="75">
        <f>SUMIFS('март 2026'!$G$2:$G$2701,'март 2026'!$D$2:$D$2701,$B25,'март 2026'!$J$2:$J$2701,R$1)</f>
        <v>0</v>
      </c>
      <c r="S25" s="75">
        <f>SUMIFS('март 2026'!$G$2:$G$2701,'март 2026'!$D$2:$D$2701,$B25,'март 2026'!$J$2:$J$2701,S$1)</f>
        <v>0</v>
      </c>
      <c r="T25" s="75">
        <f>SUMIFS('март 2026'!$G$2:$G$2701,'март 2026'!$D$2:$D$2701,$B25,'март 2026'!$J$2:$J$2701,T$1)</f>
        <v>0</v>
      </c>
      <c r="U25" s="75">
        <f>SUMIFS('март 2026'!$G$2:$G$2701,'март 2026'!$D$2:$D$2701,$B25,'март 2026'!$J$2:$J$2701,U$1)</f>
        <v>0</v>
      </c>
      <c r="V25" s="75">
        <f>SUMIFS('март 2026'!$G$2:$G$2701,'март 2026'!$D$2:$D$2701,$B25,'март 2026'!$J$2:$J$2701,V$1)</f>
        <v>0</v>
      </c>
      <c r="W25" s="75">
        <f>SUMIFS('март 2026'!$G$2:$G$2701,'март 2026'!$D$2:$D$2701,$B25,'март 2026'!$J$2:$J$2701,W$1)</f>
        <v>0</v>
      </c>
      <c r="X25" s="75">
        <f>SUMIFS('март 2026'!$G$2:$G$2701,'март 2026'!$D$2:$D$2701,$B25,'март 2026'!$J$2:$J$2701,X$1)</f>
        <v>0</v>
      </c>
      <c r="Y25" s="75">
        <f>SUMIFS('март 2026'!$G$2:$G$2701,'март 2026'!$D$2:$D$2701,$B25,'март 2026'!$J$2:$J$2701,Y$1)</f>
        <v>0</v>
      </c>
      <c r="Z25" s="75">
        <f>SUMIFS('март 2026'!$G$2:$G$2701,'март 2026'!$D$2:$D$2701,$B25,'март 2026'!$J$2:$J$2701,Z$1)</f>
        <v>0</v>
      </c>
      <c r="AA25" s="75">
        <f>SUMIFS('март 2026'!$G$2:$G$2701,'март 2026'!$D$2:$D$2701,$B25,'март 2026'!$J$2:$J$2701,AA$1)</f>
        <v>0</v>
      </c>
      <c r="AB25" s="75">
        <f>SUMIFS('март 2026'!$G$2:$G$2701,'март 2026'!$D$2:$D$2701,$B25,'март 2026'!$J$2:$J$2701,AB$1)</f>
        <v>0</v>
      </c>
      <c r="AC25" s="75">
        <f>SUMIFS('март 2026'!$G$2:$G$2701,'март 2026'!$D$2:$D$2701,$B25,'март 2026'!$J$2:$J$2701,AC$1)</f>
        <v>0</v>
      </c>
      <c r="AD25" s="75">
        <f>SUMIFS('март 2026'!$G$2:$G$2701,'март 2026'!$D$2:$D$2701,$B25,'март 2026'!$J$2:$J$2701,AD$1)</f>
        <v>0</v>
      </c>
      <c r="AE25" s="75">
        <f>SUMIFS('март 2026'!$G$2:$G$2701,'март 2026'!$D$2:$D$2701,$B25,'март 2026'!$J$2:$J$2701,AE$1)</f>
        <v>0</v>
      </c>
      <c r="AF25" s="75">
        <f>SUMIFS('март 2026'!$G$2:$G$2701,'март 2026'!$D$2:$D$2701,$B25,'март 2026'!$J$2:$J$2701,AF$1)</f>
        <v>0</v>
      </c>
      <c r="AG25" s="75">
        <f>SUMIFS('март 2026'!$G$2:$G$2701,'март 2026'!$D$2:$D$2701,$B25,'март 2026'!$J$2:$J$2701,AG$1)</f>
        <v>0</v>
      </c>
      <c r="AH25" s="75">
        <f>SUMIFS('март 2026'!$G$2:$G$2701,'март 2026'!$D$2:$D$2701,$B25,'март 2026'!$J$2:$J$2701,AH$1)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SUMIFS('март 2026'!$G$2:$G$2701,'март 2026'!$D$2:$D$2701,$B26,'март 2026'!$J$2:$J$2701,D$1)</f>
        <v>0</v>
      </c>
      <c r="E26" s="75">
        <f>SUMIFS('март 2026'!$G$2:$G$2701,'март 2026'!$D$2:$D$2701,$B26,'март 2026'!$J$2:$J$2701,E$1)</f>
        <v>0</v>
      </c>
      <c r="F26" s="75">
        <f>SUMIFS('март 2026'!$G$2:$G$2701,'март 2026'!$D$2:$D$2701,$B26,'март 2026'!$J$2:$J$2701,F$1)</f>
        <v>0</v>
      </c>
      <c r="G26" s="75">
        <f>SUMIFS('март 2026'!$G$2:$G$2701,'март 2026'!$D$2:$D$2701,$B26,'март 2026'!$J$2:$J$2701,G$1)</f>
        <v>0</v>
      </c>
      <c r="H26" s="75">
        <f>SUMIFS('март 2026'!$G$2:$G$2701,'март 2026'!$D$2:$D$2701,$B26,'март 2026'!$J$2:$J$2701,H$1)</f>
        <v>0</v>
      </c>
      <c r="I26" s="75">
        <f>SUMIFS('март 2026'!$G$2:$G$2701,'март 2026'!$D$2:$D$2701,$B26,'март 2026'!$J$2:$J$2701,I$1)</f>
        <v>0</v>
      </c>
      <c r="J26" s="75">
        <f>SUMIFS('март 2026'!$G$2:$G$2701,'март 2026'!$D$2:$D$2701,$B26,'март 2026'!$J$2:$J$2701,J$1)</f>
        <v>0</v>
      </c>
      <c r="K26" s="75">
        <f>SUMIFS('март 2026'!$G$2:$G$2701,'март 2026'!$D$2:$D$2701,$B26,'март 2026'!$J$2:$J$2701,K$1)</f>
        <v>0</v>
      </c>
      <c r="L26" s="75">
        <f>SUMIFS('март 2026'!$G$2:$G$2701,'март 2026'!$D$2:$D$2701,$B26,'март 2026'!$J$2:$J$2701,L$1)</f>
        <v>0</v>
      </c>
      <c r="M26" s="75">
        <f>SUMIFS('март 2026'!$G$2:$G$2701,'март 2026'!$D$2:$D$2701,$B26,'март 2026'!$J$2:$J$2701,M$1)</f>
        <v>0</v>
      </c>
      <c r="N26" s="75">
        <f>SUMIFS('март 2026'!$G$2:$G$2701,'март 2026'!$D$2:$D$2701,$B26,'март 2026'!$J$2:$J$2701,N$1)</f>
        <v>0</v>
      </c>
      <c r="O26" s="75">
        <f>SUMIFS('март 2026'!$G$2:$G$2701,'март 2026'!$D$2:$D$2701,$B26,'март 2026'!$J$2:$J$2701,O$1)</f>
        <v>0</v>
      </c>
      <c r="P26" s="75">
        <f>SUMIFS('март 2026'!$G$2:$G$2701,'март 2026'!$D$2:$D$2701,$B26,'март 2026'!$J$2:$J$2701,P$1)</f>
        <v>0</v>
      </c>
      <c r="Q26" s="75">
        <f>SUMIFS('март 2026'!$G$2:$G$2701,'март 2026'!$D$2:$D$2701,$B26,'март 2026'!$J$2:$J$2701,Q$1)</f>
        <v>0</v>
      </c>
      <c r="R26" s="75">
        <f>SUMIFS('март 2026'!$G$2:$G$2701,'март 2026'!$D$2:$D$2701,$B26,'март 2026'!$J$2:$J$2701,R$1)</f>
        <v>0</v>
      </c>
      <c r="S26" s="75">
        <f>SUMIFS('март 2026'!$G$2:$G$2701,'март 2026'!$D$2:$D$2701,$B26,'март 2026'!$J$2:$J$2701,S$1)</f>
        <v>0</v>
      </c>
      <c r="T26" s="75">
        <f>SUMIFS('март 2026'!$G$2:$G$2701,'март 2026'!$D$2:$D$2701,$B26,'март 2026'!$J$2:$J$2701,T$1)</f>
        <v>0</v>
      </c>
      <c r="U26" s="75">
        <f>SUMIFS('март 2026'!$G$2:$G$2701,'март 2026'!$D$2:$D$2701,$B26,'март 2026'!$J$2:$J$2701,U$1)</f>
        <v>0</v>
      </c>
      <c r="V26" s="75">
        <f>SUMIFS('март 2026'!$G$2:$G$2701,'март 2026'!$D$2:$D$2701,$B26,'март 2026'!$J$2:$J$2701,V$1)</f>
        <v>0</v>
      </c>
      <c r="W26" s="75">
        <f>SUMIFS('март 2026'!$G$2:$G$2701,'март 2026'!$D$2:$D$2701,$B26,'март 2026'!$J$2:$J$2701,W$1)</f>
        <v>0</v>
      </c>
      <c r="X26" s="75">
        <f>SUMIFS('март 2026'!$G$2:$G$2701,'март 2026'!$D$2:$D$2701,$B26,'март 2026'!$J$2:$J$2701,X$1)</f>
        <v>0</v>
      </c>
      <c r="Y26" s="75">
        <f>SUMIFS('март 2026'!$G$2:$G$2701,'март 2026'!$D$2:$D$2701,$B26,'март 2026'!$J$2:$J$2701,Y$1)</f>
        <v>0</v>
      </c>
      <c r="Z26" s="75">
        <f>SUMIFS('март 2026'!$G$2:$G$2701,'март 2026'!$D$2:$D$2701,$B26,'март 2026'!$J$2:$J$2701,Z$1)</f>
        <v>0</v>
      </c>
      <c r="AA26" s="75">
        <f>SUMIFS('март 2026'!$G$2:$G$2701,'март 2026'!$D$2:$D$2701,$B26,'март 2026'!$J$2:$J$2701,AA$1)</f>
        <v>0</v>
      </c>
      <c r="AB26" s="75">
        <f>SUMIFS('март 2026'!$G$2:$G$2701,'март 2026'!$D$2:$D$2701,$B26,'март 2026'!$J$2:$J$2701,AB$1)</f>
        <v>0</v>
      </c>
      <c r="AC26" s="75">
        <f>SUMIFS('март 2026'!$G$2:$G$2701,'март 2026'!$D$2:$D$2701,$B26,'март 2026'!$J$2:$J$2701,AC$1)</f>
        <v>0</v>
      </c>
      <c r="AD26" s="75">
        <f>SUMIFS('март 2026'!$G$2:$G$2701,'март 2026'!$D$2:$D$2701,$B26,'март 2026'!$J$2:$J$2701,AD$1)</f>
        <v>0</v>
      </c>
      <c r="AE26" s="75">
        <f>SUMIFS('март 2026'!$G$2:$G$2701,'март 2026'!$D$2:$D$2701,$B26,'март 2026'!$J$2:$J$2701,AE$1)</f>
        <v>0</v>
      </c>
      <c r="AF26" s="75">
        <f>SUMIFS('март 2026'!$G$2:$G$2701,'март 2026'!$D$2:$D$2701,$B26,'март 2026'!$J$2:$J$2701,AF$1)</f>
        <v>0</v>
      </c>
      <c r="AG26" s="75">
        <f>SUMIFS('март 2026'!$G$2:$G$2701,'март 2026'!$D$2:$D$2701,$B26,'март 2026'!$J$2:$J$2701,AG$1)</f>
        <v>400</v>
      </c>
      <c r="AH26" s="75">
        <f>SUMIFS('март 2026'!$G$2:$G$2701,'март 2026'!$D$2:$D$2701,$B26,'март 2026'!$J$2:$J$2701,AH$1)</f>
        <v>0</v>
      </c>
      <c r="AI26" s="20">
        <f t="shared" si="1"/>
        <v>400</v>
      </c>
    </row>
    <row r="27" spans="2:35" ht="15" customHeight="1" x14ac:dyDescent="0.25">
      <c r="B27" s="79" t="s">
        <v>245</v>
      </c>
      <c r="C27" s="77">
        <v>25</v>
      </c>
      <c r="D27" s="75">
        <f>SUMIFS('март 2026'!$G$2:$G$2701,'март 2026'!$D$2:$D$2701,$B27,'март 2026'!$J$2:$J$2701,D$1)</f>
        <v>0</v>
      </c>
      <c r="E27" s="75">
        <f>SUMIFS('март 2026'!$G$2:$G$2701,'март 2026'!$D$2:$D$2701,$B27,'март 2026'!$J$2:$J$2701,E$1)</f>
        <v>0</v>
      </c>
      <c r="F27" s="75">
        <f>SUMIFS('март 2026'!$G$2:$G$2701,'март 2026'!$D$2:$D$2701,$B27,'март 2026'!$J$2:$J$2701,F$1)</f>
        <v>0</v>
      </c>
      <c r="G27" s="75">
        <f>SUMIFS('март 2026'!$G$2:$G$2701,'март 2026'!$D$2:$D$2701,$B27,'март 2026'!$J$2:$J$2701,G$1)</f>
        <v>0</v>
      </c>
      <c r="H27" s="75">
        <f>SUMIFS('март 2026'!$G$2:$G$2701,'март 2026'!$D$2:$D$2701,$B27,'март 2026'!$J$2:$J$2701,H$1)</f>
        <v>0</v>
      </c>
      <c r="I27" s="75">
        <f>SUMIFS('март 2026'!$G$2:$G$2701,'март 2026'!$D$2:$D$2701,$B27,'март 2026'!$J$2:$J$2701,I$1)</f>
        <v>0</v>
      </c>
      <c r="J27" s="75">
        <f>SUMIFS('март 2026'!$G$2:$G$2701,'март 2026'!$D$2:$D$2701,$B27,'март 2026'!$J$2:$J$2701,J$1)</f>
        <v>0</v>
      </c>
      <c r="K27" s="75">
        <f>SUMIFS('март 2026'!$G$2:$G$2701,'март 2026'!$D$2:$D$2701,$B27,'март 2026'!$J$2:$J$2701,K$1)</f>
        <v>0</v>
      </c>
      <c r="L27" s="75">
        <f>SUMIFS('март 2026'!$G$2:$G$2701,'март 2026'!$D$2:$D$2701,$B27,'март 2026'!$J$2:$J$2701,L$1)</f>
        <v>0</v>
      </c>
      <c r="M27" s="75">
        <f>SUMIFS('март 2026'!$G$2:$G$2701,'март 2026'!$D$2:$D$2701,$B27,'март 2026'!$J$2:$J$2701,M$1)</f>
        <v>0</v>
      </c>
      <c r="N27" s="75">
        <f>SUMIFS('март 2026'!$G$2:$G$2701,'март 2026'!$D$2:$D$2701,$B27,'март 2026'!$J$2:$J$2701,N$1)</f>
        <v>0</v>
      </c>
      <c r="O27" s="75">
        <f>SUMIFS('март 2026'!$G$2:$G$2701,'март 2026'!$D$2:$D$2701,$B27,'март 2026'!$J$2:$J$2701,O$1)</f>
        <v>0</v>
      </c>
      <c r="P27" s="75">
        <f>SUMIFS('март 2026'!$G$2:$G$2701,'март 2026'!$D$2:$D$2701,$B27,'март 2026'!$J$2:$J$2701,P$1)</f>
        <v>0</v>
      </c>
      <c r="Q27" s="75">
        <f>SUMIFS('март 2026'!$G$2:$G$2701,'март 2026'!$D$2:$D$2701,$B27,'март 2026'!$J$2:$J$2701,Q$1)</f>
        <v>0</v>
      </c>
      <c r="R27" s="75">
        <f>SUMIFS('март 2026'!$G$2:$G$2701,'март 2026'!$D$2:$D$2701,$B27,'март 2026'!$J$2:$J$2701,R$1)</f>
        <v>0</v>
      </c>
      <c r="S27" s="75">
        <f>SUMIFS('март 2026'!$G$2:$G$2701,'март 2026'!$D$2:$D$2701,$B27,'март 2026'!$J$2:$J$2701,S$1)</f>
        <v>0</v>
      </c>
      <c r="T27" s="75">
        <f>SUMIFS('март 2026'!$G$2:$G$2701,'март 2026'!$D$2:$D$2701,$B27,'март 2026'!$J$2:$J$2701,T$1)</f>
        <v>0</v>
      </c>
      <c r="U27" s="75">
        <f>SUMIFS('март 2026'!$G$2:$G$2701,'март 2026'!$D$2:$D$2701,$B27,'март 2026'!$J$2:$J$2701,U$1)</f>
        <v>0</v>
      </c>
      <c r="V27" s="75">
        <f>SUMIFS('март 2026'!$G$2:$G$2701,'март 2026'!$D$2:$D$2701,$B27,'март 2026'!$J$2:$J$2701,V$1)</f>
        <v>0</v>
      </c>
      <c r="W27" s="75">
        <f>SUMIFS('март 2026'!$G$2:$G$2701,'март 2026'!$D$2:$D$2701,$B27,'март 2026'!$J$2:$J$2701,W$1)</f>
        <v>0</v>
      </c>
      <c r="X27" s="75">
        <f>SUMIFS('март 2026'!$G$2:$G$2701,'март 2026'!$D$2:$D$2701,$B27,'март 2026'!$J$2:$J$2701,X$1)</f>
        <v>0</v>
      </c>
      <c r="Y27" s="75">
        <f>SUMIFS('март 2026'!$G$2:$G$2701,'март 2026'!$D$2:$D$2701,$B27,'март 2026'!$J$2:$J$2701,Y$1)</f>
        <v>0</v>
      </c>
      <c r="Z27" s="75">
        <f>SUMIFS('март 2026'!$G$2:$G$2701,'март 2026'!$D$2:$D$2701,$B27,'март 2026'!$J$2:$J$2701,Z$1)</f>
        <v>0</v>
      </c>
      <c r="AA27" s="75">
        <f>SUMIFS('март 2026'!$G$2:$G$2701,'март 2026'!$D$2:$D$2701,$B27,'март 2026'!$J$2:$J$2701,AA$1)</f>
        <v>0</v>
      </c>
      <c r="AB27" s="75">
        <f>SUMIFS('март 2026'!$G$2:$G$2701,'март 2026'!$D$2:$D$2701,$B27,'март 2026'!$J$2:$J$2701,AB$1)</f>
        <v>0</v>
      </c>
      <c r="AC27" s="75">
        <f>SUMIFS('март 2026'!$G$2:$G$2701,'март 2026'!$D$2:$D$2701,$B27,'март 2026'!$J$2:$J$2701,AC$1)</f>
        <v>0</v>
      </c>
      <c r="AD27" s="75">
        <f>SUMIFS('март 2026'!$G$2:$G$2701,'март 2026'!$D$2:$D$2701,$B27,'март 2026'!$J$2:$J$2701,AD$1)</f>
        <v>0</v>
      </c>
      <c r="AE27" s="75">
        <f>SUMIFS('март 2026'!$G$2:$G$2701,'март 2026'!$D$2:$D$2701,$B27,'март 2026'!$J$2:$J$2701,AE$1)</f>
        <v>0</v>
      </c>
      <c r="AF27" s="75">
        <f>SUMIFS('март 2026'!$G$2:$G$2701,'март 2026'!$D$2:$D$2701,$B27,'март 2026'!$J$2:$J$2701,AF$1)</f>
        <v>0</v>
      </c>
      <c r="AG27" s="75">
        <f>SUMIFS('март 2026'!$G$2:$G$2701,'март 2026'!$D$2:$D$2701,$B27,'март 2026'!$J$2:$J$2701,AG$1)</f>
        <v>0</v>
      </c>
      <c r="AH27" s="75">
        <f>SUMIFS('март 2026'!$G$2:$G$2701,'март 2026'!$D$2:$D$2701,$B27,'март 2026'!$J$2:$J$2701,AH$1)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SUMIFS('март 2026'!$G$2:$G$2701,'март 2026'!$D$2:$D$2701,$B28,'март 2026'!$J$2:$J$2701,D$1)</f>
        <v>0</v>
      </c>
      <c r="E28" s="75">
        <f>SUMIFS('март 2026'!$G$2:$G$2701,'март 2026'!$D$2:$D$2701,$B28,'март 2026'!$J$2:$J$2701,E$1)</f>
        <v>0</v>
      </c>
      <c r="F28" s="75">
        <f>SUMIFS('март 2026'!$G$2:$G$2701,'март 2026'!$D$2:$D$2701,$B28,'март 2026'!$J$2:$J$2701,F$1)</f>
        <v>0</v>
      </c>
      <c r="G28" s="75">
        <f>SUMIFS('март 2026'!$G$2:$G$2701,'март 2026'!$D$2:$D$2701,$B28,'март 2026'!$J$2:$J$2701,G$1)</f>
        <v>0</v>
      </c>
      <c r="H28" s="75">
        <f>SUMIFS('март 2026'!$G$2:$G$2701,'март 2026'!$D$2:$D$2701,$B28,'март 2026'!$J$2:$J$2701,H$1)</f>
        <v>0</v>
      </c>
      <c r="I28" s="75">
        <f>SUMIFS('март 2026'!$G$2:$G$2701,'март 2026'!$D$2:$D$2701,$B28,'март 2026'!$J$2:$J$2701,I$1)</f>
        <v>0</v>
      </c>
      <c r="J28" s="75">
        <f>SUMIFS('март 2026'!$G$2:$G$2701,'март 2026'!$D$2:$D$2701,$B28,'март 2026'!$J$2:$J$2701,J$1)</f>
        <v>0</v>
      </c>
      <c r="K28" s="75">
        <f>SUMIFS('март 2026'!$G$2:$G$2701,'март 2026'!$D$2:$D$2701,$B28,'март 2026'!$J$2:$J$2701,K$1)</f>
        <v>0</v>
      </c>
      <c r="L28" s="75">
        <f>SUMIFS('март 2026'!$G$2:$G$2701,'март 2026'!$D$2:$D$2701,$B28,'март 2026'!$J$2:$J$2701,L$1)</f>
        <v>0</v>
      </c>
      <c r="M28" s="75">
        <f>SUMIFS('март 2026'!$G$2:$G$2701,'март 2026'!$D$2:$D$2701,$B28,'март 2026'!$J$2:$J$2701,M$1)</f>
        <v>0</v>
      </c>
      <c r="N28" s="75">
        <f>SUMIFS('март 2026'!$G$2:$G$2701,'март 2026'!$D$2:$D$2701,$B28,'март 2026'!$J$2:$J$2701,N$1)</f>
        <v>0</v>
      </c>
      <c r="O28" s="75">
        <f>SUMIFS('март 2026'!$G$2:$G$2701,'март 2026'!$D$2:$D$2701,$B28,'март 2026'!$J$2:$J$2701,O$1)</f>
        <v>0</v>
      </c>
      <c r="P28" s="75">
        <f>SUMIFS('март 2026'!$G$2:$G$2701,'март 2026'!$D$2:$D$2701,$B28,'март 2026'!$J$2:$J$2701,P$1)</f>
        <v>0</v>
      </c>
      <c r="Q28" s="75">
        <f>SUMIFS('март 2026'!$G$2:$G$2701,'март 2026'!$D$2:$D$2701,$B28,'март 2026'!$J$2:$J$2701,Q$1)</f>
        <v>0</v>
      </c>
      <c r="R28" s="75">
        <f>SUMIFS('март 2026'!$G$2:$G$2701,'март 2026'!$D$2:$D$2701,$B28,'март 2026'!$J$2:$J$2701,R$1)</f>
        <v>0</v>
      </c>
      <c r="S28" s="75">
        <f>SUMIFS('март 2026'!$G$2:$G$2701,'март 2026'!$D$2:$D$2701,$B28,'март 2026'!$J$2:$J$2701,S$1)</f>
        <v>0</v>
      </c>
      <c r="T28" s="75">
        <f>SUMIFS('март 2026'!$G$2:$G$2701,'март 2026'!$D$2:$D$2701,$B28,'март 2026'!$J$2:$J$2701,T$1)</f>
        <v>0</v>
      </c>
      <c r="U28" s="75">
        <f>SUMIFS('март 2026'!$G$2:$G$2701,'март 2026'!$D$2:$D$2701,$B28,'март 2026'!$J$2:$J$2701,U$1)</f>
        <v>0</v>
      </c>
      <c r="V28" s="75">
        <f>SUMIFS('март 2026'!$G$2:$G$2701,'март 2026'!$D$2:$D$2701,$B28,'март 2026'!$J$2:$J$2701,V$1)</f>
        <v>0</v>
      </c>
      <c r="W28" s="75">
        <f>SUMIFS('март 2026'!$G$2:$G$2701,'март 2026'!$D$2:$D$2701,$B28,'март 2026'!$J$2:$J$2701,W$1)</f>
        <v>0</v>
      </c>
      <c r="X28" s="75">
        <f>SUMIFS('март 2026'!$G$2:$G$2701,'март 2026'!$D$2:$D$2701,$B28,'март 2026'!$J$2:$J$2701,X$1)</f>
        <v>0</v>
      </c>
      <c r="Y28" s="75">
        <f>SUMIFS('март 2026'!$G$2:$G$2701,'март 2026'!$D$2:$D$2701,$B28,'март 2026'!$J$2:$J$2701,Y$1)</f>
        <v>0</v>
      </c>
      <c r="Z28" s="75">
        <f>SUMIFS('март 2026'!$G$2:$G$2701,'март 2026'!$D$2:$D$2701,$B28,'март 2026'!$J$2:$J$2701,Z$1)</f>
        <v>0</v>
      </c>
      <c r="AA28" s="75">
        <f>SUMIFS('март 2026'!$G$2:$G$2701,'март 2026'!$D$2:$D$2701,$B28,'март 2026'!$J$2:$J$2701,AA$1)</f>
        <v>0</v>
      </c>
      <c r="AB28" s="75">
        <f>SUMIFS('март 2026'!$G$2:$G$2701,'март 2026'!$D$2:$D$2701,$B28,'март 2026'!$J$2:$J$2701,AB$1)</f>
        <v>0</v>
      </c>
      <c r="AC28" s="75">
        <f>SUMIFS('март 2026'!$G$2:$G$2701,'март 2026'!$D$2:$D$2701,$B28,'март 2026'!$J$2:$J$2701,AC$1)</f>
        <v>0</v>
      </c>
      <c r="AD28" s="75">
        <f>SUMIFS('март 2026'!$G$2:$G$2701,'март 2026'!$D$2:$D$2701,$B28,'март 2026'!$J$2:$J$2701,AD$1)</f>
        <v>0</v>
      </c>
      <c r="AE28" s="75">
        <f>SUMIFS('март 2026'!$G$2:$G$2701,'март 2026'!$D$2:$D$2701,$B28,'март 2026'!$J$2:$J$2701,AE$1)</f>
        <v>0</v>
      </c>
      <c r="AF28" s="75">
        <f>SUMIFS('март 2026'!$G$2:$G$2701,'март 2026'!$D$2:$D$2701,$B28,'март 2026'!$J$2:$J$2701,AF$1)</f>
        <v>0</v>
      </c>
      <c r="AG28" s="75">
        <f>SUMIFS('март 2026'!$G$2:$G$2701,'март 2026'!$D$2:$D$2701,$B28,'март 2026'!$J$2:$J$2701,AG$1)</f>
        <v>0</v>
      </c>
      <c r="AH28" s="75">
        <f>SUMIFS('март 2026'!$G$2:$G$2701,'март 2026'!$D$2:$D$2701,$B28,'март 2026'!$J$2:$J$2701,AH$1)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SUMIFS('март 2026'!$G$2:$G$2701,'март 2026'!$D$2:$D$2701,$B29,'март 2026'!$J$2:$J$2701,D$1)</f>
        <v>0</v>
      </c>
      <c r="E29" s="75">
        <f>SUMIFS('март 2026'!$G$2:$G$2701,'март 2026'!$D$2:$D$2701,$B29,'март 2026'!$J$2:$J$2701,E$1)</f>
        <v>0</v>
      </c>
      <c r="F29" s="75">
        <f>SUMIFS('март 2026'!$G$2:$G$2701,'март 2026'!$D$2:$D$2701,$B29,'март 2026'!$J$2:$J$2701,F$1)</f>
        <v>0</v>
      </c>
      <c r="G29" s="75">
        <f>SUMIFS('март 2026'!$G$2:$G$2701,'март 2026'!$D$2:$D$2701,$B29,'март 2026'!$J$2:$J$2701,G$1)</f>
        <v>0</v>
      </c>
      <c r="H29" s="75">
        <f>SUMIFS('март 2026'!$G$2:$G$2701,'март 2026'!$D$2:$D$2701,$B29,'март 2026'!$J$2:$J$2701,H$1)</f>
        <v>0</v>
      </c>
      <c r="I29" s="75">
        <f>SUMIFS('март 2026'!$G$2:$G$2701,'март 2026'!$D$2:$D$2701,$B29,'март 2026'!$J$2:$J$2701,I$1)</f>
        <v>0</v>
      </c>
      <c r="J29" s="75">
        <f>SUMIFS('март 2026'!$G$2:$G$2701,'март 2026'!$D$2:$D$2701,$B29,'март 2026'!$J$2:$J$2701,J$1)</f>
        <v>0</v>
      </c>
      <c r="K29" s="75">
        <f>SUMIFS('март 2026'!$G$2:$G$2701,'март 2026'!$D$2:$D$2701,$B29,'март 2026'!$J$2:$J$2701,K$1)</f>
        <v>0</v>
      </c>
      <c r="L29" s="75">
        <f>SUMIFS('март 2026'!$G$2:$G$2701,'март 2026'!$D$2:$D$2701,$B29,'март 2026'!$J$2:$J$2701,L$1)</f>
        <v>0</v>
      </c>
      <c r="M29" s="75">
        <f>SUMIFS('март 2026'!$G$2:$G$2701,'март 2026'!$D$2:$D$2701,$B29,'март 2026'!$J$2:$J$2701,M$1)</f>
        <v>0</v>
      </c>
      <c r="N29" s="75">
        <f>SUMIFS('март 2026'!$G$2:$G$2701,'март 2026'!$D$2:$D$2701,$B29,'март 2026'!$J$2:$J$2701,N$1)</f>
        <v>0</v>
      </c>
      <c r="O29" s="75">
        <f>SUMIFS('март 2026'!$G$2:$G$2701,'март 2026'!$D$2:$D$2701,$B29,'март 2026'!$J$2:$J$2701,O$1)</f>
        <v>0</v>
      </c>
      <c r="P29" s="75">
        <f>SUMIFS('март 2026'!$G$2:$G$2701,'март 2026'!$D$2:$D$2701,$B29,'март 2026'!$J$2:$J$2701,P$1)</f>
        <v>0</v>
      </c>
      <c r="Q29" s="75">
        <f>SUMIFS('март 2026'!$G$2:$G$2701,'март 2026'!$D$2:$D$2701,$B29,'март 2026'!$J$2:$J$2701,Q$1)</f>
        <v>0</v>
      </c>
      <c r="R29" s="75">
        <f>SUMIFS('март 2026'!$G$2:$G$2701,'март 2026'!$D$2:$D$2701,$B29,'март 2026'!$J$2:$J$2701,R$1)</f>
        <v>0</v>
      </c>
      <c r="S29" s="75">
        <f>SUMIFS('март 2026'!$G$2:$G$2701,'март 2026'!$D$2:$D$2701,$B29,'март 2026'!$J$2:$J$2701,S$1)</f>
        <v>0</v>
      </c>
      <c r="T29" s="75">
        <f>SUMIFS('март 2026'!$G$2:$G$2701,'март 2026'!$D$2:$D$2701,$B29,'март 2026'!$J$2:$J$2701,T$1)</f>
        <v>0</v>
      </c>
      <c r="U29" s="75">
        <f>SUMIFS('март 2026'!$G$2:$G$2701,'март 2026'!$D$2:$D$2701,$B29,'март 2026'!$J$2:$J$2701,U$1)</f>
        <v>0</v>
      </c>
      <c r="V29" s="75">
        <f>SUMIFS('март 2026'!$G$2:$G$2701,'март 2026'!$D$2:$D$2701,$B29,'март 2026'!$J$2:$J$2701,V$1)</f>
        <v>0</v>
      </c>
      <c r="W29" s="75">
        <f>SUMIFS('март 2026'!$G$2:$G$2701,'март 2026'!$D$2:$D$2701,$B29,'март 2026'!$J$2:$J$2701,W$1)</f>
        <v>0</v>
      </c>
      <c r="X29" s="75">
        <f>SUMIFS('март 2026'!$G$2:$G$2701,'март 2026'!$D$2:$D$2701,$B29,'март 2026'!$J$2:$J$2701,X$1)</f>
        <v>0</v>
      </c>
      <c r="Y29" s="75">
        <f>SUMIFS('март 2026'!$G$2:$G$2701,'март 2026'!$D$2:$D$2701,$B29,'март 2026'!$J$2:$J$2701,Y$1)</f>
        <v>0</v>
      </c>
      <c r="Z29" s="75">
        <f>SUMIFS('март 2026'!$G$2:$G$2701,'март 2026'!$D$2:$D$2701,$B29,'март 2026'!$J$2:$J$2701,Z$1)</f>
        <v>0</v>
      </c>
      <c r="AA29" s="75">
        <f>SUMIFS('март 2026'!$G$2:$G$2701,'март 2026'!$D$2:$D$2701,$B29,'март 2026'!$J$2:$J$2701,AA$1)</f>
        <v>0</v>
      </c>
      <c r="AB29" s="75">
        <f>SUMIFS('март 2026'!$G$2:$G$2701,'март 2026'!$D$2:$D$2701,$B29,'март 2026'!$J$2:$J$2701,AB$1)</f>
        <v>0</v>
      </c>
      <c r="AC29" s="75">
        <f>SUMIFS('март 2026'!$G$2:$G$2701,'март 2026'!$D$2:$D$2701,$B29,'март 2026'!$J$2:$J$2701,AC$1)</f>
        <v>0</v>
      </c>
      <c r="AD29" s="75">
        <f>SUMIFS('март 2026'!$G$2:$G$2701,'март 2026'!$D$2:$D$2701,$B29,'март 2026'!$J$2:$J$2701,AD$1)</f>
        <v>0</v>
      </c>
      <c r="AE29" s="75">
        <f>SUMIFS('март 2026'!$G$2:$G$2701,'март 2026'!$D$2:$D$2701,$B29,'март 2026'!$J$2:$J$2701,AE$1)</f>
        <v>0</v>
      </c>
      <c r="AF29" s="75">
        <f>SUMIFS('март 2026'!$G$2:$G$2701,'март 2026'!$D$2:$D$2701,$B29,'март 2026'!$J$2:$J$2701,AF$1)</f>
        <v>0</v>
      </c>
      <c r="AG29" s="75">
        <f>SUMIFS('март 2026'!$G$2:$G$2701,'март 2026'!$D$2:$D$2701,$B29,'март 2026'!$J$2:$J$2701,AG$1)</f>
        <v>0</v>
      </c>
      <c r="AH29" s="75">
        <f>SUMIFS('март 2026'!$G$2:$G$2701,'март 2026'!$D$2:$D$2701,$B29,'март 2026'!$J$2:$J$2701,AH$1)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SUMIFS('март 2026'!$G$2:$G$2701,'март 2026'!$D$2:$D$2701,$B30,'март 2026'!$J$2:$J$2701,D$1)</f>
        <v>0</v>
      </c>
      <c r="E30" s="75">
        <f>SUMIFS('март 2026'!$G$2:$G$2701,'март 2026'!$D$2:$D$2701,$B30,'март 2026'!$J$2:$J$2701,E$1)</f>
        <v>0</v>
      </c>
      <c r="F30" s="75">
        <f>SUMIFS('март 2026'!$G$2:$G$2701,'март 2026'!$D$2:$D$2701,$B30,'март 2026'!$J$2:$J$2701,F$1)</f>
        <v>0</v>
      </c>
      <c r="G30" s="75">
        <f>SUMIFS('март 2026'!$G$2:$G$2701,'март 2026'!$D$2:$D$2701,$B30,'март 2026'!$J$2:$J$2701,G$1)</f>
        <v>0</v>
      </c>
      <c r="H30" s="75">
        <f>SUMIFS('март 2026'!$G$2:$G$2701,'март 2026'!$D$2:$D$2701,$B30,'март 2026'!$J$2:$J$2701,H$1)</f>
        <v>0</v>
      </c>
      <c r="I30" s="75">
        <f>SUMIFS('март 2026'!$G$2:$G$2701,'март 2026'!$D$2:$D$2701,$B30,'март 2026'!$J$2:$J$2701,I$1)</f>
        <v>0</v>
      </c>
      <c r="J30" s="75">
        <f>SUMIFS('март 2026'!$G$2:$G$2701,'март 2026'!$D$2:$D$2701,$B30,'март 2026'!$J$2:$J$2701,J$1)</f>
        <v>0</v>
      </c>
      <c r="K30" s="75">
        <f>SUMIFS('март 2026'!$G$2:$G$2701,'март 2026'!$D$2:$D$2701,$B30,'март 2026'!$J$2:$J$2701,K$1)</f>
        <v>0</v>
      </c>
      <c r="L30" s="75">
        <f>SUMIFS('март 2026'!$G$2:$G$2701,'март 2026'!$D$2:$D$2701,$B30,'март 2026'!$J$2:$J$2701,L$1)</f>
        <v>0</v>
      </c>
      <c r="M30" s="75">
        <f>SUMIFS('март 2026'!$G$2:$G$2701,'март 2026'!$D$2:$D$2701,$B30,'март 2026'!$J$2:$J$2701,M$1)</f>
        <v>0</v>
      </c>
      <c r="N30" s="75">
        <f>SUMIFS('март 2026'!$G$2:$G$2701,'март 2026'!$D$2:$D$2701,$B30,'март 2026'!$J$2:$J$2701,N$1)</f>
        <v>0</v>
      </c>
      <c r="O30" s="75">
        <f>SUMIFS('март 2026'!$G$2:$G$2701,'март 2026'!$D$2:$D$2701,$B30,'март 2026'!$J$2:$J$2701,O$1)</f>
        <v>0</v>
      </c>
      <c r="P30" s="75">
        <f>SUMIFS('март 2026'!$G$2:$G$2701,'март 2026'!$D$2:$D$2701,$B30,'март 2026'!$J$2:$J$2701,P$1)</f>
        <v>0</v>
      </c>
      <c r="Q30" s="75">
        <f>SUMIFS('март 2026'!$G$2:$G$2701,'март 2026'!$D$2:$D$2701,$B30,'март 2026'!$J$2:$J$2701,Q$1)</f>
        <v>0</v>
      </c>
      <c r="R30" s="75">
        <f>SUMIFS('март 2026'!$G$2:$G$2701,'март 2026'!$D$2:$D$2701,$B30,'март 2026'!$J$2:$J$2701,R$1)</f>
        <v>0</v>
      </c>
      <c r="S30" s="75">
        <f>SUMIFS('март 2026'!$G$2:$G$2701,'март 2026'!$D$2:$D$2701,$B30,'март 2026'!$J$2:$J$2701,S$1)</f>
        <v>0</v>
      </c>
      <c r="T30" s="75">
        <f>SUMIFS('март 2026'!$G$2:$G$2701,'март 2026'!$D$2:$D$2701,$B30,'март 2026'!$J$2:$J$2701,T$1)</f>
        <v>0</v>
      </c>
      <c r="U30" s="75">
        <f>SUMIFS('март 2026'!$G$2:$G$2701,'март 2026'!$D$2:$D$2701,$B30,'март 2026'!$J$2:$J$2701,U$1)</f>
        <v>0</v>
      </c>
      <c r="V30" s="75">
        <f>SUMIFS('март 2026'!$G$2:$G$2701,'март 2026'!$D$2:$D$2701,$B30,'март 2026'!$J$2:$J$2701,V$1)</f>
        <v>0</v>
      </c>
      <c r="W30" s="75">
        <f>SUMIFS('март 2026'!$G$2:$G$2701,'март 2026'!$D$2:$D$2701,$B30,'март 2026'!$J$2:$J$2701,W$1)</f>
        <v>0</v>
      </c>
      <c r="X30" s="75">
        <f>SUMIFS('март 2026'!$G$2:$G$2701,'март 2026'!$D$2:$D$2701,$B30,'март 2026'!$J$2:$J$2701,X$1)</f>
        <v>0</v>
      </c>
      <c r="Y30" s="75">
        <f>SUMIFS('март 2026'!$G$2:$G$2701,'март 2026'!$D$2:$D$2701,$B30,'март 2026'!$J$2:$J$2701,Y$1)</f>
        <v>0</v>
      </c>
      <c r="Z30" s="75">
        <f>SUMIFS('март 2026'!$G$2:$G$2701,'март 2026'!$D$2:$D$2701,$B30,'март 2026'!$J$2:$J$2701,Z$1)</f>
        <v>0</v>
      </c>
      <c r="AA30" s="75">
        <f>SUMIFS('март 2026'!$G$2:$G$2701,'март 2026'!$D$2:$D$2701,$B30,'март 2026'!$J$2:$J$2701,AA$1)</f>
        <v>0</v>
      </c>
      <c r="AB30" s="75">
        <f>SUMIFS('март 2026'!$G$2:$G$2701,'март 2026'!$D$2:$D$2701,$B30,'март 2026'!$J$2:$J$2701,AB$1)</f>
        <v>0</v>
      </c>
      <c r="AC30" s="75">
        <f>SUMIFS('март 2026'!$G$2:$G$2701,'март 2026'!$D$2:$D$2701,$B30,'март 2026'!$J$2:$J$2701,AC$1)</f>
        <v>0</v>
      </c>
      <c r="AD30" s="75">
        <f>SUMIFS('март 2026'!$G$2:$G$2701,'март 2026'!$D$2:$D$2701,$B30,'март 2026'!$J$2:$J$2701,AD$1)</f>
        <v>0</v>
      </c>
      <c r="AE30" s="75">
        <f>SUMIFS('март 2026'!$G$2:$G$2701,'март 2026'!$D$2:$D$2701,$B30,'март 2026'!$J$2:$J$2701,AE$1)</f>
        <v>0</v>
      </c>
      <c r="AF30" s="75">
        <f>SUMIFS('март 2026'!$G$2:$G$2701,'март 2026'!$D$2:$D$2701,$B30,'март 2026'!$J$2:$J$2701,AF$1)</f>
        <v>0</v>
      </c>
      <c r="AG30" s="75">
        <f>SUMIFS('март 2026'!$G$2:$G$2701,'март 2026'!$D$2:$D$2701,$B30,'март 2026'!$J$2:$J$2701,AG$1)</f>
        <v>0</v>
      </c>
      <c r="AH30" s="75">
        <f>SUMIFS('март 2026'!$G$2:$G$2701,'март 2026'!$D$2:$D$2701,$B30,'март 2026'!$J$2:$J$2701,AH$1)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SUMIFS('февраль 2026'!$G$2:$G$2649,'февраль 2026'!$D$2:$D$2649,$B31,'февраль 2026'!$J$2:$J$2649,D$1)</f>
        <v>0</v>
      </c>
      <c r="E31" s="75">
        <f>SUMIFS('февраль 2026'!$G$2:$G$2649,'февраль 2026'!$D$2:$D$2649,$B31,'февраль 2026'!$J$2:$J$2649,E$1)</f>
        <v>0</v>
      </c>
      <c r="F31" s="75">
        <f>SUMIFS('февраль 2026'!$G$2:$G$2649,'февраль 2026'!$D$2:$D$2649,$B31,'февраль 2026'!$J$2:$J$2649,F$1)</f>
        <v>0</v>
      </c>
      <c r="G31" s="75">
        <f>SUMIFS('февраль 2026'!$G$2:$G$2649,'февраль 2026'!$D$2:$D$2649,$B31,'февраль 2026'!$J$2:$J$2649,G$1)</f>
        <v>0</v>
      </c>
      <c r="H31" s="75">
        <f>SUMIFS('февраль 2026'!$G$2:$G$2649,'февраль 2026'!$D$2:$D$2649,$B31,'февраль 2026'!$J$2:$J$2649,H$1)</f>
        <v>0</v>
      </c>
      <c r="I31" s="75">
        <f>SUMIFS('февраль 2026'!$G$2:$G$2649,'февраль 2026'!$D$2:$D$2649,$B31,'февраль 2026'!$J$2:$J$2649,I$1)</f>
        <v>0</v>
      </c>
      <c r="J31" s="75">
        <f>SUMIFS('февраль 2026'!$G$2:$G$2649,'февраль 2026'!$D$2:$D$2649,$B31,'февраль 2026'!$J$2:$J$2649,J$1)</f>
        <v>0</v>
      </c>
      <c r="K31" s="75">
        <f>SUMIFS('февраль 2026'!$G$2:$G$2649,'февраль 2026'!$D$2:$D$2649,$B31,'февраль 2026'!$J$2:$J$2649,K$1)</f>
        <v>0</v>
      </c>
      <c r="L31" s="75">
        <f>SUMIFS('февраль 2026'!$G$2:$G$2649,'февраль 2026'!$D$2:$D$2649,$B31,'февраль 2026'!$J$2:$J$2649,L$1)</f>
        <v>0</v>
      </c>
      <c r="M31" s="75">
        <f>SUMIFS('февраль 2026'!$G$2:$G$2649,'февраль 2026'!$D$2:$D$2649,$B31,'февраль 2026'!$J$2:$J$2649,M$1)</f>
        <v>0</v>
      </c>
      <c r="N31" s="75">
        <f>SUMIFS('февраль 2026'!$G$2:$G$2649,'февраль 2026'!$D$2:$D$2649,$B31,'февраль 2026'!$J$2:$J$2649,N$1)</f>
        <v>0</v>
      </c>
      <c r="O31" s="75">
        <f>SUMIFS('февраль 2026'!$G$2:$G$2649,'февраль 2026'!$D$2:$D$2649,$B31,'февраль 2026'!$J$2:$J$2649,O$1)</f>
        <v>0</v>
      </c>
      <c r="P31" s="75">
        <f>SUMIFS('февраль 2026'!$G$2:$G$2649,'февраль 2026'!$D$2:$D$2649,$B31,'февраль 2026'!$J$2:$J$2649,P$1)</f>
        <v>0</v>
      </c>
      <c r="Q31" s="75">
        <f>SUMIFS('февраль 2026'!$G$2:$G$2649,'февраль 2026'!$D$2:$D$2649,$B31,'февраль 2026'!$J$2:$J$2649,Q$1)</f>
        <v>0</v>
      </c>
      <c r="R31" s="75">
        <f>SUMIFS('февраль 2026'!$G$2:$G$2649,'февраль 2026'!$D$2:$D$2649,$B31,'февраль 2026'!$J$2:$J$2649,R$1)</f>
        <v>0</v>
      </c>
      <c r="S31" s="75">
        <f>SUMIFS('февраль 2026'!$G$2:$G$2649,'февраль 2026'!$D$2:$D$2649,$B31,'февраль 2026'!$J$2:$J$2649,S$1)</f>
        <v>0</v>
      </c>
      <c r="T31" s="75">
        <f>SUMIFS('февраль 2026'!$G$2:$G$2649,'февраль 2026'!$D$2:$D$2649,$B31,'февраль 2026'!$J$2:$J$2649,T$1)</f>
        <v>0</v>
      </c>
      <c r="U31" s="75">
        <f>SUMIFS('февраль 2026'!$G$2:$G$2649,'февраль 2026'!$D$2:$D$2649,$B31,'февраль 2026'!$J$2:$J$2649,U$1)</f>
        <v>0</v>
      </c>
      <c r="V31" s="75">
        <f>SUMIFS('февраль 2026'!$G$2:$G$2649,'февраль 2026'!$D$2:$D$2649,$B31,'февраль 2026'!$J$2:$J$2649,V$1)</f>
        <v>0</v>
      </c>
      <c r="W31" s="75">
        <f>SUMIFS('февраль 2026'!$G$2:$G$2649,'февраль 2026'!$D$2:$D$2649,$B31,'февраль 2026'!$J$2:$J$2649,W$1)</f>
        <v>0</v>
      </c>
      <c r="X31" s="75">
        <f>SUMIFS('февраль 2026'!$G$2:$G$2649,'февраль 2026'!$D$2:$D$2649,$B31,'февраль 2026'!$J$2:$J$2649,X$1)</f>
        <v>0</v>
      </c>
      <c r="Y31" s="75">
        <f>SUMIFS('февраль 2026'!$G$2:$G$2649,'февраль 2026'!$D$2:$D$2649,$B31,'февраль 2026'!$J$2:$J$2649,Y$1)</f>
        <v>0</v>
      </c>
      <c r="Z31" s="75">
        <f>SUMIFS('февраль 2026'!$G$2:$G$2649,'февраль 2026'!$D$2:$D$2649,$B31,'февраль 2026'!$J$2:$J$2649,Z$1)</f>
        <v>0</v>
      </c>
      <c r="AA31" s="75">
        <f>SUMIFS('февраль 2026'!$G$2:$G$2649,'февраль 2026'!$D$2:$D$2649,$B31,'февраль 2026'!$J$2:$J$2649,AA$1)</f>
        <v>0</v>
      </c>
      <c r="AB31" s="75">
        <f>SUMIFS('февраль 2026'!$G$2:$G$2649,'февраль 2026'!$D$2:$D$2649,$B31,'февраль 2026'!$J$2:$J$2649,AB$1)</f>
        <v>0</v>
      </c>
      <c r="AC31" s="75">
        <f>SUMIFS('февраль 2026'!$G$2:$G$2649,'февраль 2026'!$D$2:$D$2649,$B31,'февраль 2026'!$J$2:$J$2649,AC$1)</f>
        <v>0</v>
      </c>
      <c r="AD31" s="75">
        <f>SUMIFS('февраль 2026'!$G$2:$G$2649,'февраль 2026'!$D$2:$D$2649,$B31,'февраль 2026'!$J$2:$J$2649,AD$1)</f>
        <v>0</v>
      </c>
      <c r="AE31" s="75">
        <f>SUMIFS('февраль 2026'!$G$2:$G$2649,'февраль 2026'!$D$2:$D$2649,$B31,'февраль 2026'!$J$2:$J$2649,AE$1)</f>
        <v>0</v>
      </c>
      <c r="AF31" s="75">
        <f>SUMIFS('февраль 2026'!$G$2:$G$2649,'февраль 2026'!$D$2:$D$2649,$B31,'февраль 2026'!$J$2:$J$2649,AF$1)</f>
        <v>0</v>
      </c>
      <c r="AG31" s="75">
        <f>SUMIFS('февраль 2026'!$G$2:$G$2649,'февраль 2026'!$D$2:$D$2649,$B31,'февраль 2026'!$J$2:$J$2649,AG$1)</f>
        <v>0</v>
      </c>
      <c r="AH31" s="75">
        <f>SUMIFS('февраль 2026'!$G$2:$G$2649,'февраль 2026'!$D$2:$D$2649,$B31,'февраль 2026'!$J$2:$J$2649,AH$1)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SUMIFS('февраль 2026'!$G$2:$G$2649,'февраль 2026'!$D$2:$D$2649,$B32,'февраль 2026'!$J$2:$J$2649,D$1)</f>
        <v>0</v>
      </c>
      <c r="E32" s="75">
        <f>SUMIFS('февраль 2026'!$G$2:$G$2649,'февраль 2026'!$D$2:$D$2649,$B32,'февраль 2026'!$J$2:$J$2649,E$1)</f>
        <v>0</v>
      </c>
      <c r="F32" s="75">
        <f>SUMIFS('февраль 2026'!$G$2:$G$2649,'февраль 2026'!$D$2:$D$2649,$B32,'февраль 2026'!$J$2:$J$2649,F$1)</f>
        <v>0</v>
      </c>
      <c r="G32" s="75">
        <f>SUMIFS('февраль 2026'!$G$2:$G$2649,'февраль 2026'!$D$2:$D$2649,$B32,'февраль 2026'!$J$2:$J$2649,G$1)</f>
        <v>0</v>
      </c>
      <c r="H32" s="75">
        <f>SUMIFS('февраль 2026'!$G$2:$G$2649,'февраль 2026'!$D$2:$D$2649,$B32,'февраль 2026'!$J$2:$J$2649,H$1)</f>
        <v>0</v>
      </c>
      <c r="I32" s="75">
        <f>SUMIFS('февраль 2026'!$G$2:$G$2649,'февраль 2026'!$D$2:$D$2649,$B32,'февраль 2026'!$J$2:$J$2649,I$1)</f>
        <v>0</v>
      </c>
      <c r="J32" s="75">
        <f>SUMIFS('февраль 2026'!$G$2:$G$2649,'февраль 2026'!$D$2:$D$2649,$B32,'февраль 2026'!$J$2:$J$2649,J$1)</f>
        <v>0</v>
      </c>
      <c r="K32" s="75">
        <f>SUMIFS('февраль 2026'!$G$2:$G$2649,'февраль 2026'!$D$2:$D$2649,$B32,'февраль 2026'!$J$2:$J$2649,K$1)</f>
        <v>0</v>
      </c>
      <c r="L32" s="75">
        <f>SUMIFS('февраль 2026'!$G$2:$G$2649,'февраль 2026'!$D$2:$D$2649,$B32,'февраль 2026'!$J$2:$J$2649,L$1)</f>
        <v>0</v>
      </c>
      <c r="M32" s="75">
        <f>SUMIFS('февраль 2026'!$G$2:$G$2649,'февраль 2026'!$D$2:$D$2649,$B32,'февраль 2026'!$J$2:$J$2649,M$1)</f>
        <v>0</v>
      </c>
      <c r="N32" s="75">
        <f>SUMIFS('февраль 2026'!$G$2:$G$2649,'февраль 2026'!$D$2:$D$2649,$B32,'февраль 2026'!$J$2:$J$2649,N$1)</f>
        <v>0</v>
      </c>
      <c r="O32" s="75">
        <f>SUMIFS('февраль 2026'!$G$2:$G$2649,'февраль 2026'!$D$2:$D$2649,$B32,'февраль 2026'!$J$2:$J$2649,O$1)</f>
        <v>0</v>
      </c>
      <c r="P32" s="75">
        <f>SUMIFS('февраль 2026'!$G$2:$G$2649,'февраль 2026'!$D$2:$D$2649,$B32,'февраль 2026'!$J$2:$J$2649,P$1)</f>
        <v>0</v>
      </c>
      <c r="Q32" s="75">
        <f>SUMIFS('февраль 2026'!$G$2:$G$2649,'февраль 2026'!$D$2:$D$2649,$B32,'февраль 2026'!$J$2:$J$2649,Q$1)</f>
        <v>0</v>
      </c>
      <c r="R32" s="75">
        <f>SUMIFS('февраль 2026'!$G$2:$G$2649,'февраль 2026'!$D$2:$D$2649,$B32,'февраль 2026'!$J$2:$J$2649,R$1)</f>
        <v>0</v>
      </c>
      <c r="S32" s="75">
        <f>SUMIFS('февраль 2026'!$G$2:$G$2649,'февраль 2026'!$D$2:$D$2649,$B32,'февраль 2026'!$J$2:$J$2649,S$1)</f>
        <v>0</v>
      </c>
      <c r="T32" s="75">
        <f>SUMIFS('февраль 2026'!$G$2:$G$2649,'февраль 2026'!$D$2:$D$2649,$B32,'февраль 2026'!$J$2:$J$2649,T$1)</f>
        <v>0</v>
      </c>
      <c r="U32" s="75">
        <f>SUMIFS('февраль 2026'!$G$2:$G$2649,'февраль 2026'!$D$2:$D$2649,$B32,'февраль 2026'!$J$2:$J$2649,U$1)</f>
        <v>0</v>
      </c>
      <c r="V32" s="75">
        <f>SUMIFS('февраль 2026'!$G$2:$G$2649,'февраль 2026'!$D$2:$D$2649,$B32,'февраль 2026'!$J$2:$J$2649,V$1)</f>
        <v>0</v>
      </c>
      <c r="W32" s="75">
        <f>SUMIFS('февраль 2026'!$G$2:$G$2649,'февраль 2026'!$D$2:$D$2649,$B32,'февраль 2026'!$J$2:$J$2649,W$1)</f>
        <v>0</v>
      </c>
      <c r="X32" s="75">
        <f>SUMIFS('февраль 2026'!$G$2:$G$2649,'февраль 2026'!$D$2:$D$2649,$B32,'февраль 2026'!$J$2:$J$2649,X$1)</f>
        <v>0</v>
      </c>
      <c r="Y32" s="75">
        <f>SUMIFS('февраль 2026'!$G$2:$G$2649,'февраль 2026'!$D$2:$D$2649,$B32,'февраль 2026'!$J$2:$J$2649,Y$1)</f>
        <v>0</v>
      </c>
      <c r="Z32" s="75">
        <f>SUMIFS('февраль 2026'!$G$2:$G$2649,'февраль 2026'!$D$2:$D$2649,$B32,'февраль 2026'!$J$2:$J$2649,Z$1)</f>
        <v>0</v>
      </c>
      <c r="AA32" s="75">
        <f>SUMIFS('февраль 2026'!$G$2:$G$2649,'февраль 2026'!$D$2:$D$2649,$B32,'февраль 2026'!$J$2:$J$2649,AA$1)</f>
        <v>0</v>
      </c>
      <c r="AB32" s="75">
        <f>SUMIFS('февраль 2026'!$G$2:$G$2649,'февраль 2026'!$D$2:$D$2649,$B32,'февраль 2026'!$J$2:$J$2649,AB$1)</f>
        <v>0</v>
      </c>
      <c r="AC32" s="75">
        <f>SUMIFS('февраль 2026'!$G$2:$G$2649,'февраль 2026'!$D$2:$D$2649,$B32,'февраль 2026'!$J$2:$J$2649,AC$1)</f>
        <v>0</v>
      </c>
      <c r="AD32" s="75">
        <f>SUMIFS('февраль 2026'!$G$2:$G$2649,'февраль 2026'!$D$2:$D$2649,$B32,'февраль 2026'!$J$2:$J$2649,AD$1)</f>
        <v>0</v>
      </c>
      <c r="AE32" s="75">
        <f>SUMIFS('февраль 2026'!$G$2:$G$2649,'февраль 2026'!$D$2:$D$2649,$B32,'февраль 2026'!$J$2:$J$2649,AE$1)</f>
        <v>0</v>
      </c>
      <c r="AF32" s="75">
        <f>SUMIFS('февраль 2026'!$G$2:$G$2649,'февраль 2026'!$D$2:$D$2649,$B32,'февраль 2026'!$J$2:$J$2649,AF$1)</f>
        <v>0</v>
      </c>
      <c r="AG32" s="75">
        <f>SUMIFS('февраль 2026'!$G$2:$G$2649,'февраль 2026'!$D$2:$D$2649,$B32,'февраль 2026'!$J$2:$J$2649,AG$1)</f>
        <v>0</v>
      </c>
      <c r="AH32" s="75">
        <f>SUMIFS('февраль 2026'!$G$2:$G$2649,'февраль 2026'!$D$2:$D$2649,$B32,'февраль 2026'!$J$2:$J$2649,AH$1)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SUMIFS('февраль 2026'!$G$2:$G$2649,'февраль 2026'!$D$2:$D$2649,$B33,'февраль 2026'!$J$2:$J$2649,D$1)</f>
        <v>0</v>
      </c>
      <c r="E33" s="75">
        <f>SUMIFS('февраль 2026'!$G$2:$G$2649,'февраль 2026'!$D$2:$D$2649,$B33,'февраль 2026'!$J$2:$J$2649,E$1)</f>
        <v>0</v>
      </c>
      <c r="F33" s="75">
        <f>SUMIFS('февраль 2026'!$G$2:$G$2649,'февраль 2026'!$D$2:$D$2649,$B33,'февраль 2026'!$J$2:$J$2649,F$1)</f>
        <v>0</v>
      </c>
      <c r="G33" s="75">
        <f>SUMIFS('февраль 2026'!$G$2:$G$2649,'февраль 2026'!$D$2:$D$2649,$B33,'февраль 2026'!$J$2:$J$2649,G$1)</f>
        <v>0</v>
      </c>
      <c r="H33" s="75">
        <f>SUMIFS('февраль 2026'!$G$2:$G$2649,'февраль 2026'!$D$2:$D$2649,$B33,'февраль 2026'!$J$2:$J$2649,H$1)</f>
        <v>0</v>
      </c>
      <c r="I33" s="75">
        <f>SUMIFS('февраль 2026'!$G$2:$G$2649,'февраль 2026'!$D$2:$D$2649,$B33,'февраль 2026'!$J$2:$J$2649,I$1)</f>
        <v>0</v>
      </c>
      <c r="J33" s="75">
        <f>SUMIFS('февраль 2026'!$G$2:$G$2649,'февраль 2026'!$D$2:$D$2649,$B33,'февраль 2026'!$J$2:$J$2649,J$1)</f>
        <v>0</v>
      </c>
      <c r="K33" s="75">
        <f>SUMIFS('февраль 2026'!$G$2:$G$2649,'февраль 2026'!$D$2:$D$2649,$B33,'февраль 2026'!$J$2:$J$2649,K$1)</f>
        <v>0</v>
      </c>
      <c r="L33" s="75">
        <f>SUMIFS('февраль 2026'!$G$2:$G$2649,'февраль 2026'!$D$2:$D$2649,$B33,'февраль 2026'!$J$2:$J$2649,L$1)</f>
        <v>0</v>
      </c>
      <c r="M33" s="75">
        <f>SUMIFS('февраль 2026'!$G$2:$G$2649,'февраль 2026'!$D$2:$D$2649,$B33,'февраль 2026'!$J$2:$J$2649,M$1)</f>
        <v>0</v>
      </c>
      <c r="N33" s="75">
        <f>SUMIFS('февраль 2026'!$G$2:$G$2649,'февраль 2026'!$D$2:$D$2649,$B33,'февраль 2026'!$J$2:$J$2649,N$1)</f>
        <v>0</v>
      </c>
      <c r="O33" s="75">
        <f>SUMIFS('февраль 2026'!$G$2:$G$2649,'февраль 2026'!$D$2:$D$2649,$B33,'февраль 2026'!$J$2:$J$2649,O$1)</f>
        <v>0</v>
      </c>
      <c r="P33" s="75">
        <f>SUMIFS('февраль 2026'!$G$2:$G$2649,'февраль 2026'!$D$2:$D$2649,$B33,'февраль 2026'!$J$2:$J$2649,P$1)</f>
        <v>0</v>
      </c>
      <c r="Q33" s="75">
        <f>SUMIFS('февраль 2026'!$G$2:$G$2649,'февраль 2026'!$D$2:$D$2649,$B33,'февраль 2026'!$J$2:$J$2649,Q$1)</f>
        <v>0</v>
      </c>
      <c r="R33" s="75">
        <f>SUMIFS('февраль 2026'!$G$2:$G$2649,'февраль 2026'!$D$2:$D$2649,$B33,'февраль 2026'!$J$2:$J$2649,R$1)</f>
        <v>0</v>
      </c>
      <c r="S33" s="75">
        <f>SUMIFS('февраль 2026'!$G$2:$G$2649,'февраль 2026'!$D$2:$D$2649,$B33,'февраль 2026'!$J$2:$J$2649,S$1)</f>
        <v>0</v>
      </c>
      <c r="T33" s="75">
        <f>SUMIFS('февраль 2026'!$G$2:$G$2649,'февраль 2026'!$D$2:$D$2649,$B33,'февраль 2026'!$J$2:$J$2649,T$1)</f>
        <v>0</v>
      </c>
      <c r="U33" s="75">
        <f>SUMIFS('февраль 2026'!$G$2:$G$2649,'февраль 2026'!$D$2:$D$2649,$B33,'февраль 2026'!$J$2:$J$2649,U$1)</f>
        <v>0</v>
      </c>
      <c r="V33" s="75">
        <f>SUMIFS('февраль 2026'!$G$2:$G$2649,'февраль 2026'!$D$2:$D$2649,$B33,'февраль 2026'!$J$2:$J$2649,V$1)</f>
        <v>0</v>
      </c>
      <c r="W33" s="75">
        <f>SUMIFS('февраль 2026'!$G$2:$G$2649,'февраль 2026'!$D$2:$D$2649,$B33,'февраль 2026'!$J$2:$J$2649,W$1)</f>
        <v>0</v>
      </c>
      <c r="X33" s="75">
        <f>SUMIFS('февраль 2026'!$G$2:$G$2649,'февраль 2026'!$D$2:$D$2649,$B33,'февраль 2026'!$J$2:$J$2649,X$1)</f>
        <v>0</v>
      </c>
      <c r="Y33" s="75">
        <f>SUMIFS('февраль 2026'!$G$2:$G$2649,'февраль 2026'!$D$2:$D$2649,$B33,'февраль 2026'!$J$2:$J$2649,Y$1)</f>
        <v>0</v>
      </c>
      <c r="Z33" s="75">
        <f>SUMIFS('февраль 2026'!$G$2:$G$2649,'февраль 2026'!$D$2:$D$2649,$B33,'февраль 2026'!$J$2:$J$2649,Z$1)</f>
        <v>0</v>
      </c>
      <c r="AA33" s="75">
        <f>SUMIFS('февраль 2026'!$G$2:$G$2649,'февраль 2026'!$D$2:$D$2649,$B33,'февраль 2026'!$J$2:$J$2649,AA$1)</f>
        <v>0</v>
      </c>
      <c r="AB33" s="75">
        <f>SUMIFS('февраль 2026'!$G$2:$G$2649,'февраль 2026'!$D$2:$D$2649,$B33,'февраль 2026'!$J$2:$J$2649,AB$1)</f>
        <v>0</v>
      </c>
      <c r="AC33" s="75">
        <f>SUMIFS('февраль 2026'!$G$2:$G$2649,'февраль 2026'!$D$2:$D$2649,$B33,'февраль 2026'!$J$2:$J$2649,AC$1)</f>
        <v>0</v>
      </c>
      <c r="AD33" s="75">
        <f>SUMIFS('февраль 2026'!$G$2:$G$2649,'февраль 2026'!$D$2:$D$2649,$B33,'февраль 2026'!$J$2:$J$2649,AD$1)</f>
        <v>0</v>
      </c>
      <c r="AE33" s="75">
        <f>SUMIFS('февраль 2026'!$G$2:$G$2649,'февраль 2026'!$D$2:$D$2649,$B33,'февраль 2026'!$J$2:$J$2649,AE$1)</f>
        <v>0</v>
      </c>
      <c r="AF33" s="75">
        <f>SUMIFS('февраль 2026'!$G$2:$G$2649,'февраль 2026'!$D$2:$D$2649,$B33,'февраль 2026'!$J$2:$J$2649,AF$1)</f>
        <v>0</v>
      </c>
      <c r="AG33" s="75">
        <f>SUMIFS('февраль 2026'!$G$2:$G$2649,'февраль 2026'!$D$2:$D$2649,$B33,'февраль 2026'!$J$2:$J$2649,AG$1)</f>
        <v>0</v>
      </c>
      <c r="AH33" s="75">
        <f>SUMIFS('февраль 2026'!$G$2:$G$2649,'февраль 2026'!$D$2:$D$2649,$B33,'февраль 2026'!$J$2:$J$2649,AH$1)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SUMIFS('февраль 2026'!$G$2:$G$2649,'февраль 2026'!$D$2:$D$2649,$B34,'февраль 2026'!$J$2:$J$2649,D$1)</f>
        <v>0</v>
      </c>
      <c r="E34" s="75">
        <f>SUMIFS('февраль 2026'!$G$2:$G$2649,'февраль 2026'!$D$2:$D$2649,$B34,'февраль 2026'!$J$2:$J$2649,E$1)</f>
        <v>0</v>
      </c>
      <c r="F34" s="75">
        <f>SUMIFS('февраль 2026'!$G$2:$G$2649,'февраль 2026'!$D$2:$D$2649,$B34,'февраль 2026'!$J$2:$J$2649,F$1)</f>
        <v>0</v>
      </c>
      <c r="G34" s="75">
        <f>SUMIFS('февраль 2026'!$G$2:$G$2649,'февраль 2026'!$D$2:$D$2649,$B34,'февраль 2026'!$J$2:$J$2649,G$1)</f>
        <v>0</v>
      </c>
      <c r="H34" s="75">
        <f>SUMIFS('февраль 2026'!$G$2:$G$2649,'февраль 2026'!$D$2:$D$2649,$B34,'февраль 2026'!$J$2:$J$2649,H$1)</f>
        <v>0</v>
      </c>
      <c r="I34" s="75">
        <f>SUMIFS('февраль 2026'!$G$2:$G$2649,'февраль 2026'!$D$2:$D$2649,$B34,'февраль 2026'!$J$2:$J$2649,I$1)</f>
        <v>0</v>
      </c>
      <c r="J34" s="75">
        <f>SUMIFS('февраль 2026'!$G$2:$G$2649,'февраль 2026'!$D$2:$D$2649,$B34,'февраль 2026'!$J$2:$J$2649,J$1)</f>
        <v>0</v>
      </c>
      <c r="K34" s="75">
        <f>SUMIFS('февраль 2026'!$G$2:$G$2649,'февраль 2026'!$D$2:$D$2649,$B34,'февраль 2026'!$J$2:$J$2649,K$1)</f>
        <v>0</v>
      </c>
      <c r="L34" s="75">
        <f>SUMIFS('февраль 2026'!$G$2:$G$2649,'февраль 2026'!$D$2:$D$2649,$B34,'февраль 2026'!$J$2:$J$2649,L$1)</f>
        <v>0</v>
      </c>
      <c r="M34" s="75">
        <f>SUMIFS('февраль 2026'!$G$2:$G$2649,'февраль 2026'!$D$2:$D$2649,$B34,'февраль 2026'!$J$2:$J$2649,M$1)</f>
        <v>0</v>
      </c>
      <c r="N34" s="75">
        <f>SUMIFS('февраль 2026'!$G$2:$G$2649,'февраль 2026'!$D$2:$D$2649,$B34,'февраль 2026'!$J$2:$J$2649,N$1)</f>
        <v>0</v>
      </c>
      <c r="O34" s="75">
        <f>SUMIFS('февраль 2026'!$G$2:$G$2649,'февраль 2026'!$D$2:$D$2649,$B34,'февраль 2026'!$J$2:$J$2649,O$1)</f>
        <v>0</v>
      </c>
      <c r="P34" s="75">
        <f>SUMIFS('февраль 2026'!$G$2:$G$2649,'февраль 2026'!$D$2:$D$2649,$B34,'февраль 2026'!$J$2:$J$2649,P$1)</f>
        <v>0</v>
      </c>
      <c r="Q34" s="75">
        <f>SUMIFS('февраль 2026'!$G$2:$G$2649,'февраль 2026'!$D$2:$D$2649,$B34,'февраль 2026'!$J$2:$J$2649,Q$1)</f>
        <v>0</v>
      </c>
      <c r="R34" s="75">
        <f>SUMIFS('февраль 2026'!$G$2:$G$2649,'февраль 2026'!$D$2:$D$2649,$B34,'февраль 2026'!$J$2:$J$2649,R$1)</f>
        <v>0</v>
      </c>
      <c r="S34" s="75">
        <f>SUMIFS('февраль 2026'!$G$2:$G$2649,'февраль 2026'!$D$2:$D$2649,$B34,'февраль 2026'!$J$2:$J$2649,S$1)</f>
        <v>0</v>
      </c>
      <c r="T34" s="75">
        <f>SUMIFS('февраль 2026'!$G$2:$G$2649,'февраль 2026'!$D$2:$D$2649,$B34,'февраль 2026'!$J$2:$J$2649,T$1)</f>
        <v>0</v>
      </c>
      <c r="U34" s="75">
        <f>SUMIFS('февраль 2026'!$G$2:$G$2649,'февраль 2026'!$D$2:$D$2649,$B34,'февраль 2026'!$J$2:$J$2649,U$1)</f>
        <v>0</v>
      </c>
      <c r="V34" s="75">
        <f>SUMIFS('февраль 2026'!$G$2:$G$2649,'февраль 2026'!$D$2:$D$2649,$B34,'февраль 2026'!$J$2:$J$2649,V$1)</f>
        <v>0</v>
      </c>
      <c r="W34" s="75">
        <f>SUMIFS('февраль 2026'!$G$2:$G$2649,'февраль 2026'!$D$2:$D$2649,$B34,'февраль 2026'!$J$2:$J$2649,W$1)</f>
        <v>0</v>
      </c>
      <c r="X34" s="75">
        <f>SUMIFS('февраль 2026'!$G$2:$G$2649,'февраль 2026'!$D$2:$D$2649,$B34,'февраль 2026'!$J$2:$J$2649,X$1)</f>
        <v>0</v>
      </c>
      <c r="Y34" s="75">
        <f>SUMIFS('февраль 2026'!$G$2:$G$2649,'февраль 2026'!$D$2:$D$2649,$B34,'февраль 2026'!$J$2:$J$2649,Y$1)</f>
        <v>0</v>
      </c>
      <c r="Z34" s="75">
        <f>SUMIFS('февраль 2026'!$G$2:$G$2649,'февраль 2026'!$D$2:$D$2649,$B34,'февраль 2026'!$J$2:$J$2649,Z$1)</f>
        <v>0</v>
      </c>
      <c r="AA34" s="75">
        <f>SUMIFS('февраль 2026'!$G$2:$G$2649,'февраль 2026'!$D$2:$D$2649,$B34,'февраль 2026'!$J$2:$J$2649,AA$1)</f>
        <v>0</v>
      </c>
      <c r="AB34" s="75">
        <f>SUMIFS('февраль 2026'!$G$2:$G$2649,'февраль 2026'!$D$2:$D$2649,$B34,'февраль 2026'!$J$2:$J$2649,AB$1)</f>
        <v>0</v>
      </c>
      <c r="AC34" s="75">
        <f>SUMIFS('февраль 2026'!$G$2:$G$2649,'февраль 2026'!$D$2:$D$2649,$B34,'февраль 2026'!$J$2:$J$2649,AC$1)</f>
        <v>0</v>
      </c>
      <c r="AD34" s="75">
        <f>SUMIFS('февраль 2026'!$G$2:$G$2649,'февраль 2026'!$D$2:$D$2649,$B34,'февраль 2026'!$J$2:$J$2649,AD$1)</f>
        <v>0</v>
      </c>
      <c r="AE34" s="75">
        <f>SUMIFS('февраль 2026'!$G$2:$G$2649,'февраль 2026'!$D$2:$D$2649,$B34,'февраль 2026'!$J$2:$J$2649,AE$1)</f>
        <v>0</v>
      </c>
      <c r="AF34" s="75">
        <f>SUMIFS('февраль 2026'!$G$2:$G$2649,'февраль 2026'!$D$2:$D$2649,$B34,'февраль 2026'!$J$2:$J$2649,AF$1)</f>
        <v>0</v>
      </c>
      <c r="AG34" s="75">
        <f>SUMIFS('февраль 2026'!$G$2:$G$2649,'февраль 2026'!$D$2:$D$2649,$B34,'февраль 2026'!$J$2:$J$2649,AG$1)</f>
        <v>0</v>
      </c>
      <c r="AH34" s="75">
        <f>SUMIFS('февраль 2026'!$G$2:$G$2649,'февраль 2026'!$D$2:$D$2649,$B34,'февраль 2026'!$J$2:$J$2649,AH$1)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SUMIFS('март 2026'!$G$2:$G$2701,'март 2026'!$D$2:$D$2701,$B35,'март 2026'!$J$2:$J$2701,D$1)</f>
        <v>0</v>
      </c>
      <c r="E35" s="143">
        <f>SUMIFS('март 2026'!$G$2:$G$2701,'март 2026'!$D$2:$D$2701,$B35,'март 2026'!$J$2:$J$2701,E$1)</f>
        <v>0</v>
      </c>
      <c r="F35" s="143">
        <f>SUMIFS('март 2026'!$G$2:$G$2701,'март 2026'!$D$2:$D$2701,$B35,'март 2026'!$J$2:$J$2701,F$1)</f>
        <v>0</v>
      </c>
      <c r="G35" s="143">
        <f>SUMIFS('март 2026'!$G$2:$G$2701,'март 2026'!$D$2:$D$2701,$B35,'март 2026'!$J$2:$J$2701,G$1)</f>
        <v>0</v>
      </c>
      <c r="H35" s="143">
        <f>SUMIFS('март 2026'!$G$2:$G$2701,'март 2026'!$D$2:$D$2701,$B35,'март 2026'!$J$2:$J$2701,H$1)</f>
        <v>0</v>
      </c>
      <c r="I35" s="143">
        <f>SUMIFS('март 2026'!$G$2:$G$2701,'март 2026'!$D$2:$D$2701,$B35,'март 2026'!$J$2:$J$2701,I$1)</f>
        <v>0</v>
      </c>
      <c r="J35" s="143">
        <f>SUMIFS('март 2026'!$G$2:$G$2701,'март 2026'!$D$2:$D$2701,$B35,'март 2026'!$J$2:$J$2701,J$1)</f>
        <v>0</v>
      </c>
      <c r="K35" s="143">
        <f>SUMIFS('март 2026'!$G$2:$G$2701,'март 2026'!$D$2:$D$2701,$B35,'март 2026'!$J$2:$J$2701,K$1)</f>
        <v>0</v>
      </c>
      <c r="L35" s="143">
        <f>SUMIFS('март 2026'!$G$2:$G$2701,'март 2026'!$D$2:$D$2701,$B35,'март 2026'!$J$2:$J$2701,L$1)</f>
        <v>0</v>
      </c>
      <c r="M35" s="143">
        <f>SUMIFS('март 2026'!$G$2:$G$2701,'март 2026'!$D$2:$D$2701,$B35,'март 2026'!$J$2:$J$2701,M$1)</f>
        <v>0</v>
      </c>
      <c r="N35" s="143">
        <f>SUMIFS('март 2026'!$G$2:$G$2701,'март 2026'!$D$2:$D$2701,$B35,'март 2026'!$J$2:$J$2701,N$1)</f>
        <v>0</v>
      </c>
      <c r="O35" s="143">
        <f>SUMIFS('март 2026'!$G$2:$G$2701,'март 2026'!$D$2:$D$2701,$B35,'март 2026'!$J$2:$J$2701,O$1)</f>
        <v>0</v>
      </c>
      <c r="P35" s="143">
        <f>SUMIFS('март 2026'!$G$2:$G$2701,'март 2026'!$D$2:$D$2701,$B35,'март 2026'!$J$2:$J$2701,P$1)</f>
        <v>0</v>
      </c>
      <c r="Q35" s="143">
        <f>SUMIFS('март 2026'!$G$2:$G$2701,'март 2026'!$D$2:$D$2701,$B35,'март 2026'!$J$2:$J$2701,Q$1)</f>
        <v>0</v>
      </c>
      <c r="R35" s="143">
        <f>SUMIFS('март 2026'!$G$2:$G$2701,'март 2026'!$D$2:$D$2701,$B35,'март 2026'!$J$2:$J$2701,R$1)</f>
        <v>0</v>
      </c>
      <c r="S35" s="143">
        <f>SUMIFS('март 2026'!$G$2:$G$2701,'март 2026'!$D$2:$D$2701,$B35,'март 2026'!$J$2:$J$2701,S$1)</f>
        <v>0</v>
      </c>
      <c r="T35" s="143">
        <f>SUMIFS('март 2026'!$G$2:$G$2701,'март 2026'!$D$2:$D$2701,$B35,'март 2026'!$J$2:$J$2701,T$1)</f>
        <v>0</v>
      </c>
      <c r="U35" s="143">
        <f>SUMIFS('март 2026'!$G$2:$G$2701,'март 2026'!$D$2:$D$2701,$B35,'март 2026'!$J$2:$J$2701,U$1)</f>
        <v>0</v>
      </c>
      <c r="V35" s="143">
        <f>SUMIFS('март 2026'!$G$2:$G$2701,'март 2026'!$D$2:$D$2701,$B35,'март 2026'!$J$2:$J$2701,V$1)</f>
        <v>0</v>
      </c>
      <c r="W35" s="143">
        <f>SUMIFS('март 2026'!$G$2:$G$2701,'март 2026'!$D$2:$D$2701,$B35,'март 2026'!$J$2:$J$2701,W$1)</f>
        <v>0</v>
      </c>
      <c r="X35" s="143">
        <f>SUMIFS('март 2026'!$G$2:$G$2701,'март 2026'!$D$2:$D$2701,$B35,'март 2026'!$J$2:$J$2701,X$1)</f>
        <v>0</v>
      </c>
      <c r="Y35" s="143">
        <f>SUMIFS('март 2026'!$G$2:$G$2701,'март 2026'!$D$2:$D$2701,$B35,'март 2026'!$J$2:$J$2701,Y$1)</f>
        <v>0</v>
      </c>
      <c r="Z35" s="143">
        <f>SUMIFS('март 2026'!$G$2:$G$2701,'март 2026'!$D$2:$D$2701,$B35,'март 2026'!$J$2:$J$2701,Z$1)</f>
        <v>0</v>
      </c>
      <c r="AA35" s="143">
        <f>SUMIFS('март 2026'!$G$2:$G$2701,'март 2026'!$D$2:$D$2701,$B35,'март 2026'!$J$2:$J$2701,AA$1)</f>
        <v>0</v>
      </c>
      <c r="AB35" s="143">
        <f>SUMIFS('март 2026'!$G$2:$G$2701,'март 2026'!$D$2:$D$2701,$B35,'март 2026'!$J$2:$J$2701,AB$1)</f>
        <v>0</v>
      </c>
      <c r="AC35" s="143">
        <f>SUMIFS('март 2026'!$G$2:$G$2701,'март 2026'!$D$2:$D$2701,$B35,'март 2026'!$J$2:$J$2701,AC$1)</f>
        <v>0</v>
      </c>
      <c r="AD35" s="143">
        <f>SUMIFS('март 2026'!$G$2:$G$2701,'март 2026'!$D$2:$D$2701,$B35,'март 2026'!$J$2:$J$2701,AD$1)</f>
        <v>0</v>
      </c>
      <c r="AE35" s="143">
        <f>SUMIFS('март 2026'!$G$2:$G$2701,'март 2026'!$D$2:$D$2701,$B35,'март 2026'!$J$2:$J$2701,AE$1)</f>
        <v>0</v>
      </c>
      <c r="AF35" s="143">
        <f>SUMIFS('март 2026'!$G$2:$G$2701,'март 2026'!$D$2:$D$2701,$B35,'март 2026'!$J$2:$J$2701,AF$1)</f>
        <v>0</v>
      </c>
      <c r="AG35" s="143">
        <f>SUMIFS('март 2026'!$G$2:$G$2701,'март 2026'!$D$2:$D$2701,$B35,'март 2026'!$J$2:$J$2701,AG$1)</f>
        <v>0</v>
      </c>
      <c r="AH35" s="143">
        <f>SUMIFS('март 2026'!$G$2:$G$2701,'март 2026'!$D$2:$D$2701,$B35,'март 2026'!$J$2:$J$2701,AH$1)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SUMIFS('март 2026'!$G$2:$G$2701,'март 2026'!$D$2:$D$2701,$B36,'март 2026'!$J$2:$J$2701,D$1)</f>
        <v>0</v>
      </c>
      <c r="E36" s="143">
        <f>SUMIFS('март 2026'!$G$2:$G$2701,'март 2026'!$D$2:$D$2701,$B36,'март 2026'!$J$2:$J$2701,E$1)</f>
        <v>0</v>
      </c>
      <c r="F36" s="143">
        <f>SUMIFS('март 2026'!$G$2:$G$2701,'март 2026'!$D$2:$D$2701,$B36,'март 2026'!$J$2:$J$2701,F$1)</f>
        <v>0</v>
      </c>
      <c r="G36" s="143">
        <f>SUMIFS('март 2026'!$G$2:$G$2701,'март 2026'!$D$2:$D$2701,$B36,'март 2026'!$J$2:$J$2701,G$1)</f>
        <v>0</v>
      </c>
      <c r="H36" s="143">
        <f>SUMIFS('март 2026'!$G$2:$G$2701,'март 2026'!$D$2:$D$2701,$B36,'март 2026'!$J$2:$J$2701,H$1)</f>
        <v>0</v>
      </c>
      <c r="I36" s="143">
        <f>SUMIFS('март 2026'!$G$2:$G$2701,'март 2026'!$D$2:$D$2701,$B36,'март 2026'!$J$2:$J$2701,I$1)</f>
        <v>0</v>
      </c>
      <c r="J36" s="143">
        <f>SUMIFS('март 2026'!$G$2:$G$2701,'март 2026'!$D$2:$D$2701,$B36,'март 2026'!$J$2:$J$2701,J$1)</f>
        <v>0</v>
      </c>
      <c r="K36" s="143">
        <f>SUMIFS('март 2026'!$G$2:$G$2701,'март 2026'!$D$2:$D$2701,$B36,'март 2026'!$J$2:$J$2701,K$1)</f>
        <v>0</v>
      </c>
      <c r="L36" s="143">
        <f>SUMIFS('март 2026'!$G$2:$G$2701,'март 2026'!$D$2:$D$2701,$B36,'март 2026'!$J$2:$J$2701,L$1)</f>
        <v>0</v>
      </c>
      <c r="M36" s="143">
        <f>SUMIFS('март 2026'!$G$2:$G$2701,'март 2026'!$D$2:$D$2701,$B36,'март 2026'!$J$2:$J$2701,M$1)</f>
        <v>0</v>
      </c>
      <c r="N36" s="143">
        <f>SUMIFS('март 2026'!$G$2:$G$2701,'март 2026'!$D$2:$D$2701,$B36,'март 2026'!$J$2:$J$2701,N$1)</f>
        <v>0</v>
      </c>
      <c r="O36" s="143">
        <f>SUMIFS('март 2026'!$G$2:$G$2701,'март 2026'!$D$2:$D$2701,$B36,'март 2026'!$J$2:$J$2701,O$1)</f>
        <v>0</v>
      </c>
      <c r="P36" s="143">
        <f>SUMIFS('март 2026'!$G$2:$G$2701,'март 2026'!$D$2:$D$2701,$B36,'март 2026'!$J$2:$J$2701,P$1)</f>
        <v>0</v>
      </c>
      <c r="Q36" s="143">
        <f>SUMIFS('март 2026'!$G$2:$G$2701,'март 2026'!$D$2:$D$2701,$B36,'март 2026'!$J$2:$J$2701,Q$1)</f>
        <v>0</v>
      </c>
      <c r="R36" s="143">
        <f>SUMIFS('март 2026'!$G$2:$G$2701,'март 2026'!$D$2:$D$2701,$B36,'март 2026'!$J$2:$J$2701,R$1)</f>
        <v>0</v>
      </c>
      <c r="S36" s="143">
        <f>SUMIFS('март 2026'!$G$2:$G$2701,'март 2026'!$D$2:$D$2701,$B36,'март 2026'!$J$2:$J$2701,S$1)</f>
        <v>0</v>
      </c>
      <c r="T36" s="143">
        <f>SUMIFS('март 2026'!$G$2:$G$2701,'март 2026'!$D$2:$D$2701,$B36,'март 2026'!$J$2:$J$2701,T$1)</f>
        <v>0</v>
      </c>
      <c r="U36" s="143">
        <f>SUMIFS('март 2026'!$G$2:$G$2701,'март 2026'!$D$2:$D$2701,$B36,'март 2026'!$J$2:$J$2701,U$1)</f>
        <v>0</v>
      </c>
      <c r="V36" s="143">
        <f>SUMIFS('март 2026'!$G$2:$G$2701,'март 2026'!$D$2:$D$2701,$B36,'март 2026'!$J$2:$J$2701,V$1)</f>
        <v>0</v>
      </c>
      <c r="W36" s="143">
        <f>SUMIFS('март 2026'!$G$2:$G$2701,'март 2026'!$D$2:$D$2701,$B36,'март 2026'!$J$2:$J$2701,W$1)</f>
        <v>0</v>
      </c>
      <c r="X36" s="143">
        <f>SUMIFS('март 2026'!$G$2:$G$2701,'март 2026'!$D$2:$D$2701,$B36,'март 2026'!$J$2:$J$2701,X$1)</f>
        <v>0</v>
      </c>
      <c r="Y36" s="143">
        <f>SUMIFS('март 2026'!$G$2:$G$2701,'март 2026'!$D$2:$D$2701,$B36,'март 2026'!$J$2:$J$2701,Y$1)</f>
        <v>0</v>
      </c>
      <c r="Z36" s="143">
        <f>SUMIFS('март 2026'!$G$2:$G$2701,'март 2026'!$D$2:$D$2701,$B36,'март 2026'!$J$2:$J$2701,Z$1)</f>
        <v>0</v>
      </c>
      <c r="AA36" s="143">
        <f>SUMIFS('март 2026'!$G$2:$G$2701,'март 2026'!$D$2:$D$2701,$B36,'март 2026'!$J$2:$J$2701,AA$1)</f>
        <v>0</v>
      </c>
      <c r="AB36" s="143">
        <f>SUMIFS('март 2026'!$G$2:$G$2701,'март 2026'!$D$2:$D$2701,$B36,'март 2026'!$J$2:$J$2701,AB$1)</f>
        <v>0</v>
      </c>
      <c r="AC36" s="143">
        <f>SUMIFS('март 2026'!$G$2:$G$2701,'март 2026'!$D$2:$D$2701,$B36,'март 2026'!$J$2:$J$2701,AC$1)</f>
        <v>0</v>
      </c>
      <c r="AD36" s="143">
        <f>SUMIFS('март 2026'!$G$2:$G$2701,'март 2026'!$D$2:$D$2701,$B36,'март 2026'!$J$2:$J$2701,AD$1)</f>
        <v>0</v>
      </c>
      <c r="AE36" s="143">
        <f>SUMIFS('март 2026'!$G$2:$G$2701,'март 2026'!$D$2:$D$2701,$B36,'март 2026'!$J$2:$J$2701,AE$1)</f>
        <v>0</v>
      </c>
      <c r="AF36" s="143">
        <f>SUMIFS('март 2026'!$G$2:$G$2701,'март 2026'!$D$2:$D$2701,$B36,'март 2026'!$J$2:$J$2701,AF$1)</f>
        <v>0</v>
      </c>
      <c r="AG36" s="143">
        <f>SUMIFS('март 2026'!$G$2:$G$2701,'март 2026'!$D$2:$D$2701,$B36,'март 2026'!$J$2:$J$2701,AG$1)</f>
        <v>0</v>
      </c>
      <c r="AH36" s="143">
        <f>SUMIFS('март 2026'!$G$2:$G$2701,'март 2026'!$D$2:$D$2701,$B36,'март 2026'!$J$2:$J$2701,AH$1)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SUMIFS('март 2026'!$G$2:$G$2701,'март 2026'!$D$2:$D$2701,$B37,'март 2026'!$J$2:$J$2701,D$1)</f>
        <v>0</v>
      </c>
      <c r="E37" s="143">
        <f>SUMIFS('март 2026'!$G$2:$G$2701,'март 2026'!$D$2:$D$2701,$B37,'март 2026'!$J$2:$J$2701,E$1)</f>
        <v>0</v>
      </c>
      <c r="F37" s="143">
        <f>SUMIFS('март 2026'!$G$2:$G$2701,'март 2026'!$D$2:$D$2701,$B37,'март 2026'!$J$2:$J$2701,F$1)</f>
        <v>0</v>
      </c>
      <c r="G37" s="143">
        <f>SUMIFS('март 2026'!$G$2:$G$2701,'март 2026'!$D$2:$D$2701,$B37,'март 2026'!$J$2:$J$2701,G$1)</f>
        <v>0</v>
      </c>
      <c r="H37" s="143">
        <f>SUMIFS('март 2026'!$G$2:$G$2701,'март 2026'!$D$2:$D$2701,$B37,'март 2026'!$J$2:$J$2701,H$1)</f>
        <v>0</v>
      </c>
      <c r="I37" s="143">
        <f>SUMIFS('март 2026'!$G$2:$G$2701,'март 2026'!$D$2:$D$2701,$B37,'март 2026'!$J$2:$J$2701,I$1)</f>
        <v>0</v>
      </c>
      <c r="J37" s="143">
        <f>SUMIFS('март 2026'!$G$2:$G$2701,'март 2026'!$D$2:$D$2701,$B37,'март 2026'!$J$2:$J$2701,J$1)</f>
        <v>0</v>
      </c>
      <c r="K37" s="143">
        <f>SUMIFS('март 2026'!$G$2:$G$2701,'март 2026'!$D$2:$D$2701,$B37,'март 2026'!$J$2:$J$2701,K$1)</f>
        <v>0</v>
      </c>
      <c r="L37" s="143">
        <f>SUMIFS('март 2026'!$G$2:$G$2701,'март 2026'!$D$2:$D$2701,$B37,'март 2026'!$J$2:$J$2701,L$1)</f>
        <v>0</v>
      </c>
      <c r="M37" s="143">
        <f>SUMIFS('март 2026'!$G$2:$G$2701,'март 2026'!$D$2:$D$2701,$B37,'март 2026'!$J$2:$J$2701,M$1)</f>
        <v>0</v>
      </c>
      <c r="N37" s="143">
        <f>SUMIFS('март 2026'!$G$2:$G$2701,'март 2026'!$D$2:$D$2701,$B37,'март 2026'!$J$2:$J$2701,N$1)</f>
        <v>0</v>
      </c>
      <c r="O37" s="143">
        <f>SUMIFS('март 2026'!$G$2:$G$2701,'март 2026'!$D$2:$D$2701,$B37,'март 2026'!$J$2:$J$2701,O$1)</f>
        <v>0</v>
      </c>
      <c r="P37" s="143">
        <f>SUMIFS('март 2026'!$G$2:$G$2701,'март 2026'!$D$2:$D$2701,$B37,'март 2026'!$J$2:$J$2701,P$1)</f>
        <v>0</v>
      </c>
      <c r="Q37" s="143">
        <f>SUMIFS('март 2026'!$G$2:$G$2701,'март 2026'!$D$2:$D$2701,$B37,'март 2026'!$J$2:$J$2701,Q$1)</f>
        <v>0</v>
      </c>
      <c r="R37" s="143">
        <f>SUMIFS('март 2026'!$G$2:$G$2701,'март 2026'!$D$2:$D$2701,$B37,'март 2026'!$J$2:$J$2701,R$1)</f>
        <v>0</v>
      </c>
      <c r="S37" s="143">
        <f>SUMIFS('март 2026'!$G$2:$G$2701,'март 2026'!$D$2:$D$2701,$B37,'март 2026'!$J$2:$J$2701,S$1)</f>
        <v>0</v>
      </c>
      <c r="T37" s="143">
        <f>SUMIFS('март 2026'!$G$2:$G$2701,'март 2026'!$D$2:$D$2701,$B37,'март 2026'!$J$2:$J$2701,T$1)</f>
        <v>0</v>
      </c>
      <c r="U37" s="143">
        <f>SUMIFS('март 2026'!$G$2:$G$2701,'март 2026'!$D$2:$D$2701,$B37,'март 2026'!$J$2:$J$2701,U$1)</f>
        <v>0</v>
      </c>
      <c r="V37" s="143">
        <f>SUMIFS('март 2026'!$G$2:$G$2701,'март 2026'!$D$2:$D$2701,$B37,'март 2026'!$J$2:$J$2701,V$1)</f>
        <v>0</v>
      </c>
      <c r="W37" s="143">
        <f>SUMIFS('март 2026'!$G$2:$G$2701,'март 2026'!$D$2:$D$2701,$B37,'март 2026'!$J$2:$J$2701,W$1)</f>
        <v>0</v>
      </c>
      <c r="X37" s="143">
        <f>SUMIFS('март 2026'!$G$2:$G$2701,'март 2026'!$D$2:$D$2701,$B37,'март 2026'!$J$2:$J$2701,X$1)</f>
        <v>0</v>
      </c>
      <c r="Y37" s="143">
        <f>SUMIFS('март 2026'!$G$2:$G$2701,'март 2026'!$D$2:$D$2701,$B37,'март 2026'!$J$2:$J$2701,Y$1)</f>
        <v>0</v>
      </c>
      <c r="Z37" s="143">
        <f>SUMIFS('март 2026'!$G$2:$G$2701,'март 2026'!$D$2:$D$2701,$B37,'март 2026'!$J$2:$J$2701,Z$1)</f>
        <v>0</v>
      </c>
      <c r="AA37" s="143">
        <f>SUMIFS('март 2026'!$G$2:$G$2701,'март 2026'!$D$2:$D$2701,$B37,'март 2026'!$J$2:$J$2701,AA$1)</f>
        <v>0</v>
      </c>
      <c r="AB37" s="143">
        <f>SUMIFS('март 2026'!$G$2:$G$2701,'март 2026'!$D$2:$D$2701,$B37,'март 2026'!$J$2:$J$2701,AB$1)</f>
        <v>0</v>
      </c>
      <c r="AC37" s="143">
        <f>SUMIFS('март 2026'!$G$2:$G$2701,'март 2026'!$D$2:$D$2701,$B37,'март 2026'!$J$2:$J$2701,AC$1)</f>
        <v>0</v>
      </c>
      <c r="AD37" s="143">
        <f>SUMIFS('март 2026'!$G$2:$G$2701,'март 2026'!$D$2:$D$2701,$B37,'март 2026'!$J$2:$J$2701,AD$1)</f>
        <v>0</v>
      </c>
      <c r="AE37" s="143">
        <f>SUMIFS('март 2026'!$G$2:$G$2701,'март 2026'!$D$2:$D$2701,$B37,'март 2026'!$J$2:$J$2701,AE$1)</f>
        <v>0</v>
      </c>
      <c r="AF37" s="143">
        <f>SUMIFS('март 2026'!$G$2:$G$2701,'март 2026'!$D$2:$D$2701,$B37,'март 2026'!$J$2:$J$2701,AF$1)</f>
        <v>0</v>
      </c>
      <c r="AG37" s="143">
        <f>SUMIFS('март 2026'!$G$2:$G$2701,'март 2026'!$D$2:$D$2701,$B37,'март 2026'!$J$2:$J$2701,AG$1)</f>
        <v>0</v>
      </c>
      <c r="AH37" s="143">
        <f>SUMIFS('март 2026'!$G$2:$G$2701,'март 2026'!$D$2:$D$2701,$B37,'март 2026'!$J$2:$J$2701,AH$1)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SUMIFS('март 2026'!$G$2:$G$2701,'март 2026'!$D$2:$D$2701,$B38,'март 2026'!$J$2:$J$2701,D$1)</f>
        <v>0</v>
      </c>
      <c r="E38" s="143">
        <f>SUMIFS('март 2026'!$G$2:$G$2701,'март 2026'!$D$2:$D$2701,$B38,'март 2026'!$J$2:$J$2701,E$1)</f>
        <v>0</v>
      </c>
      <c r="F38" s="143">
        <f>SUMIFS('март 2026'!$G$2:$G$2701,'март 2026'!$D$2:$D$2701,$B38,'март 2026'!$J$2:$J$2701,F$1)</f>
        <v>0</v>
      </c>
      <c r="G38" s="143">
        <f>SUMIFS('март 2026'!$G$2:$G$2701,'март 2026'!$D$2:$D$2701,$B38,'март 2026'!$J$2:$J$2701,G$1)</f>
        <v>0</v>
      </c>
      <c r="H38" s="143">
        <f>SUMIFS('март 2026'!$G$2:$G$2701,'март 2026'!$D$2:$D$2701,$B38,'март 2026'!$J$2:$J$2701,H$1)</f>
        <v>0</v>
      </c>
      <c r="I38" s="143">
        <f>SUMIFS('март 2026'!$G$2:$G$2701,'март 2026'!$D$2:$D$2701,$B38,'март 2026'!$J$2:$J$2701,I$1)</f>
        <v>0</v>
      </c>
      <c r="J38" s="143">
        <f>SUMIFS('март 2026'!$G$2:$G$2701,'март 2026'!$D$2:$D$2701,$B38,'март 2026'!$J$2:$J$2701,J$1)</f>
        <v>0</v>
      </c>
      <c r="K38" s="143">
        <f>SUMIFS('март 2026'!$G$2:$G$2701,'март 2026'!$D$2:$D$2701,$B38,'март 2026'!$J$2:$J$2701,K$1)</f>
        <v>0</v>
      </c>
      <c r="L38" s="143">
        <f>SUMIFS('март 2026'!$G$2:$G$2701,'март 2026'!$D$2:$D$2701,$B38,'март 2026'!$J$2:$J$2701,L$1)</f>
        <v>0</v>
      </c>
      <c r="M38" s="143">
        <f>SUMIFS('март 2026'!$G$2:$G$2701,'март 2026'!$D$2:$D$2701,$B38,'март 2026'!$J$2:$J$2701,M$1)</f>
        <v>0</v>
      </c>
      <c r="N38" s="143">
        <f>SUMIFS('март 2026'!$G$2:$G$2701,'март 2026'!$D$2:$D$2701,$B38,'март 2026'!$J$2:$J$2701,N$1)</f>
        <v>0</v>
      </c>
      <c r="O38" s="143">
        <f>SUMIFS('март 2026'!$G$2:$G$2701,'март 2026'!$D$2:$D$2701,$B38,'март 2026'!$J$2:$J$2701,O$1)</f>
        <v>0</v>
      </c>
      <c r="P38" s="143">
        <f>SUMIFS('март 2026'!$G$2:$G$2701,'март 2026'!$D$2:$D$2701,$B38,'март 2026'!$J$2:$J$2701,P$1)</f>
        <v>0</v>
      </c>
      <c r="Q38" s="143">
        <f>SUMIFS('март 2026'!$G$2:$G$2701,'март 2026'!$D$2:$D$2701,$B38,'март 2026'!$J$2:$J$2701,Q$1)</f>
        <v>0</v>
      </c>
      <c r="R38" s="143">
        <f>SUMIFS('март 2026'!$G$2:$G$2701,'март 2026'!$D$2:$D$2701,$B38,'март 2026'!$J$2:$J$2701,R$1)</f>
        <v>0</v>
      </c>
      <c r="S38" s="143">
        <f>SUMIFS('март 2026'!$G$2:$G$2701,'март 2026'!$D$2:$D$2701,$B38,'март 2026'!$J$2:$J$2701,S$1)</f>
        <v>0</v>
      </c>
      <c r="T38" s="143">
        <f>SUMIFS('март 2026'!$G$2:$G$2701,'март 2026'!$D$2:$D$2701,$B38,'март 2026'!$J$2:$J$2701,T$1)</f>
        <v>0</v>
      </c>
      <c r="U38" s="143">
        <f>SUMIFS('март 2026'!$G$2:$G$2701,'март 2026'!$D$2:$D$2701,$B38,'март 2026'!$J$2:$J$2701,U$1)</f>
        <v>0</v>
      </c>
      <c r="V38" s="143">
        <f>SUMIFS('март 2026'!$G$2:$G$2701,'март 2026'!$D$2:$D$2701,$B38,'март 2026'!$J$2:$J$2701,V$1)</f>
        <v>0</v>
      </c>
      <c r="W38" s="143">
        <f>SUMIFS('март 2026'!$G$2:$G$2701,'март 2026'!$D$2:$D$2701,$B38,'март 2026'!$J$2:$J$2701,W$1)</f>
        <v>0</v>
      </c>
      <c r="X38" s="143">
        <f>SUMIFS('март 2026'!$G$2:$G$2701,'март 2026'!$D$2:$D$2701,$B38,'март 2026'!$J$2:$J$2701,X$1)</f>
        <v>0</v>
      </c>
      <c r="Y38" s="143">
        <f>SUMIFS('март 2026'!$G$2:$G$2701,'март 2026'!$D$2:$D$2701,$B38,'март 2026'!$J$2:$J$2701,Y$1)</f>
        <v>0</v>
      </c>
      <c r="Z38" s="143">
        <f>SUMIFS('март 2026'!$G$2:$G$2701,'март 2026'!$D$2:$D$2701,$B38,'март 2026'!$J$2:$J$2701,Z$1)</f>
        <v>0</v>
      </c>
      <c r="AA38" s="143">
        <f>SUMIFS('март 2026'!$G$2:$G$2701,'март 2026'!$D$2:$D$2701,$B38,'март 2026'!$J$2:$J$2701,AA$1)</f>
        <v>0</v>
      </c>
      <c r="AB38" s="143">
        <f>SUMIFS('март 2026'!$G$2:$G$2701,'март 2026'!$D$2:$D$2701,$B38,'март 2026'!$J$2:$J$2701,AB$1)</f>
        <v>0</v>
      </c>
      <c r="AC38" s="143">
        <f>SUMIFS('март 2026'!$G$2:$G$2701,'март 2026'!$D$2:$D$2701,$B38,'март 2026'!$J$2:$J$2701,AC$1)</f>
        <v>0</v>
      </c>
      <c r="AD38" s="143">
        <f>SUMIFS('март 2026'!$G$2:$G$2701,'март 2026'!$D$2:$D$2701,$B38,'март 2026'!$J$2:$J$2701,AD$1)</f>
        <v>0</v>
      </c>
      <c r="AE38" s="143">
        <f>SUMIFS('март 2026'!$G$2:$G$2701,'март 2026'!$D$2:$D$2701,$B38,'март 2026'!$J$2:$J$2701,AE$1)</f>
        <v>0</v>
      </c>
      <c r="AF38" s="143">
        <f>SUMIFS('март 2026'!$G$2:$G$2701,'март 2026'!$D$2:$D$2701,$B38,'март 2026'!$J$2:$J$2701,AF$1)</f>
        <v>0</v>
      </c>
      <c r="AG38" s="143">
        <f>SUMIFS('март 2026'!$G$2:$G$2701,'март 2026'!$D$2:$D$2701,$B38,'март 2026'!$J$2:$J$2701,AG$1)</f>
        <v>0</v>
      </c>
      <c r="AH38" s="143">
        <f>SUMIFS('март 2026'!$G$2:$G$2701,'март 2026'!$D$2:$D$2701,$B38,'март 2026'!$J$2:$J$2701,AH$1)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SUMIFS('март 2026'!$G$2:$G$2701,'март 2026'!$D$2:$D$2701,$B39,'март 2026'!$J$2:$J$2701,D$1)</f>
        <v>0</v>
      </c>
      <c r="E39" s="143">
        <f>SUMIFS('март 2026'!$G$2:$G$2701,'март 2026'!$D$2:$D$2701,$B39,'март 2026'!$J$2:$J$2701,E$1)</f>
        <v>0</v>
      </c>
      <c r="F39" s="143">
        <f>SUMIFS('март 2026'!$G$2:$G$2701,'март 2026'!$D$2:$D$2701,$B39,'март 2026'!$J$2:$J$2701,F$1)</f>
        <v>0</v>
      </c>
      <c r="G39" s="143">
        <f>SUMIFS('март 2026'!$G$2:$G$2701,'март 2026'!$D$2:$D$2701,$B39,'март 2026'!$J$2:$J$2701,G$1)</f>
        <v>0</v>
      </c>
      <c r="H39" s="143">
        <f>SUMIFS('март 2026'!$G$2:$G$2701,'март 2026'!$D$2:$D$2701,$B39,'март 2026'!$J$2:$J$2701,H$1)</f>
        <v>0</v>
      </c>
      <c r="I39" s="143">
        <f>SUMIFS('март 2026'!$G$2:$G$2701,'март 2026'!$D$2:$D$2701,$B39,'март 2026'!$J$2:$J$2701,I$1)</f>
        <v>0</v>
      </c>
      <c r="J39" s="143">
        <f>SUMIFS('март 2026'!$G$2:$G$2701,'март 2026'!$D$2:$D$2701,$B39,'март 2026'!$J$2:$J$2701,J$1)</f>
        <v>0</v>
      </c>
      <c r="K39" s="143">
        <f>SUMIFS('март 2026'!$G$2:$G$2701,'март 2026'!$D$2:$D$2701,$B39,'март 2026'!$J$2:$J$2701,K$1)</f>
        <v>0</v>
      </c>
      <c r="L39" s="143">
        <f>SUMIFS('март 2026'!$G$2:$G$2701,'март 2026'!$D$2:$D$2701,$B39,'март 2026'!$J$2:$J$2701,L$1)</f>
        <v>0</v>
      </c>
      <c r="M39" s="143">
        <f>SUMIFS('март 2026'!$G$2:$G$2701,'март 2026'!$D$2:$D$2701,$B39,'март 2026'!$J$2:$J$2701,M$1)</f>
        <v>0</v>
      </c>
      <c r="N39" s="143">
        <f>SUMIFS('март 2026'!$G$2:$G$2701,'март 2026'!$D$2:$D$2701,$B39,'март 2026'!$J$2:$J$2701,N$1)</f>
        <v>0</v>
      </c>
      <c r="O39" s="143">
        <f>SUMIFS('март 2026'!$G$2:$G$2701,'март 2026'!$D$2:$D$2701,$B39,'март 2026'!$J$2:$J$2701,O$1)</f>
        <v>0</v>
      </c>
      <c r="P39" s="143">
        <f>SUMIFS('март 2026'!$G$2:$G$2701,'март 2026'!$D$2:$D$2701,$B39,'март 2026'!$J$2:$J$2701,P$1)</f>
        <v>0</v>
      </c>
      <c r="Q39" s="143">
        <f>SUMIFS('март 2026'!$G$2:$G$2701,'март 2026'!$D$2:$D$2701,$B39,'март 2026'!$J$2:$J$2701,Q$1)</f>
        <v>0</v>
      </c>
      <c r="R39" s="143">
        <f>SUMIFS('март 2026'!$G$2:$G$2701,'март 2026'!$D$2:$D$2701,$B39,'март 2026'!$J$2:$J$2701,R$1)</f>
        <v>0</v>
      </c>
      <c r="S39" s="143">
        <f>SUMIFS('март 2026'!$G$2:$G$2701,'март 2026'!$D$2:$D$2701,$B39,'март 2026'!$J$2:$J$2701,S$1)</f>
        <v>0</v>
      </c>
      <c r="T39" s="143">
        <f>SUMIFS('март 2026'!$G$2:$G$2701,'март 2026'!$D$2:$D$2701,$B39,'март 2026'!$J$2:$J$2701,T$1)</f>
        <v>0</v>
      </c>
      <c r="U39" s="143">
        <f>SUMIFS('март 2026'!$G$2:$G$2701,'март 2026'!$D$2:$D$2701,$B39,'март 2026'!$J$2:$J$2701,U$1)</f>
        <v>0</v>
      </c>
      <c r="V39" s="143">
        <f>SUMIFS('март 2026'!$G$2:$G$2701,'март 2026'!$D$2:$D$2701,$B39,'март 2026'!$J$2:$J$2701,V$1)</f>
        <v>0</v>
      </c>
      <c r="W39" s="143">
        <f>SUMIFS('март 2026'!$G$2:$G$2701,'март 2026'!$D$2:$D$2701,$B39,'март 2026'!$J$2:$J$2701,W$1)</f>
        <v>0</v>
      </c>
      <c r="X39" s="143">
        <f>SUMIFS('март 2026'!$G$2:$G$2701,'март 2026'!$D$2:$D$2701,$B39,'март 2026'!$J$2:$J$2701,X$1)</f>
        <v>0</v>
      </c>
      <c r="Y39" s="143">
        <f>SUMIFS('март 2026'!$G$2:$G$2701,'март 2026'!$D$2:$D$2701,$B39,'март 2026'!$J$2:$J$2701,Y$1)</f>
        <v>0</v>
      </c>
      <c r="Z39" s="143">
        <f>SUMIFS('март 2026'!$G$2:$G$2701,'март 2026'!$D$2:$D$2701,$B39,'март 2026'!$J$2:$J$2701,Z$1)</f>
        <v>0</v>
      </c>
      <c r="AA39" s="143">
        <f>SUMIFS('март 2026'!$G$2:$G$2701,'март 2026'!$D$2:$D$2701,$B39,'март 2026'!$J$2:$J$2701,AA$1)</f>
        <v>0</v>
      </c>
      <c r="AB39" s="143">
        <f>SUMIFS('март 2026'!$G$2:$G$2701,'март 2026'!$D$2:$D$2701,$B39,'март 2026'!$J$2:$J$2701,AB$1)</f>
        <v>0</v>
      </c>
      <c r="AC39" s="143">
        <f>SUMIFS('март 2026'!$G$2:$G$2701,'март 2026'!$D$2:$D$2701,$B39,'март 2026'!$J$2:$J$2701,AC$1)</f>
        <v>0</v>
      </c>
      <c r="AD39" s="143">
        <f>SUMIFS('март 2026'!$G$2:$G$2701,'март 2026'!$D$2:$D$2701,$B39,'март 2026'!$J$2:$J$2701,AD$1)</f>
        <v>0</v>
      </c>
      <c r="AE39" s="143">
        <f>SUMIFS('март 2026'!$G$2:$G$2701,'март 2026'!$D$2:$D$2701,$B39,'март 2026'!$J$2:$J$2701,AE$1)</f>
        <v>0</v>
      </c>
      <c r="AF39" s="143">
        <f>SUMIFS('март 2026'!$G$2:$G$2701,'март 2026'!$D$2:$D$2701,$B39,'март 2026'!$J$2:$J$2701,AF$1)</f>
        <v>0</v>
      </c>
      <c r="AG39" s="143">
        <f>SUMIFS('март 2026'!$G$2:$G$2701,'март 2026'!$D$2:$D$2701,$B39,'март 2026'!$J$2:$J$2701,AG$1)</f>
        <v>0</v>
      </c>
      <c r="AH39" s="143">
        <f>SUMIFS('март 2026'!$G$2:$G$2701,'март 2026'!$D$2:$D$2701,$B39,'март 2026'!$J$2:$J$2701,AH$1)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SUMIFS('март 2026'!$G$2:$G$2701,'март 2026'!$D$2:$D$2701,$B40,'март 2026'!$J$2:$J$2701,D$1)</f>
        <v>0</v>
      </c>
      <c r="E40" s="143">
        <f>SUMIFS('март 2026'!$G$2:$G$2701,'март 2026'!$D$2:$D$2701,$B40,'март 2026'!$J$2:$J$2701,E$1)</f>
        <v>0</v>
      </c>
      <c r="F40" s="143">
        <f>SUMIFS('март 2026'!$G$2:$G$2701,'март 2026'!$D$2:$D$2701,$B40,'март 2026'!$J$2:$J$2701,F$1)</f>
        <v>0</v>
      </c>
      <c r="G40" s="143">
        <f>SUMIFS('март 2026'!$G$2:$G$2701,'март 2026'!$D$2:$D$2701,$B40,'март 2026'!$J$2:$J$2701,G$1)</f>
        <v>0</v>
      </c>
      <c r="H40" s="143">
        <f>SUMIFS('март 2026'!$G$2:$G$2701,'март 2026'!$D$2:$D$2701,$B40,'март 2026'!$J$2:$J$2701,H$1)</f>
        <v>0</v>
      </c>
      <c r="I40" s="143">
        <f>SUMIFS('март 2026'!$G$2:$G$2701,'март 2026'!$D$2:$D$2701,$B40,'март 2026'!$J$2:$J$2701,I$1)</f>
        <v>0</v>
      </c>
      <c r="J40" s="143">
        <f>SUMIFS('март 2026'!$G$2:$G$2701,'март 2026'!$D$2:$D$2701,$B40,'март 2026'!$J$2:$J$2701,J$1)</f>
        <v>0</v>
      </c>
      <c r="K40" s="143">
        <f>SUMIFS('март 2026'!$G$2:$G$2701,'март 2026'!$D$2:$D$2701,$B40,'март 2026'!$J$2:$J$2701,K$1)</f>
        <v>0</v>
      </c>
      <c r="L40" s="143">
        <f>SUMIFS('март 2026'!$G$2:$G$2701,'март 2026'!$D$2:$D$2701,$B40,'март 2026'!$J$2:$J$2701,L$1)</f>
        <v>0</v>
      </c>
      <c r="M40" s="143">
        <f>SUMIFS('март 2026'!$G$2:$G$2701,'март 2026'!$D$2:$D$2701,$B40,'март 2026'!$J$2:$J$2701,M$1)</f>
        <v>0</v>
      </c>
      <c r="N40" s="143">
        <f>SUMIFS('март 2026'!$G$2:$G$2701,'март 2026'!$D$2:$D$2701,$B40,'март 2026'!$J$2:$J$2701,N$1)</f>
        <v>0</v>
      </c>
      <c r="O40" s="143">
        <f>SUMIFS('март 2026'!$G$2:$G$2701,'март 2026'!$D$2:$D$2701,$B40,'март 2026'!$J$2:$J$2701,O$1)</f>
        <v>0</v>
      </c>
      <c r="P40" s="143">
        <f>SUMIFS('март 2026'!$G$2:$G$2701,'март 2026'!$D$2:$D$2701,$B40,'март 2026'!$J$2:$J$2701,P$1)</f>
        <v>0</v>
      </c>
      <c r="Q40" s="143">
        <f>SUMIFS('март 2026'!$G$2:$G$2701,'март 2026'!$D$2:$D$2701,$B40,'март 2026'!$J$2:$J$2701,Q$1)</f>
        <v>0</v>
      </c>
      <c r="R40" s="143">
        <f>SUMIFS('март 2026'!$G$2:$G$2701,'март 2026'!$D$2:$D$2701,$B40,'март 2026'!$J$2:$J$2701,R$1)</f>
        <v>0</v>
      </c>
      <c r="S40" s="143">
        <f>SUMIFS('март 2026'!$G$2:$G$2701,'март 2026'!$D$2:$D$2701,$B40,'март 2026'!$J$2:$J$2701,S$1)</f>
        <v>0</v>
      </c>
      <c r="T40" s="143">
        <f>SUMIFS('март 2026'!$G$2:$G$2701,'март 2026'!$D$2:$D$2701,$B40,'март 2026'!$J$2:$J$2701,T$1)</f>
        <v>0</v>
      </c>
      <c r="U40" s="143">
        <f>SUMIFS('март 2026'!$G$2:$G$2701,'март 2026'!$D$2:$D$2701,$B40,'март 2026'!$J$2:$J$2701,U$1)</f>
        <v>0</v>
      </c>
      <c r="V40" s="143">
        <f>SUMIFS('март 2026'!$G$2:$G$2701,'март 2026'!$D$2:$D$2701,$B40,'март 2026'!$J$2:$J$2701,V$1)</f>
        <v>0</v>
      </c>
      <c r="W40" s="143">
        <f>SUMIFS('март 2026'!$G$2:$G$2701,'март 2026'!$D$2:$D$2701,$B40,'март 2026'!$J$2:$J$2701,W$1)</f>
        <v>0</v>
      </c>
      <c r="X40" s="143">
        <f>SUMIFS('март 2026'!$G$2:$G$2701,'март 2026'!$D$2:$D$2701,$B40,'март 2026'!$J$2:$J$2701,X$1)</f>
        <v>0</v>
      </c>
      <c r="Y40" s="143">
        <f>SUMIFS('март 2026'!$G$2:$G$2701,'март 2026'!$D$2:$D$2701,$B40,'март 2026'!$J$2:$J$2701,Y$1)</f>
        <v>0</v>
      </c>
      <c r="Z40" s="143">
        <f>SUMIFS('март 2026'!$G$2:$G$2701,'март 2026'!$D$2:$D$2701,$B40,'март 2026'!$J$2:$J$2701,Z$1)</f>
        <v>0</v>
      </c>
      <c r="AA40" s="143">
        <f>SUMIFS('март 2026'!$G$2:$G$2701,'март 2026'!$D$2:$D$2701,$B40,'март 2026'!$J$2:$J$2701,AA$1)</f>
        <v>0</v>
      </c>
      <c r="AB40" s="143">
        <f>SUMIFS('март 2026'!$G$2:$G$2701,'март 2026'!$D$2:$D$2701,$B40,'март 2026'!$J$2:$J$2701,AB$1)</f>
        <v>0</v>
      </c>
      <c r="AC40" s="143">
        <f>SUMIFS('март 2026'!$G$2:$G$2701,'март 2026'!$D$2:$D$2701,$B40,'март 2026'!$J$2:$J$2701,AC$1)</f>
        <v>0</v>
      </c>
      <c r="AD40" s="143">
        <f>SUMIFS('март 2026'!$G$2:$G$2701,'март 2026'!$D$2:$D$2701,$B40,'март 2026'!$J$2:$J$2701,AD$1)</f>
        <v>0</v>
      </c>
      <c r="AE40" s="143">
        <f>SUMIFS('март 2026'!$G$2:$G$2701,'март 2026'!$D$2:$D$2701,$B40,'март 2026'!$J$2:$J$2701,AE$1)</f>
        <v>0</v>
      </c>
      <c r="AF40" s="143">
        <f>SUMIFS('март 2026'!$G$2:$G$2701,'март 2026'!$D$2:$D$2701,$B40,'март 2026'!$J$2:$J$2701,AF$1)</f>
        <v>0</v>
      </c>
      <c r="AG40" s="143">
        <f>SUMIFS('март 2026'!$G$2:$G$2701,'март 2026'!$D$2:$D$2701,$B40,'март 2026'!$J$2:$J$2701,AG$1)</f>
        <v>0</v>
      </c>
      <c r="AH40" s="143">
        <f>SUMIFS('март 2026'!$G$2:$G$2701,'март 2026'!$D$2:$D$2701,$B40,'март 2026'!$J$2:$J$2701,AH$1)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SUMIFS('март 2026'!$G$2:$G$2701,'март 2026'!$D$2:$D$2701,$B41,'март 2026'!$J$2:$J$2701,D$1)</f>
        <v>0</v>
      </c>
      <c r="E41" s="143">
        <f>SUMIFS('март 2026'!$G$2:$G$2701,'март 2026'!$D$2:$D$2701,$B41,'март 2026'!$J$2:$J$2701,E$1)</f>
        <v>0</v>
      </c>
      <c r="F41" s="143">
        <f>SUMIFS('март 2026'!$G$2:$G$2701,'март 2026'!$D$2:$D$2701,$B41,'март 2026'!$J$2:$J$2701,F$1)</f>
        <v>0</v>
      </c>
      <c r="G41" s="143">
        <f>SUMIFS('март 2026'!$G$2:$G$2701,'март 2026'!$D$2:$D$2701,$B41,'март 2026'!$J$2:$J$2701,G$1)</f>
        <v>0</v>
      </c>
      <c r="H41" s="143">
        <f>SUMIFS('март 2026'!$G$2:$G$2701,'март 2026'!$D$2:$D$2701,$B41,'март 2026'!$J$2:$J$2701,H$1)</f>
        <v>0</v>
      </c>
      <c r="I41" s="143">
        <f>SUMIFS('март 2026'!$G$2:$G$2701,'март 2026'!$D$2:$D$2701,$B41,'март 2026'!$J$2:$J$2701,I$1)</f>
        <v>0</v>
      </c>
      <c r="J41" s="143">
        <f>SUMIFS('март 2026'!$G$2:$G$2701,'март 2026'!$D$2:$D$2701,$B41,'март 2026'!$J$2:$J$2701,J$1)</f>
        <v>0</v>
      </c>
      <c r="K41" s="143">
        <f>SUMIFS('март 2026'!$G$2:$G$2701,'март 2026'!$D$2:$D$2701,$B41,'март 2026'!$J$2:$J$2701,K$1)</f>
        <v>0</v>
      </c>
      <c r="L41" s="143">
        <f>SUMIFS('март 2026'!$G$2:$G$2701,'март 2026'!$D$2:$D$2701,$B41,'март 2026'!$J$2:$J$2701,L$1)</f>
        <v>0</v>
      </c>
      <c r="M41" s="143">
        <f>SUMIFS('март 2026'!$G$2:$G$2701,'март 2026'!$D$2:$D$2701,$B41,'март 2026'!$J$2:$J$2701,M$1)</f>
        <v>0</v>
      </c>
      <c r="N41" s="143">
        <f>SUMIFS('март 2026'!$G$2:$G$2701,'март 2026'!$D$2:$D$2701,$B41,'март 2026'!$J$2:$J$2701,N$1)</f>
        <v>0</v>
      </c>
      <c r="O41" s="143">
        <f>SUMIFS('март 2026'!$G$2:$G$2701,'март 2026'!$D$2:$D$2701,$B41,'март 2026'!$J$2:$J$2701,O$1)</f>
        <v>0</v>
      </c>
      <c r="P41" s="143">
        <f>SUMIFS('март 2026'!$G$2:$G$2701,'март 2026'!$D$2:$D$2701,$B41,'март 2026'!$J$2:$J$2701,P$1)</f>
        <v>0</v>
      </c>
      <c r="Q41" s="143">
        <f>SUMIFS('март 2026'!$G$2:$G$2701,'март 2026'!$D$2:$D$2701,$B41,'март 2026'!$J$2:$J$2701,Q$1)</f>
        <v>0</v>
      </c>
      <c r="R41" s="143">
        <f>SUMIFS('март 2026'!$G$2:$G$2701,'март 2026'!$D$2:$D$2701,$B41,'март 2026'!$J$2:$J$2701,R$1)</f>
        <v>0</v>
      </c>
      <c r="S41" s="143">
        <f>SUMIFS('март 2026'!$G$2:$G$2701,'март 2026'!$D$2:$D$2701,$B41,'март 2026'!$J$2:$J$2701,S$1)</f>
        <v>0</v>
      </c>
      <c r="T41" s="143">
        <f>SUMIFS('март 2026'!$G$2:$G$2701,'март 2026'!$D$2:$D$2701,$B41,'март 2026'!$J$2:$J$2701,T$1)</f>
        <v>0</v>
      </c>
      <c r="U41" s="143">
        <f>SUMIFS('март 2026'!$G$2:$G$2701,'март 2026'!$D$2:$D$2701,$B41,'март 2026'!$J$2:$J$2701,U$1)</f>
        <v>0</v>
      </c>
      <c r="V41" s="143">
        <f>SUMIFS('март 2026'!$G$2:$G$2701,'март 2026'!$D$2:$D$2701,$B41,'март 2026'!$J$2:$J$2701,V$1)</f>
        <v>0</v>
      </c>
      <c r="W41" s="143">
        <f>SUMIFS('март 2026'!$G$2:$G$2701,'март 2026'!$D$2:$D$2701,$B41,'март 2026'!$J$2:$J$2701,W$1)</f>
        <v>0</v>
      </c>
      <c r="X41" s="143">
        <f>SUMIFS('март 2026'!$G$2:$G$2701,'март 2026'!$D$2:$D$2701,$B41,'март 2026'!$J$2:$J$2701,X$1)</f>
        <v>0</v>
      </c>
      <c r="Y41" s="143">
        <f>SUMIFS('март 2026'!$G$2:$G$2701,'март 2026'!$D$2:$D$2701,$B41,'март 2026'!$J$2:$J$2701,Y$1)</f>
        <v>0</v>
      </c>
      <c r="Z41" s="143">
        <f>SUMIFS('март 2026'!$G$2:$G$2701,'март 2026'!$D$2:$D$2701,$B41,'март 2026'!$J$2:$J$2701,Z$1)</f>
        <v>0</v>
      </c>
      <c r="AA41" s="143">
        <f>SUMIFS('март 2026'!$G$2:$G$2701,'март 2026'!$D$2:$D$2701,$B41,'март 2026'!$J$2:$J$2701,AA$1)</f>
        <v>0</v>
      </c>
      <c r="AB41" s="143">
        <f>SUMIFS('март 2026'!$G$2:$G$2701,'март 2026'!$D$2:$D$2701,$B41,'март 2026'!$J$2:$J$2701,AB$1)</f>
        <v>0</v>
      </c>
      <c r="AC41" s="143">
        <f>SUMIFS('март 2026'!$G$2:$G$2701,'март 2026'!$D$2:$D$2701,$B41,'март 2026'!$J$2:$J$2701,AC$1)</f>
        <v>0</v>
      </c>
      <c r="AD41" s="143">
        <f>SUMIFS('март 2026'!$G$2:$G$2701,'март 2026'!$D$2:$D$2701,$B41,'март 2026'!$J$2:$J$2701,AD$1)</f>
        <v>0</v>
      </c>
      <c r="AE41" s="143">
        <f>SUMIFS('март 2026'!$G$2:$G$2701,'март 2026'!$D$2:$D$2701,$B41,'март 2026'!$J$2:$J$2701,AE$1)</f>
        <v>0</v>
      </c>
      <c r="AF41" s="143">
        <f>SUMIFS('март 2026'!$G$2:$G$2701,'март 2026'!$D$2:$D$2701,$B41,'март 2026'!$J$2:$J$2701,AF$1)</f>
        <v>0</v>
      </c>
      <c r="AG41" s="143">
        <f>SUMIFS('март 2026'!$G$2:$G$2701,'март 2026'!$D$2:$D$2701,$B41,'март 2026'!$J$2:$J$2701,AG$1)</f>
        <v>0</v>
      </c>
      <c r="AH41" s="143">
        <f>SUMIFS('март 2026'!$G$2:$G$2701,'март 2026'!$D$2:$D$2701,$B41,'март 2026'!$J$2:$J$2701,AH$1)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SUMIFS('март 2026'!$G$2:$G$2701,'март 2026'!$D$2:$D$2701,$B42,'март 2026'!$J$2:$J$2701,D$1)</f>
        <v>0</v>
      </c>
      <c r="E42" s="143">
        <f>SUMIFS('март 2026'!$G$2:$G$2701,'март 2026'!$D$2:$D$2701,$B42,'март 2026'!$J$2:$J$2701,E$1)</f>
        <v>0</v>
      </c>
      <c r="F42" s="143">
        <f>SUMIFS('март 2026'!$G$2:$G$2701,'март 2026'!$D$2:$D$2701,$B42,'март 2026'!$J$2:$J$2701,F$1)</f>
        <v>0</v>
      </c>
      <c r="G42" s="143">
        <f>SUMIFS('март 2026'!$G$2:$G$2701,'март 2026'!$D$2:$D$2701,$B42,'март 2026'!$J$2:$J$2701,G$1)</f>
        <v>0</v>
      </c>
      <c r="H42" s="143">
        <f>SUMIFS('март 2026'!$G$2:$G$2701,'март 2026'!$D$2:$D$2701,$B42,'март 2026'!$J$2:$J$2701,H$1)</f>
        <v>0</v>
      </c>
      <c r="I42" s="143">
        <f>SUMIFS('март 2026'!$G$2:$G$2701,'март 2026'!$D$2:$D$2701,$B42,'март 2026'!$J$2:$J$2701,I$1)</f>
        <v>0</v>
      </c>
      <c r="J42" s="143">
        <f>SUMIFS('март 2026'!$G$2:$G$2701,'март 2026'!$D$2:$D$2701,$B42,'март 2026'!$J$2:$J$2701,J$1)</f>
        <v>0</v>
      </c>
      <c r="K42" s="143">
        <f>SUMIFS('март 2026'!$G$2:$G$2701,'март 2026'!$D$2:$D$2701,$B42,'март 2026'!$J$2:$J$2701,K$1)</f>
        <v>0</v>
      </c>
      <c r="L42" s="143">
        <f>SUMIFS('март 2026'!$G$2:$G$2701,'март 2026'!$D$2:$D$2701,$B42,'март 2026'!$J$2:$J$2701,L$1)</f>
        <v>0</v>
      </c>
      <c r="M42" s="143">
        <f>SUMIFS('март 2026'!$G$2:$G$2701,'март 2026'!$D$2:$D$2701,$B42,'март 2026'!$J$2:$J$2701,M$1)</f>
        <v>0</v>
      </c>
      <c r="N42" s="143">
        <f>SUMIFS('март 2026'!$G$2:$G$2701,'март 2026'!$D$2:$D$2701,$B42,'март 2026'!$J$2:$J$2701,N$1)</f>
        <v>0</v>
      </c>
      <c r="O42" s="143">
        <f>SUMIFS('март 2026'!$G$2:$G$2701,'март 2026'!$D$2:$D$2701,$B42,'март 2026'!$J$2:$J$2701,O$1)</f>
        <v>0</v>
      </c>
      <c r="P42" s="143">
        <f>SUMIFS('март 2026'!$G$2:$G$2701,'март 2026'!$D$2:$D$2701,$B42,'март 2026'!$J$2:$J$2701,P$1)</f>
        <v>0</v>
      </c>
      <c r="Q42" s="143">
        <f>SUMIFS('март 2026'!$G$2:$G$2701,'март 2026'!$D$2:$D$2701,$B42,'март 2026'!$J$2:$J$2701,Q$1)</f>
        <v>0</v>
      </c>
      <c r="R42" s="143">
        <f>SUMIFS('март 2026'!$G$2:$G$2701,'март 2026'!$D$2:$D$2701,$B42,'март 2026'!$J$2:$J$2701,R$1)</f>
        <v>0</v>
      </c>
      <c r="S42" s="143">
        <f>SUMIFS('март 2026'!$G$2:$G$2701,'март 2026'!$D$2:$D$2701,$B42,'март 2026'!$J$2:$J$2701,S$1)</f>
        <v>0</v>
      </c>
      <c r="T42" s="143">
        <f>SUMIFS('март 2026'!$G$2:$G$2701,'март 2026'!$D$2:$D$2701,$B42,'март 2026'!$J$2:$J$2701,T$1)</f>
        <v>0</v>
      </c>
      <c r="U42" s="143">
        <f>SUMIFS('март 2026'!$G$2:$G$2701,'март 2026'!$D$2:$D$2701,$B42,'март 2026'!$J$2:$J$2701,U$1)</f>
        <v>0</v>
      </c>
      <c r="V42" s="143">
        <f>SUMIFS('март 2026'!$G$2:$G$2701,'март 2026'!$D$2:$D$2701,$B42,'март 2026'!$J$2:$J$2701,V$1)</f>
        <v>0</v>
      </c>
      <c r="W42" s="143">
        <f>SUMIFS('март 2026'!$G$2:$G$2701,'март 2026'!$D$2:$D$2701,$B42,'март 2026'!$J$2:$J$2701,W$1)</f>
        <v>0</v>
      </c>
      <c r="X42" s="143">
        <f>SUMIFS('март 2026'!$G$2:$G$2701,'март 2026'!$D$2:$D$2701,$B42,'март 2026'!$J$2:$J$2701,X$1)</f>
        <v>0</v>
      </c>
      <c r="Y42" s="143">
        <f>SUMIFS('март 2026'!$G$2:$G$2701,'март 2026'!$D$2:$D$2701,$B42,'март 2026'!$J$2:$J$2701,Y$1)</f>
        <v>0</v>
      </c>
      <c r="Z42" s="143">
        <f>SUMIFS('март 2026'!$G$2:$G$2701,'март 2026'!$D$2:$D$2701,$B42,'март 2026'!$J$2:$J$2701,Z$1)</f>
        <v>0</v>
      </c>
      <c r="AA42" s="143">
        <f>SUMIFS('март 2026'!$G$2:$G$2701,'март 2026'!$D$2:$D$2701,$B42,'март 2026'!$J$2:$J$2701,AA$1)</f>
        <v>0</v>
      </c>
      <c r="AB42" s="143">
        <f>SUMIFS('март 2026'!$G$2:$G$2701,'март 2026'!$D$2:$D$2701,$B42,'март 2026'!$J$2:$J$2701,AB$1)</f>
        <v>0</v>
      </c>
      <c r="AC42" s="143">
        <f>SUMIFS('март 2026'!$G$2:$G$2701,'март 2026'!$D$2:$D$2701,$B42,'март 2026'!$J$2:$J$2701,AC$1)</f>
        <v>0</v>
      </c>
      <c r="AD42" s="143">
        <f>SUMIFS('март 2026'!$G$2:$G$2701,'март 2026'!$D$2:$D$2701,$B42,'март 2026'!$J$2:$J$2701,AD$1)</f>
        <v>0</v>
      </c>
      <c r="AE42" s="143">
        <f>SUMIFS('март 2026'!$G$2:$G$2701,'март 2026'!$D$2:$D$2701,$B42,'март 2026'!$J$2:$J$2701,AE$1)</f>
        <v>0</v>
      </c>
      <c r="AF42" s="143">
        <f>SUMIFS('март 2026'!$G$2:$G$2701,'март 2026'!$D$2:$D$2701,$B42,'март 2026'!$J$2:$J$2701,AF$1)</f>
        <v>0</v>
      </c>
      <c r="AG42" s="143">
        <f>SUMIFS('март 2026'!$G$2:$G$2701,'март 2026'!$D$2:$D$2701,$B42,'март 2026'!$J$2:$J$2701,AG$1)</f>
        <v>0</v>
      </c>
      <c r="AH42" s="143">
        <f>SUMIFS('март 2026'!$G$2:$G$2701,'март 2026'!$D$2:$D$2701,$B42,'март 2026'!$J$2:$J$2701,AH$1)</f>
        <v>0</v>
      </c>
      <c r="AI42" s="20">
        <f t="shared" si="1"/>
        <v>0</v>
      </c>
    </row>
    <row r="43" spans="2:35" ht="15" customHeight="1" x14ac:dyDescent="0.25">
      <c r="B43" s="122" t="s">
        <v>221</v>
      </c>
      <c r="C43" s="125">
        <v>25</v>
      </c>
      <c r="D43" s="143">
        <f>SUMIFS('март 2026'!$G$2:$G$2701,'март 2026'!$D$2:$D$2701,$B43,'март 2026'!$J$2:$J$2701,D$1)</f>
        <v>0</v>
      </c>
      <c r="E43" s="143">
        <f>SUMIFS('март 2026'!$G$2:$G$2701,'март 2026'!$D$2:$D$2701,$B43,'март 2026'!$J$2:$J$2701,E$1)</f>
        <v>0</v>
      </c>
      <c r="F43" s="143">
        <f>SUMIFS('март 2026'!$G$2:$G$2701,'март 2026'!$D$2:$D$2701,$B43,'март 2026'!$J$2:$J$2701,F$1)</f>
        <v>0</v>
      </c>
      <c r="G43" s="143">
        <f>SUMIFS('март 2026'!$G$2:$G$2701,'март 2026'!$D$2:$D$2701,$B43,'март 2026'!$J$2:$J$2701,G$1)</f>
        <v>0</v>
      </c>
      <c r="H43" s="143">
        <f>SUMIFS('март 2026'!$G$2:$G$2701,'март 2026'!$D$2:$D$2701,$B43,'март 2026'!$J$2:$J$2701,H$1)</f>
        <v>0</v>
      </c>
      <c r="I43" s="143">
        <f>SUMIFS('март 2026'!$G$2:$G$2701,'март 2026'!$D$2:$D$2701,$B43,'март 2026'!$J$2:$J$2701,I$1)</f>
        <v>0</v>
      </c>
      <c r="J43" s="143">
        <f>SUMIFS('март 2026'!$G$2:$G$2701,'март 2026'!$D$2:$D$2701,$B43,'март 2026'!$J$2:$J$2701,J$1)</f>
        <v>0</v>
      </c>
      <c r="K43" s="143">
        <f>SUMIFS('март 2026'!$G$2:$G$2701,'март 2026'!$D$2:$D$2701,$B43,'март 2026'!$J$2:$J$2701,K$1)</f>
        <v>0</v>
      </c>
      <c r="L43" s="143">
        <f>SUMIFS('март 2026'!$G$2:$G$2701,'март 2026'!$D$2:$D$2701,$B43,'март 2026'!$J$2:$J$2701,L$1)</f>
        <v>0</v>
      </c>
      <c r="M43" s="143">
        <f>SUMIFS('март 2026'!$G$2:$G$2701,'март 2026'!$D$2:$D$2701,$B43,'март 2026'!$J$2:$J$2701,M$1)</f>
        <v>0</v>
      </c>
      <c r="N43" s="143">
        <f>SUMIFS('март 2026'!$G$2:$G$2701,'март 2026'!$D$2:$D$2701,$B43,'март 2026'!$J$2:$J$2701,N$1)</f>
        <v>0</v>
      </c>
      <c r="O43" s="143">
        <f>SUMIFS('март 2026'!$G$2:$G$2701,'март 2026'!$D$2:$D$2701,$B43,'март 2026'!$J$2:$J$2701,O$1)</f>
        <v>0</v>
      </c>
      <c r="P43" s="143">
        <f>SUMIFS('март 2026'!$G$2:$G$2701,'март 2026'!$D$2:$D$2701,$B43,'март 2026'!$J$2:$J$2701,P$1)</f>
        <v>0</v>
      </c>
      <c r="Q43" s="143">
        <f>SUMIFS('март 2026'!$G$2:$G$2701,'март 2026'!$D$2:$D$2701,$B43,'март 2026'!$J$2:$J$2701,Q$1)</f>
        <v>0</v>
      </c>
      <c r="R43" s="143">
        <f>SUMIFS('март 2026'!$G$2:$G$2701,'март 2026'!$D$2:$D$2701,$B43,'март 2026'!$J$2:$J$2701,R$1)</f>
        <v>0</v>
      </c>
      <c r="S43" s="143">
        <f>SUMIFS('март 2026'!$G$2:$G$2701,'март 2026'!$D$2:$D$2701,$B43,'март 2026'!$J$2:$J$2701,S$1)</f>
        <v>0</v>
      </c>
      <c r="T43" s="143">
        <f>SUMIFS('март 2026'!$G$2:$G$2701,'март 2026'!$D$2:$D$2701,$B43,'март 2026'!$J$2:$J$2701,T$1)</f>
        <v>0</v>
      </c>
      <c r="U43" s="143">
        <f>SUMIFS('март 2026'!$G$2:$G$2701,'март 2026'!$D$2:$D$2701,$B43,'март 2026'!$J$2:$J$2701,U$1)</f>
        <v>0</v>
      </c>
      <c r="V43" s="143">
        <f>SUMIFS('март 2026'!$G$2:$G$2701,'март 2026'!$D$2:$D$2701,$B43,'март 2026'!$J$2:$J$2701,V$1)</f>
        <v>0</v>
      </c>
      <c r="W43" s="143">
        <f>SUMIFS('март 2026'!$G$2:$G$2701,'март 2026'!$D$2:$D$2701,$B43,'март 2026'!$J$2:$J$2701,W$1)</f>
        <v>0</v>
      </c>
      <c r="X43" s="143">
        <f>SUMIFS('март 2026'!$G$2:$G$2701,'март 2026'!$D$2:$D$2701,$B43,'март 2026'!$J$2:$J$2701,X$1)</f>
        <v>0</v>
      </c>
      <c r="Y43" s="143">
        <f>SUMIFS('март 2026'!$G$2:$G$2701,'март 2026'!$D$2:$D$2701,$B43,'март 2026'!$J$2:$J$2701,Y$1)</f>
        <v>0</v>
      </c>
      <c r="Z43" s="143">
        <f>SUMIFS('март 2026'!$G$2:$G$2701,'март 2026'!$D$2:$D$2701,$B43,'март 2026'!$J$2:$J$2701,Z$1)</f>
        <v>0</v>
      </c>
      <c r="AA43" s="143">
        <f>SUMIFS('март 2026'!$G$2:$G$2701,'март 2026'!$D$2:$D$2701,$B43,'март 2026'!$J$2:$J$2701,AA$1)</f>
        <v>0</v>
      </c>
      <c r="AB43" s="143">
        <f>SUMIFS('март 2026'!$G$2:$G$2701,'март 2026'!$D$2:$D$2701,$B43,'март 2026'!$J$2:$J$2701,AB$1)</f>
        <v>0</v>
      </c>
      <c r="AC43" s="143">
        <f>SUMIFS('март 2026'!$G$2:$G$2701,'март 2026'!$D$2:$D$2701,$B43,'март 2026'!$J$2:$J$2701,AC$1)</f>
        <v>0</v>
      </c>
      <c r="AD43" s="143">
        <f>SUMIFS('март 2026'!$G$2:$G$2701,'март 2026'!$D$2:$D$2701,$B43,'март 2026'!$J$2:$J$2701,AD$1)</f>
        <v>0</v>
      </c>
      <c r="AE43" s="143">
        <f>SUMIFS('март 2026'!$G$2:$G$2701,'март 2026'!$D$2:$D$2701,$B43,'март 2026'!$J$2:$J$2701,AE$1)</f>
        <v>0</v>
      </c>
      <c r="AF43" s="143">
        <f>SUMIFS('март 2026'!$G$2:$G$2701,'март 2026'!$D$2:$D$2701,$B43,'март 2026'!$J$2:$J$2701,AF$1)</f>
        <v>0</v>
      </c>
      <c r="AG43" s="143">
        <f>SUMIFS('март 2026'!$G$2:$G$2701,'март 2026'!$D$2:$D$2701,$B43,'март 2026'!$J$2:$J$2701,AG$1)</f>
        <v>0</v>
      </c>
      <c r="AH43" s="143">
        <f>SUMIFS('март 2026'!$G$2:$G$2701,'март 2026'!$D$2:$D$2701,$B43,'март 2026'!$J$2:$J$2701,AH$1)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SUMIFS('март 2026'!$G$2:$G$2701,'март 2026'!$D$2:$D$2701,$B44,'март 2026'!$J$2:$J$2701,D$1)</f>
        <v>0</v>
      </c>
      <c r="E44" s="143">
        <f>SUMIFS('март 2026'!$G$2:$G$2701,'март 2026'!$D$2:$D$2701,$B44,'март 2026'!$J$2:$J$2701,E$1)</f>
        <v>0</v>
      </c>
      <c r="F44" s="143">
        <f>SUMIFS('март 2026'!$G$2:$G$2701,'март 2026'!$D$2:$D$2701,$B44,'март 2026'!$J$2:$J$2701,F$1)</f>
        <v>0</v>
      </c>
      <c r="G44" s="143">
        <f>SUMIFS('март 2026'!$G$2:$G$2701,'март 2026'!$D$2:$D$2701,$B44,'март 2026'!$J$2:$J$2701,G$1)</f>
        <v>0</v>
      </c>
      <c r="H44" s="143">
        <f>SUMIFS('март 2026'!$G$2:$G$2701,'март 2026'!$D$2:$D$2701,$B44,'март 2026'!$J$2:$J$2701,H$1)</f>
        <v>0</v>
      </c>
      <c r="I44" s="143">
        <f>SUMIFS('март 2026'!$G$2:$G$2701,'март 2026'!$D$2:$D$2701,$B44,'март 2026'!$J$2:$J$2701,I$1)</f>
        <v>0</v>
      </c>
      <c r="J44" s="143">
        <f>SUMIFS('март 2026'!$G$2:$G$2701,'март 2026'!$D$2:$D$2701,$B44,'март 2026'!$J$2:$J$2701,J$1)</f>
        <v>0</v>
      </c>
      <c r="K44" s="143">
        <f>SUMIFS('март 2026'!$G$2:$G$2701,'март 2026'!$D$2:$D$2701,$B44,'март 2026'!$J$2:$J$2701,K$1)</f>
        <v>0</v>
      </c>
      <c r="L44" s="143">
        <f>SUMIFS('март 2026'!$G$2:$G$2701,'март 2026'!$D$2:$D$2701,$B44,'март 2026'!$J$2:$J$2701,L$1)</f>
        <v>0</v>
      </c>
      <c r="M44" s="143">
        <f>SUMIFS('март 2026'!$G$2:$G$2701,'март 2026'!$D$2:$D$2701,$B44,'март 2026'!$J$2:$J$2701,M$1)</f>
        <v>0</v>
      </c>
      <c r="N44" s="143">
        <f>SUMIFS('март 2026'!$G$2:$G$2701,'март 2026'!$D$2:$D$2701,$B44,'март 2026'!$J$2:$J$2701,N$1)</f>
        <v>0</v>
      </c>
      <c r="O44" s="143">
        <f>SUMIFS('март 2026'!$G$2:$G$2701,'март 2026'!$D$2:$D$2701,$B44,'март 2026'!$J$2:$J$2701,O$1)</f>
        <v>0</v>
      </c>
      <c r="P44" s="143">
        <f>SUMIFS('март 2026'!$G$2:$G$2701,'март 2026'!$D$2:$D$2701,$B44,'март 2026'!$J$2:$J$2701,P$1)</f>
        <v>0</v>
      </c>
      <c r="Q44" s="143">
        <f>SUMIFS('март 2026'!$G$2:$G$2701,'март 2026'!$D$2:$D$2701,$B44,'март 2026'!$J$2:$J$2701,Q$1)</f>
        <v>0</v>
      </c>
      <c r="R44" s="143">
        <f>SUMIFS('март 2026'!$G$2:$G$2701,'март 2026'!$D$2:$D$2701,$B44,'март 2026'!$J$2:$J$2701,R$1)</f>
        <v>0</v>
      </c>
      <c r="S44" s="143">
        <f>SUMIFS('март 2026'!$G$2:$G$2701,'март 2026'!$D$2:$D$2701,$B44,'март 2026'!$J$2:$J$2701,S$1)</f>
        <v>0</v>
      </c>
      <c r="T44" s="143">
        <f>SUMIFS('март 2026'!$G$2:$G$2701,'март 2026'!$D$2:$D$2701,$B44,'март 2026'!$J$2:$J$2701,T$1)</f>
        <v>0</v>
      </c>
      <c r="U44" s="143">
        <f>SUMIFS('март 2026'!$G$2:$G$2701,'март 2026'!$D$2:$D$2701,$B44,'март 2026'!$J$2:$J$2701,U$1)</f>
        <v>0</v>
      </c>
      <c r="V44" s="143">
        <f>SUMIFS('март 2026'!$G$2:$G$2701,'март 2026'!$D$2:$D$2701,$B44,'март 2026'!$J$2:$J$2701,V$1)</f>
        <v>0</v>
      </c>
      <c r="W44" s="143">
        <f>SUMIFS('март 2026'!$G$2:$G$2701,'март 2026'!$D$2:$D$2701,$B44,'март 2026'!$J$2:$J$2701,W$1)</f>
        <v>0</v>
      </c>
      <c r="X44" s="143">
        <f>SUMIFS('март 2026'!$G$2:$G$2701,'март 2026'!$D$2:$D$2701,$B44,'март 2026'!$J$2:$J$2701,X$1)</f>
        <v>0</v>
      </c>
      <c r="Y44" s="143">
        <f>SUMIFS('март 2026'!$G$2:$G$2701,'март 2026'!$D$2:$D$2701,$B44,'март 2026'!$J$2:$J$2701,Y$1)</f>
        <v>0</v>
      </c>
      <c r="Z44" s="143">
        <f>SUMIFS('март 2026'!$G$2:$G$2701,'март 2026'!$D$2:$D$2701,$B44,'март 2026'!$J$2:$J$2701,Z$1)</f>
        <v>0</v>
      </c>
      <c r="AA44" s="143">
        <f>SUMIFS('март 2026'!$G$2:$G$2701,'март 2026'!$D$2:$D$2701,$B44,'март 2026'!$J$2:$J$2701,AA$1)</f>
        <v>0</v>
      </c>
      <c r="AB44" s="143">
        <f>SUMIFS('март 2026'!$G$2:$G$2701,'март 2026'!$D$2:$D$2701,$B44,'март 2026'!$J$2:$J$2701,AB$1)</f>
        <v>0</v>
      </c>
      <c r="AC44" s="143">
        <f>SUMIFS('март 2026'!$G$2:$G$2701,'март 2026'!$D$2:$D$2701,$B44,'март 2026'!$J$2:$J$2701,AC$1)</f>
        <v>0</v>
      </c>
      <c r="AD44" s="143">
        <f>SUMIFS('март 2026'!$G$2:$G$2701,'март 2026'!$D$2:$D$2701,$B44,'март 2026'!$J$2:$J$2701,AD$1)</f>
        <v>0</v>
      </c>
      <c r="AE44" s="143">
        <f>SUMIFS('март 2026'!$G$2:$G$2701,'март 2026'!$D$2:$D$2701,$B44,'март 2026'!$J$2:$J$2701,AE$1)</f>
        <v>0</v>
      </c>
      <c r="AF44" s="143">
        <f>SUMIFS('март 2026'!$G$2:$G$2701,'март 2026'!$D$2:$D$2701,$B44,'март 2026'!$J$2:$J$2701,AF$1)</f>
        <v>0</v>
      </c>
      <c r="AG44" s="143">
        <f>SUMIFS('март 2026'!$G$2:$G$2701,'март 2026'!$D$2:$D$2701,$B44,'март 2026'!$J$2:$J$2701,AG$1)</f>
        <v>0</v>
      </c>
      <c r="AH44" s="143">
        <f>SUMIFS('март 2026'!$G$2:$G$2701,'март 2026'!$D$2:$D$2701,$B44,'март 2026'!$J$2:$J$2701,AH$1)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SUMIFS('март 2026'!$G$2:$G$2701,'март 2026'!$D$2:$D$2701,$B45,'март 2026'!$J$2:$J$2701,D$1)</f>
        <v>0</v>
      </c>
      <c r="E45" s="143">
        <f>SUMIFS('март 2026'!$G$2:$G$2701,'март 2026'!$D$2:$D$2701,$B45,'март 2026'!$J$2:$J$2701,E$1)</f>
        <v>0</v>
      </c>
      <c r="F45" s="143">
        <f>SUMIFS('март 2026'!$G$2:$G$2701,'март 2026'!$D$2:$D$2701,$B45,'март 2026'!$J$2:$J$2701,F$1)</f>
        <v>0</v>
      </c>
      <c r="G45" s="143">
        <f>SUMIFS('март 2026'!$G$2:$G$2701,'март 2026'!$D$2:$D$2701,$B45,'март 2026'!$J$2:$J$2701,G$1)</f>
        <v>0</v>
      </c>
      <c r="H45" s="143">
        <f>SUMIFS('март 2026'!$G$2:$G$2701,'март 2026'!$D$2:$D$2701,$B45,'март 2026'!$J$2:$J$2701,H$1)</f>
        <v>0</v>
      </c>
      <c r="I45" s="143">
        <f>SUMIFS('март 2026'!$G$2:$G$2701,'март 2026'!$D$2:$D$2701,$B45,'март 2026'!$J$2:$J$2701,I$1)</f>
        <v>0</v>
      </c>
      <c r="J45" s="143">
        <f>SUMIFS('март 2026'!$G$2:$G$2701,'март 2026'!$D$2:$D$2701,$B45,'март 2026'!$J$2:$J$2701,J$1)</f>
        <v>0</v>
      </c>
      <c r="K45" s="143">
        <f>SUMIFS('март 2026'!$G$2:$G$2701,'март 2026'!$D$2:$D$2701,$B45,'март 2026'!$J$2:$J$2701,K$1)</f>
        <v>0</v>
      </c>
      <c r="L45" s="143">
        <f>SUMIFS('март 2026'!$G$2:$G$2701,'март 2026'!$D$2:$D$2701,$B45,'март 2026'!$J$2:$J$2701,L$1)</f>
        <v>0</v>
      </c>
      <c r="M45" s="143">
        <f>SUMIFS('март 2026'!$G$2:$G$2701,'март 2026'!$D$2:$D$2701,$B45,'март 2026'!$J$2:$J$2701,M$1)</f>
        <v>0</v>
      </c>
      <c r="N45" s="143">
        <f>SUMIFS('март 2026'!$G$2:$G$2701,'март 2026'!$D$2:$D$2701,$B45,'март 2026'!$J$2:$J$2701,N$1)</f>
        <v>0</v>
      </c>
      <c r="O45" s="143">
        <f>SUMIFS('март 2026'!$G$2:$G$2701,'март 2026'!$D$2:$D$2701,$B45,'март 2026'!$J$2:$J$2701,O$1)</f>
        <v>0</v>
      </c>
      <c r="P45" s="143">
        <f>SUMIFS('март 2026'!$G$2:$G$2701,'март 2026'!$D$2:$D$2701,$B45,'март 2026'!$J$2:$J$2701,P$1)</f>
        <v>0</v>
      </c>
      <c r="Q45" s="143">
        <f>SUMIFS('март 2026'!$G$2:$G$2701,'март 2026'!$D$2:$D$2701,$B45,'март 2026'!$J$2:$J$2701,Q$1)</f>
        <v>0</v>
      </c>
      <c r="R45" s="143">
        <f>SUMIFS('март 2026'!$G$2:$G$2701,'март 2026'!$D$2:$D$2701,$B45,'март 2026'!$J$2:$J$2701,R$1)</f>
        <v>0</v>
      </c>
      <c r="S45" s="143">
        <f>SUMIFS('март 2026'!$G$2:$G$2701,'март 2026'!$D$2:$D$2701,$B45,'март 2026'!$J$2:$J$2701,S$1)</f>
        <v>0</v>
      </c>
      <c r="T45" s="143">
        <f>SUMIFS('март 2026'!$G$2:$G$2701,'март 2026'!$D$2:$D$2701,$B45,'март 2026'!$J$2:$J$2701,T$1)</f>
        <v>0</v>
      </c>
      <c r="U45" s="143">
        <f>SUMIFS('март 2026'!$G$2:$G$2701,'март 2026'!$D$2:$D$2701,$B45,'март 2026'!$J$2:$J$2701,U$1)</f>
        <v>0</v>
      </c>
      <c r="V45" s="143">
        <f>SUMIFS('март 2026'!$G$2:$G$2701,'март 2026'!$D$2:$D$2701,$B45,'март 2026'!$J$2:$J$2701,V$1)</f>
        <v>0</v>
      </c>
      <c r="W45" s="143">
        <f>SUMIFS('март 2026'!$G$2:$G$2701,'март 2026'!$D$2:$D$2701,$B45,'март 2026'!$J$2:$J$2701,W$1)</f>
        <v>0</v>
      </c>
      <c r="X45" s="143">
        <f>SUMIFS('март 2026'!$G$2:$G$2701,'март 2026'!$D$2:$D$2701,$B45,'март 2026'!$J$2:$J$2701,X$1)</f>
        <v>0</v>
      </c>
      <c r="Y45" s="143">
        <f>SUMIFS('март 2026'!$G$2:$G$2701,'март 2026'!$D$2:$D$2701,$B45,'март 2026'!$J$2:$J$2701,Y$1)</f>
        <v>0</v>
      </c>
      <c r="Z45" s="143">
        <f>SUMIFS('март 2026'!$G$2:$G$2701,'март 2026'!$D$2:$D$2701,$B45,'март 2026'!$J$2:$J$2701,Z$1)</f>
        <v>0</v>
      </c>
      <c r="AA45" s="143">
        <f>SUMIFS('март 2026'!$G$2:$G$2701,'март 2026'!$D$2:$D$2701,$B45,'март 2026'!$J$2:$J$2701,AA$1)</f>
        <v>0</v>
      </c>
      <c r="AB45" s="143">
        <f>SUMIFS('март 2026'!$G$2:$G$2701,'март 2026'!$D$2:$D$2701,$B45,'март 2026'!$J$2:$J$2701,AB$1)</f>
        <v>0</v>
      </c>
      <c r="AC45" s="143">
        <f>SUMIFS('март 2026'!$G$2:$G$2701,'март 2026'!$D$2:$D$2701,$B45,'март 2026'!$J$2:$J$2701,AC$1)</f>
        <v>0</v>
      </c>
      <c r="AD45" s="143">
        <f>SUMIFS('март 2026'!$G$2:$G$2701,'март 2026'!$D$2:$D$2701,$B45,'март 2026'!$J$2:$J$2701,AD$1)</f>
        <v>0</v>
      </c>
      <c r="AE45" s="143">
        <f>SUMIFS('март 2026'!$G$2:$G$2701,'март 2026'!$D$2:$D$2701,$B45,'март 2026'!$J$2:$J$2701,AE$1)</f>
        <v>0</v>
      </c>
      <c r="AF45" s="143">
        <f>SUMIFS('март 2026'!$G$2:$G$2701,'март 2026'!$D$2:$D$2701,$B45,'март 2026'!$J$2:$J$2701,AF$1)</f>
        <v>0</v>
      </c>
      <c r="AG45" s="143">
        <f>SUMIFS('март 2026'!$G$2:$G$2701,'март 2026'!$D$2:$D$2701,$B45,'март 2026'!$J$2:$J$2701,AG$1)</f>
        <v>0</v>
      </c>
      <c r="AH45" s="143">
        <f>SUMIFS('март 2026'!$G$2:$G$2701,'март 2026'!$D$2:$D$2701,$B45,'март 2026'!$J$2:$J$2701,AH$1)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SUMIFS('март 2026'!$G$2:$G$2701,'март 2026'!$D$2:$D$2701,$B46,'март 2026'!$J$2:$J$2701,D$1)</f>
        <v>0</v>
      </c>
      <c r="E46" s="143">
        <f>SUMIFS('март 2026'!$G$2:$G$2701,'март 2026'!$D$2:$D$2701,$B46,'март 2026'!$J$2:$J$2701,E$1)</f>
        <v>0</v>
      </c>
      <c r="F46" s="143">
        <f>SUMIFS('март 2026'!$G$2:$G$2701,'март 2026'!$D$2:$D$2701,$B46,'март 2026'!$J$2:$J$2701,F$1)</f>
        <v>0</v>
      </c>
      <c r="G46" s="143">
        <f>SUMIFS('март 2026'!$G$2:$G$2701,'март 2026'!$D$2:$D$2701,$B46,'март 2026'!$J$2:$J$2701,G$1)</f>
        <v>0</v>
      </c>
      <c r="H46" s="143">
        <f>SUMIFS('март 2026'!$G$2:$G$2701,'март 2026'!$D$2:$D$2701,$B46,'март 2026'!$J$2:$J$2701,H$1)</f>
        <v>0</v>
      </c>
      <c r="I46" s="143">
        <f>SUMIFS('март 2026'!$G$2:$G$2701,'март 2026'!$D$2:$D$2701,$B46,'март 2026'!$J$2:$J$2701,I$1)</f>
        <v>0</v>
      </c>
      <c r="J46" s="143">
        <f>SUMIFS('март 2026'!$G$2:$G$2701,'март 2026'!$D$2:$D$2701,$B46,'март 2026'!$J$2:$J$2701,J$1)</f>
        <v>0</v>
      </c>
      <c r="K46" s="143">
        <f>SUMIFS('март 2026'!$G$2:$G$2701,'март 2026'!$D$2:$D$2701,$B46,'март 2026'!$J$2:$J$2701,K$1)</f>
        <v>0</v>
      </c>
      <c r="L46" s="143">
        <f>SUMIFS('март 2026'!$G$2:$G$2701,'март 2026'!$D$2:$D$2701,$B46,'март 2026'!$J$2:$J$2701,L$1)</f>
        <v>0</v>
      </c>
      <c r="M46" s="143">
        <f>SUMIFS('март 2026'!$G$2:$G$2701,'март 2026'!$D$2:$D$2701,$B46,'март 2026'!$J$2:$J$2701,M$1)</f>
        <v>0</v>
      </c>
      <c r="N46" s="143">
        <f>SUMIFS('март 2026'!$G$2:$G$2701,'март 2026'!$D$2:$D$2701,$B46,'март 2026'!$J$2:$J$2701,N$1)</f>
        <v>0</v>
      </c>
      <c r="O46" s="143">
        <f>SUMIFS('март 2026'!$G$2:$G$2701,'март 2026'!$D$2:$D$2701,$B46,'март 2026'!$J$2:$J$2701,O$1)</f>
        <v>0</v>
      </c>
      <c r="P46" s="143">
        <f>SUMIFS('март 2026'!$G$2:$G$2701,'март 2026'!$D$2:$D$2701,$B46,'март 2026'!$J$2:$J$2701,P$1)</f>
        <v>0</v>
      </c>
      <c r="Q46" s="143">
        <f>SUMIFS('март 2026'!$G$2:$G$2701,'март 2026'!$D$2:$D$2701,$B46,'март 2026'!$J$2:$J$2701,Q$1)</f>
        <v>0</v>
      </c>
      <c r="R46" s="143">
        <f>SUMIFS('март 2026'!$G$2:$G$2701,'март 2026'!$D$2:$D$2701,$B46,'март 2026'!$J$2:$J$2701,R$1)</f>
        <v>0</v>
      </c>
      <c r="S46" s="143">
        <f>SUMIFS('март 2026'!$G$2:$G$2701,'март 2026'!$D$2:$D$2701,$B46,'март 2026'!$J$2:$J$2701,S$1)</f>
        <v>0</v>
      </c>
      <c r="T46" s="143">
        <f>SUMIFS('март 2026'!$G$2:$G$2701,'март 2026'!$D$2:$D$2701,$B46,'март 2026'!$J$2:$J$2701,T$1)</f>
        <v>0</v>
      </c>
      <c r="U46" s="143">
        <f>SUMIFS('март 2026'!$G$2:$G$2701,'март 2026'!$D$2:$D$2701,$B46,'март 2026'!$J$2:$J$2701,U$1)</f>
        <v>0</v>
      </c>
      <c r="V46" s="143">
        <f>SUMIFS('март 2026'!$G$2:$G$2701,'март 2026'!$D$2:$D$2701,$B46,'март 2026'!$J$2:$J$2701,V$1)</f>
        <v>0</v>
      </c>
      <c r="W46" s="143">
        <f>SUMIFS('март 2026'!$G$2:$G$2701,'март 2026'!$D$2:$D$2701,$B46,'март 2026'!$J$2:$J$2701,W$1)</f>
        <v>0</v>
      </c>
      <c r="X46" s="143">
        <f>SUMIFS('март 2026'!$G$2:$G$2701,'март 2026'!$D$2:$D$2701,$B46,'март 2026'!$J$2:$J$2701,X$1)</f>
        <v>0</v>
      </c>
      <c r="Y46" s="143">
        <f>SUMIFS('март 2026'!$G$2:$G$2701,'март 2026'!$D$2:$D$2701,$B46,'март 2026'!$J$2:$J$2701,Y$1)</f>
        <v>0</v>
      </c>
      <c r="Z46" s="143">
        <f>SUMIFS('март 2026'!$G$2:$G$2701,'март 2026'!$D$2:$D$2701,$B46,'март 2026'!$J$2:$J$2701,Z$1)</f>
        <v>0</v>
      </c>
      <c r="AA46" s="143">
        <f>SUMIFS('март 2026'!$G$2:$G$2701,'март 2026'!$D$2:$D$2701,$B46,'март 2026'!$J$2:$J$2701,AA$1)</f>
        <v>0</v>
      </c>
      <c r="AB46" s="143">
        <f>SUMIFS('март 2026'!$G$2:$G$2701,'март 2026'!$D$2:$D$2701,$B46,'март 2026'!$J$2:$J$2701,AB$1)</f>
        <v>0</v>
      </c>
      <c r="AC46" s="143">
        <f>SUMIFS('март 2026'!$G$2:$G$2701,'март 2026'!$D$2:$D$2701,$B46,'март 2026'!$J$2:$J$2701,AC$1)</f>
        <v>0</v>
      </c>
      <c r="AD46" s="143">
        <f>SUMIFS('март 2026'!$G$2:$G$2701,'март 2026'!$D$2:$D$2701,$B46,'март 2026'!$J$2:$J$2701,AD$1)</f>
        <v>0</v>
      </c>
      <c r="AE46" s="143">
        <f>SUMIFS('март 2026'!$G$2:$G$2701,'март 2026'!$D$2:$D$2701,$B46,'март 2026'!$J$2:$J$2701,AE$1)</f>
        <v>0</v>
      </c>
      <c r="AF46" s="143">
        <f>SUMIFS('март 2026'!$G$2:$G$2701,'март 2026'!$D$2:$D$2701,$B46,'март 2026'!$J$2:$J$2701,AF$1)</f>
        <v>0</v>
      </c>
      <c r="AG46" s="143">
        <f>SUMIFS('март 2026'!$G$2:$G$2701,'март 2026'!$D$2:$D$2701,$B46,'март 2026'!$J$2:$J$2701,AG$1)</f>
        <v>0</v>
      </c>
      <c r="AH46" s="143">
        <f>SUMIFS('март 2026'!$G$2:$G$2701,'март 2026'!$D$2:$D$2701,$B46,'март 2026'!$J$2:$J$2701,AH$1)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SUMIFS('март 2026'!$G$2:$G$2701,'март 2026'!$D$2:$D$2701,$B47,'март 2026'!$J$2:$J$2701,D$1)</f>
        <v>0</v>
      </c>
      <c r="E47" s="143">
        <f>SUMIFS('март 2026'!$G$2:$G$2701,'март 2026'!$D$2:$D$2701,$B47,'март 2026'!$J$2:$J$2701,E$1)</f>
        <v>0</v>
      </c>
      <c r="F47" s="143">
        <f>SUMIFS('март 2026'!$G$2:$G$2701,'март 2026'!$D$2:$D$2701,$B47,'март 2026'!$J$2:$J$2701,F$1)</f>
        <v>0</v>
      </c>
      <c r="G47" s="143">
        <f>SUMIFS('март 2026'!$G$2:$G$2701,'март 2026'!$D$2:$D$2701,$B47,'март 2026'!$J$2:$J$2701,G$1)</f>
        <v>0</v>
      </c>
      <c r="H47" s="143">
        <f>SUMIFS('март 2026'!$G$2:$G$2701,'март 2026'!$D$2:$D$2701,$B47,'март 2026'!$J$2:$J$2701,H$1)</f>
        <v>0</v>
      </c>
      <c r="I47" s="143">
        <f>SUMIFS('март 2026'!$G$2:$G$2701,'март 2026'!$D$2:$D$2701,$B47,'март 2026'!$J$2:$J$2701,I$1)</f>
        <v>0</v>
      </c>
      <c r="J47" s="143">
        <f>SUMIFS('март 2026'!$G$2:$G$2701,'март 2026'!$D$2:$D$2701,$B47,'март 2026'!$J$2:$J$2701,J$1)</f>
        <v>0</v>
      </c>
      <c r="K47" s="143">
        <f>SUMIFS('март 2026'!$G$2:$G$2701,'март 2026'!$D$2:$D$2701,$B47,'март 2026'!$J$2:$J$2701,K$1)</f>
        <v>0</v>
      </c>
      <c r="L47" s="143">
        <f>SUMIFS('март 2026'!$G$2:$G$2701,'март 2026'!$D$2:$D$2701,$B47,'март 2026'!$J$2:$J$2701,L$1)</f>
        <v>0</v>
      </c>
      <c r="M47" s="143">
        <f>SUMIFS('март 2026'!$G$2:$G$2701,'март 2026'!$D$2:$D$2701,$B47,'март 2026'!$J$2:$J$2701,M$1)</f>
        <v>0</v>
      </c>
      <c r="N47" s="143">
        <f>SUMIFS('март 2026'!$G$2:$G$2701,'март 2026'!$D$2:$D$2701,$B47,'март 2026'!$J$2:$J$2701,N$1)</f>
        <v>0</v>
      </c>
      <c r="O47" s="143">
        <f>SUMIFS('март 2026'!$G$2:$G$2701,'март 2026'!$D$2:$D$2701,$B47,'март 2026'!$J$2:$J$2701,O$1)</f>
        <v>0</v>
      </c>
      <c r="P47" s="143">
        <f>SUMIFS('март 2026'!$G$2:$G$2701,'март 2026'!$D$2:$D$2701,$B47,'март 2026'!$J$2:$J$2701,P$1)</f>
        <v>0</v>
      </c>
      <c r="Q47" s="143">
        <f>SUMIFS('март 2026'!$G$2:$G$2701,'март 2026'!$D$2:$D$2701,$B47,'март 2026'!$J$2:$J$2701,Q$1)</f>
        <v>0</v>
      </c>
      <c r="R47" s="143">
        <f>SUMIFS('март 2026'!$G$2:$G$2701,'март 2026'!$D$2:$D$2701,$B47,'март 2026'!$J$2:$J$2701,R$1)</f>
        <v>0</v>
      </c>
      <c r="S47" s="143">
        <f>SUMIFS('март 2026'!$G$2:$G$2701,'март 2026'!$D$2:$D$2701,$B47,'март 2026'!$J$2:$J$2701,S$1)</f>
        <v>0</v>
      </c>
      <c r="T47" s="143">
        <f>SUMIFS('март 2026'!$G$2:$G$2701,'март 2026'!$D$2:$D$2701,$B47,'март 2026'!$J$2:$J$2701,T$1)</f>
        <v>0</v>
      </c>
      <c r="U47" s="143">
        <f>SUMIFS('март 2026'!$G$2:$G$2701,'март 2026'!$D$2:$D$2701,$B47,'март 2026'!$J$2:$J$2701,U$1)</f>
        <v>0</v>
      </c>
      <c r="V47" s="143">
        <f>SUMIFS('март 2026'!$G$2:$G$2701,'март 2026'!$D$2:$D$2701,$B47,'март 2026'!$J$2:$J$2701,V$1)</f>
        <v>0</v>
      </c>
      <c r="W47" s="143">
        <f>SUMIFS('март 2026'!$G$2:$G$2701,'март 2026'!$D$2:$D$2701,$B47,'март 2026'!$J$2:$J$2701,W$1)</f>
        <v>0</v>
      </c>
      <c r="X47" s="143">
        <f>SUMIFS('март 2026'!$G$2:$G$2701,'март 2026'!$D$2:$D$2701,$B47,'март 2026'!$J$2:$J$2701,X$1)</f>
        <v>0</v>
      </c>
      <c r="Y47" s="143">
        <f>SUMIFS('март 2026'!$G$2:$G$2701,'март 2026'!$D$2:$D$2701,$B47,'март 2026'!$J$2:$J$2701,Y$1)</f>
        <v>0</v>
      </c>
      <c r="Z47" s="143">
        <f>SUMIFS('март 2026'!$G$2:$G$2701,'март 2026'!$D$2:$D$2701,$B47,'март 2026'!$J$2:$J$2701,Z$1)</f>
        <v>0</v>
      </c>
      <c r="AA47" s="143">
        <f>SUMIFS('март 2026'!$G$2:$G$2701,'март 2026'!$D$2:$D$2701,$B47,'март 2026'!$J$2:$J$2701,AA$1)</f>
        <v>0</v>
      </c>
      <c r="AB47" s="143">
        <f>SUMIFS('март 2026'!$G$2:$G$2701,'март 2026'!$D$2:$D$2701,$B47,'март 2026'!$J$2:$J$2701,AB$1)</f>
        <v>0</v>
      </c>
      <c r="AC47" s="143">
        <f>SUMIFS('март 2026'!$G$2:$G$2701,'март 2026'!$D$2:$D$2701,$B47,'март 2026'!$J$2:$J$2701,AC$1)</f>
        <v>0</v>
      </c>
      <c r="AD47" s="143">
        <f>SUMIFS('март 2026'!$G$2:$G$2701,'март 2026'!$D$2:$D$2701,$B47,'март 2026'!$J$2:$J$2701,AD$1)</f>
        <v>0</v>
      </c>
      <c r="AE47" s="143">
        <f>SUMIFS('март 2026'!$G$2:$G$2701,'март 2026'!$D$2:$D$2701,$B47,'март 2026'!$J$2:$J$2701,AE$1)</f>
        <v>0</v>
      </c>
      <c r="AF47" s="143">
        <f>SUMIFS('март 2026'!$G$2:$G$2701,'март 2026'!$D$2:$D$2701,$B47,'март 2026'!$J$2:$J$2701,AF$1)</f>
        <v>0</v>
      </c>
      <c r="AG47" s="143">
        <f>SUMIFS('март 2026'!$G$2:$G$2701,'март 2026'!$D$2:$D$2701,$B47,'март 2026'!$J$2:$J$2701,AG$1)</f>
        <v>0</v>
      </c>
      <c r="AH47" s="143">
        <f>SUMIFS('март 2026'!$G$2:$G$2701,'март 2026'!$D$2:$D$2701,$B47,'март 2026'!$J$2:$J$2701,AH$1)</f>
        <v>0</v>
      </c>
      <c r="AI47" s="20">
        <f t="shared" si="1"/>
        <v>0</v>
      </c>
    </row>
    <row r="48" spans="2:35" ht="15" customHeight="1" x14ac:dyDescent="0.25">
      <c r="B48" s="126" t="s">
        <v>372</v>
      </c>
      <c r="C48" s="123">
        <v>25</v>
      </c>
      <c r="D48" s="143">
        <f>SUMIFS('март 2026'!$G$2:$G$2701,'март 2026'!$D$2:$D$2701,$B48,'март 2026'!$J$2:$J$2701,D$1)</f>
        <v>0</v>
      </c>
      <c r="E48" s="143">
        <f>SUMIFS('март 2026'!$G$2:$G$2701,'март 2026'!$D$2:$D$2701,$B48,'март 2026'!$J$2:$J$2701,E$1)</f>
        <v>0</v>
      </c>
      <c r="F48" s="143">
        <f>SUMIFS('март 2026'!$G$2:$G$2701,'март 2026'!$D$2:$D$2701,$B48,'март 2026'!$J$2:$J$2701,F$1)</f>
        <v>0</v>
      </c>
      <c r="G48" s="143">
        <f>SUMIFS('март 2026'!$G$2:$G$2701,'март 2026'!$D$2:$D$2701,$B48,'март 2026'!$J$2:$J$2701,G$1)</f>
        <v>0</v>
      </c>
      <c r="H48" s="143">
        <f>SUMIFS('март 2026'!$G$2:$G$2701,'март 2026'!$D$2:$D$2701,$B48,'март 2026'!$J$2:$J$2701,H$1)</f>
        <v>0</v>
      </c>
      <c r="I48" s="143">
        <f>SUMIFS('март 2026'!$G$2:$G$2701,'март 2026'!$D$2:$D$2701,$B48,'март 2026'!$J$2:$J$2701,I$1)</f>
        <v>0</v>
      </c>
      <c r="J48" s="143">
        <f>SUMIFS('март 2026'!$G$2:$G$2701,'март 2026'!$D$2:$D$2701,$B48,'март 2026'!$J$2:$J$2701,J$1)</f>
        <v>0</v>
      </c>
      <c r="K48" s="143">
        <f>SUMIFS('март 2026'!$G$2:$G$2701,'март 2026'!$D$2:$D$2701,$B48,'март 2026'!$J$2:$J$2701,K$1)</f>
        <v>0</v>
      </c>
      <c r="L48" s="143">
        <f>SUMIFS('март 2026'!$G$2:$G$2701,'март 2026'!$D$2:$D$2701,$B48,'март 2026'!$J$2:$J$2701,L$1)</f>
        <v>0</v>
      </c>
      <c r="M48" s="143">
        <f>SUMIFS('март 2026'!$G$2:$G$2701,'март 2026'!$D$2:$D$2701,$B48,'март 2026'!$J$2:$J$2701,M$1)</f>
        <v>0</v>
      </c>
      <c r="N48" s="143">
        <f>SUMIFS('март 2026'!$G$2:$G$2701,'март 2026'!$D$2:$D$2701,$B48,'март 2026'!$J$2:$J$2701,N$1)</f>
        <v>0</v>
      </c>
      <c r="O48" s="143">
        <f>SUMIFS('март 2026'!$G$2:$G$2701,'март 2026'!$D$2:$D$2701,$B48,'март 2026'!$J$2:$J$2701,O$1)</f>
        <v>0</v>
      </c>
      <c r="P48" s="143">
        <f>SUMIFS('март 2026'!$G$2:$G$2701,'март 2026'!$D$2:$D$2701,$B48,'март 2026'!$J$2:$J$2701,P$1)</f>
        <v>0</v>
      </c>
      <c r="Q48" s="143">
        <f>SUMIFS('март 2026'!$G$2:$G$2701,'март 2026'!$D$2:$D$2701,$B48,'март 2026'!$J$2:$J$2701,Q$1)</f>
        <v>0</v>
      </c>
      <c r="R48" s="143">
        <f>SUMIFS('март 2026'!$G$2:$G$2701,'март 2026'!$D$2:$D$2701,$B48,'март 2026'!$J$2:$J$2701,R$1)</f>
        <v>0</v>
      </c>
      <c r="S48" s="143">
        <f>SUMIFS('март 2026'!$G$2:$G$2701,'март 2026'!$D$2:$D$2701,$B48,'март 2026'!$J$2:$J$2701,S$1)</f>
        <v>0</v>
      </c>
      <c r="T48" s="143">
        <f>SUMIFS('март 2026'!$G$2:$G$2701,'март 2026'!$D$2:$D$2701,$B48,'март 2026'!$J$2:$J$2701,T$1)</f>
        <v>700</v>
      </c>
      <c r="U48" s="143">
        <f>SUMIFS('март 2026'!$G$2:$G$2701,'март 2026'!$D$2:$D$2701,$B48,'март 2026'!$J$2:$J$2701,U$1)</f>
        <v>0</v>
      </c>
      <c r="V48" s="143">
        <f>SUMIFS('март 2026'!$G$2:$G$2701,'март 2026'!$D$2:$D$2701,$B48,'март 2026'!$J$2:$J$2701,V$1)</f>
        <v>0</v>
      </c>
      <c r="W48" s="143">
        <f>SUMIFS('март 2026'!$G$2:$G$2701,'март 2026'!$D$2:$D$2701,$B48,'март 2026'!$J$2:$J$2701,W$1)</f>
        <v>0</v>
      </c>
      <c r="X48" s="143">
        <f>SUMIFS('март 2026'!$G$2:$G$2701,'март 2026'!$D$2:$D$2701,$B48,'март 2026'!$J$2:$J$2701,X$1)</f>
        <v>0</v>
      </c>
      <c r="Y48" s="143">
        <f>SUMIFS('март 2026'!$G$2:$G$2701,'март 2026'!$D$2:$D$2701,$B48,'март 2026'!$J$2:$J$2701,Y$1)</f>
        <v>0</v>
      </c>
      <c r="Z48" s="143">
        <f>SUMIFS('март 2026'!$G$2:$G$2701,'март 2026'!$D$2:$D$2701,$B48,'март 2026'!$J$2:$J$2701,Z$1)</f>
        <v>0</v>
      </c>
      <c r="AA48" s="143">
        <f>SUMIFS('март 2026'!$G$2:$G$2701,'март 2026'!$D$2:$D$2701,$B48,'март 2026'!$J$2:$J$2701,AA$1)</f>
        <v>0</v>
      </c>
      <c r="AB48" s="143">
        <f>SUMIFS('март 2026'!$G$2:$G$2701,'март 2026'!$D$2:$D$2701,$B48,'март 2026'!$J$2:$J$2701,AB$1)</f>
        <v>0</v>
      </c>
      <c r="AC48" s="143">
        <f>SUMIFS('март 2026'!$G$2:$G$2701,'март 2026'!$D$2:$D$2701,$B48,'март 2026'!$J$2:$J$2701,AC$1)</f>
        <v>0</v>
      </c>
      <c r="AD48" s="143">
        <f>SUMIFS('март 2026'!$G$2:$G$2701,'март 2026'!$D$2:$D$2701,$B48,'март 2026'!$J$2:$J$2701,AD$1)</f>
        <v>0</v>
      </c>
      <c r="AE48" s="143">
        <f>SUMIFS('март 2026'!$G$2:$G$2701,'март 2026'!$D$2:$D$2701,$B48,'март 2026'!$J$2:$J$2701,AE$1)</f>
        <v>0</v>
      </c>
      <c r="AF48" s="143">
        <f>SUMIFS('март 2026'!$G$2:$G$2701,'март 2026'!$D$2:$D$2701,$B48,'март 2026'!$J$2:$J$2701,AF$1)</f>
        <v>0</v>
      </c>
      <c r="AG48" s="143">
        <f>SUMIFS('март 2026'!$G$2:$G$2701,'март 2026'!$D$2:$D$2701,$B48,'март 2026'!$J$2:$J$2701,AG$1)</f>
        <v>0</v>
      </c>
      <c r="AH48" s="143">
        <f>SUMIFS('март 2026'!$G$2:$G$2701,'март 2026'!$D$2:$D$2701,$B48,'март 2026'!$J$2:$J$2701,AH$1)</f>
        <v>0</v>
      </c>
      <c r="AI48" s="20">
        <f t="shared" si="1"/>
        <v>700</v>
      </c>
    </row>
    <row r="49" spans="2:35" ht="15" customHeight="1" x14ac:dyDescent="0.25">
      <c r="B49" s="126" t="s">
        <v>230</v>
      </c>
      <c r="C49" s="123">
        <v>18</v>
      </c>
      <c r="D49" s="143">
        <f>SUMIFS('март 2026'!$G$2:$G$2701,'март 2026'!$D$2:$D$2701,$B49,'март 2026'!$J$2:$J$2701,D$1)</f>
        <v>0</v>
      </c>
      <c r="E49" s="143">
        <f>SUMIFS('март 2026'!$G$2:$G$2701,'март 2026'!$D$2:$D$2701,$B49,'март 2026'!$J$2:$J$2701,E$1)</f>
        <v>0</v>
      </c>
      <c r="F49" s="143">
        <f>SUMIFS('март 2026'!$G$2:$G$2701,'март 2026'!$D$2:$D$2701,$B49,'март 2026'!$J$2:$J$2701,F$1)</f>
        <v>0</v>
      </c>
      <c r="G49" s="143">
        <f>SUMIFS('март 2026'!$G$2:$G$2701,'март 2026'!$D$2:$D$2701,$B49,'март 2026'!$J$2:$J$2701,G$1)</f>
        <v>0</v>
      </c>
      <c r="H49" s="143">
        <f>SUMIFS('март 2026'!$G$2:$G$2701,'март 2026'!$D$2:$D$2701,$B49,'март 2026'!$J$2:$J$2701,H$1)</f>
        <v>0</v>
      </c>
      <c r="I49" s="143">
        <f>SUMIFS('март 2026'!$G$2:$G$2701,'март 2026'!$D$2:$D$2701,$B49,'март 2026'!$J$2:$J$2701,I$1)</f>
        <v>28</v>
      </c>
      <c r="J49" s="143">
        <f>SUMIFS('март 2026'!$G$2:$G$2701,'март 2026'!$D$2:$D$2701,$B49,'март 2026'!$J$2:$J$2701,J$1)</f>
        <v>0</v>
      </c>
      <c r="K49" s="143">
        <f>SUMIFS('март 2026'!$G$2:$G$2701,'март 2026'!$D$2:$D$2701,$B49,'март 2026'!$J$2:$J$2701,K$1)</f>
        <v>0</v>
      </c>
      <c r="L49" s="143">
        <f>SUMIFS('март 2026'!$G$2:$G$2701,'март 2026'!$D$2:$D$2701,$B49,'март 2026'!$J$2:$J$2701,L$1)</f>
        <v>0</v>
      </c>
      <c r="M49" s="143">
        <f>SUMIFS('март 2026'!$G$2:$G$2701,'март 2026'!$D$2:$D$2701,$B49,'март 2026'!$J$2:$J$2701,M$1)</f>
        <v>0</v>
      </c>
      <c r="N49" s="143">
        <f>SUMIFS('март 2026'!$G$2:$G$2701,'март 2026'!$D$2:$D$2701,$B49,'март 2026'!$J$2:$J$2701,N$1)</f>
        <v>0</v>
      </c>
      <c r="O49" s="143">
        <f>SUMIFS('март 2026'!$G$2:$G$2701,'март 2026'!$D$2:$D$2701,$B49,'март 2026'!$J$2:$J$2701,O$1)</f>
        <v>0</v>
      </c>
      <c r="P49" s="143">
        <f>SUMIFS('март 2026'!$G$2:$G$2701,'март 2026'!$D$2:$D$2701,$B49,'март 2026'!$J$2:$J$2701,P$1)</f>
        <v>0</v>
      </c>
      <c r="Q49" s="143">
        <f>SUMIFS('март 2026'!$G$2:$G$2701,'март 2026'!$D$2:$D$2701,$B49,'март 2026'!$J$2:$J$2701,Q$1)</f>
        <v>0</v>
      </c>
      <c r="R49" s="143">
        <f>SUMIFS('март 2026'!$G$2:$G$2701,'март 2026'!$D$2:$D$2701,$B49,'март 2026'!$J$2:$J$2701,R$1)</f>
        <v>0</v>
      </c>
      <c r="S49" s="143">
        <f>SUMIFS('март 2026'!$G$2:$G$2701,'март 2026'!$D$2:$D$2701,$B49,'март 2026'!$J$2:$J$2701,S$1)</f>
        <v>0</v>
      </c>
      <c r="T49" s="143">
        <f>SUMIFS('март 2026'!$G$2:$G$2701,'март 2026'!$D$2:$D$2701,$B49,'март 2026'!$J$2:$J$2701,T$1)</f>
        <v>0</v>
      </c>
      <c r="U49" s="143">
        <f>SUMIFS('март 2026'!$G$2:$G$2701,'март 2026'!$D$2:$D$2701,$B49,'март 2026'!$J$2:$J$2701,U$1)</f>
        <v>0</v>
      </c>
      <c r="V49" s="143">
        <f>SUMIFS('март 2026'!$G$2:$G$2701,'март 2026'!$D$2:$D$2701,$B49,'март 2026'!$J$2:$J$2701,V$1)</f>
        <v>0</v>
      </c>
      <c r="W49" s="143">
        <f>SUMIFS('март 2026'!$G$2:$G$2701,'март 2026'!$D$2:$D$2701,$B49,'март 2026'!$J$2:$J$2701,W$1)</f>
        <v>0</v>
      </c>
      <c r="X49" s="143">
        <f>SUMIFS('март 2026'!$G$2:$G$2701,'март 2026'!$D$2:$D$2701,$B49,'март 2026'!$J$2:$J$2701,X$1)</f>
        <v>0</v>
      </c>
      <c r="Y49" s="143">
        <f>SUMIFS('март 2026'!$G$2:$G$2701,'март 2026'!$D$2:$D$2701,$B49,'март 2026'!$J$2:$J$2701,Y$1)</f>
        <v>0</v>
      </c>
      <c r="Z49" s="143">
        <f>SUMIFS('март 2026'!$G$2:$G$2701,'март 2026'!$D$2:$D$2701,$B49,'март 2026'!$J$2:$J$2701,Z$1)</f>
        <v>0</v>
      </c>
      <c r="AA49" s="143">
        <f>SUMIFS('март 2026'!$G$2:$G$2701,'март 2026'!$D$2:$D$2701,$B49,'март 2026'!$J$2:$J$2701,AA$1)</f>
        <v>0</v>
      </c>
      <c r="AB49" s="143">
        <f>SUMIFS('март 2026'!$G$2:$G$2701,'март 2026'!$D$2:$D$2701,$B49,'март 2026'!$J$2:$J$2701,AB$1)</f>
        <v>0</v>
      </c>
      <c r="AC49" s="143">
        <f>SUMIFS('март 2026'!$G$2:$G$2701,'март 2026'!$D$2:$D$2701,$B49,'март 2026'!$J$2:$J$2701,AC$1)</f>
        <v>0</v>
      </c>
      <c r="AD49" s="143">
        <f>SUMIFS('март 2026'!$G$2:$G$2701,'март 2026'!$D$2:$D$2701,$B49,'март 2026'!$J$2:$J$2701,AD$1)</f>
        <v>0</v>
      </c>
      <c r="AE49" s="143">
        <f>SUMIFS('март 2026'!$G$2:$G$2701,'март 2026'!$D$2:$D$2701,$B49,'март 2026'!$J$2:$J$2701,AE$1)</f>
        <v>0</v>
      </c>
      <c r="AF49" s="143">
        <f>SUMIFS('март 2026'!$G$2:$G$2701,'март 2026'!$D$2:$D$2701,$B49,'март 2026'!$J$2:$J$2701,AF$1)</f>
        <v>0</v>
      </c>
      <c r="AG49" s="143">
        <f>SUMIFS('март 2026'!$G$2:$G$2701,'март 2026'!$D$2:$D$2701,$B49,'март 2026'!$J$2:$J$2701,AG$1)</f>
        <v>0</v>
      </c>
      <c r="AH49" s="143">
        <f>SUMIFS('март 2026'!$G$2:$G$2701,'март 2026'!$D$2:$D$2701,$B49,'март 2026'!$J$2:$J$2701,AH$1)</f>
        <v>0</v>
      </c>
      <c r="AI49" s="20">
        <f t="shared" si="1"/>
        <v>28</v>
      </c>
    </row>
    <row r="50" spans="2:35" ht="15" customHeight="1" x14ac:dyDescent="0.25">
      <c r="B50" s="126" t="s">
        <v>335</v>
      </c>
      <c r="C50" s="123">
        <v>18</v>
      </c>
      <c r="D50" s="143">
        <f>SUMIFS('март 2026'!$G$2:$G$2701,'март 2026'!$D$2:$D$2701,$B50,'март 2026'!$J$2:$J$2701,D$1)</f>
        <v>0</v>
      </c>
      <c r="E50" s="143">
        <f>SUMIFS('март 2026'!$G$2:$G$2701,'март 2026'!$D$2:$D$2701,$B50,'март 2026'!$J$2:$J$2701,E$1)</f>
        <v>0</v>
      </c>
      <c r="F50" s="143">
        <f>SUMIFS('март 2026'!$G$2:$G$2701,'март 2026'!$D$2:$D$2701,$B50,'март 2026'!$J$2:$J$2701,F$1)</f>
        <v>0</v>
      </c>
      <c r="G50" s="143">
        <f>SUMIFS('март 2026'!$G$2:$G$2701,'март 2026'!$D$2:$D$2701,$B50,'март 2026'!$J$2:$J$2701,G$1)</f>
        <v>0</v>
      </c>
      <c r="H50" s="143">
        <f>SUMIFS('март 2026'!$G$2:$G$2701,'март 2026'!$D$2:$D$2701,$B50,'март 2026'!$J$2:$J$2701,H$1)</f>
        <v>0</v>
      </c>
      <c r="I50" s="143">
        <f>SUMIFS('март 2026'!$G$2:$G$2701,'март 2026'!$D$2:$D$2701,$B50,'март 2026'!$J$2:$J$2701,I$1)</f>
        <v>40</v>
      </c>
      <c r="J50" s="143">
        <f>SUMIFS('март 2026'!$G$2:$G$2701,'март 2026'!$D$2:$D$2701,$B50,'март 2026'!$J$2:$J$2701,J$1)</f>
        <v>0</v>
      </c>
      <c r="K50" s="143">
        <f>SUMIFS('март 2026'!$G$2:$G$2701,'март 2026'!$D$2:$D$2701,$B50,'март 2026'!$J$2:$J$2701,K$1)</f>
        <v>0</v>
      </c>
      <c r="L50" s="143">
        <f>SUMIFS('март 2026'!$G$2:$G$2701,'март 2026'!$D$2:$D$2701,$B50,'март 2026'!$J$2:$J$2701,L$1)</f>
        <v>0</v>
      </c>
      <c r="M50" s="143">
        <f>SUMIFS('март 2026'!$G$2:$G$2701,'март 2026'!$D$2:$D$2701,$B50,'март 2026'!$J$2:$J$2701,M$1)</f>
        <v>0</v>
      </c>
      <c r="N50" s="143">
        <f>SUMIFS('март 2026'!$G$2:$G$2701,'март 2026'!$D$2:$D$2701,$B50,'март 2026'!$J$2:$J$2701,N$1)</f>
        <v>0</v>
      </c>
      <c r="O50" s="143">
        <f>SUMIFS('март 2026'!$G$2:$G$2701,'март 2026'!$D$2:$D$2701,$B50,'март 2026'!$J$2:$J$2701,O$1)</f>
        <v>0</v>
      </c>
      <c r="P50" s="143">
        <f>SUMIFS('март 2026'!$G$2:$G$2701,'март 2026'!$D$2:$D$2701,$B50,'март 2026'!$J$2:$J$2701,P$1)</f>
        <v>0</v>
      </c>
      <c r="Q50" s="143">
        <f>SUMIFS('март 2026'!$G$2:$G$2701,'март 2026'!$D$2:$D$2701,$B50,'март 2026'!$J$2:$J$2701,Q$1)</f>
        <v>0</v>
      </c>
      <c r="R50" s="143">
        <f>SUMIFS('март 2026'!$G$2:$G$2701,'март 2026'!$D$2:$D$2701,$B50,'март 2026'!$J$2:$J$2701,R$1)</f>
        <v>0</v>
      </c>
      <c r="S50" s="143">
        <f>SUMIFS('март 2026'!$G$2:$G$2701,'март 2026'!$D$2:$D$2701,$B50,'март 2026'!$J$2:$J$2701,S$1)</f>
        <v>0</v>
      </c>
      <c r="T50" s="143">
        <f>SUMIFS('март 2026'!$G$2:$G$2701,'март 2026'!$D$2:$D$2701,$B50,'март 2026'!$J$2:$J$2701,T$1)</f>
        <v>0</v>
      </c>
      <c r="U50" s="143">
        <f>SUMIFS('март 2026'!$G$2:$G$2701,'март 2026'!$D$2:$D$2701,$B50,'март 2026'!$J$2:$J$2701,U$1)</f>
        <v>0</v>
      </c>
      <c r="V50" s="143">
        <f>SUMIFS('март 2026'!$G$2:$G$2701,'март 2026'!$D$2:$D$2701,$B50,'март 2026'!$J$2:$J$2701,V$1)</f>
        <v>0</v>
      </c>
      <c r="W50" s="143">
        <f>SUMIFS('март 2026'!$G$2:$G$2701,'март 2026'!$D$2:$D$2701,$B50,'март 2026'!$J$2:$J$2701,W$1)</f>
        <v>0</v>
      </c>
      <c r="X50" s="143">
        <f>SUMIFS('март 2026'!$G$2:$G$2701,'март 2026'!$D$2:$D$2701,$B50,'март 2026'!$J$2:$J$2701,X$1)</f>
        <v>0</v>
      </c>
      <c r="Y50" s="143">
        <f>SUMIFS('март 2026'!$G$2:$G$2701,'март 2026'!$D$2:$D$2701,$B50,'март 2026'!$J$2:$J$2701,Y$1)</f>
        <v>0</v>
      </c>
      <c r="Z50" s="143">
        <f>SUMIFS('март 2026'!$G$2:$G$2701,'март 2026'!$D$2:$D$2701,$B50,'март 2026'!$J$2:$J$2701,Z$1)</f>
        <v>0</v>
      </c>
      <c r="AA50" s="143">
        <f>SUMIFS('март 2026'!$G$2:$G$2701,'март 2026'!$D$2:$D$2701,$B50,'март 2026'!$J$2:$J$2701,AA$1)</f>
        <v>0</v>
      </c>
      <c r="AB50" s="143">
        <f>SUMIFS('март 2026'!$G$2:$G$2701,'март 2026'!$D$2:$D$2701,$B50,'март 2026'!$J$2:$J$2701,AB$1)</f>
        <v>0</v>
      </c>
      <c r="AC50" s="143">
        <f>SUMIFS('март 2026'!$G$2:$G$2701,'март 2026'!$D$2:$D$2701,$B50,'март 2026'!$J$2:$J$2701,AC$1)</f>
        <v>0</v>
      </c>
      <c r="AD50" s="143">
        <f>SUMIFS('март 2026'!$G$2:$G$2701,'март 2026'!$D$2:$D$2701,$B50,'март 2026'!$J$2:$J$2701,AD$1)</f>
        <v>0</v>
      </c>
      <c r="AE50" s="143">
        <f>SUMIFS('март 2026'!$G$2:$G$2701,'март 2026'!$D$2:$D$2701,$B50,'март 2026'!$J$2:$J$2701,AE$1)</f>
        <v>0</v>
      </c>
      <c r="AF50" s="143">
        <f>SUMIFS('март 2026'!$G$2:$G$2701,'март 2026'!$D$2:$D$2701,$B50,'март 2026'!$J$2:$J$2701,AF$1)</f>
        <v>0</v>
      </c>
      <c r="AG50" s="143">
        <f>SUMIFS('март 2026'!$G$2:$G$2701,'март 2026'!$D$2:$D$2701,$B50,'март 2026'!$J$2:$J$2701,AG$1)</f>
        <v>0</v>
      </c>
      <c r="AH50" s="143">
        <f>SUMIFS('март 2026'!$G$2:$G$2701,'март 2026'!$D$2:$D$2701,$B50,'март 2026'!$J$2:$J$2701,AH$1)</f>
        <v>0</v>
      </c>
      <c r="AI50" s="20">
        <f t="shared" si="1"/>
        <v>40</v>
      </c>
    </row>
    <row r="51" spans="2:35" ht="15" customHeight="1" x14ac:dyDescent="0.25">
      <c r="B51" s="126" t="s">
        <v>232</v>
      </c>
      <c r="C51" s="123">
        <v>20</v>
      </c>
      <c r="D51" s="143">
        <f>SUMIFS('март 2026'!$G$2:$G$2701,'март 2026'!$D$2:$D$2701,$B51,'март 2026'!$J$2:$J$2701,D$1)</f>
        <v>0</v>
      </c>
      <c r="E51" s="143">
        <f>SUMIFS('март 2026'!$G$2:$G$2701,'март 2026'!$D$2:$D$2701,$B51,'март 2026'!$J$2:$J$2701,E$1)</f>
        <v>0</v>
      </c>
      <c r="F51" s="143">
        <f>SUMIFS('март 2026'!$G$2:$G$2701,'март 2026'!$D$2:$D$2701,$B51,'март 2026'!$J$2:$J$2701,F$1)</f>
        <v>0</v>
      </c>
      <c r="G51" s="143">
        <f>SUMIFS('март 2026'!$G$2:$G$2701,'март 2026'!$D$2:$D$2701,$B51,'март 2026'!$J$2:$J$2701,G$1)</f>
        <v>0</v>
      </c>
      <c r="H51" s="143">
        <f>SUMIFS('март 2026'!$G$2:$G$2701,'март 2026'!$D$2:$D$2701,$B51,'март 2026'!$J$2:$J$2701,H$1)</f>
        <v>0</v>
      </c>
      <c r="I51" s="143">
        <f>SUMIFS('март 2026'!$G$2:$G$2701,'март 2026'!$D$2:$D$2701,$B51,'март 2026'!$J$2:$J$2701,I$1)</f>
        <v>0</v>
      </c>
      <c r="J51" s="143">
        <f>SUMIFS('март 2026'!$G$2:$G$2701,'март 2026'!$D$2:$D$2701,$B51,'март 2026'!$J$2:$J$2701,J$1)</f>
        <v>0</v>
      </c>
      <c r="K51" s="143">
        <f>SUMIFS('март 2026'!$G$2:$G$2701,'март 2026'!$D$2:$D$2701,$B51,'март 2026'!$J$2:$J$2701,K$1)</f>
        <v>0</v>
      </c>
      <c r="L51" s="143">
        <f>SUMIFS('март 2026'!$G$2:$G$2701,'март 2026'!$D$2:$D$2701,$B51,'март 2026'!$J$2:$J$2701,L$1)</f>
        <v>0</v>
      </c>
      <c r="M51" s="143">
        <f>SUMIFS('март 2026'!$G$2:$G$2701,'март 2026'!$D$2:$D$2701,$B51,'март 2026'!$J$2:$J$2701,M$1)</f>
        <v>0</v>
      </c>
      <c r="N51" s="143">
        <f>SUMIFS('март 2026'!$G$2:$G$2701,'март 2026'!$D$2:$D$2701,$B51,'март 2026'!$J$2:$J$2701,N$1)</f>
        <v>0</v>
      </c>
      <c r="O51" s="143">
        <f>SUMIFS('март 2026'!$G$2:$G$2701,'март 2026'!$D$2:$D$2701,$B51,'март 2026'!$J$2:$J$2701,O$1)</f>
        <v>0</v>
      </c>
      <c r="P51" s="143">
        <f>SUMIFS('март 2026'!$G$2:$G$2701,'март 2026'!$D$2:$D$2701,$B51,'март 2026'!$J$2:$J$2701,P$1)</f>
        <v>0</v>
      </c>
      <c r="Q51" s="143">
        <f>SUMIFS('март 2026'!$G$2:$G$2701,'март 2026'!$D$2:$D$2701,$B51,'март 2026'!$J$2:$J$2701,Q$1)</f>
        <v>0</v>
      </c>
      <c r="R51" s="143">
        <f>SUMIFS('март 2026'!$G$2:$G$2701,'март 2026'!$D$2:$D$2701,$B51,'март 2026'!$J$2:$J$2701,R$1)</f>
        <v>0</v>
      </c>
      <c r="S51" s="143">
        <f>SUMIFS('март 2026'!$G$2:$G$2701,'март 2026'!$D$2:$D$2701,$B51,'март 2026'!$J$2:$J$2701,S$1)</f>
        <v>0</v>
      </c>
      <c r="T51" s="143">
        <f>SUMIFS('март 2026'!$G$2:$G$2701,'март 2026'!$D$2:$D$2701,$B51,'март 2026'!$J$2:$J$2701,T$1)</f>
        <v>0</v>
      </c>
      <c r="U51" s="143">
        <f>SUMIFS('март 2026'!$G$2:$G$2701,'март 2026'!$D$2:$D$2701,$B51,'март 2026'!$J$2:$J$2701,U$1)</f>
        <v>0</v>
      </c>
      <c r="V51" s="143">
        <f>SUMIFS('март 2026'!$G$2:$G$2701,'март 2026'!$D$2:$D$2701,$B51,'март 2026'!$J$2:$J$2701,V$1)</f>
        <v>0</v>
      </c>
      <c r="W51" s="143">
        <f>SUMIFS('март 2026'!$G$2:$G$2701,'март 2026'!$D$2:$D$2701,$B51,'март 2026'!$J$2:$J$2701,W$1)</f>
        <v>0</v>
      </c>
      <c r="X51" s="143">
        <f>SUMIFS('март 2026'!$G$2:$G$2701,'март 2026'!$D$2:$D$2701,$B51,'март 2026'!$J$2:$J$2701,X$1)</f>
        <v>0</v>
      </c>
      <c r="Y51" s="143">
        <f>SUMIFS('март 2026'!$G$2:$G$2701,'март 2026'!$D$2:$D$2701,$B51,'март 2026'!$J$2:$J$2701,Y$1)</f>
        <v>0</v>
      </c>
      <c r="Z51" s="143">
        <f>SUMIFS('март 2026'!$G$2:$G$2701,'март 2026'!$D$2:$D$2701,$B51,'март 2026'!$J$2:$J$2701,Z$1)</f>
        <v>0</v>
      </c>
      <c r="AA51" s="143">
        <f>SUMIFS('март 2026'!$G$2:$G$2701,'март 2026'!$D$2:$D$2701,$B51,'март 2026'!$J$2:$J$2701,AA$1)</f>
        <v>0</v>
      </c>
      <c r="AB51" s="143">
        <f>SUMIFS('март 2026'!$G$2:$G$2701,'март 2026'!$D$2:$D$2701,$B51,'март 2026'!$J$2:$J$2701,AB$1)</f>
        <v>0</v>
      </c>
      <c r="AC51" s="143">
        <f>SUMIFS('март 2026'!$G$2:$G$2701,'март 2026'!$D$2:$D$2701,$B51,'март 2026'!$J$2:$J$2701,AC$1)</f>
        <v>0</v>
      </c>
      <c r="AD51" s="143">
        <f>SUMIFS('март 2026'!$G$2:$G$2701,'март 2026'!$D$2:$D$2701,$B51,'март 2026'!$J$2:$J$2701,AD$1)</f>
        <v>0</v>
      </c>
      <c r="AE51" s="143">
        <f>SUMIFS('март 2026'!$G$2:$G$2701,'март 2026'!$D$2:$D$2701,$B51,'март 2026'!$J$2:$J$2701,AE$1)</f>
        <v>0</v>
      </c>
      <c r="AF51" s="143">
        <f>SUMIFS('март 2026'!$G$2:$G$2701,'март 2026'!$D$2:$D$2701,$B51,'март 2026'!$J$2:$J$2701,AF$1)</f>
        <v>0</v>
      </c>
      <c r="AG51" s="143">
        <f>SUMIFS('март 2026'!$G$2:$G$2701,'март 2026'!$D$2:$D$2701,$B51,'март 2026'!$J$2:$J$2701,AG$1)</f>
        <v>0</v>
      </c>
      <c r="AH51" s="143">
        <f>SUMIFS('март 2026'!$G$2:$G$2701,'март 2026'!$D$2:$D$2701,$B51,'март 2026'!$J$2:$J$2701,AH$1)</f>
        <v>0</v>
      </c>
      <c r="AI51" s="20">
        <f t="shared" si="1"/>
        <v>0</v>
      </c>
    </row>
    <row r="52" spans="2:35" ht="15" customHeight="1" x14ac:dyDescent="0.25">
      <c r="B52" s="126" t="s">
        <v>369</v>
      </c>
      <c r="C52" s="123">
        <v>22.7</v>
      </c>
      <c r="D52" s="143">
        <f>SUMIFS('март 2026'!$G$2:$G$2701,'март 2026'!$D$2:$D$2701,$B52,'март 2026'!$J$2:$J$2701,D$1)</f>
        <v>0</v>
      </c>
      <c r="E52" s="143">
        <f>SUMIFS('март 2026'!$G$2:$G$2701,'март 2026'!$D$2:$D$2701,$B52,'март 2026'!$J$2:$J$2701,E$1)</f>
        <v>0</v>
      </c>
      <c r="F52" s="143">
        <f>SUMIFS('март 2026'!$G$2:$G$2701,'март 2026'!$D$2:$D$2701,$B52,'март 2026'!$J$2:$J$2701,F$1)</f>
        <v>0</v>
      </c>
      <c r="G52" s="143">
        <f>SUMIFS('март 2026'!$G$2:$G$2701,'март 2026'!$D$2:$D$2701,$B52,'март 2026'!$J$2:$J$2701,G$1)</f>
        <v>0</v>
      </c>
      <c r="H52" s="143">
        <f>SUMIFS('март 2026'!$G$2:$G$2701,'март 2026'!$D$2:$D$2701,$B52,'март 2026'!$J$2:$J$2701,H$1)</f>
        <v>0</v>
      </c>
      <c r="I52" s="143">
        <f>SUMIFS('март 2026'!$G$2:$G$2701,'март 2026'!$D$2:$D$2701,$B52,'март 2026'!$J$2:$J$2701,I$1)</f>
        <v>0</v>
      </c>
      <c r="J52" s="143">
        <f>SUMIFS('март 2026'!$G$2:$G$2701,'март 2026'!$D$2:$D$2701,$B52,'март 2026'!$J$2:$J$2701,J$1)</f>
        <v>0</v>
      </c>
      <c r="K52" s="143">
        <f>SUMIFS('март 2026'!$G$2:$G$2701,'март 2026'!$D$2:$D$2701,$B52,'март 2026'!$J$2:$J$2701,K$1)</f>
        <v>0</v>
      </c>
      <c r="L52" s="143">
        <f>SUMIFS('март 2026'!$G$2:$G$2701,'март 2026'!$D$2:$D$2701,$B52,'март 2026'!$J$2:$J$2701,L$1)</f>
        <v>0</v>
      </c>
      <c r="M52" s="143">
        <f>SUMIFS('март 2026'!$G$2:$G$2701,'март 2026'!$D$2:$D$2701,$B52,'март 2026'!$J$2:$J$2701,M$1)</f>
        <v>0</v>
      </c>
      <c r="N52" s="143">
        <f>SUMIFS('март 2026'!$G$2:$G$2701,'март 2026'!$D$2:$D$2701,$B52,'март 2026'!$J$2:$J$2701,N$1)</f>
        <v>0</v>
      </c>
      <c r="O52" s="143">
        <f>SUMIFS('март 2026'!$G$2:$G$2701,'март 2026'!$D$2:$D$2701,$B52,'март 2026'!$J$2:$J$2701,O$1)</f>
        <v>0</v>
      </c>
      <c r="P52" s="143">
        <f>SUMIFS('март 2026'!$G$2:$G$2701,'март 2026'!$D$2:$D$2701,$B52,'март 2026'!$J$2:$J$2701,P$1)</f>
        <v>0</v>
      </c>
      <c r="Q52" s="143">
        <f>SUMIFS('март 2026'!$G$2:$G$2701,'март 2026'!$D$2:$D$2701,$B52,'март 2026'!$J$2:$J$2701,Q$1)</f>
        <v>0</v>
      </c>
      <c r="R52" s="143">
        <f>SUMIFS('март 2026'!$G$2:$G$2701,'март 2026'!$D$2:$D$2701,$B52,'март 2026'!$J$2:$J$2701,R$1)</f>
        <v>0</v>
      </c>
      <c r="S52" s="143">
        <f>SUMIFS('март 2026'!$G$2:$G$2701,'март 2026'!$D$2:$D$2701,$B52,'март 2026'!$J$2:$J$2701,S$1)</f>
        <v>0</v>
      </c>
      <c r="T52" s="143">
        <f>SUMIFS('март 2026'!$G$2:$G$2701,'март 2026'!$D$2:$D$2701,$B52,'март 2026'!$J$2:$J$2701,T$1)</f>
        <v>0</v>
      </c>
      <c r="U52" s="143">
        <f>SUMIFS('март 2026'!$G$2:$G$2701,'март 2026'!$D$2:$D$2701,$B52,'март 2026'!$J$2:$J$2701,U$1)</f>
        <v>0</v>
      </c>
      <c r="V52" s="143">
        <f>SUMIFS('март 2026'!$G$2:$G$2701,'март 2026'!$D$2:$D$2701,$B52,'март 2026'!$J$2:$J$2701,V$1)</f>
        <v>0</v>
      </c>
      <c r="W52" s="143">
        <f>SUMIFS('март 2026'!$G$2:$G$2701,'март 2026'!$D$2:$D$2701,$B52,'март 2026'!$J$2:$J$2701,W$1)</f>
        <v>0</v>
      </c>
      <c r="X52" s="143">
        <f>SUMIFS('март 2026'!$G$2:$G$2701,'март 2026'!$D$2:$D$2701,$B52,'март 2026'!$J$2:$J$2701,X$1)</f>
        <v>0</v>
      </c>
      <c r="Y52" s="143">
        <f>SUMIFS('март 2026'!$G$2:$G$2701,'март 2026'!$D$2:$D$2701,$B52,'март 2026'!$J$2:$J$2701,Y$1)</f>
        <v>0</v>
      </c>
      <c r="Z52" s="143">
        <f>SUMIFS('март 2026'!$G$2:$G$2701,'март 2026'!$D$2:$D$2701,$B52,'март 2026'!$J$2:$J$2701,Z$1)</f>
        <v>0</v>
      </c>
      <c r="AA52" s="143">
        <f>SUMIFS('март 2026'!$G$2:$G$2701,'март 2026'!$D$2:$D$2701,$B52,'март 2026'!$J$2:$J$2701,AA$1)</f>
        <v>0</v>
      </c>
      <c r="AB52" s="143">
        <f>SUMIFS('март 2026'!$G$2:$G$2701,'март 2026'!$D$2:$D$2701,$B52,'март 2026'!$J$2:$J$2701,AB$1)</f>
        <v>0</v>
      </c>
      <c r="AC52" s="143">
        <f>SUMIFS('март 2026'!$G$2:$G$2701,'март 2026'!$D$2:$D$2701,$B52,'март 2026'!$J$2:$J$2701,AC$1)</f>
        <v>0</v>
      </c>
      <c r="AD52" s="143">
        <f>SUMIFS('март 2026'!$G$2:$G$2701,'март 2026'!$D$2:$D$2701,$B52,'март 2026'!$J$2:$J$2701,AD$1)</f>
        <v>0</v>
      </c>
      <c r="AE52" s="143">
        <f>SUMIFS('март 2026'!$G$2:$G$2701,'март 2026'!$D$2:$D$2701,$B52,'март 2026'!$J$2:$J$2701,AE$1)</f>
        <v>0</v>
      </c>
      <c r="AF52" s="143">
        <f>SUMIFS('март 2026'!$G$2:$G$2701,'март 2026'!$D$2:$D$2701,$B52,'март 2026'!$J$2:$J$2701,AF$1)</f>
        <v>0</v>
      </c>
      <c r="AG52" s="143">
        <f>SUMIFS('март 2026'!$G$2:$G$2701,'март 2026'!$D$2:$D$2701,$B52,'март 2026'!$J$2:$J$2701,AG$1)</f>
        <v>0</v>
      </c>
      <c r="AH52" s="143">
        <f>SUMIFS('март 2026'!$G$2:$G$2701,'март 2026'!$D$2:$D$2701,$B52,'март 2026'!$J$2:$J$2701,AH$1)</f>
        <v>0</v>
      </c>
      <c r="AI52" s="20">
        <f t="shared" si="1"/>
        <v>0</v>
      </c>
    </row>
    <row r="53" spans="2:35" ht="15" customHeight="1" x14ac:dyDescent="0.25">
      <c r="B53" s="122" t="s">
        <v>234</v>
      </c>
      <c r="C53" s="125">
        <v>20</v>
      </c>
      <c r="D53" s="143">
        <f>SUMIFS('март 2026'!$G$2:$G$2701,'март 2026'!$D$2:$D$2701,$B53,'март 2026'!$J$2:$J$2701,D$1)</f>
        <v>0</v>
      </c>
      <c r="E53" s="143">
        <f>SUMIFS('март 2026'!$G$2:$G$2701,'март 2026'!$D$2:$D$2701,$B53,'март 2026'!$J$2:$J$2701,E$1)</f>
        <v>0</v>
      </c>
      <c r="F53" s="143">
        <f>SUMIFS('март 2026'!$G$2:$G$2701,'март 2026'!$D$2:$D$2701,$B53,'март 2026'!$J$2:$J$2701,F$1)</f>
        <v>0</v>
      </c>
      <c r="G53" s="143">
        <f>SUMIFS('март 2026'!$G$2:$G$2701,'март 2026'!$D$2:$D$2701,$B53,'март 2026'!$J$2:$J$2701,G$1)</f>
        <v>0</v>
      </c>
      <c r="H53" s="143">
        <f>SUMIFS('март 2026'!$G$2:$G$2701,'март 2026'!$D$2:$D$2701,$B53,'март 2026'!$J$2:$J$2701,H$1)</f>
        <v>0</v>
      </c>
      <c r="I53" s="143">
        <f>SUMIFS('март 2026'!$G$2:$G$2701,'март 2026'!$D$2:$D$2701,$B53,'март 2026'!$J$2:$J$2701,I$1)</f>
        <v>0</v>
      </c>
      <c r="J53" s="143">
        <f>SUMIFS('март 2026'!$G$2:$G$2701,'март 2026'!$D$2:$D$2701,$B53,'март 2026'!$J$2:$J$2701,J$1)</f>
        <v>0</v>
      </c>
      <c r="K53" s="143">
        <f>SUMIFS('март 2026'!$G$2:$G$2701,'март 2026'!$D$2:$D$2701,$B53,'март 2026'!$J$2:$J$2701,K$1)</f>
        <v>0</v>
      </c>
      <c r="L53" s="143">
        <f>SUMIFS('март 2026'!$G$2:$G$2701,'март 2026'!$D$2:$D$2701,$B53,'март 2026'!$J$2:$J$2701,L$1)</f>
        <v>0</v>
      </c>
      <c r="M53" s="143">
        <f>SUMIFS('март 2026'!$G$2:$G$2701,'март 2026'!$D$2:$D$2701,$B53,'март 2026'!$J$2:$J$2701,M$1)</f>
        <v>0</v>
      </c>
      <c r="N53" s="143">
        <f>SUMIFS('март 2026'!$G$2:$G$2701,'март 2026'!$D$2:$D$2701,$B53,'март 2026'!$J$2:$J$2701,N$1)</f>
        <v>0</v>
      </c>
      <c r="O53" s="143">
        <f>SUMIFS('март 2026'!$G$2:$G$2701,'март 2026'!$D$2:$D$2701,$B53,'март 2026'!$J$2:$J$2701,O$1)</f>
        <v>0</v>
      </c>
      <c r="P53" s="143">
        <f>SUMIFS('март 2026'!$G$2:$G$2701,'март 2026'!$D$2:$D$2701,$B53,'март 2026'!$J$2:$J$2701,P$1)</f>
        <v>0</v>
      </c>
      <c r="Q53" s="143">
        <f>SUMIFS('март 2026'!$G$2:$G$2701,'март 2026'!$D$2:$D$2701,$B53,'март 2026'!$J$2:$J$2701,Q$1)</f>
        <v>0</v>
      </c>
      <c r="R53" s="143">
        <f>SUMIFS('март 2026'!$G$2:$G$2701,'март 2026'!$D$2:$D$2701,$B53,'март 2026'!$J$2:$J$2701,R$1)</f>
        <v>0</v>
      </c>
      <c r="S53" s="143">
        <f>SUMIFS('март 2026'!$G$2:$G$2701,'март 2026'!$D$2:$D$2701,$B53,'март 2026'!$J$2:$J$2701,S$1)</f>
        <v>0</v>
      </c>
      <c r="T53" s="143">
        <f>SUMIFS('март 2026'!$G$2:$G$2701,'март 2026'!$D$2:$D$2701,$B53,'март 2026'!$J$2:$J$2701,T$1)</f>
        <v>0</v>
      </c>
      <c r="U53" s="143">
        <f>SUMIFS('март 2026'!$G$2:$G$2701,'март 2026'!$D$2:$D$2701,$B53,'март 2026'!$J$2:$J$2701,U$1)</f>
        <v>0</v>
      </c>
      <c r="V53" s="143">
        <f>SUMIFS('март 2026'!$G$2:$G$2701,'март 2026'!$D$2:$D$2701,$B53,'март 2026'!$J$2:$J$2701,V$1)</f>
        <v>0</v>
      </c>
      <c r="W53" s="143">
        <f>SUMIFS('март 2026'!$G$2:$G$2701,'март 2026'!$D$2:$D$2701,$B53,'март 2026'!$J$2:$J$2701,W$1)</f>
        <v>0</v>
      </c>
      <c r="X53" s="143">
        <f>SUMIFS('март 2026'!$G$2:$G$2701,'март 2026'!$D$2:$D$2701,$B53,'март 2026'!$J$2:$J$2701,X$1)</f>
        <v>0</v>
      </c>
      <c r="Y53" s="143">
        <f>SUMIFS('март 2026'!$G$2:$G$2701,'март 2026'!$D$2:$D$2701,$B53,'март 2026'!$J$2:$J$2701,Y$1)</f>
        <v>0</v>
      </c>
      <c r="Z53" s="143">
        <f>SUMIFS('март 2026'!$G$2:$G$2701,'март 2026'!$D$2:$D$2701,$B53,'март 2026'!$J$2:$J$2701,Z$1)</f>
        <v>0</v>
      </c>
      <c r="AA53" s="143">
        <f>SUMIFS('март 2026'!$G$2:$G$2701,'март 2026'!$D$2:$D$2701,$B53,'март 2026'!$J$2:$J$2701,AA$1)</f>
        <v>0</v>
      </c>
      <c r="AB53" s="143">
        <f>SUMIFS('март 2026'!$G$2:$G$2701,'март 2026'!$D$2:$D$2701,$B53,'март 2026'!$J$2:$J$2701,AB$1)</f>
        <v>0</v>
      </c>
      <c r="AC53" s="143">
        <f>SUMIFS('март 2026'!$G$2:$G$2701,'март 2026'!$D$2:$D$2701,$B53,'март 2026'!$J$2:$J$2701,AC$1)</f>
        <v>0</v>
      </c>
      <c r="AD53" s="143">
        <f>SUMIFS('март 2026'!$G$2:$G$2701,'март 2026'!$D$2:$D$2701,$B53,'март 2026'!$J$2:$J$2701,AD$1)</f>
        <v>0</v>
      </c>
      <c r="AE53" s="143">
        <f>SUMIFS('март 2026'!$G$2:$G$2701,'март 2026'!$D$2:$D$2701,$B53,'март 2026'!$J$2:$J$2701,AE$1)</f>
        <v>0</v>
      </c>
      <c r="AF53" s="143">
        <f>SUMIFS('март 2026'!$G$2:$G$2701,'март 2026'!$D$2:$D$2701,$B53,'март 2026'!$J$2:$J$2701,AF$1)</f>
        <v>0</v>
      </c>
      <c r="AG53" s="143">
        <f>SUMIFS('март 2026'!$G$2:$G$2701,'март 2026'!$D$2:$D$2701,$B53,'март 2026'!$J$2:$J$2701,AG$1)</f>
        <v>0</v>
      </c>
      <c r="AH53" s="143">
        <f>SUMIFS('март 2026'!$G$2:$G$2701,'март 2026'!$D$2:$D$2701,$B53,'март 2026'!$J$2:$J$2701,AH$1)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SUMIFS('март 2026'!$G$2:$G$2701,'март 2026'!$D$2:$D$2701,$B54,'март 2026'!$J$2:$J$2701,D$1)</f>
        <v>0</v>
      </c>
      <c r="E54" s="143">
        <f>SUMIFS('март 2026'!$G$2:$G$2701,'март 2026'!$D$2:$D$2701,$B54,'март 2026'!$J$2:$J$2701,E$1)</f>
        <v>0</v>
      </c>
      <c r="F54" s="143">
        <f>SUMIFS('март 2026'!$G$2:$G$2701,'март 2026'!$D$2:$D$2701,$B54,'март 2026'!$J$2:$J$2701,F$1)</f>
        <v>0</v>
      </c>
      <c r="G54" s="143">
        <f>SUMIFS('март 2026'!$G$2:$G$2701,'март 2026'!$D$2:$D$2701,$B54,'март 2026'!$J$2:$J$2701,G$1)</f>
        <v>0</v>
      </c>
      <c r="H54" s="143">
        <f>SUMIFS('март 2026'!$G$2:$G$2701,'март 2026'!$D$2:$D$2701,$B54,'март 2026'!$J$2:$J$2701,H$1)</f>
        <v>0</v>
      </c>
      <c r="I54" s="143">
        <f>SUMIFS('март 2026'!$G$2:$G$2701,'март 2026'!$D$2:$D$2701,$B54,'март 2026'!$J$2:$J$2701,I$1)</f>
        <v>0</v>
      </c>
      <c r="J54" s="143">
        <f>SUMIFS('март 2026'!$G$2:$G$2701,'март 2026'!$D$2:$D$2701,$B54,'март 2026'!$J$2:$J$2701,J$1)</f>
        <v>0</v>
      </c>
      <c r="K54" s="143">
        <f>SUMIFS('март 2026'!$G$2:$G$2701,'март 2026'!$D$2:$D$2701,$B54,'март 2026'!$J$2:$J$2701,K$1)</f>
        <v>0</v>
      </c>
      <c r="L54" s="143">
        <f>SUMIFS('март 2026'!$G$2:$G$2701,'март 2026'!$D$2:$D$2701,$B54,'март 2026'!$J$2:$J$2701,L$1)</f>
        <v>0</v>
      </c>
      <c r="M54" s="143">
        <f>SUMIFS('март 2026'!$G$2:$G$2701,'март 2026'!$D$2:$D$2701,$B54,'март 2026'!$J$2:$J$2701,M$1)</f>
        <v>0</v>
      </c>
      <c r="N54" s="143">
        <f>SUMIFS('март 2026'!$G$2:$G$2701,'март 2026'!$D$2:$D$2701,$B54,'март 2026'!$J$2:$J$2701,N$1)</f>
        <v>0</v>
      </c>
      <c r="O54" s="143">
        <f>SUMIFS('март 2026'!$G$2:$G$2701,'март 2026'!$D$2:$D$2701,$B54,'март 2026'!$J$2:$J$2701,O$1)</f>
        <v>0</v>
      </c>
      <c r="P54" s="143">
        <f>SUMIFS('март 2026'!$G$2:$G$2701,'март 2026'!$D$2:$D$2701,$B54,'март 2026'!$J$2:$J$2701,P$1)</f>
        <v>0</v>
      </c>
      <c r="Q54" s="143">
        <f>SUMIFS('март 2026'!$G$2:$G$2701,'март 2026'!$D$2:$D$2701,$B54,'март 2026'!$J$2:$J$2701,Q$1)</f>
        <v>0</v>
      </c>
      <c r="R54" s="143">
        <f>SUMIFS('март 2026'!$G$2:$G$2701,'март 2026'!$D$2:$D$2701,$B54,'март 2026'!$J$2:$J$2701,R$1)</f>
        <v>0</v>
      </c>
      <c r="S54" s="143">
        <f>SUMIFS('март 2026'!$G$2:$G$2701,'март 2026'!$D$2:$D$2701,$B54,'март 2026'!$J$2:$J$2701,S$1)</f>
        <v>0</v>
      </c>
      <c r="T54" s="143">
        <f>SUMIFS('март 2026'!$G$2:$G$2701,'март 2026'!$D$2:$D$2701,$B54,'март 2026'!$J$2:$J$2701,T$1)</f>
        <v>0</v>
      </c>
      <c r="U54" s="143">
        <f>SUMIFS('март 2026'!$G$2:$G$2701,'март 2026'!$D$2:$D$2701,$B54,'март 2026'!$J$2:$J$2701,U$1)</f>
        <v>0</v>
      </c>
      <c r="V54" s="143">
        <f>SUMIFS('март 2026'!$G$2:$G$2701,'март 2026'!$D$2:$D$2701,$B54,'март 2026'!$J$2:$J$2701,V$1)</f>
        <v>0</v>
      </c>
      <c r="W54" s="143">
        <f>SUMIFS('март 2026'!$G$2:$G$2701,'март 2026'!$D$2:$D$2701,$B54,'март 2026'!$J$2:$J$2701,W$1)</f>
        <v>0</v>
      </c>
      <c r="X54" s="143">
        <f>SUMIFS('март 2026'!$G$2:$G$2701,'март 2026'!$D$2:$D$2701,$B54,'март 2026'!$J$2:$J$2701,X$1)</f>
        <v>0</v>
      </c>
      <c r="Y54" s="143">
        <f>SUMIFS('март 2026'!$G$2:$G$2701,'март 2026'!$D$2:$D$2701,$B54,'март 2026'!$J$2:$J$2701,Y$1)</f>
        <v>0</v>
      </c>
      <c r="Z54" s="143">
        <f>SUMIFS('март 2026'!$G$2:$G$2701,'март 2026'!$D$2:$D$2701,$B54,'март 2026'!$J$2:$J$2701,Z$1)</f>
        <v>0</v>
      </c>
      <c r="AA54" s="143">
        <f>SUMIFS('март 2026'!$G$2:$G$2701,'март 2026'!$D$2:$D$2701,$B54,'март 2026'!$J$2:$J$2701,AA$1)</f>
        <v>0</v>
      </c>
      <c r="AB54" s="143">
        <f>SUMIFS('март 2026'!$G$2:$G$2701,'март 2026'!$D$2:$D$2701,$B54,'март 2026'!$J$2:$J$2701,AB$1)</f>
        <v>0</v>
      </c>
      <c r="AC54" s="143">
        <f>SUMIFS('март 2026'!$G$2:$G$2701,'март 2026'!$D$2:$D$2701,$B54,'март 2026'!$J$2:$J$2701,AC$1)</f>
        <v>0</v>
      </c>
      <c r="AD54" s="143">
        <f>SUMIFS('март 2026'!$G$2:$G$2701,'март 2026'!$D$2:$D$2701,$B54,'март 2026'!$J$2:$J$2701,AD$1)</f>
        <v>0</v>
      </c>
      <c r="AE54" s="143">
        <f>SUMIFS('март 2026'!$G$2:$G$2701,'март 2026'!$D$2:$D$2701,$B54,'март 2026'!$J$2:$J$2701,AE$1)</f>
        <v>0</v>
      </c>
      <c r="AF54" s="143">
        <f>SUMIFS('март 2026'!$G$2:$G$2701,'март 2026'!$D$2:$D$2701,$B54,'март 2026'!$J$2:$J$2701,AF$1)</f>
        <v>0</v>
      </c>
      <c r="AG54" s="143">
        <f>SUMIFS('март 2026'!$G$2:$G$2701,'март 2026'!$D$2:$D$2701,$B54,'март 2026'!$J$2:$J$2701,AG$1)</f>
        <v>0</v>
      </c>
      <c r="AH54" s="143">
        <f>SUMIFS('март 2026'!$G$2:$G$2701,'март 2026'!$D$2:$D$2701,$B54,'март 2026'!$J$2:$J$2701,AH$1)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SUMIFS('март 2026'!$G$2:$G$2701,'март 2026'!$D$2:$D$2701,$B55,'март 2026'!$J$2:$J$2701,D$1)</f>
        <v>0</v>
      </c>
      <c r="E55" s="143">
        <f>SUMIFS('март 2026'!$G$2:$G$2701,'март 2026'!$D$2:$D$2701,$B55,'март 2026'!$J$2:$J$2701,E$1)</f>
        <v>0</v>
      </c>
      <c r="F55" s="143">
        <f>SUMIFS('март 2026'!$G$2:$G$2701,'март 2026'!$D$2:$D$2701,$B55,'март 2026'!$J$2:$J$2701,F$1)</f>
        <v>0</v>
      </c>
      <c r="G55" s="143">
        <f>SUMIFS('март 2026'!$G$2:$G$2701,'март 2026'!$D$2:$D$2701,$B55,'март 2026'!$J$2:$J$2701,G$1)</f>
        <v>0</v>
      </c>
      <c r="H55" s="143">
        <f>SUMIFS('март 2026'!$G$2:$G$2701,'март 2026'!$D$2:$D$2701,$B55,'март 2026'!$J$2:$J$2701,H$1)</f>
        <v>0</v>
      </c>
      <c r="I55" s="143">
        <f>SUMIFS('март 2026'!$G$2:$G$2701,'март 2026'!$D$2:$D$2701,$B55,'март 2026'!$J$2:$J$2701,I$1)</f>
        <v>0</v>
      </c>
      <c r="J55" s="143">
        <f>SUMIFS('март 2026'!$G$2:$G$2701,'март 2026'!$D$2:$D$2701,$B55,'март 2026'!$J$2:$J$2701,J$1)</f>
        <v>0</v>
      </c>
      <c r="K55" s="143">
        <f>SUMIFS('март 2026'!$G$2:$G$2701,'март 2026'!$D$2:$D$2701,$B55,'март 2026'!$J$2:$J$2701,K$1)</f>
        <v>0</v>
      </c>
      <c r="L55" s="143">
        <f>SUMIFS('март 2026'!$G$2:$G$2701,'март 2026'!$D$2:$D$2701,$B55,'март 2026'!$J$2:$J$2701,L$1)</f>
        <v>0</v>
      </c>
      <c r="M55" s="143">
        <f>SUMIFS('март 2026'!$G$2:$G$2701,'март 2026'!$D$2:$D$2701,$B55,'март 2026'!$J$2:$J$2701,M$1)</f>
        <v>0</v>
      </c>
      <c r="N55" s="143">
        <f>SUMIFS('март 2026'!$G$2:$G$2701,'март 2026'!$D$2:$D$2701,$B55,'март 2026'!$J$2:$J$2701,N$1)</f>
        <v>0</v>
      </c>
      <c r="O55" s="143">
        <f>SUMIFS('март 2026'!$G$2:$G$2701,'март 2026'!$D$2:$D$2701,$B55,'март 2026'!$J$2:$J$2701,O$1)</f>
        <v>0</v>
      </c>
      <c r="P55" s="143">
        <f>SUMIFS('март 2026'!$G$2:$G$2701,'март 2026'!$D$2:$D$2701,$B55,'март 2026'!$J$2:$J$2701,P$1)</f>
        <v>0</v>
      </c>
      <c r="Q55" s="143">
        <f>SUMIFS('март 2026'!$G$2:$G$2701,'март 2026'!$D$2:$D$2701,$B55,'март 2026'!$J$2:$J$2701,Q$1)</f>
        <v>0</v>
      </c>
      <c r="R55" s="143">
        <f>SUMIFS('март 2026'!$G$2:$G$2701,'март 2026'!$D$2:$D$2701,$B55,'март 2026'!$J$2:$J$2701,R$1)</f>
        <v>0</v>
      </c>
      <c r="S55" s="143">
        <f>SUMIFS('март 2026'!$G$2:$G$2701,'март 2026'!$D$2:$D$2701,$B55,'март 2026'!$J$2:$J$2701,S$1)</f>
        <v>0</v>
      </c>
      <c r="T55" s="143">
        <f>SUMIFS('март 2026'!$G$2:$G$2701,'март 2026'!$D$2:$D$2701,$B55,'март 2026'!$J$2:$J$2701,T$1)</f>
        <v>0</v>
      </c>
      <c r="U55" s="143">
        <f>SUMIFS('март 2026'!$G$2:$G$2701,'март 2026'!$D$2:$D$2701,$B55,'март 2026'!$J$2:$J$2701,U$1)</f>
        <v>0</v>
      </c>
      <c r="V55" s="143">
        <f>SUMIFS('март 2026'!$G$2:$G$2701,'март 2026'!$D$2:$D$2701,$B55,'март 2026'!$J$2:$J$2701,V$1)</f>
        <v>0</v>
      </c>
      <c r="W55" s="143">
        <f>SUMIFS('март 2026'!$G$2:$G$2701,'март 2026'!$D$2:$D$2701,$B55,'март 2026'!$J$2:$J$2701,W$1)</f>
        <v>0</v>
      </c>
      <c r="X55" s="143">
        <f>SUMIFS('март 2026'!$G$2:$G$2701,'март 2026'!$D$2:$D$2701,$B55,'март 2026'!$J$2:$J$2701,X$1)</f>
        <v>0</v>
      </c>
      <c r="Y55" s="143">
        <f>SUMIFS('март 2026'!$G$2:$G$2701,'март 2026'!$D$2:$D$2701,$B55,'март 2026'!$J$2:$J$2701,Y$1)</f>
        <v>0</v>
      </c>
      <c r="Z55" s="143">
        <f>SUMIFS('март 2026'!$G$2:$G$2701,'март 2026'!$D$2:$D$2701,$B55,'март 2026'!$J$2:$J$2701,Z$1)</f>
        <v>0</v>
      </c>
      <c r="AA55" s="143">
        <f>SUMIFS('март 2026'!$G$2:$G$2701,'март 2026'!$D$2:$D$2701,$B55,'март 2026'!$J$2:$J$2701,AA$1)</f>
        <v>0</v>
      </c>
      <c r="AB55" s="143">
        <f>SUMIFS('март 2026'!$G$2:$G$2701,'март 2026'!$D$2:$D$2701,$B55,'март 2026'!$J$2:$J$2701,AB$1)</f>
        <v>0</v>
      </c>
      <c r="AC55" s="143">
        <f>SUMIFS('март 2026'!$G$2:$G$2701,'март 2026'!$D$2:$D$2701,$B55,'март 2026'!$J$2:$J$2701,AC$1)</f>
        <v>0</v>
      </c>
      <c r="AD55" s="143">
        <f>SUMIFS('март 2026'!$G$2:$G$2701,'март 2026'!$D$2:$D$2701,$B55,'март 2026'!$J$2:$J$2701,AD$1)</f>
        <v>0</v>
      </c>
      <c r="AE55" s="143">
        <f>SUMIFS('март 2026'!$G$2:$G$2701,'март 2026'!$D$2:$D$2701,$B55,'март 2026'!$J$2:$J$2701,AE$1)</f>
        <v>0</v>
      </c>
      <c r="AF55" s="143">
        <f>SUMIFS('март 2026'!$G$2:$G$2701,'март 2026'!$D$2:$D$2701,$B55,'март 2026'!$J$2:$J$2701,AF$1)</f>
        <v>0</v>
      </c>
      <c r="AG55" s="143">
        <f>SUMIFS('март 2026'!$G$2:$G$2701,'март 2026'!$D$2:$D$2701,$B55,'март 2026'!$J$2:$J$2701,AG$1)</f>
        <v>0</v>
      </c>
      <c r="AH55" s="143">
        <f>SUMIFS('март 2026'!$G$2:$G$2701,'март 2026'!$D$2:$D$2701,$B55,'март 2026'!$J$2:$J$2701,AH$1)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SUMIFS('март 2026'!$G$2:$G$2701,'март 2026'!$D$2:$D$2701,$B56,'март 2026'!$J$2:$J$2701,D$1)</f>
        <v>0</v>
      </c>
      <c r="E56" s="143">
        <f>SUMIFS('март 2026'!$G$2:$G$2701,'март 2026'!$D$2:$D$2701,$B56,'март 2026'!$J$2:$J$2701,E$1)</f>
        <v>0</v>
      </c>
      <c r="F56" s="143">
        <f>SUMIFS('март 2026'!$G$2:$G$2701,'март 2026'!$D$2:$D$2701,$B56,'март 2026'!$J$2:$J$2701,F$1)</f>
        <v>0</v>
      </c>
      <c r="G56" s="143">
        <f>SUMIFS('март 2026'!$G$2:$G$2701,'март 2026'!$D$2:$D$2701,$B56,'март 2026'!$J$2:$J$2701,G$1)</f>
        <v>0</v>
      </c>
      <c r="H56" s="143">
        <f>SUMIFS('март 2026'!$G$2:$G$2701,'март 2026'!$D$2:$D$2701,$B56,'март 2026'!$J$2:$J$2701,H$1)</f>
        <v>0</v>
      </c>
      <c r="I56" s="143">
        <f>SUMIFS('март 2026'!$G$2:$G$2701,'март 2026'!$D$2:$D$2701,$B56,'март 2026'!$J$2:$J$2701,I$1)</f>
        <v>0</v>
      </c>
      <c r="J56" s="143">
        <f>SUMIFS('март 2026'!$G$2:$G$2701,'март 2026'!$D$2:$D$2701,$B56,'март 2026'!$J$2:$J$2701,J$1)</f>
        <v>0</v>
      </c>
      <c r="K56" s="143">
        <f>SUMIFS('март 2026'!$G$2:$G$2701,'март 2026'!$D$2:$D$2701,$B56,'март 2026'!$J$2:$J$2701,K$1)</f>
        <v>0</v>
      </c>
      <c r="L56" s="143">
        <f>SUMIFS('март 2026'!$G$2:$G$2701,'март 2026'!$D$2:$D$2701,$B56,'март 2026'!$J$2:$J$2701,L$1)</f>
        <v>0</v>
      </c>
      <c r="M56" s="143">
        <f>SUMIFS('март 2026'!$G$2:$G$2701,'март 2026'!$D$2:$D$2701,$B56,'март 2026'!$J$2:$J$2701,M$1)</f>
        <v>0</v>
      </c>
      <c r="N56" s="143">
        <f>SUMIFS('март 2026'!$G$2:$G$2701,'март 2026'!$D$2:$D$2701,$B56,'март 2026'!$J$2:$J$2701,N$1)</f>
        <v>0</v>
      </c>
      <c r="O56" s="143">
        <f>SUMIFS('март 2026'!$G$2:$G$2701,'март 2026'!$D$2:$D$2701,$B56,'март 2026'!$J$2:$J$2701,O$1)</f>
        <v>0</v>
      </c>
      <c r="P56" s="143">
        <f>SUMIFS('март 2026'!$G$2:$G$2701,'март 2026'!$D$2:$D$2701,$B56,'март 2026'!$J$2:$J$2701,P$1)</f>
        <v>0</v>
      </c>
      <c r="Q56" s="143">
        <f>SUMIFS('март 2026'!$G$2:$G$2701,'март 2026'!$D$2:$D$2701,$B56,'март 2026'!$J$2:$J$2701,Q$1)</f>
        <v>0</v>
      </c>
      <c r="R56" s="143">
        <f>SUMIFS('март 2026'!$G$2:$G$2701,'март 2026'!$D$2:$D$2701,$B56,'март 2026'!$J$2:$J$2701,R$1)</f>
        <v>0</v>
      </c>
      <c r="S56" s="143">
        <f>SUMIFS('март 2026'!$G$2:$G$2701,'март 2026'!$D$2:$D$2701,$B56,'март 2026'!$J$2:$J$2701,S$1)</f>
        <v>0</v>
      </c>
      <c r="T56" s="143">
        <f>SUMIFS('март 2026'!$G$2:$G$2701,'март 2026'!$D$2:$D$2701,$B56,'март 2026'!$J$2:$J$2701,T$1)</f>
        <v>0</v>
      </c>
      <c r="U56" s="143">
        <f>SUMIFS('март 2026'!$G$2:$G$2701,'март 2026'!$D$2:$D$2701,$B56,'март 2026'!$J$2:$J$2701,U$1)</f>
        <v>0</v>
      </c>
      <c r="V56" s="143">
        <f>SUMIFS('март 2026'!$G$2:$G$2701,'март 2026'!$D$2:$D$2701,$B56,'март 2026'!$J$2:$J$2701,V$1)</f>
        <v>0</v>
      </c>
      <c r="W56" s="143">
        <f>SUMIFS('март 2026'!$G$2:$G$2701,'март 2026'!$D$2:$D$2701,$B56,'март 2026'!$J$2:$J$2701,W$1)</f>
        <v>0</v>
      </c>
      <c r="X56" s="143">
        <f>SUMIFS('март 2026'!$G$2:$G$2701,'март 2026'!$D$2:$D$2701,$B56,'март 2026'!$J$2:$J$2701,X$1)</f>
        <v>0</v>
      </c>
      <c r="Y56" s="143">
        <f>SUMIFS('март 2026'!$G$2:$G$2701,'март 2026'!$D$2:$D$2701,$B56,'март 2026'!$J$2:$J$2701,Y$1)</f>
        <v>0</v>
      </c>
      <c r="Z56" s="143">
        <f>SUMIFS('март 2026'!$G$2:$G$2701,'март 2026'!$D$2:$D$2701,$B56,'март 2026'!$J$2:$J$2701,Z$1)</f>
        <v>0</v>
      </c>
      <c r="AA56" s="143">
        <f>SUMIFS('март 2026'!$G$2:$G$2701,'март 2026'!$D$2:$D$2701,$B56,'март 2026'!$J$2:$J$2701,AA$1)</f>
        <v>0</v>
      </c>
      <c r="AB56" s="143">
        <f>SUMIFS('март 2026'!$G$2:$G$2701,'март 2026'!$D$2:$D$2701,$B56,'март 2026'!$J$2:$J$2701,AB$1)</f>
        <v>0</v>
      </c>
      <c r="AC56" s="143">
        <f>SUMIFS('март 2026'!$G$2:$G$2701,'март 2026'!$D$2:$D$2701,$B56,'март 2026'!$J$2:$J$2701,AC$1)</f>
        <v>0</v>
      </c>
      <c r="AD56" s="143">
        <f>SUMIFS('март 2026'!$G$2:$G$2701,'март 2026'!$D$2:$D$2701,$B56,'март 2026'!$J$2:$J$2701,AD$1)</f>
        <v>0</v>
      </c>
      <c r="AE56" s="143">
        <f>SUMIFS('март 2026'!$G$2:$G$2701,'март 2026'!$D$2:$D$2701,$B56,'март 2026'!$J$2:$J$2701,AE$1)</f>
        <v>0</v>
      </c>
      <c r="AF56" s="143">
        <f>SUMIFS('март 2026'!$G$2:$G$2701,'март 2026'!$D$2:$D$2701,$B56,'март 2026'!$J$2:$J$2701,AF$1)</f>
        <v>0</v>
      </c>
      <c r="AG56" s="143">
        <f>SUMIFS('март 2026'!$G$2:$G$2701,'март 2026'!$D$2:$D$2701,$B56,'март 2026'!$J$2:$J$2701,AG$1)</f>
        <v>0</v>
      </c>
      <c r="AH56" s="143">
        <f>SUMIFS('март 2026'!$G$2:$G$2701,'март 2026'!$D$2:$D$2701,$B56,'март 2026'!$J$2:$J$2701,AH$1)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SUMIFS('март 2026'!$G$2:$G$2701,'март 2026'!$D$2:$D$2701,$B57,'март 2026'!$J$2:$J$2701,D$1)</f>
        <v>0</v>
      </c>
      <c r="E57" s="143">
        <f>SUMIFS('март 2026'!$G$2:$G$2701,'март 2026'!$D$2:$D$2701,$B57,'март 2026'!$J$2:$J$2701,E$1)</f>
        <v>0</v>
      </c>
      <c r="F57" s="143">
        <f>SUMIFS('март 2026'!$G$2:$G$2701,'март 2026'!$D$2:$D$2701,$B57,'март 2026'!$J$2:$J$2701,F$1)</f>
        <v>0</v>
      </c>
      <c r="G57" s="143">
        <f>SUMIFS('март 2026'!$G$2:$G$2701,'март 2026'!$D$2:$D$2701,$B57,'март 2026'!$J$2:$J$2701,G$1)</f>
        <v>0</v>
      </c>
      <c r="H57" s="143">
        <f>SUMIFS('март 2026'!$G$2:$G$2701,'март 2026'!$D$2:$D$2701,$B57,'март 2026'!$J$2:$J$2701,H$1)</f>
        <v>0</v>
      </c>
      <c r="I57" s="143">
        <f>SUMIFS('март 2026'!$G$2:$G$2701,'март 2026'!$D$2:$D$2701,$B57,'март 2026'!$J$2:$J$2701,I$1)</f>
        <v>0</v>
      </c>
      <c r="J57" s="143">
        <f>SUMIFS('март 2026'!$G$2:$G$2701,'март 2026'!$D$2:$D$2701,$B57,'март 2026'!$J$2:$J$2701,J$1)</f>
        <v>0</v>
      </c>
      <c r="K57" s="143">
        <f>SUMIFS('март 2026'!$G$2:$G$2701,'март 2026'!$D$2:$D$2701,$B57,'март 2026'!$J$2:$J$2701,K$1)</f>
        <v>0</v>
      </c>
      <c r="L57" s="143">
        <f>SUMIFS('март 2026'!$G$2:$G$2701,'март 2026'!$D$2:$D$2701,$B57,'март 2026'!$J$2:$J$2701,L$1)</f>
        <v>0</v>
      </c>
      <c r="M57" s="143">
        <f>SUMIFS('март 2026'!$G$2:$G$2701,'март 2026'!$D$2:$D$2701,$B57,'март 2026'!$J$2:$J$2701,M$1)</f>
        <v>0</v>
      </c>
      <c r="N57" s="143">
        <f>SUMIFS('март 2026'!$G$2:$G$2701,'март 2026'!$D$2:$D$2701,$B57,'март 2026'!$J$2:$J$2701,N$1)</f>
        <v>0</v>
      </c>
      <c r="O57" s="143">
        <f>SUMIFS('март 2026'!$G$2:$G$2701,'март 2026'!$D$2:$D$2701,$B57,'март 2026'!$J$2:$J$2701,O$1)</f>
        <v>0</v>
      </c>
      <c r="P57" s="143">
        <f>SUMIFS('март 2026'!$G$2:$G$2701,'март 2026'!$D$2:$D$2701,$B57,'март 2026'!$J$2:$J$2701,P$1)</f>
        <v>0</v>
      </c>
      <c r="Q57" s="143">
        <f>SUMIFS('март 2026'!$G$2:$G$2701,'март 2026'!$D$2:$D$2701,$B57,'март 2026'!$J$2:$J$2701,Q$1)</f>
        <v>0</v>
      </c>
      <c r="R57" s="143">
        <f>SUMIFS('март 2026'!$G$2:$G$2701,'март 2026'!$D$2:$D$2701,$B57,'март 2026'!$J$2:$J$2701,R$1)</f>
        <v>0</v>
      </c>
      <c r="S57" s="143">
        <f>SUMIFS('март 2026'!$G$2:$G$2701,'март 2026'!$D$2:$D$2701,$B57,'март 2026'!$J$2:$J$2701,S$1)</f>
        <v>0</v>
      </c>
      <c r="T57" s="143">
        <f>SUMIFS('март 2026'!$G$2:$G$2701,'март 2026'!$D$2:$D$2701,$B57,'март 2026'!$J$2:$J$2701,T$1)</f>
        <v>0</v>
      </c>
      <c r="U57" s="143">
        <f>SUMIFS('март 2026'!$G$2:$G$2701,'март 2026'!$D$2:$D$2701,$B57,'март 2026'!$J$2:$J$2701,U$1)</f>
        <v>0</v>
      </c>
      <c r="V57" s="143">
        <f>SUMIFS('март 2026'!$G$2:$G$2701,'март 2026'!$D$2:$D$2701,$B57,'март 2026'!$J$2:$J$2701,V$1)</f>
        <v>0</v>
      </c>
      <c r="W57" s="143">
        <f>SUMIFS('март 2026'!$G$2:$G$2701,'март 2026'!$D$2:$D$2701,$B57,'март 2026'!$J$2:$J$2701,W$1)</f>
        <v>0</v>
      </c>
      <c r="X57" s="143">
        <f>SUMIFS('март 2026'!$G$2:$G$2701,'март 2026'!$D$2:$D$2701,$B57,'март 2026'!$J$2:$J$2701,X$1)</f>
        <v>0</v>
      </c>
      <c r="Y57" s="143">
        <f>SUMIFS('март 2026'!$G$2:$G$2701,'март 2026'!$D$2:$D$2701,$B57,'март 2026'!$J$2:$J$2701,Y$1)</f>
        <v>0</v>
      </c>
      <c r="Z57" s="143">
        <f>SUMIFS('март 2026'!$G$2:$G$2701,'март 2026'!$D$2:$D$2701,$B57,'март 2026'!$J$2:$J$2701,Z$1)</f>
        <v>0</v>
      </c>
      <c r="AA57" s="143">
        <f>SUMIFS('март 2026'!$G$2:$G$2701,'март 2026'!$D$2:$D$2701,$B57,'март 2026'!$J$2:$J$2701,AA$1)</f>
        <v>0</v>
      </c>
      <c r="AB57" s="143">
        <f>SUMIFS('март 2026'!$G$2:$G$2701,'март 2026'!$D$2:$D$2701,$B57,'март 2026'!$J$2:$J$2701,AB$1)</f>
        <v>0</v>
      </c>
      <c r="AC57" s="143">
        <f>SUMIFS('март 2026'!$G$2:$G$2701,'март 2026'!$D$2:$D$2701,$B57,'март 2026'!$J$2:$J$2701,AC$1)</f>
        <v>0</v>
      </c>
      <c r="AD57" s="143">
        <f>SUMIFS('март 2026'!$G$2:$G$2701,'март 2026'!$D$2:$D$2701,$B57,'март 2026'!$J$2:$J$2701,AD$1)</f>
        <v>0</v>
      </c>
      <c r="AE57" s="143">
        <f>SUMIFS('март 2026'!$G$2:$G$2701,'март 2026'!$D$2:$D$2701,$B57,'март 2026'!$J$2:$J$2701,AE$1)</f>
        <v>0</v>
      </c>
      <c r="AF57" s="143">
        <f>SUMIFS('март 2026'!$G$2:$G$2701,'март 2026'!$D$2:$D$2701,$B57,'март 2026'!$J$2:$J$2701,AF$1)</f>
        <v>0</v>
      </c>
      <c r="AG57" s="143">
        <f>SUMIFS('март 2026'!$G$2:$G$2701,'март 2026'!$D$2:$D$2701,$B57,'март 2026'!$J$2:$J$2701,AG$1)</f>
        <v>0</v>
      </c>
      <c r="AH57" s="143">
        <f>SUMIFS('март 2026'!$G$2:$G$2701,'март 2026'!$D$2:$D$2701,$B57,'март 2026'!$J$2:$J$2701,AH$1)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SUMIFS('март 2026'!$G$2:$G$2701,'март 2026'!$D$2:$D$2701,$B58,'март 2026'!$J$2:$J$2701,D$1)</f>
        <v>0</v>
      </c>
      <c r="E58" s="143">
        <f>SUMIFS('март 2026'!$G$2:$G$2701,'март 2026'!$D$2:$D$2701,$B58,'март 2026'!$J$2:$J$2701,E$1)</f>
        <v>0</v>
      </c>
      <c r="F58" s="143">
        <f>SUMIFS('март 2026'!$G$2:$G$2701,'март 2026'!$D$2:$D$2701,$B58,'март 2026'!$J$2:$J$2701,F$1)</f>
        <v>0</v>
      </c>
      <c r="G58" s="143">
        <f>SUMIFS('март 2026'!$G$2:$G$2701,'март 2026'!$D$2:$D$2701,$B58,'март 2026'!$J$2:$J$2701,G$1)</f>
        <v>0</v>
      </c>
      <c r="H58" s="143">
        <f>SUMIFS('март 2026'!$G$2:$G$2701,'март 2026'!$D$2:$D$2701,$B58,'март 2026'!$J$2:$J$2701,H$1)</f>
        <v>0</v>
      </c>
      <c r="I58" s="143">
        <f>SUMIFS('март 2026'!$G$2:$G$2701,'март 2026'!$D$2:$D$2701,$B58,'март 2026'!$J$2:$J$2701,I$1)</f>
        <v>0</v>
      </c>
      <c r="J58" s="143">
        <f>SUMIFS('март 2026'!$G$2:$G$2701,'март 2026'!$D$2:$D$2701,$B58,'март 2026'!$J$2:$J$2701,J$1)</f>
        <v>0</v>
      </c>
      <c r="K58" s="143">
        <f>SUMIFS('март 2026'!$G$2:$G$2701,'март 2026'!$D$2:$D$2701,$B58,'март 2026'!$J$2:$J$2701,K$1)</f>
        <v>0</v>
      </c>
      <c r="L58" s="143">
        <f>SUMIFS('март 2026'!$G$2:$G$2701,'март 2026'!$D$2:$D$2701,$B58,'март 2026'!$J$2:$J$2701,L$1)</f>
        <v>0</v>
      </c>
      <c r="M58" s="143">
        <f>SUMIFS('март 2026'!$G$2:$G$2701,'март 2026'!$D$2:$D$2701,$B58,'март 2026'!$J$2:$J$2701,M$1)</f>
        <v>0</v>
      </c>
      <c r="N58" s="143">
        <f>SUMIFS('март 2026'!$G$2:$G$2701,'март 2026'!$D$2:$D$2701,$B58,'март 2026'!$J$2:$J$2701,N$1)</f>
        <v>950</v>
      </c>
      <c r="O58" s="143">
        <f>SUMIFS('март 2026'!$G$2:$G$2701,'март 2026'!$D$2:$D$2701,$B58,'март 2026'!$J$2:$J$2701,O$1)</f>
        <v>0</v>
      </c>
      <c r="P58" s="143">
        <f>SUMIFS('март 2026'!$G$2:$G$2701,'март 2026'!$D$2:$D$2701,$B58,'март 2026'!$J$2:$J$2701,P$1)</f>
        <v>0</v>
      </c>
      <c r="Q58" s="143">
        <f>SUMIFS('март 2026'!$G$2:$G$2701,'март 2026'!$D$2:$D$2701,$B58,'март 2026'!$J$2:$J$2701,Q$1)</f>
        <v>0</v>
      </c>
      <c r="R58" s="143">
        <f>SUMIFS('март 2026'!$G$2:$G$2701,'март 2026'!$D$2:$D$2701,$B58,'март 2026'!$J$2:$J$2701,R$1)</f>
        <v>0</v>
      </c>
      <c r="S58" s="143">
        <f>SUMIFS('март 2026'!$G$2:$G$2701,'март 2026'!$D$2:$D$2701,$B58,'март 2026'!$J$2:$J$2701,S$1)</f>
        <v>0</v>
      </c>
      <c r="T58" s="143">
        <f>SUMIFS('март 2026'!$G$2:$G$2701,'март 2026'!$D$2:$D$2701,$B58,'март 2026'!$J$2:$J$2701,T$1)</f>
        <v>0</v>
      </c>
      <c r="U58" s="143">
        <f>SUMIFS('март 2026'!$G$2:$G$2701,'март 2026'!$D$2:$D$2701,$B58,'март 2026'!$J$2:$J$2701,U$1)</f>
        <v>0</v>
      </c>
      <c r="V58" s="143">
        <f>SUMIFS('март 2026'!$G$2:$G$2701,'март 2026'!$D$2:$D$2701,$B58,'март 2026'!$J$2:$J$2701,V$1)</f>
        <v>0</v>
      </c>
      <c r="W58" s="143">
        <f>SUMIFS('март 2026'!$G$2:$G$2701,'март 2026'!$D$2:$D$2701,$B58,'март 2026'!$J$2:$J$2701,W$1)</f>
        <v>0</v>
      </c>
      <c r="X58" s="143">
        <f>SUMIFS('март 2026'!$G$2:$G$2701,'март 2026'!$D$2:$D$2701,$B58,'март 2026'!$J$2:$J$2701,X$1)</f>
        <v>0</v>
      </c>
      <c r="Y58" s="143">
        <f>SUMIFS('март 2026'!$G$2:$G$2701,'март 2026'!$D$2:$D$2701,$B58,'март 2026'!$J$2:$J$2701,Y$1)</f>
        <v>0</v>
      </c>
      <c r="Z58" s="143">
        <f>SUMIFS('март 2026'!$G$2:$G$2701,'март 2026'!$D$2:$D$2701,$B58,'март 2026'!$J$2:$J$2701,Z$1)</f>
        <v>0</v>
      </c>
      <c r="AA58" s="143">
        <f>SUMIFS('март 2026'!$G$2:$G$2701,'март 2026'!$D$2:$D$2701,$B58,'март 2026'!$J$2:$J$2701,AA$1)</f>
        <v>0</v>
      </c>
      <c r="AB58" s="143">
        <f>SUMIFS('март 2026'!$G$2:$G$2701,'март 2026'!$D$2:$D$2701,$B58,'март 2026'!$J$2:$J$2701,AB$1)</f>
        <v>0</v>
      </c>
      <c r="AC58" s="143">
        <f>SUMIFS('март 2026'!$G$2:$G$2701,'март 2026'!$D$2:$D$2701,$B58,'март 2026'!$J$2:$J$2701,AC$1)</f>
        <v>0</v>
      </c>
      <c r="AD58" s="143">
        <f>SUMIFS('март 2026'!$G$2:$G$2701,'март 2026'!$D$2:$D$2701,$B58,'март 2026'!$J$2:$J$2701,AD$1)</f>
        <v>0</v>
      </c>
      <c r="AE58" s="143">
        <f>SUMIFS('март 2026'!$G$2:$G$2701,'март 2026'!$D$2:$D$2701,$B58,'март 2026'!$J$2:$J$2701,AE$1)</f>
        <v>0</v>
      </c>
      <c r="AF58" s="143">
        <f>SUMIFS('март 2026'!$G$2:$G$2701,'март 2026'!$D$2:$D$2701,$B58,'март 2026'!$J$2:$J$2701,AF$1)</f>
        <v>0</v>
      </c>
      <c r="AG58" s="143">
        <f>SUMIFS('март 2026'!$G$2:$G$2701,'март 2026'!$D$2:$D$2701,$B58,'март 2026'!$J$2:$J$2701,AG$1)</f>
        <v>0</v>
      </c>
      <c r="AH58" s="143">
        <f>SUMIFS('март 2026'!$G$2:$G$2701,'март 2026'!$D$2:$D$2701,$B58,'март 2026'!$J$2:$J$2701,AH$1)</f>
        <v>0</v>
      </c>
      <c r="AI58" s="20">
        <f t="shared" si="1"/>
        <v>950</v>
      </c>
    </row>
    <row r="59" spans="2:35" ht="15" customHeight="1" x14ac:dyDescent="0.25">
      <c r="B59" s="122" t="s">
        <v>336</v>
      </c>
      <c r="C59" s="123">
        <v>20</v>
      </c>
      <c r="D59" s="143">
        <f>SUMIFS('март 2026'!$G$2:$G$2701,'март 2026'!$D$2:$D$2701,$B59,'март 2026'!$J$2:$J$2701,D$1)</f>
        <v>0</v>
      </c>
      <c r="E59" s="143">
        <f>SUMIFS('март 2026'!$G$2:$G$2701,'март 2026'!$D$2:$D$2701,$B59,'март 2026'!$J$2:$J$2701,E$1)</f>
        <v>0</v>
      </c>
      <c r="F59" s="143">
        <f>SUMIFS('март 2026'!$G$2:$G$2701,'март 2026'!$D$2:$D$2701,$B59,'март 2026'!$J$2:$J$2701,F$1)</f>
        <v>0</v>
      </c>
      <c r="G59" s="143">
        <f>SUMIFS('март 2026'!$G$2:$G$2701,'март 2026'!$D$2:$D$2701,$B59,'март 2026'!$J$2:$J$2701,G$1)</f>
        <v>0</v>
      </c>
      <c r="H59" s="143">
        <f>SUMIFS('март 2026'!$G$2:$G$2701,'март 2026'!$D$2:$D$2701,$B59,'март 2026'!$J$2:$J$2701,H$1)</f>
        <v>0</v>
      </c>
      <c r="I59" s="143">
        <f>SUMIFS('март 2026'!$G$2:$G$2701,'март 2026'!$D$2:$D$2701,$B59,'март 2026'!$J$2:$J$2701,I$1)</f>
        <v>0</v>
      </c>
      <c r="J59" s="143">
        <f>SUMIFS('март 2026'!$G$2:$G$2701,'март 2026'!$D$2:$D$2701,$B59,'март 2026'!$J$2:$J$2701,J$1)</f>
        <v>0</v>
      </c>
      <c r="K59" s="143">
        <f>SUMIFS('март 2026'!$G$2:$G$2701,'март 2026'!$D$2:$D$2701,$B59,'март 2026'!$J$2:$J$2701,K$1)</f>
        <v>0</v>
      </c>
      <c r="L59" s="143">
        <f>SUMIFS('март 2026'!$G$2:$G$2701,'март 2026'!$D$2:$D$2701,$B59,'март 2026'!$J$2:$J$2701,L$1)</f>
        <v>0</v>
      </c>
      <c r="M59" s="143">
        <f>SUMIFS('март 2026'!$G$2:$G$2701,'март 2026'!$D$2:$D$2701,$B59,'март 2026'!$J$2:$J$2701,M$1)</f>
        <v>0</v>
      </c>
      <c r="N59" s="143">
        <f>SUMIFS('март 2026'!$G$2:$G$2701,'март 2026'!$D$2:$D$2701,$B59,'март 2026'!$J$2:$J$2701,N$1)</f>
        <v>0</v>
      </c>
      <c r="O59" s="143">
        <f>SUMIFS('март 2026'!$G$2:$G$2701,'март 2026'!$D$2:$D$2701,$B59,'март 2026'!$J$2:$J$2701,O$1)</f>
        <v>0</v>
      </c>
      <c r="P59" s="143">
        <f>SUMIFS('март 2026'!$G$2:$G$2701,'март 2026'!$D$2:$D$2701,$B59,'март 2026'!$J$2:$J$2701,P$1)</f>
        <v>0</v>
      </c>
      <c r="Q59" s="143">
        <f>SUMIFS('март 2026'!$G$2:$G$2701,'март 2026'!$D$2:$D$2701,$B59,'март 2026'!$J$2:$J$2701,Q$1)</f>
        <v>0</v>
      </c>
      <c r="R59" s="143">
        <f>SUMIFS('март 2026'!$G$2:$G$2701,'март 2026'!$D$2:$D$2701,$B59,'март 2026'!$J$2:$J$2701,R$1)</f>
        <v>0</v>
      </c>
      <c r="S59" s="143">
        <f>SUMIFS('март 2026'!$G$2:$G$2701,'март 2026'!$D$2:$D$2701,$B59,'март 2026'!$J$2:$J$2701,S$1)</f>
        <v>0</v>
      </c>
      <c r="T59" s="143">
        <f>SUMIFS('март 2026'!$G$2:$G$2701,'март 2026'!$D$2:$D$2701,$B59,'март 2026'!$J$2:$J$2701,T$1)</f>
        <v>0</v>
      </c>
      <c r="U59" s="143">
        <f>SUMIFS('март 2026'!$G$2:$G$2701,'март 2026'!$D$2:$D$2701,$B59,'март 2026'!$J$2:$J$2701,U$1)</f>
        <v>0</v>
      </c>
      <c r="V59" s="143">
        <f>SUMIFS('март 2026'!$G$2:$G$2701,'март 2026'!$D$2:$D$2701,$B59,'март 2026'!$J$2:$J$2701,V$1)</f>
        <v>0</v>
      </c>
      <c r="W59" s="143">
        <f>SUMIFS('март 2026'!$G$2:$G$2701,'март 2026'!$D$2:$D$2701,$B59,'март 2026'!$J$2:$J$2701,W$1)</f>
        <v>0</v>
      </c>
      <c r="X59" s="143">
        <f>SUMIFS('март 2026'!$G$2:$G$2701,'март 2026'!$D$2:$D$2701,$B59,'март 2026'!$J$2:$J$2701,X$1)</f>
        <v>0</v>
      </c>
      <c r="Y59" s="143">
        <f>SUMIFS('март 2026'!$G$2:$G$2701,'март 2026'!$D$2:$D$2701,$B59,'март 2026'!$J$2:$J$2701,Y$1)</f>
        <v>0</v>
      </c>
      <c r="Z59" s="143">
        <f>SUMIFS('март 2026'!$G$2:$G$2701,'март 2026'!$D$2:$D$2701,$B59,'март 2026'!$J$2:$J$2701,Z$1)</f>
        <v>0</v>
      </c>
      <c r="AA59" s="143">
        <f>SUMIFS('март 2026'!$G$2:$G$2701,'март 2026'!$D$2:$D$2701,$B59,'март 2026'!$J$2:$J$2701,AA$1)</f>
        <v>0</v>
      </c>
      <c r="AB59" s="143">
        <f>SUMIFS('март 2026'!$G$2:$G$2701,'март 2026'!$D$2:$D$2701,$B59,'март 2026'!$J$2:$J$2701,AB$1)</f>
        <v>0</v>
      </c>
      <c r="AC59" s="143">
        <f>SUMIFS('март 2026'!$G$2:$G$2701,'март 2026'!$D$2:$D$2701,$B59,'март 2026'!$J$2:$J$2701,AC$1)</f>
        <v>0</v>
      </c>
      <c r="AD59" s="143">
        <f>SUMIFS('март 2026'!$G$2:$G$2701,'март 2026'!$D$2:$D$2701,$B59,'март 2026'!$J$2:$J$2701,AD$1)</f>
        <v>0</v>
      </c>
      <c r="AE59" s="143">
        <f>SUMIFS('март 2026'!$G$2:$G$2701,'март 2026'!$D$2:$D$2701,$B59,'март 2026'!$J$2:$J$2701,AE$1)</f>
        <v>0</v>
      </c>
      <c r="AF59" s="143">
        <f>SUMIFS('март 2026'!$G$2:$G$2701,'март 2026'!$D$2:$D$2701,$B59,'март 2026'!$J$2:$J$2701,AF$1)</f>
        <v>0</v>
      </c>
      <c r="AG59" s="143">
        <f>SUMIFS('март 2026'!$G$2:$G$2701,'март 2026'!$D$2:$D$2701,$B59,'март 2026'!$J$2:$J$2701,AG$1)</f>
        <v>0</v>
      </c>
      <c r="AH59" s="143">
        <f>SUMIFS('март 2026'!$G$2:$G$2701,'март 2026'!$D$2:$D$2701,$B59,'март 2026'!$J$2:$J$2701,AH$1)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SUMIFS('март 2026'!$G$2:$G$2701,'март 2026'!$D$2:$D$2701,$B60,'март 2026'!$J$2:$J$2701,D$1)</f>
        <v>0</v>
      </c>
      <c r="E60" s="143">
        <f>SUMIFS('март 2026'!$G$2:$G$2701,'март 2026'!$D$2:$D$2701,$B60,'март 2026'!$J$2:$J$2701,E$1)</f>
        <v>0</v>
      </c>
      <c r="F60" s="143">
        <f>SUMIFS('март 2026'!$G$2:$G$2701,'март 2026'!$D$2:$D$2701,$B60,'март 2026'!$J$2:$J$2701,F$1)</f>
        <v>0</v>
      </c>
      <c r="G60" s="143">
        <f>SUMIFS('март 2026'!$G$2:$G$2701,'март 2026'!$D$2:$D$2701,$B60,'март 2026'!$J$2:$J$2701,G$1)</f>
        <v>0</v>
      </c>
      <c r="H60" s="143">
        <f>SUMIFS('март 2026'!$G$2:$G$2701,'март 2026'!$D$2:$D$2701,$B60,'март 2026'!$J$2:$J$2701,H$1)</f>
        <v>0</v>
      </c>
      <c r="I60" s="143">
        <f>SUMIFS('март 2026'!$G$2:$G$2701,'март 2026'!$D$2:$D$2701,$B60,'март 2026'!$J$2:$J$2701,I$1)</f>
        <v>0</v>
      </c>
      <c r="J60" s="143">
        <f>SUMIFS('март 2026'!$G$2:$G$2701,'март 2026'!$D$2:$D$2701,$B60,'март 2026'!$J$2:$J$2701,J$1)</f>
        <v>0</v>
      </c>
      <c r="K60" s="143">
        <f>SUMIFS('март 2026'!$G$2:$G$2701,'март 2026'!$D$2:$D$2701,$B60,'март 2026'!$J$2:$J$2701,K$1)</f>
        <v>0</v>
      </c>
      <c r="L60" s="143">
        <f>SUMIFS('март 2026'!$G$2:$G$2701,'март 2026'!$D$2:$D$2701,$B60,'март 2026'!$J$2:$J$2701,L$1)</f>
        <v>0</v>
      </c>
      <c r="M60" s="143">
        <f>SUMIFS('март 2026'!$G$2:$G$2701,'март 2026'!$D$2:$D$2701,$B60,'март 2026'!$J$2:$J$2701,M$1)</f>
        <v>0</v>
      </c>
      <c r="N60" s="143">
        <f>SUMIFS('март 2026'!$G$2:$G$2701,'март 2026'!$D$2:$D$2701,$B60,'март 2026'!$J$2:$J$2701,N$1)</f>
        <v>0</v>
      </c>
      <c r="O60" s="143">
        <f>SUMIFS('март 2026'!$G$2:$G$2701,'март 2026'!$D$2:$D$2701,$B60,'март 2026'!$J$2:$J$2701,O$1)</f>
        <v>0</v>
      </c>
      <c r="P60" s="143">
        <f>SUMIFS('март 2026'!$G$2:$G$2701,'март 2026'!$D$2:$D$2701,$B60,'март 2026'!$J$2:$J$2701,P$1)</f>
        <v>0</v>
      </c>
      <c r="Q60" s="143">
        <f>SUMIFS('март 2026'!$G$2:$G$2701,'март 2026'!$D$2:$D$2701,$B60,'март 2026'!$J$2:$J$2701,Q$1)</f>
        <v>0</v>
      </c>
      <c r="R60" s="143">
        <f>SUMIFS('март 2026'!$G$2:$G$2701,'март 2026'!$D$2:$D$2701,$B60,'март 2026'!$J$2:$J$2701,R$1)</f>
        <v>0</v>
      </c>
      <c r="S60" s="143">
        <f>SUMIFS('март 2026'!$G$2:$G$2701,'март 2026'!$D$2:$D$2701,$B60,'март 2026'!$J$2:$J$2701,S$1)</f>
        <v>0</v>
      </c>
      <c r="T60" s="143">
        <f>SUMIFS('март 2026'!$G$2:$G$2701,'март 2026'!$D$2:$D$2701,$B60,'март 2026'!$J$2:$J$2701,T$1)</f>
        <v>0</v>
      </c>
      <c r="U60" s="143">
        <f>SUMIFS('март 2026'!$G$2:$G$2701,'март 2026'!$D$2:$D$2701,$B60,'март 2026'!$J$2:$J$2701,U$1)</f>
        <v>0</v>
      </c>
      <c r="V60" s="143">
        <f>SUMIFS('март 2026'!$G$2:$G$2701,'март 2026'!$D$2:$D$2701,$B60,'март 2026'!$J$2:$J$2701,V$1)</f>
        <v>0</v>
      </c>
      <c r="W60" s="143">
        <f>SUMIFS('март 2026'!$G$2:$G$2701,'март 2026'!$D$2:$D$2701,$B60,'март 2026'!$J$2:$J$2701,W$1)</f>
        <v>0</v>
      </c>
      <c r="X60" s="143">
        <f>SUMIFS('март 2026'!$G$2:$G$2701,'март 2026'!$D$2:$D$2701,$B60,'март 2026'!$J$2:$J$2701,X$1)</f>
        <v>0</v>
      </c>
      <c r="Y60" s="143">
        <f>SUMIFS('март 2026'!$G$2:$G$2701,'март 2026'!$D$2:$D$2701,$B60,'март 2026'!$J$2:$J$2701,Y$1)</f>
        <v>0</v>
      </c>
      <c r="Z60" s="143">
        <f>SUMIFS('март 2026'!$G$2:$G$2701,'март 2026'!$D$2:$D$2701,$B60,'март 2026'!$J$2:$J$2701,Z$1)</f>
        <v>0</v>
      </c>
      <c r="AA60" s="143">
        <f>SUMIFS('март 2026'!$G$2:$G$2701,'март 2026'!$D$2:$D$2701,$B60,'март 2026'!$J$2:$J$2701,AA$1)</f>
        <v>0</v>
      </c>
      <c r="AB60" s="143">
        <f>SUMIFS('март 2026'!$G$2:$G$2701,'март 2026'!$D$2:$D$2701,$B60,'март 2026'!$J$2:$J$2701,AB$1)</f>
        <v>0</v>
      </c>
      <c r="AC60" s="143">
        <f>SUMIFS('март 2026'!$G$2:$G$2701,'март 2026'!$D$2:$D$2701,$B60,'март 2026'!$J$2:$J$2701,AC$1)</f>
        <v>0</v>
      </c>
      <c r="AD60" s="143">
        <f>SUMIFS('март 2026'!$G$2:$G$2701,'март 2026'!$D$2:$D$2701,$B60,'март 2026'!$J$2:$J$2701,AD$1)</f>
        <v>0</v>
      </c>
      <c r="AE60" s="143">
        <f>SUMIFS('март 2026'!$G$2:$G$2701,'март 2026'!$D$2:$D$2701,$B60,'март 2026'!$J$2:$J$2701,AE$1)</f>
        <v>0</v>
      </c>
      <c r="AF60" s="143">
        <f>SUMIFS('март 2026'!$G$2:$G$2701,'март 2026'!$D$2:$D$2701,$B60,'март 2026'!$J$2:$J$2701,AF$1)</f>
        <v>0</v>
      </c>
      <c r="AG60" s="143">
        <f>SUMIFS('март 2026'!$G$2:$G$2701,'март 2026'!$D$2:$D$2701,$B60,'март 2026'!$J$2:$J$2701,AG$1)</f>
        <v>0</v>
      </c>
      <c r="AH60" s="143">
        <f>SUMIFS('март 2026'!$G$2:$G$2701,'март 2026'!$D$2:$D$2701,$B60,'март 2026'!$J$2:$J$2701,AH$1)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SUMIFS('март 2026'!$G$2:$G$2701,'март 2026'!$D$2:$D$2701,$B61,'март 2026'!$J$2:$J$2701,D$1)</f>
        <v>0</v>
      </c>
      <c r="E61" s="143">
        <f>SUMIFS('март 2026'!$G$2:$G$2701,'март 2026'!$D$2:$D$2701,$B61,'март 2026'!$J$2:$J$2701,E$1)</f>
        <v>0</v>
      </c>
      <c r="F61" s="143">
        <f>SUMIFS('март 2026'!$G$2:$G$2701,'март 2026'!$D$2:$D$2701,$B61,'март 2026'!$J$2:$J$2701,F$1)</f>
        <v>0</v>
      </c>
      <c r="G61" s="143">
        <f>SUMIFS('март 2026'!$G$2:$G$2701,'март 2026'!$D$2:$D$2701,$B61,'март 2026'!$J$2:$J$2701,G$1)</f>
        <v>0</v>
      </c>
      <c r="H61" s="143">
        <f>SUMIFS('март 2026'!$G$2:$G$2701,'март 2026'!$D$2:$D$2701,$B61,'март 2026'!$J$2:$J$2701,H$1)</f>
        <v>0</v>
      </c>
      <c r="I61" s="143">
        <f>SUMIFS('март 2026'!$G$2:$G$2701,'март 2026'!$D$2:$D$2701,$B61,'март 2026'!$J$2:$J$2701,I$1)</f>
        <v>0</v>
      </c>
      <c r="J61" s="143">
        <f>SUMIFS('март 2026'!$G$2:$G$2701,'март 2026'!$D$2:$D$2701,$B61,'март 2026'!$J$2:$J$2701,J$1)</f>
        <v>0</v>
      </c>
      <c r="K61" s="143">
        <f>SUMIFS('март 2026'!$G$2:$G$2701,'март 2026'!$D$2:$D$2701,$B61,'март 2026'!$J$2:$J$2701,K$1)</f>
        <v>0</v>
      </c>
      <c r="L61" s="143">
        <f>SUMIFS('март 2026'!$G$2:$G$2701,'март 2026'!$D$2:$D$2701,$B61,'март 2026'!$J$2:$J$2701,L$1)</f>
        <v>0</v>
      </c>
      <c r="M61" s="143">
        <f>SUMIFS('март 2026'!$G$2:$G$2701,'март 2026'!$D$2:$D$2701,$B61,'март 2026'!$J$2:$J$2701,M$1)</f>
        <v>0</v>
      </c>
      <c r="N61" s="143">
        <f>SUMIFS('март 2026'!$G$2:$G$2701,'март 2026'!$D$2:$D$2701,$B61,'март 2026'!$J$2:$J$2701,N$1)</f>
        <v>0</v>
      </c>
      <c r="O61" s="143">
        <f>SUMIFS('март 2026'!$G$2:$G$2701,'март 2026'!$D$2:$D$2701,$B61,'март 2026'!$J$2:$J$2701,O$1)</f>
        <v>0</v>
      </c>
      <c r="P61" s="143">
        <f>SUMIFS('март 2026'!$G$2:$G$2701,'март 2026'!$D$2:$D$2701,$B61,'март 2026'!$J$2:$J$2701,P$1)</f>
        <v>0</v>
      </c>
      <c r="Q61" s="143">
        <f>SUMIFS('март 2026'!$G$2:$G$2701,'март 2026'!$D$2:$D$2701,$B61,'март 2026'!$J$2:$J$2701,Q$1)</f>
        <v>0</v>
      </c>
      <c r="R61" s="143">
        <f>SUMIFS('март 2026'!$G$2:$G$2701,'март 2026'!$D$2:$D$2701,$B61,'март 2026'!$J$2:$J$2701,R$1)</f>
        <v>0</v>
      </c>
      <c r="S61" s="143">
        <f>SUMIFS('март 2026'!$G$2:$G$2701,'март 2026'!$D$2:$D$2701,$B61,'март 2026'!$J$2:$J$2701,S$1)</f>
        <v>0</v>
      </c>
      <c r="T61" s="143">
        <f>SUMIFS('март 2026'!$G$2:$G$2701,'март 2026'!$D$2:$D$2701,$B61,'март 2026'!$J$2:$J$2701,T$1)</f>
        <v>0</v>
      </c>
      <c r="U61" s="143">
        <f>SUMIFS('март 2026'!$G$2:$G$2701,'март 2026'!$D$2:$D$2701,$B61,'март 2026'!$J$2:$J$2701,U$1)</f>
        <v>0</v>
      </c>
      <c r="V61" s="143">
        <f>SUMIFS('март 2026'!$G$2:$G$2701,'март 2026'!$D$2:$D$2701,$B61,'март 2026'!$J$2:$J$2701,V$1)</f>
        <v>0</v>
      </c>
      <c r="W61" s="143">
        <f>SUMIFS('март 2026'!$G$2:$G$2701,'март 2026'!$D$2:$D$2701,$B61,'март 2026'!$J$2:$J$2701,W$1)</f>
        <v>0</v>
      </c>
      <c r="X61" s="143">
        <f>SUMIFS('март 2026'!$G$2:$G$2701,'март 2026'!$D$2:$D$2701,$B61,'март 2026'!$J$2:$J$2701,X$1)</f>
        <v>0</v>
      </c>
      <c r="Y61" s="143">
        <f>SUMIFS('март 2026'!$G$2:$G$2701,'март 2026'!$D$2:$D$2701,$B61,'март 2026'!$J$2:$J$2701,Y$1)</f>
        <v>0</v>
      </c>
      <c r="Z61" s="143">
        <f>SUMIFS('март 2026'!$G$2:$G$2701,'март 2026'!$D$2:$D$2701,$B61,'март 2026'!$J$2:$J$2701,Z$1)</f>
        <v>0</v>
      </c>
      <c r="AA61" s="143">
        <f>SUMIFS('март 2026'!$G$2:$G$2701,'март 2026'!$D$2:$D$2701,$B61,'март 2026'!$J$2:$J$2701,AA$1)</f>
        <v>0</v>
      </c>
      <c r="AB61" s="143">
        <f>SUMIFS('март 2026'!$G$2:$G$2701,'март 2026'!$D$2:$D$2701,$B61,'март 2026'!$J$2:$J$2701,AB$1)</f>
        <v>0</v>
      </c>
      <c r="AC61" s="143">
        <f>SUMIFS('март 2026'!$G$2:$G$2701,'март 2026'!$D$2:$D$2701,$B61,'март 2026'!$J$2:$J$2701,AC$1)</f>
        <v>0</v>
      </c>
      <c r="AD61" s="143">
        <f>SUMIFS('март 2026'!$G$2:$G$2701,'март 2026'!$D$2:$D$2701,$B61,'март 2026'!$J$2:$J$2701,AD$1)</f>
        <v>0</v>
      </c>
      <c r="AE61" s="143">
        <f>SUMIFS('март 2026'!$G$2:$G$2701,'март 2026'!$D$2:$D$2701,$B61,'март 2026'!$J$2:$J$2701,AE$1)</f>
        <v>0</v>
      </c>
      <c r="AF61" s="143">
        <f>SUMIFS('март 2026'!$G$2:$G$2701,'март 2026'!$D$2:$D$2701,$B61,'март 2026'!$J$2:$J$2701,AF$1)</f>
        <v>0</v>
      </c>
      <c r="AG61" s="143">
        <f>SUMIFS('март 2026'!$G$2:$G$2701,'март 2026'!$D$2:$D$2701,$B61,'март 2026'!$J$2:$J$2701,AG$1)</f>
        <v>0</v>
      </c>
      <c r="AH61" s="143">
        <f>SUMIFS('март 2026'!$G$2:$G$2701,'март 2026'!$D$2:$D$2701,$B61,'март 2026'!$J$2:$J$2701,AH$1)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SUMIFS('март 2026'!$G$2:$G$2701,'март 2026'!$D$2:$D$2701,$B62,'март 2026'!$J$2:$J$2701,D$1)</f>
        <v>0</v>
      </c>
      <c r="E62" s="143">
        <f>SUMIFS('март 2026'!$G$2:$G$2701,'март 2026'!$D$2:$D$2701,$B62,'март 2026'!$J$2:$J$2701,E$1)</f>
        <v>0</v>
      </c>
      <c r="F62" s="143">
        <f>SUMIFS('март 2026'!$G$2:$G$2701,'март 2026'!$D$2:$D$2701,$B62,'март 2026'!$J$2:$J$2701,F$1)</f>
        <v>0</v>
      </c>
      <c r="G62" s="143">
        <f>SUMIFS('март 2026'!$G$2:$G$2701,'март 2026'!$D$2:$D$2701,$B62,'март 2026'!$J$2:$J$2701,G$1)</f>
        <v>0</v>
      </c>
      <c r="H62" s="143">
        <f>SUMIFS('март 2026'!$G$2:$G$2701,'март 2026'!$D$2:$D$2701,$B62,'март 2026'!$J$2:$J$2701,H$1)</f>
        <v>0</v>
      </c>
      <c r="I62" s="143">
        <f>SUMIFS('март 2026'!$G$2:$G$2701,'март 2026'!$D$2:$D$2701,$B62,'март 2026'!$J$2:$J$2701,I$1)</f>
        <v>0</v>
      </c>
      <c r="J62" s="143">
        <f>SUMIFS('март 2026'!$G$2:$G$2701,'март 2026'!$D$2:$D$2701,$B62,'март 2026'!$J$2:$J$2701,J$1)</f>
        <v>0</v>
      </c>
      <c r="K62" s="143">
        <f>SUMIFS('март 2026'!$G$2:$G$2701,'март 2026'!$D$2:$D$2701,$B62,'март 2026'!$J$2:$J$2701,K$1)</f>
        <v>0</v>
      </c>
      <c r="L62" s="143">
        <f>SUMIFS('март 2026'!$G$2:$G$2701,'март 2026'!$D$2:$D$2701,$B62,'март 2026'!$J$2:$J$2701,L$1)</f>
        <v>0</v>
      </c>
      <c r="M62" s="143">
        <f>SUMIFS('март 2026'!$G$2:$G$2701,'март 2026'!$D$2:$D$2701,$B62,'март 2026'!$J$2:$J$2701,M$1)</f>
        <v>0</v>
      </c>
      <c r="N62" s="143">
        <f>SUMIFS('март 2026'!$G$2:$G$2701,'март 2026'!$D$2:$D$2701,$B62,'март 2026'!$J$2:$J$2701,N$1)</f>
        <v>1180</v>
      </c>
      <c r="O62" s="143">
        <f>SUMIFS('март 2026'!$G$2:$G$2701,'март 2026'!$D$2:$D$2701,$B62,'март 2026'!$J$2:$J$2701,O$1)</f>
        <v>0</v>
      </c>
      <c r="P62" s="143">
        <f>SUMIFS('март 2026'!$G$2:$G$2701,'март 2026'!$D$2:$D$2701,$B62,'март 2026'!$J$2:$J$2701,P$1)</f>
        <v>0</v>
      </c>
      <c r="Q62" s="143">
        <f>SUMIFS('март 2026'!$G$2:$G$2701,'март 2026'!$D$2:$D$2701,$B62,'март 2026'!$J$2:$J$2701,Q$1)</f>
        <v>0</v>
      </c>
      <c r="R62" s="143">
        <f>SUMIFS('март 2026'!$G$2:$G$2701,'март 2026'!$D$2:$D$2701,$B62,'март 2026'!$J$2:$J$2701,R$1)</f>
        <v>0</v>
      </c>
      <c r="S62" s="143">
        <f>SUMIFS('март 2026'!$G$2:$G$2701,'март 2026'!$D$2:$D$2701,$B62,'март 2026'!$J$2:$J$2701,S$1)</f>
        <v>0</v>
      </c>
      <c r="T62" s="143">
        <f>SUMIFS('март 2026'!$G$2:$G$2701,'март 2026'!$D$2:$D$2701,$B62,'март 2026'!$J$2:$J$2701,T$1)</f>
        <v>0</v>
      </c>
      <c r="U62" s="143">
        <f>SUMIFS('март 2026'!$G$2:$G$2701,'март 2026'!$D$2:$D$2701,$B62,'март 2026'!$J$2:$J$2701,U$1)</f>
        <v>0</v>
      </c>
      <c r="V62" s="143">
        <f>SUMIFS('март 2026'!$G$2:$G$2701,'март 2026'!$D$2:$D$2701,$B62,'март 2026'!$J$2:$J$2701,V$1)</f>
        <v>0</v>
      </c>
      <c r="W62" s="143">
        <f>SUMIFS('март 2026'!$G$2:$G$2701,'март 2026'!$D$2:$D$2701,$B62,'март 2026'!$J$2:$J$2701,W$1)</f>
        <v>0</v>
      </c>
      <c r="X62" s="143">
        <f>SUMIFS('март 2026'!$G$2:$G$2701,'март 2026'!$D$2:$D$2701,$B62,'март 2026'!$J$2:$J$2701,X$1)</f>
        <v>0</v>
      </c>
      <c r="Y62" s="143">
        <f>SUMIFS('март 2026'!$G$2:$G$2701,'март 2026'!$D$2:$D$2701,$B62,'март 2026'!$J$2:$J$2701,Y$1)</f>
        <v>0</v>
      </c>
      <c r="Z62" s="143">
        <f>SUMIFS('март 2026'!$G$2:$G$2701,'март 2026'!$D$2:$D$2701,$B62,'март 2026'!$J$2:$J$2701,Z$1)</f>
        <v>0</v>
      </c>
      <c r="AA62" s="143">
        <f>SUMIFS('март 2026'!$G$2:$G$2701,'март 2026'!$D$2:$D$2701,$B62,'март 2026'!$J$2:$J$2701,AA$1)</f>
        <v>0</v>
      </c>
      <c r="AB62" s="143">
        <f>SUMIFS('март 2026'!$G$2:$G$2701,'март 2026'!$D$2:$D$2701,$B62,'март 2026'!$J$2:$J$2701,AB$1)</f>
        <v>0</v>
      </c>
      <c r="AC62" s="143">
        <f>SUMIFS('март 2026'!$G$2:$G$2701,'март 2026'!$D$2:$D$2701,$B62,'март 2026'!$J$2:$J$2701,AC$1)</f>
        <v>0</v>
      </c>
      <c r="AD62" s="143">
        <f>SUMIFS('март 2026'!$G$2:$G$2701,'март 2026'!$D$2:$D$2701,$B62,'март 2026'!$J$2:$J$2701,AD$1)</f>
        <v>0</v>
      </c>
      <c r="AE62" s="143">
        <f>SUMIFS('март 2026'!$G$2:$G$2701,'март 2026'!$D$2:$D$2701,$B62,'март 2026'!$J$2:$J$2701,AE$1)</f>
        <v>0</v>
      </c>
      <c r="AF62" s="143">
        <f>SUMIFS('март 2026'!$G$2:$G$2701,'март 2026'!$D$2:$D$2701,$B62,'март 2026'!$J$2:$J$2701,AF$1)</f>
        <v>0</v>
      </c>
      <c r="AG62" s="143">
        <f>SUMIFS('март 2026'!$G$2:$G$2701,'март 2026'!$D$2:$D$2701,$B62,'март 2026'!$J$2:$J$2701,AG$1)</f>
        <v>0</v>
      </c>
      <c r="AH62" s="143">
        <f>SUMIFS('март 2026'!$G$2:$G$2701,'март 2026'!$D$2:$D$2701,$B62,'март 2026'!$J$2:$J$2701,AH$1)</f>
        <v>0</v>
      </c>
      <c r="AI62" s="20">
        <f t="shared" si="1"/>
        <v>1180</v>
      </c>
    </row>
    <row r="63" spans="2:35" ht="15.75" x14ac:dyDescent="0.25">
      <c r="B63" s="122" t="s">
        <v>339</v>
      </c>
      <c r="C63" s="123">
        <v>10</v>
      </c>
      <c r="D63" s="143">
        <f>SUMIFS('март 2026'!$G$2:$G$2701,'март 2026'!$D$2:$D$2701,$B63,'март 2026'!$J$2:$J$2701,D$1)</f>
        <v>0</v>
      </c>
      <c r="E63" s="143">
        <f>SUMIFS('март 2026'!$G$2:$G$2701,'март 2026'!$D$2:$D$2701,$B63,'март 2026'!$J$2:$J$2701,E$1)</f>
        <v>0</v>
      </c>
      <c r="F63" s="143">
        <f>SUMIFS('март 2026'!$G$2:$G$2701,'март 2026'!$D$2:$D$2701,$B63,'март 2026'!$J$2:$J$2701,F$1)</f>
        <v>0</v>
      </c>
      <c r="G63" s="143">
        <f>SUMIFS('март 2026'!$G$2:$G$2701,'март 2026'!$D$2:$D$2701,$B63,'март 2026'!$J$2:$J$2701,G$1)</f>
        <v>0</v>
      </c>
      <c r="H63" s="143">
        <f>SUMIFS('март 2026'!$G$2:$G$2701,'март 2026'!$D$2:$D$2701,$B63,'март 2026'!$J$2:$J$2701,H$1)</f>
        <v>0</v>
      </c>
      <c r="I63" s="143">
        <f>SUMIFS('март 2026'!$G$2:$G$2701,'март 2026'!$D$2:$D$2701,$B63,'март 2026'!$J$2:$J$2701,I$1)</f>
        <v>0</v>
      </c>
      <c r="J63" s="143">
        <f>SUMIFS('март 2026'!$G$2:$G$2701,'март 2026'!$D$2:$D$2701,$B63,'март 2026'!$J$2:$J$2701,J$1)</f>
        <v>0</v>
      </c>
      <c r="K63" s="143">
        <f>SUMIFS('март 2026'!$G$2:$G$2701,'март 2026'!$D$2:$D$2701,$B63,'март 2026'!$J$2:$J$2701,K$1)</f>
        <v>0</v>
      </c>
      <c r="L63" s="143">
        <f>SUMIFS('март 2026'!$G$2:$G$2701,'март 2026'!$D$2:$D$2701,$B63,'март 2026'!$J$2:$J$2701,L$1)</f>
        <v>0</v>
      </c>
      <c r="M63" s="143">
        <f>SUMIFS('март 2026'!$G$2:$G$2701,'март 2026'!$D$2:$D$2701,$B63,'март 2026'!$J$2:$J$2701,M$1)</f>
        <v>0</v>
      </c>
      <c r="N63" s="143">
        <f>SUMIFS('март 2026'!$G$2:$G$2701,'март 2026'!$D$2:$D$2701,$B63,'март 2026'!$J$2:$J$2701,N$1)</f>
        <v>0</v>
      </c>
      <c r="O63" s="143">
        <f>SUMIFS('март 2026'!$G$2:$G$2701,'март 2026'!$D$2:$D$2701,$B63,'март 2026'!$J$2:$J$2701,O$1)</f>
        <v>0</v>
      </c>
      <c r="P63" s="143">
        <f>SUMIFS('март 2026'!$G$2:$G$2701,'март 2026'!$D$2:$D$2701,$B63,'март 2026'!$J$2:$J$2701,P$1)</f>
        <v>0</v>
      </c>
      <c r="Q63" s="143">
        <f>SUMIFS('март 2026'!$G$2:$G$2701,'март 2026'!$D$2:$D$2701,$B63,'март 2026'!$J$2:$J$2701,Q$1)</f>
        <v>0</v>
      </c>
      <c r="R63" s="143">
        <f>SUMIFS('март 2026'!$G$2:$G$2701,'март 2026'!$D$2:$D$2701,$B63,'март 2026'!$J$2:$J$2701,R$1)</f>
        <v>0</v>
      </c>
      <c r="S63" s="143">
        <f>SUMIFS('март 2026'!$G$2:$G$2701,'март 2026'!$D$2:$D$2701,$B63,'март 2026'!$J$2:$J$2701,S$1)</f>
        <v>0</v>
      </c>
      <c r="T63" s="143">
        <f>SUMIFS('март 2026'!$G$2:$G$2701,'март 2026'!$D$2:$D$2701,$B63,'март 2026'!$J$2:$J$2701,T$1)</f>
        <v>0</v>
      </c>
      <c r="U63" s="143">
        <f>SUMIFS('март 2026'!$G$2:$G$2701,'март 2026'!$D$2:$D$2701,$B63,'март 2026'!$J$2:$J$2701,U$1)</f>
        <v>0</v>
      </c>
      <c r="V63" s="143">
        <f>SUMIFS('март 2026'!$G$2:$G$2701,'март 2026'!$D$2:$D$2701,$B63,'март 2026'!$J$2:$J$2701,V$1)</f>
        <v>0</v>
      </c>
      <c r="W63" s="143">
        <f>SUMIFS('март 2026'!$G$2:$G$2701,'март 2026'!$D$2:$D$2701,$B63,'март 2026'!$J$2:$J$2701,W$1)</f>
        <v>0</v>
      </c>
      <c r="X63" s="143">
        <f>SUMIFS('март 2026'!$G$2:$G$2701,'март 2026'!$D$2:$D$2701,$B63,'март 2026'!$J$2:$J$2701,X$1)</f>
        <v>0</v>
      </c>
      <c r="Y63" s="143">
        <f>SUMIFS('март 2026'!$G$2:$G$2701,'март 2026'!$D$2:$D$2701,$B63,'март 2026'!$J$2:$J$2701,Y$1)</f>
        <v>0</v>
      </c>
      <c r="Z63" s="143">
        <f>SUMIFS('март 2026'!$G$2:$G$2701,'март 2026'!$D$2:$D$2701,$B63,'март 2026'!$J$2:$J$2701,Z$1)</f>
        <v>0</v>
      </c>
      <c r="AA63" s="143">
        <f>SUMIFS('март 2026'!$G$2:$G$2701,'март 2026'!$D$2:$D$2701,$B63,'март 2026'!$J$2:$J$2701,AA$1)</f>
        <v>0</v>
      </c>
      <c r="AB63" s="143">
        <f>SUMIFS('март 2026'!$G$2:$G$2701,'март 2026'!$D$2:$D$2701,$B63,'март 2026'!$J$2:$J$2701,AB$1)</f>
        <v>0</v>
      </c>
      <c r="AC63" s="143">
        <f>SUMIFS('март 2026'!$G$2:$G$2701,'март 2026'!$D$2:$D$2701,$B63,'март 2026'!$J$2:$J$2701,AC$1)</f>
        <v>0</v>
      </c>
      <c r="AD63" s="143">
        <f>SUMIFS('март 2026'!$G$2:$G$2701,'март 2026'!$D$2:$D$2701,$B63,'март 2026'!$J$2:$J$2701,AD$1)</f>
        <v>0</v>
      </c>
      <c r="AE63" s="143">
        <f>SUMIFS('март 2026'!$G$2:$G$2701,'март 2026'!$D$2:$D$2701,$B63,'март 2026'!$J$2:$J$2701,AE$1)</f>
        <v>0</v>
      </c>
      <c r="AF63" s="143">
        <f>SUMIFS('март 2026'!$G$2:$G$2701,'март 2026'!$D$2:$D$2701,$B63,'март 2026'!$J$2:$J$2701,AF$1)</f>
        <v>0</v>
      </c>
      <c r="AG63" s="143">
        <f>SUMIFS('март 2026'!$G$2:$G$2701,'март 2026'!$D$2:$D$2701,$B63,'март 2026'!$J$2:$J$2701,AG$1)</f>
        <v>0</v>
      </c>
      <c r="AH63" s="143">
        <f>SUMIFS('март 2026'!$G$2:$G$2701,'март 2026'!$D$2:$D$2701,$B63,'март 2026'!$J$2:$J$2701,AH$1)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SUMIFS('март 2026'!$G$2:$G$2701,'март 2026'!$D$2:$D$2701,$B64,'март 2026'!$J$2:$J$2701,D$1)</f>
        <v>0</v>
      </c>
      <c r="E64" s="143">
        <f>SUMIFS('март 2026'!$G$2:$G$2701,'март 2026'!$D$2:$D$2701,$B64,'март 2026'!$J$2:$J$2701,E$1)</f>
        <v>0</v>
      </c>
      <c r="F64" s="143">
        <f>SUMIFS('март 2026'!$G$2:$G$2701,'март 2026'!$D$2:$D$2701,$B64,'март 2026'!$J$2:$J$2701,F$1)</f>
        <v>0</v>
      </c>
      <c r="G64" s="143">
        <f>SUMIFS('март 2026'!$G$2:$G$2701,'март 2026'!$D$2:$D$2701,$B64,'март 2026'!$J$2:$J$2701,G$1)</f>
        <v>0</v>
      </c>
      <c r="H64" s="143">
        <f>SUMIFS('март 2026'!$G$2:$G$2701,'март 2026'!$D$2:$D$2701,$B64,'март 2026'!$J$2:$J$2701,H$1)</f>
        <v>0</v>
      </c>
      <c r="I64" s="143">
        <f>SUMIFS('март 2026'!$G$2:$G$2701,'март 2026'!$D$2:$D$2701,$B64,'март 2026'!$J$2:$J$2701,I$1)</f>
        <v>0</v>
      </c>
      <c r="J64" s="143">
        <f>SUMIFS('март 2026'!$G$2:$G$2701,'март 2026'!$D$2:$D$2701,$B64,'март 2026'!$J$2:$J$2701,J$1)</f>
        <v>0</v>
      </c>
      <c r="K64" s="143">
        <f>SUMIFS('март 2026'!$G$2:$G$2701,'март 2026'!$D$2:$D$2701,$B64,'март 2026'!$J$2:$J$2701,K$1)</f>
        <v>0</v>
      </c>
      <c r="L64" s="143">
        <f>SUMIFS('март 2026'!$G$2:$G$2701,'март 2026'!$D$2:$D$2701,$B64,'март 2026'!$J$2:$J$2701,L$1)</f>
        <v>0</v>
      </c>
      <c r="M64" s="143">
        <f>SUMIFS('март 2026'!$G$2:$G$2701,'март 2026'!$D$2:$D$2701,$B64,'март 2026'!$J$2:$J$2701,M$1)</f>
        <v>0</v>
      </c>
      <c r="N64" s="143">
        <f>SUMIFS('март 2026'!$G$2:$G$2701,'март 2026'!$D$2:$D$2701,$B64,'март 2026'!$J$2:$J$2701,N$1)</f>
        <v>0</v>
      </c>
      <c r="O64" s="143">
        <f>SUMIFS('март 2026'!$G$2:$G$2701,'март 2026'!$D$2:$D$2701,$B64,'март 2026'!$J$2:$J$2701,O$1)</f>
        <v>0</v>
      </c>
      <c r="P64" s="143">
        <f>SUMIFS('март 2026'!$G$2:$G$2701,'март 2026'!$D$2:$D$2701,$B64,'март 2026'!$J$2:$J$2701,P$1)</f>
        <v>0</v>
      </c>
      <c r="Q64" s="143">
        <f>SUMIFS('март 2026'!$G$2:$G$2701,'март 2026'!$D$2:$D$2701,$B64,'март 2026'!$J$2:$J$2701,Q$1)</f>
        <v>0</v>
      </c>
      <c r="R64" s="143">
        <f>SUMIFS('март 2026'!$G$2:$G$2701,'март 2026'!$D$2:$D$2701,$B64,'март 2026'!$J$2:$J$2701,R$1)</f>
        <v>0</v>
      </c>
      <c r="S64" s="143">
        <f>SUMIFS('март 2026'!$G$2:$G$2701,'март 2026'!$D$2:$D$2701,$B64,'март 2026'!$J$2:$J$2701,S$1)</f>
        <v>0</v>
      </c>
      <c r="T64" s="143">
        <f>SUMIFS('март 2026'!$G$2:$G$2701,'март 2026'!$D$2:$D$2701,$B64,'март 2026'!$J$2:$J$2701,T$1)</f>
        <v>0</v>
      </c>
      <c r="U64" s="143">
        <f>SUMIFS('март 2026'!$G$2:$G$2701,'март 2026'!$D$2:$D$2701,$B64,'март 2026'!$J$2:$J$2701,U$1)</f>
        <v>0</v>
      </c>
      <c r="V64" s="143">
        <f>SUMIFS('март 2026'!$G$2:$G$2701,'март 2026'!$D$2:$D$2701,$B64,'март 2026'!$J$2:$J$2701,V$1)</f>
        <v>0</v>
      </c>
      <c r="W64" s="143">
        <f>SUMIFS('март 2026'!$G$2:$G$2701,'март 2026'!$D$2:$D$2701,$B64,'март 2026'!$J$2:$J$2701,W$1)</f>
        <v>0</v>
      </c>
      <c r="X64" s="143">
        <f>SUMIFS('март 2026'!$G$2:$G$2701,'март 2026'!$D$2:$D$2701,$B64,'март 2026'!$J$2:$J$2701,X$1)</f>
        <v>0</v>
      </c>
      <c r="Y64" s="143">
        <f>SUMIFS('март 2026'!$G$2:$G$2701,'март 2026'!$D$2:$D$2701,$B64,'март 2026'!$J$2:$J$2701,Y$1)</f>
        <v>0</v>
      </c>
      <c r="Z64" s="143">
        <f>SUMIFS('март 2026'!$G$2:$G$2701,'март 2026'!$D$2:$D$2701,$B64,'март 2026'!$J$2:$J$2701,Z$1)</f>
        <v>0</v>
      </c>
      <c r="AA64" s="143">
        <f>SUMIFS('март 2026'!$G$2:$G$2701,'март 2026'!$D$2:$D$2701,$B64,'март 2026'!$J$2:$J$2701,AA$1)</f>
        <v>0</v>
      </c>
      <c r="AB64" s="143">
        <f>SUMIFS('март 2026'!$G$2:$G$2701,'март 2026'!$D$2:$D$2701,$B64,'март 2026'!$J$2:$J$2701,AB$1)</f>
        <v>0</v>
      </c>
      <c r="AC64" s="143">
        <f>SUMIFS('март 2026'!$G$2:$G$2701,'март 2026'!$D$2:$D$2701,$B64,'март 2026'!$J$2:$J$2701,AC$1)</f>
        <v>0</v>
      </c>
      <c r="AD64" s="143">
        <f>SUMIFS('март 2026'!$G$2:$G$2701,'март 2026'!$D$2:$D$2701,$B64,'март 2026'!$J$2:$J$2701,AD$1)</f>
        <v>0</v>
      </c>
      <c r="AE64" s="143">
        <f>SUMIFS('март 2026'!$G$2:$G$2701,'март 2026'!$D$2:$D$2701,$B64,'март 2026'!$J$2:$J$2701,AE$1)</f>
        <v>0</v>
      </c>
      <c r="AF64" s="143">
        <f>SUMIFS('март 2026'!$G$2:$G$2701,'март 2026'!$D$2:$D$2701,$B64,'март 2026'!$J$2:$J$2701,AF$1)</f>
        <v>0</v>
      </c>
      <c r="AG64" s="143">
        <f>SUMIFS('март 2026'!$G$2:$G$2701,'март 2026'!$D$2:$D$2701,$B64,'март 2026'!$J$2:$J$2701,AG$1)</f>
        <v>0</v>
      </c>
      <c r="AH64" s="143">
        <f>SUMIFS('март 2026'!$G$2:$G$2701,'март 2026'!$D$2:$D$2701,$B64,'март 2026'!$J$2:$J$2701,AH$1)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SUMIFS('март 2026'!$G$2:$G$2701,'март 2026'!$D$2:$D$2701,$B65,'март 2026'!$J$2:$J$2701,D$1)</f>
        <v>0</v>
      </c>
      <c r="E65" s="143">
        <f>SUMIFS('март 2026'!$G$2:$G$2701,'март 2026'!$D$2:$D$2701,$B65,'март 2026'!$J$2:$J$2701,E$1)</f>
        <v>0</v>
      </c>
      <c r="F65" s="143">
        <f>SUMIFS('март 2026'!$G$2:$G$2701,'март 2026'!$D$2:$D$2701,$B65,'март 2026'!$J$2:$J$2701,F$1)</f>
        <v>0</v>
      </c>
      <c r="G65" s="143">
        <f>SUMIFS('март 2026'!$G$2:$G$2701,'март 2026'!$D$2:$D$2701,$B65,'март 2026'!$J$2:$J$2701,G$1)</f>
        <v>0</v>
      </c>
      <c r="H65" s="143">
        <f>SUMIFS('март 2026'!$G$2:$G$2701,'март 2026'!$D$2:$D$2701,$B65,'март 2026'!$J$2:$J$2701,H$1)</f>
        <v>0</v>
      </c>
      <c r="I65" s="143">
        <f>SUMIFS('март 2026'!$G$2:$G$2701,'март 2026'!$D$2:$D$2701,$B65,'март 2026'!$J$2:$J$2701,I$1)</f>
        <v>0</v>
      </c>
      <c r="J65" s="143">
        <f>SUMIFS('март 2026'!$G$2:$G$2701,'март 2026'!$D$2:$D$2701,$B65,'март 2026'!$J$2:$J$2701,J$1)</f>
        <v>0</v>
      </c>
      <c r="K65" s="143">
        <f>SUMIFS('март 2026'!$G$2:$G$2701,'март 2026'!$D$2:$D$2701,$B65,'март 2026'!$J$2:$J$2701,K$1)</f>
        <v>0</v>
      </c>
      <c r="L65" s="143">
        <f>SUMIFS('март 2026'!$G$2:$G$2701,'март 2026'!$D$2:$D$2701,$B65,'март 2026'!$J$2:$J$2701,L$1)</f>
        <v>0</v>
      </c>
      <c r="M65" s="143">
        <f>SUMIFS('март 2026'!$G$2:$G$2701,'март 2026'!$D$2:$D$2701,$B65,'март 2026'!$J$2:$J$2701,M$1)</f>
        <v>0</v>
      </c>
      <c r="N65" s="143">
        <f>SUMIFS('март 2026'!$G$2:$G$2701,'март 2026'!$D$2:$D$2701,$B65,'март 2026'!$J$2:$J$2701,N$1)</f>
        <v>0</v>
      </c>
      <c r="O65" s="143">
        <f>SUMIFS('март 2026'!$G$2:$G$2701,'март 2026'!$D$2:$D$2701,$B65,'март 2026'!$J$2:$J$2701,O$1)</f>
        <v>0</v>
      </c>
      <c r="P65" s="143">
        <f>SUMIFS('март 2026'!$G$2:$G$2701,'март 2026'!$D$2:$D$2701,$B65,'март 2026'!$J$2:$J$2701,P$1)</f>
        <v>0</v>
      </c>
      <c r="Q65" s="143">
        <f>SUMIFS('март 2026'!$G$2:$G$2701,'март 2026'!$D$2:$D$2701,$B65,'март 2026'!$J$2:$J$2701,Q$1)</f>
        <v>0</v>
      </c>
      <c r="R65" s="143">
        <f>SUMIFS('март 2026'!$G$2:$G$2701,'март 2026'!$D$2:$D$2701,$B65,'март 2026'!$J$2:$J$2701,R$1)</f>
        <v>0</v>
      </c>
      <c r="S65" s="143">
        <f>SUMIFS('март 2026'!$G$2:$G$2701,'март 2026'!$D$2:$D$2701,$B65,'март 2026'!$J$2:$J$2701,S$1)</f>
        <v>0</v>
      </c>
      <c r="T65" s="143">
        <f>SUMIFS('март 2026'!$G$2:$G$2701,'март 2026'!$D$2:$D$2701,$B65,'март 2026'!$J$2:$J$2701,T$1)</f>
        <v>0</v>
      </c>
      <c r="U65" s="143">
        <f>SUMIFS('март 2026'!$G$2:$G$2701,'март 2026'!$D$2:$D$2701,$B65,'март 2026'!$J$2:$J$2701,U$1)</f>
        <v>0</v>
      </c>
      <c r="V65" s="143">
        <f>SUMIFS('март 2026'!$G$2:$G$2701,'март 2026'!$D$2:$D$2701,$B65,'март 2026'!$J$2:$J$2701,V$1)</f>
        <v>0</v>
      </c>
      <c r="W65" s="143">
        <f>SUMIFS('март 2026'!$G$2:$G$2701,'март 2026'!$D$2:$D$2701,$B65,'март 2026'!$J$2:$J$2701,W$1)</f>
        <v>0</v>
      </c>
      <c r="X65" s="143">
        <f>SUMIFS('март 2026'!$G$2:$G$2701,'март 2026'!$D$2:$D$2701,$B65,'март 2026'!$J$2:$J$2701,X$1)</f>
        <v>0</v>
      </c>
      <c r="Y65" s="143">
        <f>SUMIFS('март 2026'!$G$2:$G$2701,'март 2026'!$D$2:$D$2701,$B65,'март 2026'!$J$2:$J$2701,Y$1)</f>
        <v>0</v>
      </c>
      <c r="Z65" s="143">
        <f>SUMIFS('март 2026'!$G$2:$G$2701,'март 2026'!$D$2:$D$2701,$B65,'март 2026'!$J$2:$J$2701,Z$1)</f>
        <v>0</v>
      </c>
      <c r="AA65" s="143">
        <f>SUMIFS('март 2026'!$G$2:$G$2701,'март 2026'!$D$2:$D$2701,$B65,'март 2026'!$J$2:$J$2701,AA$1)</f>
        <v>0</v>
      </c>
      <c r="AB65" s="143">
        <f>SUMIFS('март 2026'!$G$2:$G$2701,'март 2026'!$D$2:$D$2701,$B65,'март 2026'!$J$2:$J$2701,AB$1)</f>
        <v>0</v>
      </c>
      <c r="AC65" s="143">
        <f>SUMIFS('март 2026'!$G$2:$G$2701,'март 2026'!$D$2:$D$2701,$B65,'март 2026'!$J$2:$J$2701,AC$1)</f>
        <v>0</v>
      </c>
      <c r="AD65" s="143">
        <f>SUMIFS('март 2026'!$G$2:$G$2701,'март 2026'!$D$2:$D$2701,$B65,'март 2026'!$J$2:$J$2701,AD$1)</f>
        <v>0</v>
      </c>
      <c r="AE65" s="143">
        <f>SUMIFS('март 2026'!$G$2:$G$2701,'март 2026'!$D$2:$D$2701,$B65,'март 2026'!$J$2:$J$2701,AE$1)</f>
        <v>0</v>
      </c>
      <c r="AF65" s="143">
        <f>SUMIFS('март 2026'!$G$2:$G$2701,'март 2026'!$D$2:$D$2701,$B65,'март 2026'!$J$2:$J$2701,AF$1)</f>
        <v>0</v>
      </c>
      <c r="AG65" s="143">
        <f>SUMIFS('март 2026'!$G$2:$G$2701,'март 2026'!$D$2:$D$2701,$B65,'март 2026'!$J$2:$J$2701,AG$1)</f>
        <v>0</v>
      </c>
      <c r="AH65" s="143">
        <f>SUMIFS('март 2026'!$G$2:$G$2701,'март 2026'!$D$2:$D$2701,$B65,'март 2026'!$J$2:$J$2701,AH$1)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SUMIFS('март 2026'!$G$2:$G$2701,'март 2026'!$D$2:$D$2701,$B66,'март 2026'!$J$2:$J$2701,D$1)</f>
        <v>0</v>
      </c>
      <c r="E66" s="143">
        <f>SUMIFS('март 2026'!$G$2:$G$2701,'март 2026'!$D$2:$D$2701,$B66,'март 2026'!$J$2:$J$2701,E$1)</f>
        <v>0</v>
      </c>
      <c r="F66" s="143">
        <f>SUMIFS('март 2026'!$G$2:$G$2701,'март 2026'!$D$2:$D$2701,$B66,'март 2026'!$J$2:$J$2701,F$1)</f>
        <v>0</v>
      </c>
      <c r="G66" s="143">
        <f>SUMIFS('март 2026'!$G$2:$G$2701,'март 2026'!$D$2:$D$2701,$B66,'март 2026'!$J$2:$J$2701,G$1)</f>
        <v>0</v>
      </c>
      <c r="H66" s="143">
        <f>SUMIFS('март 2026'!$G$2:$G$2701,'март 2026'!$D$2:$D$2701,$B66,'март 2026'!$J$2:$J$2701,H$1)</f>
        <v>0</v>
      </c>
      <c r="I66" s="143">
        <f>SUMIFS('март 2026'!$G$2:$G$2701,'март 2026'!$D$2:$D$2701,$B66,'март 2026'!$J$2:$J$2701,I$1)</f>
        <v>0</v>
      </c>
      <c r="J66" s="143">
        <f>SUMIFS('март 2026'!$G$2:$G$2701,'март 2026'!$D$2:$D$2701,$B66,'март 2026'!$J$2:$J$2701,J$1)</f>
        <v>0</v>
      </c>
      <c r="K66" s="143">
        <f>SUMIFS('март 2026'!$G$2:$G$2701,'март 2026'!$D$2:$D$2701,$B66,'март 2026'!$J$2:$J$2701,K$1)</f>
        <v>0</v>
      </c>
      <c r="L66" s="143">
        <f>SUMIFS('март 2026'!$G$2:$G$2701,'март 2026'!$D$2:$D$2701,$B66,'март 2026'!$J$2:$J$2701,L$1)</f>
        <v>0</v>
      </c>
      <c r="M66" s="143">
        <f>SUMIFS('март 2026'!$G$2:$G$2701,'март 2026'!$D$2:$D$2701,$B66,'март 2026'!$J$2:$J$2701,M$1)</f>
        <v>0</v>
      </c>
      <c r="N66" s="143">
        <f>SUMIFS('март 2026'!$G$2:$G$2701,'март 2026'!$D$2:$D$2701,$B66,'март 2026'!$J$2:$J$2701,N$1)</f>
        <v>0</v>
      </c>
      <c r="O66" s="143">
        <f>SUMIFS('март 2026'!$G$2:$G$2701,'март 2026'!$D$2:$D$2701,$B66,'март 2026'!$J$2:$J$2701,O$1)</f>
        <v>0</v>
      </c>
      <c r="P66" s="143">
        <f>SUMIFS('март 2026'!$G$2:$G$2701,'март 2026'!$D$2:$D$2701,$B66,'март 2026'!$J$2:$J$2701,P$1)</f>
        <v>0</v>
      </c>
      <c r="Q66" s="143">
        <f>SUMIFS('март 2026'!$G$2:$G$2701,'март 2026'!$D$2:$D$2701,$B66,'март 2026'!$J$2:$J$2701,Q$1)</f>
        <v>0</v>
      </c>
      <c r="R66" s="143">
        <f>SUMIFS('март 2026'!$G$2:$G$2701,'март 2026'!$D$2:$D$2701,$B66,'март 2026'!$J$2:$J$2701,R$1)</f>
        <v>0</v>
      </c>
      <c r="S66" s="143">
        <f>SUMIFS('март 2026'!$G$2:$G$2701,'март 2026'!$D$2:$D$2701,$B66,'март 2026'!$J$2:$J$2701,S$1)</f>
        <v>0</v>
      </c>
      <c r="T66" s="143">
        <f>SUMIFS('март 2026'!$G$2:$G$2701,'март 2026'!$D$2:$D$2701,$B66,'март 2026'!$J$2:$J$2701,T$1)</f>
        <v>0</v>
      </c>
      <c r="U66" s="143">
        <f>SUMIFS('март 2026'!$G$2:$G$2701,'март 2026'!$D$2:$D$2701,$B66,'март 2026'!$J$2:$J$2701,U$1)</f>
        <v>0</v>
      </c>
      <c r="V66" s="143">
        <f>SUMIFS('март 2026'!$G$2:$G$2701,'март 2026'!$D$2:$D$2701,$B66,'март 2026'!$J$2:$J$2701,V$1)</f>
        <v>0</v>
      </c>
      <c r="W66" s="143">
        <f>SUMIFS('март 2026'!$G$2:$G$2701,'март 2026'!$D$2:$D$2701,$B66,'март 2026'!$J$2:$J$2701,W$1)</f>
        <v>0</v>
      </c>
      <c r="X66" s="143">
        <f>SUMIFS('март 2026'!$G$2:$G$2701,'март 2026'!$D$2:$D$2701,$B66,'март 2026'!$J$2:$J$2701,X$1)</f>
        <v>0</v>
      </c>
      <c r="Y66" s="143">
        <f>SUMIFS('март 2026'!$G$2:$G$2701,'март 2026'!$D$2:$D$2701,$B66,'март 2026'!$J$2:$J$2701,Y$1)</f>
        <v>0</v>
      </c>
      <c r="Z66" s="143">
        <f>SUMIFS('март 2026'!$G$2:$G$2701,'март 2026'!$D$2:$D$2701,$B66,'март 2026'!$J$2:$J$2701,Z$1)</f>
        <v>0</v>
      </c>
      <c r="AA66" s="143">
        <f>SUMIFS('март 2026'!$G$2:$G$2701,'март 2026'!$D$2:$D$2701,$B66,'март 2026'!$J$2:$J$2701,AA$1)</f>
        <v>0</v>
      </c>
      <c r="AB66" s="143">
        <f>SUMIFS('март 2026'!$G$2:$G$2701,'март 2026'!$D$2:$D$2701,$B66,'март 2026'!$J$2:$J$2701,AB$1)</f>
        <v>0</v>
      </c>
      <c r="AC66" s="143">
        <f>SUMIFS('март 2026'!$G$2:$G$2701,'март 2026'!$D$2:$D$2701,$B66,'март 2026'!$J$2:$J$2701,AC$1)</f>
        <v>0</v>
      </c>
      <c r="AD66" s="143">
        <f>SUMIFS('март 2026'!$G$2:$G$2701,'март 2026'!$D$2:$D$2701,$B66,'март 2026'!$J$2:$J$2701,AD$1)</f>
        <v>0</v>
      </c>
      <c r="AE66" s="143">
        <f>SUMIFS('март 2026'!$G$2:$G$2701,'март 2026'!$D$2:$D$2701,$B66,'март 2026'!$J$2:$J$2701,AE$1)</f>
        <v>0</v>
      </c>
      <c r="AF66" s="143">
        <f>SUMIFS('март 2026'!$G$2:$G$2701,'март 2026'!$D$2:$D$2701,$B66,'март 2026'!$J$2:$J$2701,AF$1)</f>
        <v>0</v>
      </c>
      <c r="AG66" s="143">
        <f>SUMIFS('март 2026'!$G$2:$G$2701,'март 2026'!$D$2:$D$2701,$B66,'март 2026'!$J$2:$J$2701,AG$1)</f>
        <v>0</v>
      </c>
      <c r="AH66" s="143">
        <f>SUMIFS('март 2026'!$G$2:$G$2701,'март 2026'!$D$2:$D$2701,$B66,'март 2026'!$J$2:$J$2701,AH$1)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SUMIFS('март 2026'!$G$2:$G$2701,'март 2026'!$D$2:$D$2701,$B67,'март 2026'!$J$2:$J$2701,D$1)</f>
        <v>0</v>
      </c>
      <c r="E67" s="143">
        <f>SUMIFS('март 2026'!$G$2:$G$2701,'март 2026'!$D$2:$D$2701,$B67,'март 2026'!$J$2:$J$2701,E$1)</f>
        <v>0</v>
      </c>
      <c r="F67" s="143">
        <f>SUMIFS('март 2026'!$G$2:$G$2701,'март 2026'!$D$2:$D$2701,$B67,'март 2026'!$J$2:$J$2701,F$1)</f>
        <v>0</v>
      </c>
      <c r="G67" s="143">
        <f>SUMIFS('март 2026'!$G$2:$G$2701,'март 2026'!$D$2:$D$2701,$B67,'март 2026'!$J$2:$J$2701,G$1)</f>
        <v>0</v>
      </c>
      <c r="H67" s="143">
        <f>SUMIFS('март 2026'!$G$2:$G$2701,'март 2026'!$D$2:$D$2701,$B67,'март 2026'!$J$2:$J$2701,H$1)</f>
        <v>0</v>
      </c>
      <c r="I67" s="143">
        <f>SUMIFS('март 2026'!$G$2:$G$2701,'март 2026'!$D$2:$D$2701,$B67,'март 2026'!$J$2:$J$2701,I$1)</f>
        <v>0</v>
      </c>
      <c r="J67" s="143">
        <f>SUMIFS('март 2026'!$G$2:$G$2701,'март 2026'!$D$2:$D$2701,$B67,'март 2026'!$J$2:$J$2701,J$1)</f>
        <v>0</v>
      </c>
      <c r="K67" s="143">
        <f>SUMIFS('март 2026'!$G$2:$G$2701,'март 2026'!$D$2:$D$2701,$B67,'март 2026'!$J$2:$J$2701,K$1)</f>
        <v>0</v>
      </c>
      <c r="L67" s="143">
        <f>SUMIFS('март 2026'!$G$2:$G$2701,'март 2026'!$D$2:$D$2701,$B67,'март 2026'!$J$2:$J$2701,L$1)</f>
        <v>0</v>
      </c>
      <c r="M67" s="143">
        <f>SUMIFS('март 2026'!$G$2:$G$2701,'март 2026'!$D$2:$D$2701,$B67,'март 2026'!$J$2:$J$2701,M$1)</f>
        <v>0</v>
      </c>
      <c r="N67" s="143">
        <f>SUMIFS('март 2026'!$G$2:$G$2701,'март 2026'!$D$2:$D$2701,$B67,'март 2026'!$J$2:$J$2701,N$1)</f>
        <v>120</v>
      </c>
      <c r="O67" s="143">
        <f>SUMIFS('март 2026'!$G$2:$G$2701,'март 2026'!$D$2:$D$2701,$B67,'март 2026'!$J$2:$J$2701,O$1)</f>
        <v>0</v>
      </c>
      <c r="P67" s="143">
        <f>SUMIFS('март 2026'!$G$2:$G$2701,'март 2026'!$D$2:$D$2701,$B67,'март 2026'!$J$2:$J$2701,P$1)</f>
        <v>0</v>
      </c>
      <c r="Q67" s="143">
        <f>SUMIFS('март 2026'!$G$2:$G$2701,'март 2026'!$D$2:$D$2701,$B67,'март 2026'!$J$2:$J$2701,Q$1)</f>
        <v>0</v>
      </c>
      <c r="R67" s="143">
        <f>SUMIFS('март 2026'!$G$2:$G$2701,'март 2026'!$D$2:$D$2701,$B67,'март 2026'!$J$2:$J$2701,R$1)</f>
        <v>0</v>
      </c>
      <c r="S67" s="143">
        <f>SUMIFS('март 2026'!$G$2:$G$2701,'март 2026'!$D$2:$D$2701,$B67,'март 2026'!$J$2:$J$2701,S$1)</f>
        <v>0</v>
      </c>
      <c r="T67" s="143">
        <f>SUMIFS('март 2026'!$G$2:$G$2701,'март 2026'!$D$2:$D$2701,$B67,'март 2026'!$J$2:$J$2701,T$1)</f>
        <v>0</v>
      </c>
      <c r="U67" s="143">
        <f>SUMIFS('март 2026'!$G$2:$G$2701,'март 2026'!$D$2:$D$2701,$B67,'март 2026'!$J$2:$J$2701,U$1)</f>
        <v>0</v>
      </c>
      <c r="V67" s="143">
        <f>SUMIFS('март 2026'!$G$2:$G$2701,'март 2026'!$D$2:$D$2701,$B67,'март 2026'!$J$2:$J$2701,V$1)</f>
        <v>0</v>
      </c>
      <c r="W67" s="143">
        <f>SUMIFS('март 2026'!$G$2:$G$2701,'март 2026'!$D$2:$D$2701,$B67,'март 2026'!$J$2:$J$2701,W$1)</f>
        <v>0</v>
      </c>
      <c r="X67" s="143">
        <f>SUMIFS('март 2026'!$G$2:$G$2701,'март 2026'!$D$2:$D$2701,$B67,'март 2026'!$J$2:$J$2701,X$1)</f>
        <v>0</v>
      </c>
      <c r="Y67" s="143">
        <f>SUMIFS('март 2026'!$G$2:$G$2701,'март 2026'!$D$2:$D$2701,$B67,'март 2026'!$J$2:$J$2701,Y$1)</f>
        <v>0</v>
      </c>
      <c r="Z67" s="143">
        <f>SUMIFS('март 2026'!$G$2:$G$2701,'март 2026'!$D$2:$D$2701,$B67,'март 2026'!$J$2:$J$2701,Z$1)</f>
        <v>0</v>
      </c>
      <c r="AA67" s="143">
        <f>SUMIFS('март 2026'!$G$2:$G$2701,'март 2026'!$D$2:$D$2701,$B67,'март 2026'!$J$2:$J$2701,AA$1)</f>
        <v>0</v>
      </c>
      <c r="AB67" s="143">
        <f>SUMIFS('март 2026'!$G$2:$G$2701,'март 2026'!$D$2:$D$2701,$B67,'март 2026'!$J$2:$J$2701,AB$1)</f>
        <v>0</v>
      </c>
      <c r="AC67" s="143">
        <f>SUMIFS('март 2026'!$G$2:$G$2701,'март 2026'!$D$2:$D$2701,$B67,'март 2026'!$J$2:$J$2701,AC$1)</f>
        <v>0</v>
      </c>
      <c r="AD67" s="143">
        <f>SUMIFS('март 2026'!$G$2:$G$2701,'март 2026'!$D$2:$D$2701,$B67,'март 2026'!$J$2:$J$2701,AD$1)</f>
        <v>0</v>
      </c>
      <c r="AE67" s="143">
        <f>SUMIFS('март 2026'!$G$2:$G$2701,'март 2026'!$D$2:$D$2701,$B67,'март 2026'!$J$2:$J$2701,AE$1)</f>
        <v>0</v>
      </c>
      <c r="AF67" s="143">
        <f>SUMIFS('март 2026'!$G$2:$G$2701,'март 2026'!$D$2:$D$2701,$B67,'март 2026'!$J$2:$J$2701,AF$1)</f>
        <v>0</v>
      </c>
      <c r="AG67" s="143">
        <f>SUMIFS('март 2026'!$G$2:$G$2701,'март 2026'!$D$2:$D$2701,$B67,'март 2026'!$J$2:$J$2701,AG$1)</f>
        <v>0</v>
      </c>
      <c r="AH67" s="143">
        <f>SUMIFS('март 2026'!$G$2:$G$2701,'март 2026'!$D$2:$D$2701,$B67,'март 2026'!$J$2:$J$2701,AH$1)</f>
        <v>0</v>
      </c>
      <c r="AI67" s="20">
        <f t="shared" si="1"/>
        <v>120</v>
      </c>
    </row>
    <row r="68" spans="2:35" ht="15" customHeight="1" x14ac:dyDescent="0.25">
      <c r="B68" s="127" t="s">
        <v>320</v>
      </c>
      <c r="C68" s="123">
        <v>25</v>
      </c>
      <c r="D68" s="143">
        <f>SUMIFS('март 2026'!$G$2:$G$2701,'март 2026'!$D$2:$D$2701,$B68,'март 2026'!$J$2:$J$2701,D$1)</f>
        <v>0</v>
      </c>
      <c r="E68" s="143">
        <f>SUMIFS('март 2026'!$G$2:$G$2701,'март 2026'!$D$2:$D$2701,$B68,'март 2026'!$J$2:$J$2701,E$1)</f>
        <v>0</v>
      </c>
      <c r="F68" s="143">
        <f>SUMIFS('март 2026'!$G$2:$G$2701,'март 2026'!$D$2:$D$2701,$B68,'март 2026'!$J$2:$J$2701,F$1)</f>
        <v>0</v>
      </c>
      <c r="G68" s="143">
        <f>SUMIFS('март 2026'!$G$2:$G$2701,'март 2026'!$D$2:$D$2701,$B68,'март 2026'!$J$2:$J$2701,G$1)</f>
        <v>0</v>
      </c>
      <c r="H68" s="143">
        <f>SUMIFS('март 2026'!$G$2:$G$2701,'март 2026'!$D$2:$D$2701,$B68,'март 2026'!$J$2:$J$2701,H$1)</f>
        <v>0</v>
      </c>
      <c r="I68" s="143">
        <f>SUMIFS('март 2026'!$G$2:$G$2701,'март 2026'!$D$2:$D$2701,$B68,'март 2026'!$J$2:$J$2701,I$1)</f>
        <v>0</v>
      </c>
      <c r="J68" s="143">
        <f>SUMIFS('март 2026'!$G$2:$G$2701,'март 2026'!$D$2:$D$2701,$B68,'март 2026'!$J$2:$J$2701,J$1)</f>
        <v>0</v>
      </c>
      <c r="K68" s="143">
        <f>SUMIFS('март 2026'!$G$2:$G$2701,'март 2026'!$D$2:$D$2701,$B68,'март 2026'!$J$2:$J$2701,K$1)</f>
        <v>0</v>
      </c>
      <c r="L68" s="143">
        <f>SUMIFS('март 2026'!$G$2:$G$2701,'март 2026'!$D$2:$D$2701,$B68,'март 2026'!$J$2:$J$2701,L$1)</f>
        <v>0</v>
      </c>
      <c r="M68" s="143">
        <f>SUMIFS('март 2026'!$G$2:$G$2701,'март 2026'!$D$2:$D$2701,$B68,'март 2026'!$J$2:$J$2701,M$1)</f>
        <v>0</v>
      </c>
      <c r="N68" s="143">
        <f>SUMIFS('март 2026'!$G$2:$G$2701,'март 2026'!$D$2:$D$2701,$B68,'март 2026'!$J$2:$J$2701,N$1)</f>
        <v>90</v>
      </c>
      <c r="O68" s="143">
        <f>SUMIFS('март 2026'!$G$2:$G$2701,'март 2026'!$D$2:$D$2701,$B68,'март 2026'!$J$2:$J$2701,O$1)</f>
        <v>0</v>
      </c>
      <c r="P68" s="143">
        <f>SUMIFS('март 2026'!$G$2:$G$2701,'март 2026'!$D$2:$D$2701,$B68,'март 2026'!$J$2:$J$2701,P$1)</f>
        <v>0</v>
      </c>
      <c r="Q68" s="143">
        <f>SUMIFS('март 2026'!$G$2:$G$2701,'март 2026'!$D$2:$D$2701,$B68,'март 2026'!$J$2:$J$2701,Q$1)</f>
        <v>0</v>
      </c>
      <c r="R68" s="143">
        <f>SUMIFS('март 2026'!$G$2:$G$2701,'март 2026'!$D$2:$D$2701,$B68,'март 2026'!$J$2:$J$2701,R$1)</f>
        <v>0</v>
      </c>
      <c r="S68" s="143">
        <f>SUMIFS('март 2026'!$G$2:$G$2701,'март 2026'!$D$2:$D$2701,$B68,'март 2026'!$J$2:$J$2701,S$1)</f>
        <v>0</v>
      </c>
      <c r="T68" s="143">
        <f>SUMIFS('март 2026'!$G$2:$G$2701,'март 2026'!$D$2:$D$2701,$B68,'март 2026'!$J$2:$J$2701,T$1)</f>
        <v>0</v>
      </c>
      <c r="U68" s="143">
        <f>SUMIFS('март 2026'!$G$2:$G$2701,'март 2026'!$D$2:$D$2701,$B68,'март 2026'!$J$2:$J$2701,U$1)</f>
        <v>0</v>
      </c>
      <c r="V68" s="143">
        <f>SUMIFS('март 2026'!$G$2:$G$2701,'март 2026'!$D$2:$D$2701,$B68,'март 2026'!$J$2:$J$2701,V$1)</f>
        <v>0</v>
      </c>
      <c r="W68" s="143">
        <f>SUMIFS('март 2026'!$G$2:$G$2701,'март 2026'!$D$2:$D$2701,$B68,'март 2026'!$J$2:$J$2701,W$1)</f>
        <v>0</v>
      </c>
      <c r="X68" s="143">
        <f>SUMIFS('март 2026'!$G$2:$G$2701,'март 2026'!$D$2:$D$2701,$B68,'март 2026'!$J$2:$J$2701,X$1)</f>
        <v>0</v>
      </c>
      <c r="Y68" s="143">
        <f>SUMIFS('март 2026'!$G$2:$G$2701,'март 2026'!$D$2:$D$2701,$B68,'март 2026'!$J$2:$J$2701,Y$1)</f>
        <v>0</v>
      </c>
      <c r="Z68" s="143">
        <f>SUMIFS('март 2026'!$G$2:$G$2701,'март 2026'!$D$2:$D$2701,$B68,'март 2026'!$J$2:$J$2701,Z$1)</f>
        <v>0</v>
      </c>
      <c r="AA68" s="143">
        <f>SUMIFS('март 2026'!$G$2:$G$2701,'март 2026'!$D$2:$D$2701,$B68,'март 2026'!$J$2:$J$2701,AA$1)</f>
        <v>0</v>
      </c>
      <c r="AB68" s="143">
        <f>SUMIFS('март 2026'!$G$2:$G$2701,'март 2026'!$D$2:$D$2701,$B68,'март 2026'!$J$2:$J$2701,AB$1)</f>
        <v>0</v>
      </c>
      <c r="AC68" s="143">
        <f>SUMIFS('март 2026'!$G$2:$G$2701,'март 2026'!$D$2:$D$2701,$B68,'март 2026'!$J$2:$J$2701,AC$1)</f>
        <v>0</v>
      </c>
      <c r="AD68" s="143">
        <f>SUMIFS('март 2026'!$G$2:$G$2701,'март 2026'!$D$2:$D$2701,$B68,'март 2026'!$J$2:$J$2701,AD$1)</f>
        <v>0</v>
      </c>
      <c r="AE68" s="143">
        <f>SUMIFS('март 2026'!$G$2:$G$2701,'март 2026'!$D$2:$D$2701,$B68,'март 2026'!$J$2:$J$2701,AE$1)</f>
        <v>0</v>
      </c>
      <c r="AF68" s="143">
        <f>SUMIFS('март 2026'!$G$2:$G$2701,'март 2026'!$D$2:$D$2701,$B68,'март 2026'!$J$2:$J$2701,AF$1)</f>
        <v>0</v>
      </c>
      <c r="AG68" s="143">
        <f>SUMIFS('март 2026'!$G$2:$G$2701,'март 2026'!$D$2:$D$2701,$B68,'март 2026'!$J$2:$J$2701,AG$1)</f>
        <v>0</v>
      </c>
      <c r="AH68" s="143">
        <f>SUMIFS('март 2026'!$G$2:$G$2701,'март 2026'!$D$2:$D$2701,$B68,'март 2026'!$J$2:$J$2701,AH$1)</f>
        <v>0</v>
      </c>
      <c r="AI68" s="20">
        <f t="shared" si="1"/>
        <v>90</v>
      </c>
    </row>
    <row r="69" spans="2:35" ht="15" customHeight="1" x14ac:dyDescent="0.25">
      <c r="B69" s="127" t="s">
        <v>321</v>
      </c>
      <c r="C69" s="123">
        <v>25</v>
      </c>
      <c r="D69" s="143">
        <f>SUMIFS('март 2026'!$G$2:$G$2701,'март 2026'!$D$2:$D$2701,$B69,'март 2026'!$J$2:$J$2701,D$1)</f>
        <v>0</v>
      </c>
      <c r="E69" s="143">
        <f>SUMIFS('март 2026'!$G$2:$G$2701,'март 2026'!$D$2:$D$2701,$B69,'март 2026'!$J$2:$J$2701,E$1)</f>
        <v>0</v>
      </c>
      <c r="F69" s="143">
        <f>SUMIFS('март 2026'!$G$2:$G$2701,'март 2026'!$D$2:$D$2701,$B69,'март 2026'!$J$2:$J$2701,F$1)</f>
        <v>0</v>
      </c>
      <c r="G69" s="143">
        <f>SUMIFS('март 2026'!$G$2:$G$2701,'март 2026'!$D$2:$D$2701,$B69,'март 2026'!$J$2:$J$2701,G$1)</f>
        <v>0</v>
      </c>
      <c r="H69" s="143">
        <f>SUMIFS('март 2026'!$G$2:$G$2701,'март 2026'!$D$2:$D$2701,$B69,'март 2026'!$J$2:$J$2701,H$1)</f>
        <v>0</v>
      </c>
      <c r="I69" s="143">
        <f>SUMIFS('март 2026'!$G$2:$G$2701,'март 2026'!$D$2:$D$2701,$B69,'март 2026'!$J$2:$J$2701,I$1)</f>
        <v>0</v>
      </c>
      <c r="J69" s="143">
        <f>SUMIFS('март 2026'!$G$2:$G$2701,'март 2026'!$D$2:$D$2701,$B69,'март 2026'!$J$2:$J$2701,J$1)</f>
        <v>0</v>
      </c>
      <c r="K69" s="143">
        <f>SUMIFS('март 2026'!$G$2:$G$2701,'март 2026'!$D$2:$D$2701,$B69,'март 2026'!$J$2:$J$2701,K$1)</f>
        <v>0</v>
      </c>
      <c r="L69" s="143">
        <f>SUMIFS('март 2026'!$G$2:$G$2701,'март 2026'!$D$2:$D$2701,$B69,'март 2026'!$J$2:$J$2701,L$1)</f>
        <v>0</v>
      </c>
      <c r="M69" s="143">
        <f>SUMIFS('март 2026'!$G$2:$G$2701,'март 2026'!$D$2:$D$2701,$B69,'март 2026'!$J$2:$J$2701,M$1)</f>
        <v>0</v>
      </c>
      <c r="N69" s="143">
        <f>SUMIFS('март 2026'!$G$2:$G$2701,'март 2026'!$D$2:$D$2701,$B69,'март 2026'!$J$2:$J$2701,N$1)</f>
        <v>50</v>
      </c>
      <c r="O69" s="143">
        <f>SUMIFS('март 2026'!$G$2:$G$2701,'март 2026'!$D$2:$D$2701,$B69,'март 2026'!$J$2:$J$2701,O$1)</f>
        <v>0</v>
      </c>
      <c r="P69" s="143">
        <f>SUMIFS('март 2026'!$G$2:$G$2701,'март 2026'!$D$2:$D$2701,$B69,'март 2026'!$J$2:$J$2701,P$1)</f>
        <v>0</v>
      </c>
      <c r="Q69" s="143">
        <f>SUMIFS('март 2026'!$G$2:$G$2701,'март 2026'!$D$2:$D$2701,$B69,'март 2026'!$J$2:$J$2701,Q$1)</f>
        <v>0</v>
      </c>
      <c r="R69" s="143">
        <f>SUMIFS('март 2026'!$G$2:$G$2701,'март 2026'!$D$2:$D$2701,$B69,'март 2026'!$J$2:$J$2701,R$1)</f>
        <v>0</v>
      </c>
      <c r="S69" s="143">
        <f>SUMIFS('март 2026'!$G$2:$G$2701,'март 2026'!$D$2:$D$2701,$B69,'март 2026'!$J$2:$J$2701,S$1)</f>
        <v>0</v>
      </c>
      <c r="T69" s="143">
        <f>SUMIFS('март 2026'!$G$2:$G$2701,'март 2026'!$D$2:$D$2701,$B69,'март 2026'!$J$2:$J$2701,T$1)</f>
        <v>0</v>
      </c>
      <c r="U69" s="143">
        <f>SUMIFS('март 2026'!$G$2:$G$2701,'март 2026'!$D$2:$D$2701,$B69,'март 2026'!$J$2:$J$2701,U$1)</f>
        <v>0</v>
      </c>
      <c r="V69" s="143">
        <f>SUMIFS('март 2026'!$G$2:$G$2701,'март 2026'!$D$2:$D$2701,$B69,'март 2026'!$J$2:$J$2701,V$1)</f>
        <v>0</v>
      </c>
      <c r="W69" s="143">
        <f>SUMIFS('март 2026'!$G$2:$G$2701,'март 2026'!$D$2:$D$2701,$B69,'март 2026'!$J$2:$J$2701,W$1)</f>
        <v>0</v>
      </c>
      <c r="X69" s="143">
        <f>SUMIFS('март 2026'!$G$2:$G$2701,'март 2026'!$D$2:$D$2701,$B69,'март 2026'!$J$2:$J$2701,X$1)</f>
        <v>0</v>
      </c>
      <c r="Y69" s="143">
        <f>SUMIFS('март 2026'!$G$2:$G$2701,'март 2026'!$D$2:$D$2701,$B69,'март 2026'!$J$2:$J$2701,Y$1)</f>
        <v>0</v>
      </c>
      <c r="Z69" s="143">
        <f>SUMIFS('март 2026'!$G$2:$G$2701,'март 2026'!$D$2:$D$2701,$B69,'март 2026'!$J$2:$J$2701,Z$1)</f>
        <v>0</v>
      </c>
      <c r="AA69" s="143">
        <f>SUMIFS('март 2026'!$G$2:$G$2701,'март 2026'!$D$2:$D$2701,$B69,'март 2026'!$J$2:$J$2701,AA$1)</f>
        <v>0</v>
      </c>
      <c r="AB69" s="143">
        <f>SUMIFS('март 2026'!$G$2:$G$2701,'март 2026'!$D$2:$D$2701,$B69,'март 2026'!$J$2:$J$2701,AB$1)</f>
        <v>0</v>
      </c>
      <c r="AC69" s="143">
        <f>SUMIFS('март 2026'!$G$2:$G$2701,'март 2026'!$D$2:$D$2701,$B69,'март 2026'!$J$2:$J$2701,AC$1)</f>
        <v>0</v>
      </c>
      <c r="AD69" s="143">
        <f>SUMIFS('март 2026'!$G$2:$G$2701,'март 2026'!$D$2:$D$2701,$B69,'март 2026'!$J$2:$J$2701,AD$1)</f>
        <v>0</v>
      </c>
      <c r="AE69" s="143">
        <f>SUMIFS('март 2026'!$G$2:$G$2701,'март 2026'!$D$2:$D$2701,$B69,'март 2026'!$J$2:$J$2701,AE$1)</f>
        <v>0</v>
      </c>
      <c r="AF69" s="143">
        <f>SUMIFS('март 2026'!$G$2:$G$2701,'март 2026'!$D$2:$D$2701,$B69,'март 2026'!$J$2:$J$2701,AF$1)</f>
        <v>0</v>
      </c>
      <c r="AG69" s="143">
        <f>SUMIFS('март 2026'!$G$2:$G$2701,'март 2026'!$D$2:$D$2701,$B69,'март 2026'!$J$2:$J$2701,AG$1)</f>
        <v>0</v>
      </c>
      <c r="AH69" s="143">
        <f>SUMIFS('март 2026'!$G$2:$G$2701,'март 2026'!$D$2:$D$2701,$B69,'март 2026'!$J$2:$J$2701,AH$1)</f>
        <v>0</v>
      </c>
      <c r="AI69" s="20">
        <f t="shared" si="1"/>
        <v>50</v>
      </c>
    </row>
    <row r="70" spans="2:35" ht="15" customHeight="1" x14ac:dyDescent="0.25">
      <c r="B70" s="127"/>
      <c r="C70" s="123"/>
      <c r="D70" s="143">
        <f>SUMIFS('февраль 2026'!$G$2:$G$2649,'февраль 2026'!$D$2:$D$2649,$B70,'февраль 2026'!$J$2:$J$2649,D$1)</f>
        <v>0</v>
      </c>
      <c r="E70" s="143">
        <f>SUMIFS('февраль 2026'!$G$2:$G$2649,'февраль 2026'!$D$2:$D$2649,$B70,'февраль 2026'!$J$2:$J$2649,E$1)</f>
        <v>0</v>
      </c>
      <c r="F70" s="143">
        <f>SUMIFS('февраль 2026'!$G$2:$G$2649,'февраль 2026'!$D$2:$D$2649,$B70,'февраль 2026'!$J$2:$J$2649,F$1)</f>
        <v>0</v>
      </c>
      <c r="G70" s="143">
        <f>SUMIFS('февраль 2026'!$G$2:$G$2649,'февраль 2026'!$D$2:$D$2649,$B70,'февраль 2026'!$J$2:$J$2649,G$1)</f>
        <v>0</v>
      </c>
      <c r="H70" s="143">
        <f>SUMIFS('февраль 2026'!$G$2:$G$2649,'февраль 2026'!$D$2:$D$2649,$B70,'февраль 2026'!$J$2:$J$2649,H$1)</f>
        <v>0</v>
      </c>
      <c r="I70" s="143">
        <f>SUMIFS('февраль 2026'!$G$2:$G$2649,'февраль 2026'!$D$2:$D$2649,$B70,'февраль 2026'!$J$2:$J$2649,I$1)</f>
        <v>0</v>
      </c>
      <c r="J70" s="143">
        <f>SUMIFS('февраль 2026'!$G$2:$G$2649,'февраль 2026'!$D$2:$D$2649,$B70,'февраль 2026'!$J$2:$J$2649,J$1)</f>
        <v>0</v>
      </c>
      <c r="K70" s="143">
        <f>SUMIFS('февраль 2026'!$G$2:$G$2649,'февраль 2026'!$D$2:$D$2649,$B70,'февраль 2026'!$J$2:$J$2649,K$1)</f>
        <v>0</v>
      </c>
      <c r="L70" s="143">
        <f>SUMIFS('февраль 2026'!$G$2:$G$2649,'февраль 2026'!$D$2:$D$2649,$B70,'февраль 2026'!$J$2:$J$2649,L$1)</f>
        <v>0</v>
      </c>
      <c r="M70" s="143">
        <f>SUMIFS('февраль 2026'!$G$2:$G$2649,'февраль 2026'!$D$2:$D$2649,$B70,'февраль 2026'!$J$2:$J$2649,M$1)</f>
        <v>0</v>
      </c>
      <c r="N70" s="143">
        <f>SUMIFS('февраль 2026'!$G$2:$G$2649,'февраль 2026'!$D$2:$D$2649,$B70,'февраль 2026'!$J$2:$J$2649,N$1)</f>
        <v>0</v>
      </c>
      <c r="O70" s="143">
        <f>SUMIFS('февраль 2026'!$G$2:$G$2649,'февраль 2026'!$D$2:$D$2649,$B70,'февраль 2026'!$J$2:$J$2649,O$1)</f>
        <v>0</v>
      </c>
      <c r="P70" s="143">
        <f>SUMIFS('февраль 2026'!$G$2:$G$2649,'февраль 2026'!$D$2:$D$2649,$B70,'февраль 2026'!$J$2:$J$2649,P$1)</f>
        <v>0</v>
      </c>
      <c r="Q70" s="143">
        <f>SUMIFS('февраль 2026'!$G$2:$G$2649,'февраль 2026'!$D$2:$D$2649,$B70,'февраль 2026'!$J$2:$J$2649,Q$1)</f>
        <v>0</v>
      </c>
      <c r="R70" s="143">
        <f>SUMIFS('февраль 2026'!$G$2:$G$2649,'февраль 2026'!$D$2:$D$2649,$B70,'февраль 2026'!$J$2:$J$2649,R$1)</f>
        <v>0</v>
      </c>
      <c r="S70" s="143">
        <f>SUMIFS('февраль 2026'!$G$2:$G$2649,'февраль 2026'!$D$2:$D$2649,$B70,'февраль 2026'!$J$2:$J$2649,S$1)</f>
        <v>0</v>
      </c>
      <c r="T70" s="143">
        <f>SUMIFS('февраль 2026'!$G$2:$G$2649,'февраль 2026'!$D$2:$D$2649,$B70,'февраль 2026'!$J$2:$J$2649,T$1)</f>
        <v>0</v>
      </c>
      <c r="U70" s="143">
        <f>SUMIFS('февраль 2026'!$G$2:$G$2649,'февраль 2026'!$D$2:$D$2649,$B70,'февраль 2026'!$J$2:$J$2649,U$1)</f>
        <v>0</v>
      </c>
      <c r="V70" s="143">
        <f>SUMIFS('февраль 2026'!$G$2:$G$2649,'февраль 2026'!$D$2:$D$2649,$B70,'февраль 2026'!$J$2:$J$2649,V$1)</f>
        <v>0</v>
      </c>
      <c r="W70" s="143">
        <f>SUMIFS('февраль 2026'!$G$2:$G$2649,'февраль 2026'!$D$2:$D$2649,$B70,'февраль 2026'!$J$2:$J$2649,W$1)</f>
        <v>0</v>
      </c>
      <c r="X70" s="143">
        <f>SUMIFS('февраль 2026'!$G$2:$G$2649,'февраль 2026'!$D$2:$D$2649,$B70,'февраль 2026'!$J$2:$J$2649,X$1)</f>
        <v>0</v>
      </c>
      <c r="Y70" s="143">
        <f>SUMIFS('февраль 2026'!$G$2:$G$2649,'февраль 2026'!$D$2:$D$2649,$B70,'февраль 2026'!$J$2:$J$2649,Y$1)</f>
        <v>0</v>
      </c>
      <c r="Z70" s="143">
        <f>SUMIFS('февраль 2026'!$G$2:$G$2649,'февраль 2026'!$D$2:$D$2649,$B70,'февраль 2026'!$J$2:$J$2649,Z$1)</f>
        <v>0</v>
      </c>
      <c r="AA70" s="143">
        <f>SUMIFS('февраль 2026'!$G$2:$G$2649,'февраль 2026'!$D$2:$D$2649,$B70,'февраль 2026'!$J$2:$J$2649,AA$1)</f>
        <v>0</v>
      </c>
      <c r="AB70" s="143">
        <f>SUMIFS('февраль 2026'!$G$2:$G$2649,'февраль 2026'!$D$2:$D$2649,$B70,'февраль 2026'!$J$2:$J$2649,AB$1)</f>
        <v>0</v>
      </c>
      <c r="AC70" s="143">
        <f>SUMIFS('февраль 2026'!$G$2:$G$2649,'февраль 2026'!$D$2:$D$2649,$B70,'февраль 2026'!$J$2:$J$2649,AC$1)</f>
        <v>0</v>
      </c>
      <c r="AD70" s="143">
        <f>SUMIFS('февраль 2026'!$G$2:$G$2649,'февраль 2026'!$D$2:$D$2649,$B70,'февраль 2026'!$J$2:$J$2649,AD$1)</f>
        <v>0</v>
      </c>
      <c r="AE70" s="143">
        <f>SUMIFS('февраль 2026'!$G$2:$G$2649,'февраль 2026'!$D$2:$D$2649,$B70,'февраль 2026'!$J$2:$J$2649,AE$1)</f>
        <v>0</v>
      </c>
      <c r="AF70" s="143">
        <f>SUMIFS('февраль 2026'!$G$2:$G$2649,'февраль 2026'!$D$2:$D$2649,$B70,'февраль 2026'!$J$2:$J$2649,AF$1)</f>
        <v>0</v>
      </c>
      <c r="AG70" s="143">
        <f>SUMIFS('февраль 2026'!$G$2:$G$2649,'февраль 2026'!$D$2:$D$2649,$B70,'февраль 2026'!$J$2:$J$2649,AG$1)</f>
        <v>0</v>
      </c>
      <c r="AH70" s="143">
        <f>SUMIFS('февраль 2026'!$G$2:$G$2649,'февраль 2026'!$D$2:$D$2649,$B70,'февраль 2026'!$J$2:$J$2649,AH$1)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SUMIFS('февраль 2026'!$G$2:$G$2649,'февраль 2026'!$D$2:$D$2649,$B71,'февраль 2026'!$J$2:$J$2649,D$1)</f>
        <v>0</v>
      </c>
      <c r="E71" s="143">
        <f>SUMIFS('февраль 2026'!$G$2:$G$2649,'февраль 2026'!$D$2:$D$2649,$B71,'февраль 2026'!$J$2:$J$2649,E$1)</f>
        <v>0</v>
      </c>
      <c r="F71" s="143">
        <f>SUMIFS('февраль 2026'!$G$2:$G$2649,'февраль 2026'!$D$2:$D$2649,$B71,'февраль 2026'!$J$2:$J$2649,F$1)</f>
        <v>0</v>
      </c>
      <c r="G71" s="143">
        <f>SUMIFS('февраль 2026'!$G$2:$G$2649,'февраль 2026'!$D$2:$D$2649,$B71,'февраль 2026'!$J$2:$J$2649,G$1)</f>
        <v>0</v>
      </c>
      <c r="H71" s="143">
        <f>SUMIFS('февраль 2026'!$G$2:$G$2649,'февраль 2026'!$D$2:$D$2649,$B71,'февраль 2026'!$J$2:$J$2649,H$1)</f>
        <v>0</v>
      </c>
      <c r="I71" s="143">
        <f>SUMIFS('февраль 2026'!$G$2:$G$2649,'февраль 2026'!$D$2:$D$2649,$B71,'февраль 2026'!$J$2:$J$2649,I$1)</f>
        <v>0</v>
      </c>
      <c r="J71" s="143">
        <f>SUMIFS('февраль 2026'!$G$2:$G$2649,'февраль 2026'!$D$2:$D$2649,$B71,'февраль 2026'!$J$2:$J$2649,J$1)</f>
        <v>0</v>
      </c>
      <c r="K71" s="143">
        <f>SUMIFS('февраль 2026'!$G$2:$G$2649,'февраль 2026'!$D$2:$D$2649,$B71,'февраль 2026'!$J$2:$J$2649,K$1)</f>
        <v>0</v>
      </c>
      <c r="L71" s="143">
        <f>SUMIFS('февраль 2026'!$G$2:$G$2649,'февраль 2026'!$D$2:$D$2649,$B71,'февраль 2026'!$J$2:$J$2649,L$1)</f>
        <v>0</v>
      </c>
      <c r="M71" s="143">
        <f>SUMIFS('февраль 2026'!$G$2:$G$2649,'февраль 2026'!$D$2:$D$2649,$B71,'февраль 2026'!$J$2:$J$2649,M$1)</f>
        <v>0</v>
      </c>
      <c r="N71" s="143">
        <f>SUMIFS('февраль 2026'!$G$2:$G$2649,'февраль 2026'!$D$2:$D$2649,$B71,'февраль 2026'!$J$2:$J$2649,N$1)</f>
        <v>0</v>
      </c>
      <c r="O71" s="143">
        <f>SUMIFS('февраль 2026'!$G$2:$G$2649,'февраль 2026'!$D$2:$D$2649,$B71,'февраль 2026'!$J$2:$J$2649,O$1)</f>
        <v>0</v>
      </c>
      <c r="P71" s="143">
        <f>SUMIFS('февраль 2026'!$G$2:$G$2649,'февраль 2026'!$D$2:$D$2649,$B71,'февраль 2026'!$J$2:$J$2649,P$1)</f>
        <v>0</v>
      </c>
      <c r="Q71" s="143">
        <f>SUMIFS('февраль 2026'!$G$2:$G$2649,'февраль 2026'!$D$2:$D$2649,$B71,'февраль 2026'!$J$2:$J$2649,Q$1)</f>
        <v>0</v>
      </c>
      <c r="R71" s="143">
        <f>SUMIFS('февраль 2026'!$G$2:$G$2649,'февраль 2026'!$D$2:$D$2649,$B71,'февраль 2026'!$J$2:$J$2649,R$1)</f>
        <v>0</v>
      </c>
      <c r="S71" s="143">
        <f>SUMIFS('февраль 2026'!$G$2:$G$2649,'февраль 2026'!$D$2:$D$2649,$B71,'февраль 2026'!$J$2:$J$2649,S$1)</f>
        <v>0</v>
      </c>
      <c r="T71" s="143">
        <f>SUMIFS('февраль 2026'!$G$2:$G$2649,'февраль 2026'!$D$2:$D$2649,$B71,'февраль 2026'!$J$2:$J$2649,T$1)</f>
        <v>0</v>
      </c>
      <c r="U71" s="143">
        <f>SUMIFS('февраль 2026'!$G$2:$G$2649,'февраль 2026'!$D$2:$D$2649,$B71,'февраль 2026'!$J$2:$J$2649,U$1)</f>
        <v>0</v>
      </c>
      <c r="V71" s="143">
        <f>SUMIFS('февраль 2026'!$G$2:$G$2649,'февраль 2026'!$D$2:$D$2649,$B71,'февраль 2026'!$J$2:$J$2649,V$1)</f>
        <v>0</v>
      </c>
      <c r="W71" s="143">
        <f>SUMIFS('февраль 2026'!$G$2:$G$2649,'февраль 2026'!$D$2:$D$2649,$B71,'февраль 2026'!$J$2:$J$2649,W$1)</f>
        <v>0</v>
      </c>
      <c r="X71" s="143">
        <f>SUMIFS('февраль 2026'!$G$2:$G$2649,'февраль 2026'!$D$2:$D$2649,$B71,'февраль 2026'!$J$2:$J$2649,X$1)</f>
        <v>0</v>
      </c>
      <c r="Y71" s="143">
        <f>SUMIFS('февраль 2026'!$G$2:$G$2649,'февраль 2026'!$D$2:$D$2649,$B71,'февраль 2026'!$J$2:$J$2649,Y$1)</f>
        <v>0</v>
      </c>
      <c r="Z71" s="143">
        <f>SUMIFS('февраль 2026'!$G$2:$G$2649,'февраль 2026'!$D$2:$D$2649,$B71,'февраль 2026'!$J$2:$J$2649,Z$1)</f>
        <v>0</v>
      </c>
      <c r="AA71" s="143">
        <f>SUMIFS('февраль 2026'!$G$2:$G$2649,'февраль 2026'!$D$2:$D$2649,$B71,'февраль 2026'!$J$2:$J$2649,AA$1)</f>
        <v>0</v>
      </c>
      <c r="AB71" s="143">
        <f>SUMIFS('февраль 2026'!$G$2:$G$2649,'февраль 2026'!$D$2:$D$2649,$B71,'февраль 2026'!$J$2:$J$2649,AB$1)</f>
        <v>0</v>
      </c>
      <c r="AC71" s="143">
        <f>SUMIFS('февраль 2026'!$G$2:$G$2649,'февраль 2026'!$D$2:$D$2649,$B71,'февраль 2026'!$J$2:$J$2649,AC$1)</f>
        <v>0</v>
      </c>
      <c r="AD71" s="143">
        <f>SUMIFS('февраль 2026'!$G$2:$G$2649,'февраль 2026'!$D$2:$D$2649,$B71,'февраль 2026'!$J$2:$J$2649,AD$1)</f>
        <v>0</v>
      </c>
      <c r="AE71" s="143">
        <f>SUMIFS('февраль 2026'!$G$2:$G$2649,'февраль 2026'!$D$2:$D$2649,$B71,'февраль 2026'!$J$2:$J$2649,AE$1)</f>
        <v>0</v>
      </c>
      <c r="AF71" s="143">
        <f>SUMIFS('февраль 2026'!$G$2:$G$2649,'февраль 2026'!$D$2:$D$2649,$B71,'февраль 2026'!$J$2:$J$2649,AF$1)</f>
        <v>0</v>
      </c>
      <c r="AG71" s="143">
        <f>SUMIFS('февраль 2026'!$G$2:$G$2649,'февраль 2026'!$D$2:$D$2649,$B71,'февраль 2026'!$J$2:$J$2649,AG$1)</f>
        <v>0</v>
      </c>
      <c r="AH71" s="143">
        <f>SUMIFS('февраль 2026'!$G$2:$G$2649,'февраль 2026'!$D$2:$D$2649,$B71,'февраль 2026'!$J$2:$J$2649,AH$1)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SUMIFS('март 2026'!$G$2:$G$2701,'март 2026'!$D$2:$D$2701,$B72,'март 2026'!$J$2:$J$2701,D$1)</f>
        <v>0</v>
      </c>
      <c r="E72" s="144">
        <f>SUMIFS('март 2026'!$G$2:$G$2701,'март 2026'!$D$2:$D$2701,$B72,'март 2026'!$J$2:$J$2701,E$1)</f>
        <v>0</v>
      </c>
      <c r="F72" s="144">
        <f>SUMIFS('март 2026'!$G$2:$G$2701,'март 2026'!$D$2:$D$2701,$B72,'март 2026'!$J$2:$J$2701,F$1)</f>
        <v>0</v>
      </c>
      <c r="G72" s="144">
        <f>SUMIFS('март 2026'!$G$2:$G$2701,'март 2026'!$D$2:$D$2701,$B72,'март 2026'!$J$2:$J$2701,G$1)</f>
        <v>0</v>
      </c>
      <c r="H72" s="144">
        <f>SUMIFS('март 2026'!$G$2:$G$2701,'март 2026'!$D$2:$D$2701,$B72,'март 2026'!$J$2:$J$2701,H$1)</f>
        <v>0</v>
      </c>
      <c r="I72" s="144">
        <f>SUMIFS('март 2026'!$G$2:$G$2701,'март 2026'!$D$2:$D$2701,$B72,'март 2026'!$J$2:$J$2701,I$1)</f>
        <v>0</v>
      </c>
      <c r="J72" s="144">
        <f>SUMIFS('март 2026'!$G$2:$G$2701,'март 2026'!$D$2:$D$2701,$B72,'март 2026'!$J$2:$J$2701,J$1)</f>
        <v>0</v>
      </c>
      <c r="K72" s="144">
        <f>SUMIFS('март 2026'!$G$2:$G$2701,'март 2026'!$D$2:$D$2701,$B72,'март 2026'!$J$2:$J$2701,K$1)</f>
        <v>0</v>
      </c>
      <c r="L72" s="144">
        <f>SUMIFS('март 2026'!$G$2:$G$2701,'март 2026'!$D$2:$D$2701,$B72,'март 2026'!$J$2:$J$2701,L$1)</f>
        <v>0</v>
      </c>
      <c r="M72" s="144">
        <f>SUMIFS('март 2026'!$G$2:$G$2701,'март 2026'!$D$2:$D$2701,$B72,'март 2026'!$J$2:$J$2701,M$1)</f>
        <v>0</v>
      </c>
      <c r="N72" s="144">
        <f>SUMIFS('март 2026'!$G$2:$G$2701,'март 2026'!$D$2:$D$2701,$B72,'март 2026'!$J$2:$J$2701,N$1)</f>
        <v>0</v>
      </c>
      <c r="O72" s="144">
        <f>SUMIFS('март 2026'!$G$2:$G$2701,'март 2026'!$D$2:$D$2701,$B72,'март 2026'!$J$2:$J$2701,O$1)</f>
        <v>0</v>
      </c>
      <c r="P72" s="144">
        <f>SUMIFS('март 2026'!$G$2:$G$2701,'март 2026'!$D$2:$D$2701,$B72,'март 2026'!$J$2:$J$2701,P$1)</f>
        <v>0</v>
      </c>
      <c r="Q72" s="144">
        <f>SUMIFS('март 2026'!$G$2:$G$2701,'март 2026'!$D$2:$D$2701,$B72,'март 2026'!$J$2:$J$2701,Q$1)</f>
        <v>0</v>
      </c>
      <c r="R72" s="144">
        <f>SUMIFS('март 2026'!$G$2:$G$2701,'март 2026'!$D$2:$D$2701,$B72,'март 2026'!$J$2:$J$2701,R$1)</f>
        <v>0</v>
      </c>
      <c r="S72" s="144">
        <f>SUMIFS('март 2026'!$G$2:$G$2701,'март 2026'!$D$2:$D$2701,$B72,'март 2026'!$J$2:$J$2701,S$1)</f>
        <v>0</v>
      </c>
      <c r="T72" s="144">
        <f>SUMIFS('март 2026'!$G$2:$G$2701,'март 2026'!$D$2:$D$2701,$B72,'март 2026'!$J$2:$J$2701,T$1)</f>
        <v>0</v>
      </c>
      <c r="U72" s="144">
        <f>SUMIFS('март 2026'!$G$2:$G$2701,'март 2026'!$D$2:$D$2701,$B72,'март 2026'!$J$2:$J$2701,U$1)</f>
        <v>0</v>
      </c>
      <c r="V72" s="144">
        <f>SUMIFS('март 2026'!$G$2:$G$2701,'март 2026'!$D$2:$D$2701,$B72,'март 2026'!$J$2:$J$2701,V$1)</f>
        <v>0</v>
      </c>
      <c r="W72" s="144">
        <f>SUMIFS('март 2026'!$G$2:$G$2701,'март 2026'!$D$2:$D$2701,$B72,'март 2026'!$J$2:$J$2701,W$1)</f>
        <v>0</v>
      </c>
      <c r="X72" s="144">
        <f>SUMIFS('март 2026'!$G$2:$G$2701,'март 2026'!$D$2:$D$2701,$B72,'март 2026'!$J$2:$J$2701,X$1)</f>
        <v>0</v>
      </c>
      <c r="Y72" s="144">
        <f>SUMIFS('март 2026'!$G$2:$G$2701,'март 2026'!$D$2:$D$2701,$B72,'март 2026'!$J$2:$J$2701,Y$1)</f>
        <v>0</v>
      </c>
      <c r="Z72" s="144">
        <f>SUMIFS('март 2026'!$G$2:$G$2701,'март 2026'!$D$2:$D$2701,$B72,'март 2026'!$J$2:$J$2701,Z$1)</f>
        <v>0</v>
      </c>
      <c r="AA72" s="144">
        <f>SUMIFS('март 2026'!$G$2:$G$2701,'март 2026'!$D$2:$D$2701,$B72,'март 2026'!$J$2:$J$2701,AA$1)</f>
        <v>0</v>
      </c>
      <c r="AB72" s="144">
        <f>SUMIFS('март 2026'!$G$2:$G$2701,'март 2026'!$D$2:$D$2701,$B72,'март 2026'!$J$2:$J$2701,AB$1)</f>
        <v>0</v>
      </c>
      <c r="AC72" s="144">
        <f>SUMIFS('март 2026'!$G$2:$G$2701,'март 2026'!$D$2:$D$2701,$B72,'март 2026'!$J$2:$J$2701,AC$1)</f>
        <v>0</v>
      </c>
      <c r="AD72" s="144">
        <f>SUMIFS('март 2026'!$G$2:$G$2701,'март 2026'!$D$2:$D$2701,$B72,'март 2026'!$J$2:$J$2701,AD$1)</f>
        <v>0</v>
      </c>
      <c r="AE72" s="144">
        <f>SUMIFS('март 2026'!$G$2:$G$2701,'март 2026'!$D$2:$D$2701,$B72,'март 2026'!$J$2:$J$2701,AE$1)</f>
        <v>0</v>
      </c>
      <c r="AF72" s="144">
        <f>SUMIFS('март 2026'!$G$2:$G$2701,'март 2026'!$D$2:$D$2701,$B72,'март 2026'!$J$2:$J$2701,AF$1)</f>
        <v>0</v>
      </c>
      <c r="AG72" s="144">
        <f>SUMIFS('март 2026'!$G$2:$G$2701,'март 2026'!$D$2:$D$2701,$B72,'март 2026'!$J$2:$J$2701,AG$1)</f>
        <v>0</v>
      </c>
      <c r="AH72" s="144">
        <f>SUMIFS('март 2026'!$G$2:$G$2701,'март 2026'!$D$2:$D$2701,$B72,'март 2026'!$J$2:$J$2701,AH$1)</f>
        <v>0</v>
      </c>
      <c r="AI72" s="20">
        <f t="shared" ref="AI72" si="2">SUM(D72:AH72)</f>
        <v>0</v>
      </c>
    </row>
    <row r="73" spans="2:35" ht="15" customHeight="1" x14ac:dyDescent="0.25">
      <c r="B73" s="84" t="s">
        <v>295</v>
      </c>
      <c r="C73" s="83">
        <v>50</v>
      </c>
      <c r="D73" s="144">
        <f>SUMIFS('март 2026'!$G$2:$G$2701,'март 2026'!$D$2:$D$2701,$B73,'март 2026'!$J$2:$J$2701,D$1)</f>
        <v>0</v>
      </c>
      <c r="E73" s="144">
        <f>SUMIFS('март 2026'!$G$2:$G$2701,'март 2026'!$D$2:$D$2701,$B73,'март 2026'!$J$2:$J$2701,E$1)</f>
        <v>0</v>
      </c>
      <c r="F73" s="144">
        <f>SUMIFS('март 2026'!$G$2:$G$2701,'март 2026'!$D$2:$D$2701,$B73,'март 2026'!$J$2:$J$2701,F$1)</f>
        <v>0</v>
      </c>
      <c r="G73" s="144">
        <f>SUMIFS('март 2026'!$G$2:$G$2701,'март 2026'!$D$2:$D$2701,$B73,'март 2026'!$J$2:$J$2701,G$1)</f>
        <v>0</v>
      </c>
      <c r="H73" s="144">
        <f>SUMIFS('март 2026'!$G$2:$G$2701,'март 2026'!$D$2:$D$2701,$B73,'март 2026'!$J$2:$J$2701,H$1)</f>
        <v>0</v>
      </c>
      <c r="I73" s="144">
        <f>SUMIFS('март 2026'!$G$2:$G$2701,'март 2026'!$D$2:$D$2701,$B73,'март 2026'!$J$2:$J$2701,I$1)</f>
        <v>0</v>
      </c>
      <c r="J73" s="144">
        <f>SUMIFS('март 2026'!$G$2:$G$2701,'март 2026'!$D$2:$D$2701,$B73,'март 2026'!$J$2:$J$2701,J$1)</f>
        <v>0</v>
      </c>
      <c r="K73" s="144">
        <f>SUMIFS('март 2026'!$G$2:$G$2701,'март 2026'!$D$2:$D$2701,$B73,'март 2026'!$J$2:$J$2701,K$1)</f>
        <v>0</v>
      </c>
      <c r="L73" s="144">
        <f>SUMIFS('март 2026'!$G$2:$G$2701,'март 2026'!$D$2:$D$2701,$B73,'март 2026'!$J$2:$J$2701,L$1)</f>
        <v>0</v>
      </c>
      <c r="M73" s="144">
        <f>SUMIFS('март 2026'!$G$2:$G$2701,'март 2026'!$D$2:$D$2701,$B73,'март 2026'!$J$2:$J$2701,M$1)</f>
        <v>0</v>
      </c>
      <c r="N73" s="144">
        <f>SUMIFS('март 2026'!$G$2:$G$2701,'март 2026'!$D$2:$D$2701,$B73,'март 2026'!$J$2:$J$2701,N$1)</f>
        <v>0</v>
      </c>
      <c r="O73" s="144">
        <f>SUMIFS('март 2026'!$G$2:$G$2701,'март 2026'!$D$2:$D$2701,$B73,'март 2026'!$J$2:$J$2701,O$1)</f>
        <v>0</v>
      </c>
      <c r="P73" s="144">
        <f>SUMIFS('март 2026'!$G$2:$G$2701,'март 2026'!$D$2:$D$2701,$B73,'март 2026'!$J$2:$J$2701,P$1)</f>
        <v>0</v>
      </c>
      <c r="Q73" s="144">
        <f>SUMIFS('март 2026'!$G$2:$G$2701,'март 2026'!$D$2:$D$2701,$B73,'март 2026'!$J$2:$J$2701,Q$1)</f>
        <v>0</v>
      </c>
      <c r="R73" s="144">
        <f>SUMIFS('март 2026'!$G$2:$G$2701,'март 2026'!$D$2:$D$2701,$B73,'март 2026'!$J$2:$J$2701,R$1)</f>
        <v>0</v>
      </c>
      <c r="S73" s="144">
        <f>SUMIFS('март 2026'!$G$2:$G$2701,'март 2026'!$D$2:$D$2701,$B73,'март 2026'!$J$2:$J$2701,S$1)</f>
        <v>0</v>
      </c>
      <c r="T73" s="144">
        <f>SUMIFS('март 2026'!$G$2:$G$2701,'март 2026'!$D$2:$D$2701,$B73,'март 2026'!$J$2:$J$2701,T$1)</f>
        <v>0</v>
      </c>
      <c r="U73" s="144">
        <f>SUMIFS('март 2026'!$G$2:$G$2701,'март 2026'!$D$2:$D$2701,$B73,'март 2026'!$J$2:$J$2701,U$1)</f>
        <v>0</v>
      </c>
      <c r="V73" s="144">
        <f>SUMIFS('март 2026'!$G$2:$G$2701,'март 2026'!$D$2:$D$2701,$B73,'март 2026'!$J$2:$J$2701,V$1)</f>
        <v>0</v>
      </c>
      <c r="W73" s="144">
        <f>SUMIFS('март 2026'!$G$2:$G$2701,'март 2026'!$D$2:$D$2701,$B73,'март 2026'!$J$2:$J$2701,W$1)</f>
        <v>0</v>
      </c>
      <c r="X73" s="144">
        <f>SUMIFS('март 2026'!$G$2:$G$2701,'март 2026'!$D$2:$D$2701,$B73,'март 2026'!$J$2:$J$2701,X$1)</f>
        <v>0</v>
      </c>
      <c r="Y73" s="144">
        <f>SUMIFS('март 2026'!$G$2:$G$2701,'март 2026'!$D$2:$D$2701,$B73,'март 2026'!$J$2:$J$2701,Y$1)</f>
        <v>0</v>
      </c>
      <c r="Z73" s="144">
        <f>SUMIFS('март 2026'!$G$2:$G$2701,'март 2026'!$D$2:$D$2701,$B73,'март 2026'!$J$2:$J$2701,Z$1)</f>
        <v>0</v>
      </c>
      <c r="AA73" s="144">
        <f>SUMIFS('март 2026'!$G$2:$G$2701,'март 2026'!$D$2:$D$2701,$B73,'март 2026'!$J$2:$J$2701,AA$1)</f>
        <v>0</v>
      </c>
      <c r="AB73" s="144">
        <f>SUMIFS('март 2026'!$G$2:$G$2701,'март 2026'!$D$2:$D$2701,$B73,'март 2026'!$J$2:$J$2701,AB$1)</f>
        <v>0</v>
      </c>
      <c r="AC73" s="144">
        <f>SUMIFS('март 2026'!$G$2:$G$2701,'март 2026'!$D$2:$D$2701,$B73,'март 2026'!$J$2:$J$2701,AC$1)</f>
        <v>0</v>
      </c>
      <c r="AD73" s="144">
        <f>SUMIFS('март 2026'!$G$2:$G$2701,'март 2026'!$D$2:$D$2701,$B73,'март 2026'!$J$2:$J$2701,AD$1)</f>
        <v>0</v>
      </c>
      <c r="AE73" s="144">
        <f>SUMIFS('март 2026'!$G$2:$G$2701,'март 2026'!$D$2:$D$2701,$B73,'март 2026'!$J$2:$J$2701,AE$1)</f>
        <v>0</v>
      </c>
      <c r="AF73" s="144">
        <f>SUMIFS('март 2026'!$G$2:$G$2701,'март 2026'!$D$2:$D$2701,$B73,'март 2026'!$J$2:$J$2701,AF$1)</f>
        <v>0</v>
      </c>
      <c r="AG73" s="144">
        <f>SUMIFS('март 2026'!$G$2:$G$2701,'март 2026'!$D$2:$D$2701,$B73,'март 2026'!$J$2:$J$2701,AG$1)</f>
        <v>0</v>
      </c>
      <c r="AH73" s="144">
        <f>SUMIFS('март 2026'!$G$2:$G$2701,'март 2026'!$D$2:$D$2701,$B73,'март 2026'!$J$2:$J$2701,AH$1)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SUMIFS('март 2026'!$G$2:$G$2701,'март 2026'!$D$2:$D$2701,$B74,'март 2026'!$J$2:$J$2701,D$1)</f>
        <v>0</v>
      </c>
      <c r="E74" s="144">
        <f>SUMIFS('март 2026'!$G$2:$G$2701,'март 2026'!$D$2:$D$2701,$B74,'март 2026'!$J$2:$J$2701,E$1)</f>
        <v>0</v>
      </c>
      <c r="F74" s="144">
        <f>SUMIFS('март 2026'!$G$2:$G$2701,'март 2026'!$D$2:$D$2701,$B74,'март 2026'!$J$2:$J$2701,F$1)</f>
        <v>0</v>
      </c>
      <c r="G74" s="144">
        <f>SUMIFS('март 2026'!$G$2:$G$2701,'март 2026'!$D$2:$D$2701,$B74,'март 2026'!$J$2:$J$2701,G$1)</f>
        <v>0</v>
      </c>
      <c r="H74" s="144">
        <f>SUMIFS('март 2026'!$G$2:$G$2701,'март 2026'!$D$2:$D$2701,$B74,'март 2026'!$J$2:$J$2701,H$1)</f>
        <v>0</v>
      </c>
      <c r="I74" s="144">
        <f>SUMIFS('март 2026'!$G$2:$G$2701,'март 2026'!$D$2:$D$2701,$B74,'март 2026'!$J$2:$J$2701,I$1)</f>
        <v>0</v>
      </c>
      <c r="J74" s="144">
        <f>SUMIFS('март 2026'!$G$2:$G$2701,'март 2026'!$D$2:$D$2701,$B74,'март 2026'!$J$2:$J$2701,J$1)</f>
        <v>0</v>
      </c>
      <c r="K74" s="144">
        <f>SUMIFS('март 2026'!$G$2:$G$2701,'март 2026'!$D$2:$D$2701,$B74,'март 2026'!$J$2:$J$2701,K$1)</f>
        <v>0</v>
      </c>
      <c r="L74" s="144">
        <f>SUMIFS('март 2026'!$G$2:$G$2701,'март 2026'!$D$2:$D$2701,$B74,'март 2026'!$J$2:$J$2701,L$1)</f>
        <v>0</v>
      </c>
      <c r="M74" s="144">
        <f>SUMIFS('март 2026'!$G$2:$G$2701,'март 2026'!$D$2:$D$2701,$B74,'март 2026'!$J$2:$J$2701,M$1)</f>
        <v>0</v>
      </c>
      <c r="N74" s="144">
        <f>SUMIFS('март 2026'!$G$2:$G$2701,'март 2026'!$D$2:$D$2701,$B74,'март 2026'!$J$2:$J$2701,N$1)</f>
        <v>0</v>
      </c>
      <c r="O74" s="144">
        <f>SUMIFS('март 2026'!$G$2:$G$2701,'март 2026'!$D$2:$D$2701,$B74,'март 2026'!$J$2:$J$2701,O$1)</f>
        <v>0</v>
      </c>
      <c r="P74" s="144">
        <f>SUMIFS('март 2026'!$G$2:$G$2701,'март 2026'!$D$2:$D$2701,$B74,'март 2026'!$J$2:$J$2701,P$1)</f>
        <v>0</v>
      </c>
      <c r="Q74" s="144">
        <f>SUMIFS('март 2026'!$G$2:$G$2701,'март 2026'!$D$2:$D$2701,$B74,'март 2026'!$J$2:$J$2701,Q$1)</f>
        <v>0</v>
      </c>
      <c r="R74" s="144">
        <f>SUMIFS('март 2026'!$G$2:$G$2701,'март 2026'!$D$2:$D$2701,$B74,'март 2026'!$J$2:$J$2701,R$1)</f>
        <v>0</v>
      </c>
      <c r="S74" s="144">
        <f>SUMIFS('март 2026'!$G$2:$G$2701,'март 2026'!$D$2:$D$2701,$B74,'март 2026'!$J$2:$J$2701,S$1)</f>
        <v>0</v>
      </c>
      <c r="T74" s="144">
        <f>SUMIFS('март 2026'!$G$2:$G$2701,'март 2026'!$D$2:$D$2701,$B74,'март 2026'!$J$2:$J$2701,T$1)</f>
        <v>0</v>
      </c>
      <c r="U74" s="144">
        <f>SUMIFS('март 2026'!$G$2:$G$2701,'март 2026'!$D$2:$D$2701,$B74,'март 2026'!$J$2:$J$2701,U$1)</f>
        <v>0</v>
      </c>
      <c r="V74" s="144">
        <f>SUMIFS('март 2026'!$G$2:$G$2701,'март 2026'!$D$2:$D$2701,$B74,'март 2026'!$J$2:$J$2701,V$1)</f>
        <v>0</v>
      </c>
      <c r="W74" s="144">
        <f>SUMIFS('март 2026'!$G$2:$G$2701,'март 2026'!$D$2:$D$2701,$B74,'март 2026'!$J$2:$J$2701,W$1)</f>
        <v>0</v>
      </c>
      <c r="X74" s="144">
        <f>SUMIFS('март 2026'!$G$2:$G$2701,'март 2026'!$D$2:$D$2701,$B74,'март 2026'!$J$2:$J$2701,X$1)</f>
        <v>0</v>
      </c>
      <c r="Y74" s="144">
        <f>SUMIFS('март 2026'!$G$2:$G$2701,'март 2026'!$D$2:$D$2701,$B74,'март 2026'!$J$2:$J$2701,Y$1)</f>
        <v>0</v>
      </c>
      <c r="Z74" s="144">
        <f>SUMIFS('март 2026'!$G$2:$G$2701,'март 2026'!$D$2:$D$2701,$B74,'март 2026'!$J$2:$J$2701,Z$1)</f>
        <v>0</v>
      </c>
      <c r="AA74" s="144">
        <f>SUMIFS('март 2026'!$G$2:$G$2701,'март 2026'!$D$2:$D$2701,$B74,'март 2026'!$J$2:$J$2701,AA$1)</f>
        <v>0</v>
      </c>
      <c r="AB74" s="144">
        <f>SUMIFS('март 2026'!$G$2:$G$2701,'март 2026'!$D$2:$D$2701,$B74,'март 2026'!$J$2:$J$2701,AB$1)</f>
        <v>0</v>
      </c>
      <c r="AC74" s="144">
        <f>SUMIFS('март 2026'!$G$2:$G$2701,'март 2026'!$D$2:$D$2701,$B74,'март 2026'!$J$2:$J$2701,AC$1)</f>
        <v>0</v>
      </c>
      <c r="AD74" s="144">
        <f>SUMIFS('март 2026'!$G$2:$G$2701,'март 2026'!$D$2:$D$2701,$B74,'март 2026'!$J$2:$J$2701,AD$1)</f>
        <v>0</v>
      </c>
      <c r="AE74" s="144">
        <f>SUMIFS('март 2026'!$G$2:$G$2701,'март 2026'!$D$2:$D$2701,$B74,'март 2026'!$J$2:$J$2701,AE$1)</f>
        <v>0</v>
      </c>
      <c r="AF74" s="144">
        <f>SUMIFS('март 2026'!$G$2:$G$2701,'март 2026'!$D$2:$D$2701,$B74,'март 2026'!$J$2:$J$2701,AF$1)</f>
        <v>0</v>
      </c>
      <c r="AG74" s="144">
        <f>SUMIFS('март 2026'!$G$2:$G$2701,'март 2026'!$D$2:$D$2701,$B74,'март 2026'!$J$2:$J$2701,AG$1)</f>
        <v>0</v>
      </c>
      <c r="AH74" s="144">
        <f>SUMIFS('март 2026'!$G$2:$G$2701,'март 2026'!$D$2:$D$2701,$B74,'март 2026'!$J$2:$J$2701,AH$1)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SUMIFS('март 2026'!$G$2:$G$2701,'март 2026'!$D$2:$D$2701,$B75,'март 2026'!$J$2:$J$2701,D$1)</f>
        <v>0</v>
      </c>
      <c r="E75" s="144">
        <f>SUMIFS('март 2026'!$G$2:$G$2701,'март 2026'!$D$2:$D$2701,$B75,'март 2026'!$J$2:$J$2701,E$1)</f>
        <v>0</v>
      </c>
      <c r="F75" s="144">
        <f>SUMIFS('март 2026'!$G$2:$G$2701,'март 2026'!$D$2:$D$2701,$B75,'март 2026'!$J$2:$J$2701,F$1)</f>
        <v>0</v>
      </c>
      <c r="G75" s="144">
        <f>SUMIFS('март 2026'!$G$2:$G$2701,'март 2026'!$D$2:$D$2701,$B75,'март 2026'!$J$2:$J$2701,G$1)</f>
        <v>0</v>
      </c>
      <c r="H75" s="144">
        <f>SUMIFS('март 2026'!$G$2:$G$2701,'март 2026'!$D$2:$D$2701,$B75,'март 2026'!$J$2:$J$2701,H$1)</f>
        <v>0</v>
      </c>
      <c r="I75" s="144">
        <f>SUMIFS('март 2026'!$G$2:$G$2701,'март 2026'!$D$2:$D$2701,$B75,'март 2026'!$J$2:$J$2701,I$1)</f>
        <v>0</v>
      </c>
      <c r="J75" s="144">
        <f>SUMIFS('март 2026'!$G$2:$G$2701,'март 2026'!$D$2:$D$2701,$B75,'март 2026'!$J$2:$J$2701,J$1)</f>
        <v>0</v>
      </c>
      <c r="K75" s="144">
        <f>SUMIFS('март 2026'!$G$2:$G$2701,'март 2026'!$D$2:$D$2701,$B75,'март 2026'!$J$2:$J$2701,K$1)</f>
        <v>0</v>
      </c>
      <c r="L75" s="144">
        <f>SUMIFS('март 2026'!$G$2:$G$2701,'март 2026'!$D$2:$D$2701,$B75,'март 2026'!$J$2:$J$2701,L$1)</f>
        <v>0</v>
      </c>
      <c r="M75" s="144">
        <f>SUMIFS('март 2026'!$G$2:$G$2701,'март 2026'!$D$2:$D$2701,$B75,'март 2026'!$J$2:$J$2701,M$1)</f>
        <v>0</v>
      </c>
      <c r="N75" s="144">
        <f>SUMIFS('март 2026'!$G$2:$G$2701,'март 2026'!$D$2:$D$2701,$B75,'март 2026'!$J$2:$J$2701,N$1)</f>
        <v>0</v>
      </c>
      <c r="O75" s="144">
        <f>SUMIFS('март 2026'!$G$2:$G$2701,'март 2026'!$D$2:$D$2701,$B75,'март 2026'!$J$2:$J$2701,O$1)</f>
        <v>0</v>
      </c>
      <c r="P75" s="144">
        <f>SUMIFS('март 2026'!$G$2:$G$2701,'март 2026'!$D$2:$D$2701,$B75,'март 2026'!$J$2:$J$2701,P$1)</f>
        <v>0</v>
      </c>
      <c r="Q75" s="144">
        <f>SUMIFS('март 2026'!$G$2:$G$2701,'март 2026'!$D$2:$D$2701,$B75,'март 2026'!$J$2:$J$2701,Q$1)</f>
        <v>0</v>
      </c>
      <c r="R75" s="144">
        <f>SUMIFS('март 2026'!$G$2:$G$2701,'март 2026'!$D$2:$D$2701,$B75,'март 2026'!$J$2:$J$2701,R$1)</f>
        <v>0</v>
      </c>
      <c r="S75" s="144">
        <f>SUMIFS('март 2026'!$G$2:$G$2701,'март 2026'!$D$2:$D$2701,$B75,'март 2026'!$J$2:$J$2701,S$1)</f>
        <v>0</v>
      </c>
      <c r="T75" s="144">
        <f>SUMIFS('март 2026'!$G$2:$G$2701,'март 2026'!$D$2:$D$2701,$B75,'март 2026'!$J$2:$J$2701,T$1)</f>
        <v>0</v>
      </c>
      <c r="U75" s="144">
        <f>SUMIFS('март 2026'!$G$2:$G$2701,'март 2026'!$D$2:$D$2701,$B75,'март 2026'!$J$2:$J$2701,U$1)</f>
        <v>0</v>
      </c>
      <c r="V75" s="144">
        <f>SUMIFS('март 2026'!$G$2:$G$2701,'март 2026'!$D$2:$D$2701,$B75,'март 2026'!$J$2:$J$2701,V$1)</f>
        <v>0</v>
      </c>
      <c r="W75" s="144">
        <f>SUMIFS('март 2026'!$G$2:$G$2701,'март 2026'!$D$2:$D$2701,$B75,'март 2026'!$J$2:$J$2701,W$1)</f>
        <v>0</v>
      </c>
      <c r="X75" s="144">
        <f>SUMIFS('март 2026'!$G$2:$G$2701,'март 2026'!$D$2:$D$2701,$B75,'март 2026'!$J$2:$J$2701,X$1)</f>
        <v>0</v>
      </c>
      <c r="Y75" s="144">
        <f>SUMIFS('март 2026'!$G$2:$G$2701,'март 2026'!$D$2:$D$2701,$B75,'март 2026'!$J$2:$J$2701,Y$1)</f>
        <v>0</v>
      </c>
      <c r="Z75" s="144">
        <f>SUMIFS('март 2026'!$G$2:$G$2701,'март 2026'!$D$2:$D$2701,$B75,'март 2026'!$J$2:$J$2701,Z$1)</f>
        <v>0</v>
      </c>
      <c r="AA75" s="144">
        <f>SUMIFS('март 2026'!$G$2:$G$2701,'март 2026'!$D$2:$D$2701,$B75,'март 2026'!$J$2:$J$2701,AA$1)</f>
        <v>0</v>
      </c>
      <c r="AB75" s="144">
        <f>SUMIFS('март 2026'!$G$2:$G$2701,'март 2026'!$D$2:$D$2701,$B75,'март 2026'!$J$2:$J$2701,AB$1)</f>
        <v>0</v>
      </c>
      <c r="AC75" s="144">
        <f>SUMIFS('март 2026'!$G$2:$G$2701,'март 2026'!$D$2:$D$2701,$B75,'март 2026'!$J$2:$J$2701,AC$1)</f>
        <v>0</v>
      </c>
      <c r="AD75" s="144">
        <f>SUMIFS('март 2026'!$G$2:$G$2701,'март 2026'!$D$2:$D$2701,$B75,'март 2026'!$J$2:$J$2701,AD$1)</f>
        <v>0</v>
      </c>
      <c r="AE75" s="144">
        <f>SUMIFS('март 2026'!$G$2:$G$2701,'март 2026'!$D$2:$D$2701,$B75,'март 2026'!$J$2:$J$2701,AE$1)</f>
        <v>0</v>
      </c>
      <c r="AF75" s="144">
        <f>SUMIFS('март 2026'!$G$2:$G$2701,'март 2026'!$D$2:$D$2701,$B75,'март 2026'!$J$2:$J$2701,AF$1)</f>
        <v>0</v>
      </c>
      <c r="AG75" s="144">
        <f>SUMIFS('март 2026'!$G$2:$G$2701,'март 2026'!$D$2:$D$2701,$B75,'март 2026'!$J$2:$J$2701,AG$1)</f>
        <v>0</v>
      </c>
      <c r="AH75" s="144">
        <f>SUMIFS('март 2026'!$G$2:$G$2701,'март 2026'!$D$2:$D$2701,$B75,'март 2026'!$J$2:$J$2701,AH$1)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SUMIFS('март 2026'!$G$2:$G$2701,'март 2026'!$D$2:$D$2701,$B76,'март 2026'!$J$2:$J$2701,D$1)</f>
        <v>0</v>
      </c>
      <c r="E76" s="144">
        <f>SUMIFS('март 2026'!$G$2:$G$2701,'март 2026'!$D$2:$D$2701,$B76,'март 2026'!$J$2:$J$2701,E$1)</f>
        <v>0</v>
      </c>
      <c r="F76" s="144">
        <f>SUMIFS('март 2026'!$G$2:$G$2701,'март 2026'!$D$2:$D$2701,$B76,'март 2026'!$J$2:$J$2701,F$1)</f>
        <v>0</v>
      </c>
      <c r="G76" s="144">
        <f>SUMIFS('март 2026'!$G$2:$G$2701,'март 2026'!$D$2:$D$2701,$B76,'март 2026'!$J$2:$J$2701,G$1)</f>
        <v>0</v>
      </c>
      <c r="H76" s="144">
        <f>SUMIFS('март 2026'!$G$2:$G$2701,'март 2026'!$D$2:$D$2701,$B76,'март 2026'!$J$2:$J$2701,H$1)</f>
        <v>0</v>
      </c>
      <c r="I76" s="144">
        <f>SUMIFS('март 2026'!$G$2:$G$2701,'март 2026'!$D$2:$D$2701,$B76,'март 2026'!$J$2:$J$2701,I$1)</f>
        <v>0</v>
      </c>
      <c r="J76" s="144">
        <f>SUMIFS('март 2026'!$G$2:$G$2701,'март 2026'!$D$2:$D$2701,$B76,'март 2026'!$J$2:$J$2701,J$1)</f>
        <v>0</v>
      </c>
      <c r="K76" s="144">
        <f>SUMIFS('март 2026'!$G$2:$G$2701,'март 2026'!$D$2:$D$2701,$B76,'март 2026'!$J$2:$J$2701,K$1)</f>
        <v>0</v>
      </c>
      <c r="L76" s="144">
        <f>SUMIFS('март 2026'!$G$2:$G$2701,'март 2026'!$D$2:$D$2701,$B76,'март 2026'!$J$2:$J$2701,L$1)</f>
        <v>0</v>
      </c>
      <c r="M76" s="144">
        <f>SUMIFS('март 2026'!$G$2:$G$2701,'март 2026'!$D$2:$D$2701,$B76,'март 2026'!$J$2:$J$2701,M$1)</f>
        <v>0</v>
      </c>
      <c r="N76" s="144">
        <f>SUMIFS('март 2026'!$G$2:$G$2701,'март 2026'!$D$2:$D$2701,$B76,'март 2026'!$J$2:$J$2701,N$1)</f>
        <v>0</v>
      </c>
      <c r="O76" s="144">
        <f>SUMIFS('март 2026'!$G$2:$G$2701,'март 2026'!$D$2:$D$2701,$B76,'март 2026'!$J$2:$J$2701,O$1)</f>
        <v>0</v>
      </c>
      <c r="P76" s="144">
        <f>SUMIFS('март 2026'!$G$2:$G$2701,'март 2026'!$D$2:$D$2701,$B76,'март 2026'!$J$2:$J$2701,P$1)</f>
        <v>0</v>
      </c>
      <c r="Q76" s="144">
        <f>SUMIFS('март 2026'!$G$2:$G$2701,'март 2026'!$D$2:$D$2701,$B76,'март 2026'!$J$2:$J$2701,Q$1)</f>
        <v>0</v>
      </c>
      <c r="R76" s="144">
        <f>SUMIFS('март 2026'!$G$2:$G$2701,'март 2026'!$D$2:$D$2701,$B76,'март 2026'!$J$2:$J$2701,R$1)</f>
        <v>0</v>
      </c>
      <c r="S76" s="144">
        <f>SUMIFS('март 2026'!$G$2:$G$2701,'март 2026'!$D$2:$D$2701,$B76,'март 2026'!$J$2:$J$2701,S$1)</f>
        <v>0</v>
      </c>
      <c r="T76" s="144">
        <f>SUMIFS('март 2026'!$G$2:$G$2701,'март 2026'!$D$2:$D$2701,$B76,'март 2026'!$J$2:$J$2701,T$1)</f>
        <v>0</v>
      </c>
      <c r="U76" s="144">
        <f>SUMIFS('март 2026'!$G$2:$G$2701,'март 2026'!$D$2:$D$2701,$B76,'март 2026'!$J$2:$J$2701,U$1)</f>
        <v>0</v>
      </c>
      <c r="V76" s="144">
        <f>SUMIFS('март 2026'!$G$2:$G$2701,'март 2026'!$D$2:$D$2701,$B76,'март 2026'!$J$2:$J$2701,V$1)</f>
        <v>0</v>
      </c>
      <c r="W76" s="144">
        <f>SUMIFS('март 2026'!$G$2:$G$2701,'март 2026'!$D$2:$D$2701,$B76,'март 2026'!$J$2:$J$2701,W$1)</f>
        <v>0</v>
      </c>
      <c r="X76" s="144">
        <f>SUMIFS('март 2026'!$G$2:$G$2701,'март 2026'!$D$2:$D$2701,$B76,'март 2026'!$J$2:$J$2701,X$1)</f>
        <v>0</v>
      </c>
      <c r="Y76" s="144">
        <f>SUMIFS('март 2026'!$G$2:$G$2701,'март 2026'!$D$2:$D$2701,$B76,'март 2026'!$J$2:$J$2701,Y$1)</f>
        <v>0</v>
      </c>
      <c r="Z76" s="144">
        <f>SUMIFS('март 2026'!$G$2:$G$2701,'март 2026'!$D$2:$D$2701,$B76,'март 2026'!$J$2:$J$2701,Z$1)</f>
        <v>0</v>
      </c>
      <c r="AA76" s="144">
        <f>SUMIFS('март 2026'!$G$2:$G$2701,'март 2026'!$D$2:$D$2701,$B76,'март 2026'!$J$2:$J$2701,AA$1)</f>
        <v>0</v>
      </c>
      <c r="AB76" s="144">
        <f>SUMIFS('март 2026'!$G$2:$G$2701,'март 2026'!$D$2:$D$2701,$B76,'март 2026'!$J$2:$J$2701,AB$1)</f>
        <v>0</v>
      </c>
      <c r="AC76" s="144">
        <f>SUMIFS('март 2026'!$G$2:$G$2701,'март 2026'!$D$2:$D$2701,$B76,'март 2026'!$J$2:$J$2701,AC$1)</f>
        <v>0</v>
      </c>
      <c r="AD76" s="144">
        <f>SUMIFS('март 2026'!$G$2:$G$2701,'март 2026'!$D$2:$D$2701,$B76,'март 2026'!$J$2:$J$2701,AD$1)</f>
        <v>0</v>
      </c>
      <c r="AE76" s="144">
        <f>SUMIFS('март 2026'!$G$2:$G$2701,'март 2026'!$D$2:$D$2701,$B76,'март 2026'!$J$2:$J$2701,AE$1)</f>
        <v>0</v>
      </c>
      <c r="AF76" s="144">
        <f>SUMIFS('март 2026'!$G$2:$G$2701,'март 2026'!$D$2:$D$2701,$B76,'март 2026'!$J$2:$J$2701,AF$1)</f>
        <v>0</v>
      </c>
      <c r="AG76" s="144">
        <f>SUMIFS('март 2026'!$G$2:$G$2701,'март 2026'!$D$2:$D$2701,$B76,'март 2026'!$J$2:$J$2701,AG$1)</f>
        <v>0</v>
      </c>
      <c r="AH76" s="144">
        <f>SUMIFS('март 2026'!$G$2:$G$2701,'март 2026'!$D$2:$D$2701,$B76,'март 2026'!$J$2:$J$2701,AH$1)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SUMIFS('март 2026'!$G$2:$G$2701,'март 2026'!$D$2:$D$2701,$B77,'март 2026'!$J$2:$J$2701,D$1)</f>
        <v>0</v>
      </c>
      <c r="E77" s="144">
        <f>SUMIFS('март 2026'!$G$2:$G$2701,'март 2026'!$D$2:$D$2701,$B77,'март 2026'!$J$2:$J$2701,E$1)</f>
        <v>0</v>
      </c>
      <c r="F77" s="144">
        <f>SUMIFS('март 2026'!$G$2:$G$2701,'март 2026'!$D$2:$D$2701,$B77,'март 2026'!$J$2:$J$2701,F$1)</f>
        <v>0</v>
      </c>
      <c r="G77" s="144">
        <f>SUMIFS('март 2026'!$G$2:$G$2701,'март 2026'!$D$2:$D$2701,$B77,'март 2026'!$J$2:$J$2701,G$1)</f>
        <v>0</v>
      </c>
      <c r="H77" s="144">
        <f>SUMIFS('март 2026'!$G$2:$G$2701,'март 2026'!$D$2:$D$2701,$B77,'март 2026'!$J$2:$J$2701,H$1)</f>
        <v>0</v>
      </c>
      <c r="I77" s="144">
        <f>SUMIFS('март 2026'!$G$2:$G$2701,'март 2026'!$D$2:$D$2701,$B77,'март 2026'!$J$2:$J$2701,I$1)</f>
        <v>0</v>
      </c>
      <c r="J77" s="144">
        <f>SUMIFS('март 2026'!$G$2:$G$2701,'март 2026'!$D$2:$D$2701,$B77,'март 2026'!$J$2:$J$2701,J$1)</f>
        <v>0</v>
      </c>
      <c r="K77" s="144">
        <f>SUMIFS('март 2026'!$G$2:$G$2701,'март 2026'!$D$2:$D$2701,$B77,'март 2026'!$J$2:$J$2701,K$1)</f>
        <v>0</v>
      </c>
      <c r="L77" s="144">
        <f>SUMIFS('март 2026'!$G$2:$G$2701,'март 2026'!$D$2:$D$2701,$B77,'март 2026'!$J$2:$J$2701,L$1)</f>
        <v>0</v>
      </c>
      <c r="M77" s="144">
        <f>SUMIFS('март 2026'!$G$2:$G$2701,'март 2026'!$D$2:$D$2701,$B77,'март 2026'!$J$2:$J$2701,M$1)</f>
        <v>0</v>
      </c>
      <c r="N77" s="144">
        <f>SUMIFS('март 2026'!$G$2:$G$2701,'март 2026'!$D$2:$D$2701,$B77,'март 2026'!$J$2:$J$2701,N$1)</f>
        <v>0</v>
      </c>
      <c r="O77" s="144">
        <f>SUMIFS('март 2026'!$G$2:$G$2701,'март 2026'!$D$2:$D$2701,$B77,'март 2026'!$J$2:$J$2701,O$1)</f>
        <v>0</v>
      </c>
      <c r="P77" s="144">
        <f>SUMIFS('март 2026'!$G$2:$G$2701,'март 2026'!$D$2:$D$2701,$B77,'март 2026'!$J$2:$J$2701,P$1)</f>
        <v>0</v>
      </c>
      <c r="Q77" s="144">
        <f>SUMIFS('март 2026'!$G$2:$G$2701,'март 2026'!$D$2:$D$2701,$B77,'март 2026'!$J$2:$J$2701,Q$1)</f>
        <v>0</v>
      </c>
      <c r="R77" s="144">
        <f>SUMIFS('март 2026'!$G$2:$G$2701,'март 2026'!$D$2:$D$2701,$B77,'март 2026'!$J$2:$J$2701,R$1)</f>
        <v>0</v>
      </c>
      <c r="S77" s="144">
        <f>SUMIFS('март 2026'!$G$2:$G$2701,'март 2026'!$D$2:$D$2701,$B77,'март 2026'!$J$2:$J$2701,S$1)</f>
        <v>0</v>
      </c>
      <c r="T77" s="144">
        <f>SUMIFS('март 2026'!$G$2:$G$2701,'март 2026'!$D$2:$D$2701,$B77,'март 2026'!$J$2:$J$2701,T$1)</f>
        <v>0</v>
      </c>
      <c r="U77" s="144">
        <f>SUMIFS('март 2026'!$G$2:$G$2701,'март 2026'!$D$2:$D$2701,$B77,'март 2026'!$J$2:$J$2701,U$1)</f>
        <v>0</v>
      </c>
      <c r="V77" s="144">
        <f>SUMIFS('март 2026'!$G$2:$G$2701,'март 2026'!$D$2:$D$2701,$B77,'март 2026'!$J$2:$J$2701,V$1)</f>
        <v>0</v>
      </c>
      <c r="W77" s="144">
        <f>SUMIFS('март 2026'!$G$2:$G$2701,'март 2026'!$D$2:$D$2701,$B77,'март 2026'!$J$2:$J$2701,W$1)</f>
        <v>0</v>
      </c>
      <c r="X77" s="144">
        <f>SUMIFS('март 2026'!$G$2:$G$2701,'март 2026'!$D$2:$D$2701,$B77,'март 2026'!$J$2:$J$2701,X$1)</f>
        <v>0</v>
      </c>
      <c r="Y77" s="144">
        <f>SUMIFS('март 2026'!$G$2:$G$2701,'март 2026'!$D$2:$D$2701,$B77,'март 2026'!$J$2:$J$2701,Y$1)</f>
        <v>0</v>
      </c>
      <c r="Z77" s="144">
        <f>SUMIFS('март 2026'!$G$2:$G$2701,'март 2026'!$D$2:$D$2701,$B77,'март 2026'!$J$2:$J$2701,Z$1)</f>
        <v>0</v>
      </c>
      <c r="AA77" s="144">
        <f>SUMIFS('март 2026'!$G$2:$G$2701,'март 2026'!$D$2:$D$2701,$B77,'март 2026'!$J$2:$J$2701,AA$1)</f>
        <v>0</v>
      </c>
      <c r="AB77" s="144">
        <f>SUMIFS('март 2026'!$G$2:$G$2701,'март 2026'!$D$2:$D$2701,$B77,'март 2026'!$J$2:$J$2701,AB$1)</f>
        <v>0</v>
      </c>
      <c r="AC77" s="144">
        <f>SUMIFS('март 2026'!$G$2:$G$2701,'март 2026'!$D$2:$D$2701,$B77,'март 2026'!$J$2:$J$2701,AC$1)</f>
        <v>0</v>
      </c>
      <c r="AD77" s="144">
        <f>SUMIFS('март 2026'!$G$2:$G$2701,'март 2026'!$D$2:$D$2701,$B77,'март 2026'!$J$2:$J$2701,AD$1)</f>
        <v>0</v>
      </c>
      <c r="AE77" s="144">
        <f>SUMIFS('март 2026'!$G$2:$G$2701,'март 2026'!$D$2:$D$2701,$B77,'март 2026'!$J$2:$J$2701,AE$1)</f>
        <v>0</v>
      </c>
      <c r="AF77" s="144">
        <f>SUMIFS('март 2026'!$G$2:$G$2701,'март 2026'!$D$2:$D$2701,$B77,'март 2026'!$J$2:$J$2701,AF$1)</f>
        <v>0</v>
      </c>
      <c r="AG77" s="144">
        <f>SUMIFS('март 2026'!$G$2:$G$2701,'март 2026'!$D$2:$D$2701,$B77,'март 2026'!$J$2:$J$2701,AG$1)</f>
        <v>0</v>
      </c>
      <c r="AH77" s="144">
        <f>SUMIFS('март 2026'!$G$2:$G$2701,'март 2026'!$D$2:$D$2701,$B77,'март 2026'!$J$2:$J$2701,AH$1)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SUMIFS('март 2026'!$G$2:$G$2701,'март 2026'!$D$2:$D$2701,$B78,'март 2026'!$J$2:$J$2701,D$1)</f>
        <v>0</v>
      </c>
      <c r="E78" s="144">
        <f>SUMIFS('март 2026'!$G$2:$G$2701,'март 2026'!$D$2:$D$2701,$B78,'март 2026'!$J$2:$J$2701,E$1)</f>
        <v>0</v>
      </c>
      <c r="F78" s="144">
        <f>SUMIFS('март 2026'!$G$2:$G$2701,'март 2026'!$D$2:$D$2701,$B78,'март 2026'!$J$2:$J$2701,F$1)</f>
        <v>0</v>
      </c>
      <c r="G78" s="144">
        <f>SUMIFS('март 2026'!$G$2:$G$2701,'март 2026'!$D$2:$D$2701,$B78,'март 2026'!$J$2:$J$2701,G$1)</f>
        <v>0</v>
      </c>
      <c r="H78" s="144">
        <f>SUMIFS('март 2026'!$G$2:$G$2701,'март 2026'!$D$2:$D$2701,$B78,'март 2026'!$J$2:$J$2701,H$1)</f>
        <v>0</v>
      </c>
      <c r="I78" s="144">
        <f>SUMIFS('март 2026'!$G$2:$G$2701,'март 2026'!$D$2:$D$2701,$B78,'март 2026'!$J$2:$J$2701,I$1)</f>
        <v>0</v>
      </c>
      <c r="J78" s="144">
        <f>SUMIFS('март 2026'!$G$2:$G$2701,'март 2026'!$D$2:$D$2701,$B78,'март 2026'!$J$2:$J$2701,J$1)</f>
        <v>0</v>
      </c>
      <c r="K78" s="144">
        <f>SUMIFS('март 2026'!$G$2:$G$2701,'март 2026'!$D$2:$D$2701,$B78,'март 2026'!$J$2:$J$2701,K$1)</f>
        <v>0</v>
      </c>
      <c r="L78" s="144">
        <f>SUMIFS('март 2026'!$G$2:$G$2701,'март 2026'!$D$2:$D$2701,$B78,'март 2026'!$J$2:$J$2701,L$1)</f>
        <v>0</v>
      </c>
      <c r="M78" s="144">
        <f>SUMIFS('март 2026'!$G$2:$G$2701,'март 2026'!$D$2:$D$2701,$B78,'март 2026'!$J$2:$J$2701,M$1)</f>
        <v>0</v>
      </c>
      <c r="N78" s="144">
        <f>SUMIFS('март 2026'!$G$2:$G$2701,'март 2026'!$D$2:$D$2701,$B78,'март 2026'!$J$2:$J$2701,N$1)</f>
        <v>0</v>
      </c>
      <c r="O78" s="144">
        <f>SUMIFS('март 2026'!$G$2:$G$2701,'март 2026'!$D$2:$D$2701,$B78,'март 2026'!$J$2:$J$2701,O$1)</f>
        <v>0</v>
      </c>
      <c r="P78" s="144">
        <f>SUMIFS('март 2026'!$G$2:$G$2701,'март 2026'!$D$2:$D$2701,$B78,'март 2026'!$J$2:$J$2701,P$1)</f>
        <v>0</v>
      </c>
      <c r="Q78" s="144">
        <f>SUMIFS('март 2026'!$G$2:$G$2701,'март 2026'!$D$2:$D$2701,$B78,'март 2026'!$J$2:$J$2701,Q$1)</f>
        <v>0</v>
      </c>
      <c r="R78" s="144">
        <f>SUMIFS('март 2026'!$G$2:$G$2701,'март 2026'!$D$2:$D$2701,$B78,'март 2026'!$J$2:$J$2701,R$1)</f>
        <v>0</v>
      </c>
      <c r="S78" s="144">
        <f>SUMIFS('март 2026'!$G$2:$G$2701,'март 2026'!$D$2:$D$2701,$B78,'март 2026'!$J$2:$J$2701,S$1)</f>
        <v>0</v>
      </c>
      <c r="T78" s="144">
        <f>SUMIFS('март 2026'!$G$2:$G$2701,'март 2026'!$D$2:$D$2701,$B78,'март 2026'!$J$2:$J$2701,T$1)</f>
        <v>0</v>
      </c>
      <c r="U78" s="144">
        <f>SUMIFS('март 2026'!$G$2:$G$2701,'март 2026'!$D$2:$D$2701,$B78,'март 2026'!$J$2:$J$2701,U$1)</f>
        <v>0</v>
      </c>
      <c r="V78" s="144">
        <f>SUMIFS('март 2026'!$G$2:$G$2701,'март 2026'!$D$2:$D$2701,$B78,'март 2026'!$J$2:$J$2701,V$1)</f>
        <v>0</v>
      </c>
      <c r="W78" s="144">
        <f>SUMIFS('март 2026'!$G$2:$G$2701,'март 2026'!$D$2:$D$2701,$B78,'март 2026'!$J$2:$J$2701,W$1)</f>
        <v>0</v>
      </c>
      <c r="X78" s="144">
        <f>SUMIFS('март 2026'!$G$2:$G$2701,'март 2026'!$D$2:$D$2701,$B78,'март 2026'!$J$2:$J$2701,X$1)</f>
        <v>0</v>
      </c>
      <c r="Y78" s="144">
        <f>SUMIFS('март 2026'!$G$2:$G$2701,'март 2026'!$D$2:$D$2701,$B78,'март 2026'!$J$2:$J$2701,Y$1)</f>
        <v>0</v>
      </c>
      <c r="Z78" s="144">
        <f>SUMIFS('март 2026'!$G$2:$G$2701,'март 2026'!$D$2:$D$2701,$B78,'март 2026'!$J$2:$J$2701,Z$1)</f>
        <v>0</v>
      </c>
      <c r="AA78" s="144">
        <f>SUMIFS('март 2026'!$G$2:$G$2701,'март 2026'!$D$2:$D$2701,$B78,'март 2026'!$J$2:$J$2701,AA$1)</f>
        <v>0</v>
      </c>
      <c r="AB78" s="144">
        <f>SUMIFS('март 2026'!$G$2:$G$2701,'март 2026'!$D$2:$D$2701,$B78,'март 2026'!$J$2:$J$2701,AB$1)</f>
        <v>0</v>
      </c>
      <c r="AC78" s="144">
        <f>SUMIFS('март 2026'!$G$2:$G$2701,'март 2026'!$D$2:$D$2701,$B78,'март 2026'!$J$2:$J$2701,AC$1)</f>
        <v>0</v>
      </c>
      <c r="AD78" s="144">
        <f>SUMIFS('март 2026'!$G$2:$G$2701,'март 2026'!$D$2:$D$2701,$B78,'март 2026'!$J$2:$J$2701,AD$1)</f>
        <v>0</v>
      </c>
      <c r="AE78" s="144">
        <f>SUMIFS('март 2026'!$G$2:$G$2701,'март 2026'!$D$2:$D$2701,$B78,'март 2026'!$J$2:$J$2701,AE$1)</f>
        <v>0</v>
      </c>
      <c r="AF78" s="144">
        <f>SUMIFS('март 2026'!$G$2:$G$2701,'март 2026'!$D$2:$D$2701,$B78,'март 2026'!$J$2:$J$2701,AF$1)</f>
        <v>0</v>
      </c>
      <c r="AG78" s="144">
        <f>SUMIFS('март 2026'!$G$2:$G$2701,'март 2026'!$D$2:$D$2701,$B78,'март 2026'!$J$2:$J$2701,AG$1)</f>
        <v>0</v>
      </c>
      <c r="AH78" s="144">
        <f>SUMIFS('март 2026'!$G$2:$G$2701,'март 2026'!$D$2:$D$2701,$B78,'март 2026'!$J$2:$J$2701,AH$1)</f>
        <v>0</v>
      </c>
      <c r="AI78" s="20">
        <f t="shared" si="1"/>
        <v>0</v>
      </c>
    </row>
    <row r="79" spans="2:35" ht="15.75" x14ac:dyDescent="0.25">
      <c r="B79" s="85" t="s">
        <v>287</v>
      </c>
      <c r="C79" s="83">
        <v>200</v>
      </c>
      <c r="D79" s="144">
        <f>SUMIFS('март 2026'!$G$2:$G$2701,'март 2026'!$D$2:$D$2701,$B79,'март 2026'!$J$2:$J$2701,D$1)</f>
        <v>0</v>
      </c>
      <c r="E79" s="144">
        <f>SUMIFS('март 2026'!$G$2:$G$2701,'март 2026'!$D$2:$D$2701,$B79,'март 2026'!$J$2:$J$2701,E$1)</f>
        <v>0</v>
      </c>
      <c r="F79" s="144">
        <f>SUMIFS('март 2026'!$G$2:$G$2701,'март 2026'!$D$2:$D$2701,$B79,'март 2026'!$J$2:$J$2701,F$1)</f>
        <v>0</v>
      </c>
      <c r="G79" s="144">
        <f>SUMIFS('март 2026'!$G$2:$G$2701,'март 2026'!$D$2:$D$2701,$B79,'март 2026'!$J$2:$J$2701,G$1)</f>
        <v>0</v>
      </c>
      <c r="H79" s="144">
        <f>SUMIFS('март 2026'!$G$2:$G$2701,'март 2026'!$D$2:$D$2701,$B79,'март 2026'!$J$2:$J$2701,H$1)</f>
        <v>0</v>
      </c>
      <c r="I79" s="144">
        <f>SUMIFS('март 2026'!$G$2:$G$2701,'март 2026'!$D$2:$D$2701,$B79,'март 2026'!$J$2:$J$2701,I$1)</f>
        <v>0</v>
      </c>
      <c r="J79" s="144">
        <f>SUMIFS('март 2026'!$G$2:$G$2701,'март 2026'!$D$2:$D$2701,$B79,'март 2026'!$J$2:$J$2701,J$1)</f>
        <v>0</v>
      </c>
      <c r="K79" s="144">
        <f>SUMIFS('март 2026'!$G$2:$G$2701,'март 2026'!$D$2:$D$2701,$B79,'март 2026'!$J$2:$J$2701,K$1)</f>
        <v>0</v>
      </c>
      <c r="L79" s="144">
        <f>SUMIFS('март 2026'!$G$2:$G$2701,'март 2026'!$D$2:$D$2701,$B79,'март 2026'!$J$2:$J$2701,L$1)</f>
        <v>0</v>
      </c>
      <c r="M79" s="144">
        <f>SUMIFS('март 2026'!$G$2:$G$2701,'март 2026'!$D$2:$D$2701,$B79,'март 2026'!$J$2:$J$2701,M$1)</f>
        <v>0</v>
      </c>
      <c r="N79" s="144">
        <f>SUMIFS('март 2026'!$G$2:$G$2701,'март 2026'!$D$2:$D$2701,$B79,'март 2026'!$J$2:$J$2701,N$1)</f>
        <v>0</v>
      </c>
      <c r="O79" s="144">
        <f>SUMIFS('март 2026'!$G$2:$G$2701,'март 2026'!$D$2:$D$2701,$B79,'март 2026'!$J$2:$J$2701,O$1)</f>
        <v>0</v>
      </c>
      <c r="P79" s="144">
        <f>SUMIFS('март 2026'!$G$2:$G$2701,'март 2026'!$D$2:$D$2701,$B79,'март 2026'!$J$2:$J$2701,P$1)</f>
        <v>0</v>
      </c>
      <c r="Q79" s="144">
        <f>SUMIFS('март 2026'!$G$2:$G$2701,'март 2026'!$D$2:$D$2701,$B79,'март 2026'!$J$2:$J$2701,Q$1)</f>
        <v>0</v>
      </c>
      <c r="R79" s="144">
        <f>SUMIFS('март 2026'!$G$2:$G$2701,'март 2026'!$D$2:$D$2701,$B79,'март 2026'!$J$2:$J$2701,R$1)</f>
        <v>0</v>
      </c>
      <c r="S79" s="144">
        <f>SUMIFS('март 2026'!$G$2:$G$2701,'март 2026'!$D$2:$D$2701,$B79,'март 2026'!$J$2:$J$2701,S$1)</f>
        <v>0</v>
      </c>
      <c r="T79" s="144">
        <f>SUMIFS('март 2026'!$G$2:$G$2701,'март 2026'!$D$2:$D$2701,$B79,'март 2026'!$J$2:$J$2701,T$1)</f>
        <v>0</v>
      </c>
      <c r="U79" s="144">
        <f>SUMIFS('март 2026'!$G$2:$G$2701,'март 2026'!$D$2:$D$2701,$B79,'март 2026'!$J$2:$J$2701,U$1)</f>
        <v>0</v>
      </c>
      <c r="V79" s="144">
        <f>SUMIFS('март 2026'!$G$2:$G$2701,'март 2026'!$D$2:$D$2701,$B79,'март 2026'!$J$2:$J$2701,V$1)</f>
        <v>0</v>
      </c>
      <c r="W79" s="144">
        <f>SUMIFS('март 2026'!$G$2:$G$2701,'март 2026'!$D$2:$D$2701,$B79,'март 2026'!$J$2:$J$2701,W$1)</f>
        <v>0</v>
      </c>
      <c r="X79" s="144">
        <f>SUMIFS('март 2026'!$G$2:$G$2701,'март 2026'!$D$2:$D$2701,$B79,'март 2026'!$J$2:$J$2701,X$1)</f>
        <v>0</v>
      </c>
      <c r="Y79" s="144">
        <f>SUMIFS('март 2026'!$G$2:$G$2701,'март 2026'!$D$2:$D$2701,$B79,'март 2026'!$J$2:$J$2701,Y$1)</f>
        <v>0</v>
      </c>
      <c r="Z79" s="144">
        <f>SUMIFS('март 2026'!$G$2:$G$2701,'март 2026'!$D$2:$D$2701,$B79,'март 2026'!$J$2:$J$2701,Z$1)</f>
        <v>0</v>
      </c>
      <c r="AA79" s="144">
        <f>SUMIFS('март 2026'!$G$2:$G$2701,'март 2026'!$D$2:$D$2701,$B79,'март 2026'!$J$2:$J$2701,AA$1)</f>
        <v>0</v>
      </c>
      <c r="AB79" s="144">
        <f>SUMIFS('март 2026'!$G$2:$G$2701,'март 2026'!$D$2:$D$2701,$B79,'март 2026'!$J$2:$J$2701,AB$1)</f>
        <v>0</v>
      </c>
      <c r="AC79" s="144">
        <f>SUMIFS('март 2026'!$G$2:$G$2701,'март 2026'!$D$2:$D$2701,$B79,'март 2026'!$J$2:$J$2701,AC$1)</f>
        <v>0</v>
      </c>
      <c r="AD79" s="144">
        <f>SUMIFS('март 2026'!$G$2:$G$2701,'март 2026'!$D$2:$D$2701,$B79,'март 2026'!$J$2:$J$2701,AD$1)</f>
        <v>0</v>
      </c>
      <c r="AE79" s="144">
        <f>SUMIFS('март 2026'!$G$2:$G$2701,'март 2026'!$D$2:$D$2701,$B79,'март 2026'!$J$2:$J$2701,AE$1)</f>
        <v>0</v>
      </c>
      <c r="AF79" s="144">
        <f>SUMIFS('март 2026'!$G$2:$G$2701,'март 2026'!$D$2:$D$2701,$B79,'март 2026'!$J$2:$J$2701,AF$1)</f>
        <v>0</v>
      </c>
      <c r="AG79" s="144">
        <f>SUMIFS('март 2026'!$G$2:$G$2701,'март 2026'!$D$2:$D$2701,$B79,'март 2026'!$J$2:$J$2701,AG$1)</f>
        <v>0</v>
      </c>
      <c r="AH79" s="144">
        <f>SUMIFS('март 2026'!$G$2:$G$2701,'март 2026'!$D$2:$D$2701,$B79,'март 2026'!$J$2:$J$2701,AH$1)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SUMIFS('март 2026'!$G$2:$G$2701,'март 2026'!$D$2:$D$2701,$B80,'март 2026'!$J$2:$J$2701,D$1)</f>
        <v>0</v>
      </c>
      <c r="E80" s="144">
        <f>SUMIFS('март 2026'!$G$2:$G$2701,'март 2026'!$D$2:$D$2701,$B80,'март 2026'!$J$2:$J$2701,E$1)</f>
        <v>0</v>
      </c>
      <c r="F80" s="144">
        <f>SUMIFS('март 2026'!$G$2:$G$2701,'март 2026'!$D$2:$D$2701,$B80,'март 2026'!$J$2:$J$2701,F$1)</f>
        <v>0</v>
      </c>
      <c r="G80" s="144">
        <f>SUMIFS('март 2026'!$G$2:$G$2701,'март 2026'!$D$2:$D$2701,$B80,'март 2026'!$J$2:$J$2701,G$1)</f>
        <v>0</v>
      </c>
      <c r="H80" s="144">
        <f>SUMIFS('март 2026'!$G$2:$G$2701,'март 2026'!$D$2:$D$2701,$B80,'март 2026'!$J$2:$J$2701,H$1)</f>
        <v>0</v>
      </c>
      <c r="I80" s="144">
        <f>SUMIFS('март 2026'!$G$2:$G$2701,'март 2026'!$D$2:$D$2701,$B80,'март 2026'!$J$2:$J$2701,I$1)</f>
        <v>0</v>
      </c>
      <c r="J80" s="144">
        <f>SUMIFS('март 2026'!$G$2:$G$2701,'март 2026'!$D$2:$D$2701,$B80,'март 2026'!$J$2:$J$2701,J$1)</f>
        <v>0</v>
      </c>
      <c r="K80" s="144">
        <f>SUMIFS('март 2026'!$G$2:$G$2701,'март 2026'!$D$2:$D$2701,$B80,'март 2026'!$J$2:$J$2701,K$1)</f>
        <v>0</v>
      </c>
      <c r="L80" s="144">
        <f>SUMIFS('март 2026'!$G$2:$G$2701,'март 2026'!$D$2:$D$2701,$B80,'март 2026'!$J$2:$J$2701,L$1)</f>
        <v>0</v>
      </c>
      <c r="M80" s="144">
        <f>SUMIFS('март 2026'!$G$2:$G$2701,'март 2026'!$D$2:$D$2701,$B80,'март 2026'!$J$2:$J$2701,M$1)</f>
        <v>0</v>
      </c>
      <c r="N80" s="144">
        <f>SUMIFS('март 2026'!$G$2:$G$2701,'март 2026'!$D$2:$D$2701,$B80,'март 2026'!$J$2:$J$2701,N$1)</f>
        <v>0</v>
      </c>
      <c r="O80" s="144">
        <f>SUMIFS('март 2026'!$G$2:$G$2701,'март 2026'!$D$2:$D$2701,$B80,'март 2026'!$J$2:$J$2701,O$1)</f>
        <v>0</v>
      </c>
      <c r="P80" s="144">
        <f>SUMIFS('март 2026'!$G$2:$G$2701,'март 2026'!$D$2:$D$2701,$B80,'март 2026'!$J$2:$J$2701,P$1)</f>
        <v>0</v>
      </c>
      <c r="Q80" s="144">
        <f>SUMIFS('март 2026'!$G$2:$G$2701,'март 2026'!$D$2:$D$2701,$B80,'март 2026'!$J$2:$J$2701,Q$1)</f>
        <v>0</v>
      </c>
      <c r="R80" s="144">
        <f>SUMIFS('март 2026'!$G$2:$G$2701,'март 2026'!$D$2:$D$2701,$B80,'март 2026'!$J$2:$J$2701,R$1)</f>
        <v>0</v>
      </c>
      <c r="S80" s="144">
        <f>SUMIFS('март 2026'!$G$2:$G$2701,'март 2026'!$D$2:$D$2701,$B80,'март 2026'!$J$2:$J$2701,S$1)</f>
        <v>0</v>
      </c>
      <c r="T80" s="144">
        <f>SUMIFS('март 2026'!$G$2:$G$2701,'март 2026'!$D$2:$D$2701,$B80,'март 2026'!$J$2:$J$2701,T$1)</f>
        <v>0</v>
      </c>
      <c r="U80" s="144">
        <f>SUMIFS('март 2026'!$G$2:$G$2701,'март 2026'!$D$2:$D$2701,$B80,'март 2026'!$J$2:$J$2701,U$1)</f>
        <v>0</v>
      </c>
      <c r="V80" s="144">
        <f>SUMIFS('март 2026'!$G$2:$G$2701,'март 2026'!$D$2:$D$2701,$B80,'март 2026'!$J$2:$J$2701,V$1)</f>
        <v>0</v>
      </c>
      <c r="W80" s="144">
        <f>SUMIFS('март 2026'!$G$2:$G$2701,'март 2026'!$D$2:$D$2701,$B80,'март 2026'!$J$2:$J$2701,W$1)</f>
        <v>0</v>
      </c>
      <c r="X80" s="144">
        <f>SUMIFS('март 2026'!$G$2:$G$2701,'март 2026'!$D$2:$D$2701,$B80,'март 2026'!$J$2:$J$2701,X$1)</f>
        <v>0</v>
      </c>
      <c r="Y80" s="144">
        <f>SUMIFS('март 2026'!$G$2:$G$2701,'март 2026'!$D$2:$D$2701,$B80,'март 2026'!$J$2:$J$2701,Y$1)</f>
        <v>0</v>
      </c>
      <c r="Z80" s="144">
        <f>SUMIFS('март 2026'!$G$2:$G$2701,'март 2026'!$D$2:$D$2701,$B80,'март 2026'!$J$2:$J$2701,Z$1)</f>
        <v>0</v>
      </c>
      <c r="AA80" s="144">
        <f>SUMIFS('март 2026'!$G$2:$G$2701,'март 2026'!$D$2:$D$2701,$B80,'март 2026'!$J$2:$J$2701,AA$1)</f>
        <v>0</v>
      </c>
      <c r="AB80" s="144">
        <f>SUMIFS('март 2026'!$G$2:$G$2701,'март 2026'!$D$2:$D$2701,$B80,'март 2026'!$J$2:$J$2701,AB$1)</f>
        <v>0</v>
      </c>
      <c r="AC80" s="144">
        <f>SUMIFS('март 2026'!$G$2:$G$2701,'март 2026'!$D$2:$D$2701,$B80,'март 2026'!$J$2:$J$2701,AC$1)</f>
        <v>0</v>
      </c>
      <c r="AD80" s="144">
        <f>SUMIFS('март 2026'!$G$2:$G$2701,'март 2026'!$D$2:$D$2701,$B80,'март 2026'!$J$2:$J$2701,AD$1)</f>
        <v>0</v>
      </c>
      <c r="AE80" s="144">
        <f>SUMIFS('март 2026'!$G$2:$G$2701,'март 2026'!$D$2:$D$2701,$B80,'март 2026'!$J$2:$J$2701,AE$1)</f>
        <v>0</v>
      </c>
      <c r="AF80" s="144">
        <f>SUMIFS('март 2026'!$G$2:$G$2701,'март 2026'!$D$2:$D$2701,$B80,'март 2026'!$J$2:$J$2701,AF$1)</f>
        <v>0</v>
      </c>
      <c r="AG80" s="144">
        <f>SUMIFS('март 2026'!$G$2:$G$2701,'март 2026'!$D$2:$D$2701,$B80,'март 2026'!$J$2:$J$2701,AG$1)</f>
        <v>0</v>
      </c>
      <c r="AH80" s="144">
        <f>SUMIFS('март 2026'!$G$2:$G$2701,'март 2026'!$D$2:$D$2701,$B80,'март 2026'!$J$2:$J$2701,AH$1)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SUMIFS('март 2026'!$G$2:$G$2701,'март 2026'!$D$2:$D$2701,$B81,'март 2026'!$J$2:$J$2701,D$1)</f>
        <v>0</v>
      </c>
      <c r="E81" s="144">
        <f>SUMIFS('март 2026'!$G$2:$G$2701,'март 2026'!$D$2:$D$2701,$B81,'март 2026'!$J$2:$J$2701,E$1)</f>
        <v>0</v>
      </c>
      <c r="F81" s="144">
        <f>SUMIFS('март 2026'!$G$2:$G$2701,'март 2026'!$D$2:$D$2701,$B81,'март 2026'!$J$2:$J$2701,F$1)</f>
        <v>0</v>
      </c>
      <c r="G81" s="144">
        <f>SUMIFS('март 2026'!$G$2:$G$2701,'март 2026'!$D$2:$D$2701,$B81,'март 2026'!$J$2:$J$2701,G$1)</f>
        <v>0</v>
      </c>
      <c r="H81" s="144">
        <f>SUMIFS('март 2026'!$G$2:$G$2701,'март 2026'!$D$2:$D$2701,$B81,'март 2026'!$J$2:$J$2701,H$1)</f>
        <v>0</v>
      </c>
      <c r="I81" s="144">
        <f>SUMIFS('март 2026'!$G$2:$G$2701,'март 2026'!$D$2:$D$2701,$B81,'март 2026'!$J$2:$J$2701,I$1)</f>
        <v>0</v>
      </c>
      <c r="J81" s="144">
        <f>SUMIFS('март 2026'!$G$2:$G$2701,'март 2026'!$D$2:$D$2701,$B81,'март 2026'!$J$2:$J$2701,J$1)</f>
        <v>0</v>
      </c>
      <c r="K81" s="144">
        <f>SUMIFS('март 2026'!$G$2:$G$2701,'март 2026'!$D$2:$D$2701,$B81,'март 2026'!$J$2:$J$2701,K$1)</f>
        <v>0</v>
      </c>
      <c r="L81" s="144">
        <f>SUMIFS('март 2026'!$G$2:$G$2701,'март 2026'!$D$2:$D$2701,$B81,'март 2026'!$J$2:$J$2701,L$1)</f>
        <v>0</v>
      </c>
      <c r="M81" s="144">
        <f>SUMIFS('март 2026'!$G$2:$G$2701,'март 2026'!$D$2:$D$2701,$B81,'март 2026'!$J$2:$J$2701,M$1)</f>
        <v>0</v>
      </c>
      <c r="N81" s="144">
        <f>SUMIFS('март 2026'!$G$2:$G$2701,'март 2026'!$D$2:$D$2701,$B81,'март 2026'!$J$2:$J$2701,N$1)</f>
        <v>0</v>
      </c>
      <c r="O81" s="144">
        <f>SUMIFS('март 2026'!$G$2:$G$2701,'март 2026'!$D$2:$D$2701,$B81,'март 2026'!$J$2:$J$2701,O$1)</f>
        <v>0</v>
      </c>
      <c r="P81" s="144">
        <f>SUMIFS('март 2026'!$G$2:$G$2701,'март 2026'!$D$2:$D$2701,$B81,'март 2026'!$J$2:$J$2701,P$1)</f>
        <v>0</v>
      </c>
      <c r="Q81" s="144">
        <f>SUMIFS('март 2026'!$G$2:$G$2701,'март 2026'!$D$2:$D$2701,$B81,'март 2026'!$J$2:$J$2701,Q$1)</f>
        <v>0</v>
      </c>
      <c r="R81" s="144">
        <f>SUMIFS('март 2026'!$G$2:$G$2701,'март 2026'!$D$2:$D$2701,$B81,'март 2026'!$J$2:$J$2701,R$1)</f>
        <v>0</v>
      </c>
      <c r="S81" s="144">
        <f>SUMIFS('март 2026'!$G$2:$G$2701,'март 2026'!$D$2:$D$2701,$B81,'март 2026'!$J$2:$J$2701,S$1)</f>
        <v>0</v>
      </c>
      <c r="T81" s="144">
        <f>SUMIFS('март 2026'!$G$2:$G$2701,'март 2026'!$D$2:$D$2701,$B81,'март 2026'!$J$2:$J$2701,T$1)</f>
        <v>0</v>
      </c>
      <c r="U81" s="144">
        <f>SUMIFS('март 2026'!$G$2:$G$2701,'март 2026'!$D$2:$D$2701,$B81,'март 2026'!$J$2:$J$2701,U$1)</f>
        <v>0</v>
      </c>
      <c r="V81" s="144">
        <f>SUMIFS('март 2026'!$G$2:$G$2701,'март 2026'!$D$2:$D$2701,$B81,'март 2026'!$J$2:$J$2701,V$1)</f>
        <v>0</v>
      </c>
      <c r="W81" s="144">
        <f>SUMIFS('март 2026'!$G$2:$G$2701,'март 2026'!$D$2:$D$2701,$B81,'март 2026'!$J$2:$J$2701,W$1)</f>
        <v>0</v>
      </c>
      <c r="X81" s="144">
        <f>SUMIFS('март 2026'!$G$2:$G$2701,'март 2026'!$D$2:$D$2701,$B81,'март 2026'!$J$2:$J$2701,X$1)</f>
        <v>0</v>
      </c>
      <c r="Y81" s="144">
        <f>SUMIFS('март 2026'!$G$2:$G$2701,'март 2026'!$D$2:$D$2701,$B81,'март 2026'!$J$2:$J$2701,Y$1)</f>
        <v>0</v>
      </c>
      <c r="Z81" s="144">
        <f>SUMIFS('март 2026'!$G$2:$G$2701,'март 2026'!$D$2:$D$2701,$B81,'март 2026'!$J$2:$J$2701,Z$1)</f>
        <v>0</v>
      </c>
      <c r="AA81" s="144">
        <f>SUMIFS('март 2026'!$G$2:$G$2701,'март 2026'!$D$2:$D$2701,$B81,'март 2026'!$J$2:$J$2701,AA$1)</f>
        <v>0</v>
      </c>
      <c r="AB81" s="144">
        <f>SUMIFS('март 2026'!$G$2:$G$2701,'март 2026'!$D$2:$D$2701,$B81,'март 2026'!$J$2:$J$2701,AB$1)</f>
        <v>0</v>
      </c>
      <c r="AC81" s="144">
        <f>SUMIFS('март 2026'!$G$2:$G$2701,'март 2026'!$D$2:$D$2701,$B81,'март 2026'!$J$2:$J$2701,AC$1)</f>
        <v>0</v>
      </c>
      <c r="AD81" s="144">
        <f>SUMIFS('март 2026'!$G$2:$G$2701,'март 2026'!$D$2:$D$2701,$B81,'март 2026'!$J$2:$J$2701,AD$1)</f>
        <v>0</v>
      </c>
      <c r="AE81" s="144">
        <f>SUMIFS('март 2026'!$G$2:$G$2701,'март 2026'!$D$2:$D$2701,$B81,'март 2026'!$J$2:$J$2701,AE$1)</f>
        <v>0</v>
      </c>
      <c r="AF81" s="144">
        <f>SUMIFS('март 2026'!$G$2:$G$2701,'март 2026'!$D$2:$D$2701,$B81,'март 2026'!$J$2:$J$2701,AF$1)</f>
        <v>0</v>
      </c>
      <c r="AG81" s="144">
        <f>SUMIFS('март 2026'!$G$2:$G$2701,'март 2026'!$D$2:$D$2701,$B81,'март 2026'!$J$2:$J$2701,AG$1)</f>
        <v>0</v>
      </c>
      <c r="AH81" s="144">
        <f>SUMIFS('март 2026'!$G$2:$G$2701,'март 2026'!$D$2:$D$2701,$B81,'март 2026'!$J$2:$J$2701,AH$1)</f>
        <v>0</v>
      </c>
      <c r="AI81" s="20">
        <f t="shared" si="1"/>
        <v>0</v>
      </c>
    </row>
    <row r="82" spans="2:35" ht="15" customHeight="1" x14ac:dyDescent="0.25">
      <c r="B82" s="85" t="s">
        <v>515</v>
      </c>
      <c r="C82" s="83">
        <v>180</v>
      </c>
      <c r="D82" s="144">
        <f>SUMIFS('март 2026'!$G$2:$G$2701,'март 2026'!$D$2:$D$2701,$B82,'март 2026'!$J$2:$J$2701,D$1)</f>
        <v>0</v>
      </c>
      <c r="E82" s="144">
        <f>SUMIFS('март 2026'!$G$2:$G$2701,'март 2026'!$D$2:$D$2701,$B82,'март 2026'!$J$2:$J$2701,E$1)</f>
        <v>0</v>
      </c>
      <c r="F82" s="144">
        <f>SUMIFS('март 2026'!$G$2:$G$2701,'март 2026'!$D$2:$D$2701,$B82,'март 2026'!$J$2:$J$2701,F$1)</f>
        <v>0</v>
      </c>
      <c r="G82" s="144">
        <f>SUMIFS('март 2026'!$G$2:$G$2701,'март 2026'!$D$2:$D$2701,$B82,'март 2026'!$J$2:$J$2701,G$1)</f>
        <v>0</v>
      </c>
      <c r="H82" s="144">
        <f>SUMIFS('март 2026'!$G$2:$G$2701,'март 2026'!$D$2:$D$2701,$B82,'март 2026'!$J$2:$J$2701,H$1)</f>
        <v>0</v>
      </c>
      <c r="I82" s="144">
        <f>SUMIFS('март 2026'!$G$2:$G$2701,'март 2026'!$D$2:$D$2701,$B82,'март 2026'!$J$2:$J$2701,I$1)</f>
        <v>0</v>
      </c>
      <c r="J82" s="144">
        <f>SUMIFS('март 2026'!$G$2:$G$2701,'март 2026'!$D$2:$D$2701,$B82,'март 2026'!$J$2:$J$2701,J$1)</f>
        <v>0</v>
      </c>
      <c r="K82" s="144">
        <f>SUMIFS('март 2026'!$G$2:$G$2701,'март 2026'!$D$2:$D$2701,$B82,'март 2026'!$J$2:$J$2701,K$1)</f>
        <v>0</v>
      </c>
      <c r="L82" s="144">
        <f>SUMIFS('март 2026'!$G$2:$G$2701,'март 2026'!$D$2:$D$2701,$B82,'март 2026'!$J$2:$J$2701,L$1)</f>
        <v>0</v>
      </c>
      <c r="M82" s="144">
        <f>SUMIFS('март 2026'!$G$2:$G$2701,'март 2026'!$D$2:$D$2701,$B82,'март 2026'!$J$2:$J$2701,M$1)</f>
        <v>0</v>
      </c>
      <c r="N82" s="144">
        <f>SUMIFS('март 2026'!$G$2:$G$2701,'март 2026'!$D$2:$D$2701,$B82,'март 2026'!$J$2:$J$2701,N$1)</f>
        <v>0</v>
      </c>
      <c r="O82" s="144">
        <f>SUMIFS('март 2026'!$G$2:$G$2701,'март 2026'!$D$2:$D$2701,$B82,'март 2026'!$J$2:$J$2701,O$1)</f>
        <v>0</v>
      </c>
      <c r="P82" s="144">
        <f>SUMIFS('март 2026'!$G$2:$G$2701,'март 2026'!$D$2:$D$2701,$B82,'март 2026'!$J$2:$J$2701,P$1)</f>
        <v>0</v>
      </c>
      <c r="Q82" s="144">
        <f>SUMIFS('март 2026'!$G$2:$G$2701,'март 2026'!$D$2:$D$2701,$B82,'март 2026'!$J$2:$J$2701,Q$1)</f>
        <v>0</v>
      </c>
      <c r="R82" s="144">
        <f>SUMIFS('март 2026'!$G$2:$G$2701,'март 2026'!$D$2:$D$2701,$B82,'март 2026'!$J$2:$J$2701,R$1)</f>
        <v>0</v>
      </c>
      <c r="S82" s="144">
        <f>SUMIFS('март 2026'!$G$2:$G$2701,'март 2026'!$D$2:$D$2701,$B82,'март 2026'!$J$2:$J$2701,S$1)</f>
        <v>0</v>
      </c>
      <c r="T82" s="144">
        <f>SUMIFS('март 2026'!$G$2:$G$2701,'март 2026'!$D$2:$D$2701,$B82,'март 2026'!$J$2:$J$2701,T$1)</f>
        <v>0</v>
      </c>
      <c r="U82" s="144">
        <f>SUMIFS('март 2026'!$G$2:$G$2701,'март 2026'!$D$2:$D$2701,$B82,'март 2026'!$J$2:$J$2701,U$1)</f>
        <v>0</v>
      </c>
      <c r="V82" s="144">
        <f>SUMIFS('март 2026'!$G$2:$G$2701,'март 2026'!$D$2:$D$2701,$B82,'март 2026'!$J$2:$J$2701,V$1)</f>
        <v>0</v>
      </c>
      <c r="W82" s="144">
        <f>SUMIFS('март 2026'!$G$2:$G$2701,'март 2026'!$D$2:$D$2701,$B82,'март 2026'!$J$2:$J$2701,W$1)</f>
        <v>0</v>
      </c>
      <c r="X82" s="144">
        <f>SUMIFS('март 2026'!$G$2:$G$2701,'март 2026'!$D$2:$D$2701,$B82,'март 2026'!$J$2:$J$2701,X$1)</f>
        <v>0</v>
      </c>
      <c r="Y82" s="144">
        <f>SUMIFS('март 2026'!$G$2:$G$2701,'март 2026'!$D$2:$D$2701,$B82,'март 2026'!$J$2:$J$2701,Y$1)</f>
        <v>0</v>
      </c>
      <c r="Z82" s="144">
        <f>SUMIFS('март 2026'!$G$2:$G$2701,'март 2026'!$D$2:$D$2701,$B82,'март 2026'!$J$2:$J$2701,Z$1)</f>
        <v>0</v>
      </c>
      <c r="AA82" s="144">
        <f>SUMIFS('март 2026'!$G$2:$G$2701,'март 2026'!$D$2:$D$2701,$B82,'март 2026'!$J$2:$J$2701,AA$1)</f>
        <v>0</v>
      </c>
      <c r="AB82" s="144">
        <f>SUMIFS('март 2026'!$G$2:$G$2701,'март 2026'!$D$2:$D$2701,$B82,'март 2026'!$J$2:$J$2701,AB$1)</f>
        <v>0</v>
      </c>
      <c r="AC82" s="144">
        <f>SUMIFS('март 2026'!$G$2:$G$2701,'март 2026'!$D$2:$D$2701,$B82,'март 2026'!$J$2:$J$2701,AC$1)</f>
        <v>0</v>
      </c>
      <c r="AD82" s="144">
        <f>SUMIFS('март 2026'!$G$2:$G$2701,'март 2026'!$D$2:$D$2701,$B82,'март 2026'!$J$2:$J$2701,AD$1)</f>
        <v>0</v>
      </c>
      <c r="AE82" s="144">
        <f>SUMIFS('март 2026'!$G$2:$G$2701,'март 2026'!$D$2:$D$2701,$B82,'март 2026'!$J$2:$J$2701,AE$1)</f>
        <v>0</v>
      </c>
      <c r="AF82" s="144">
        <f>SUMIFS('март 2026'!$G$2:$G$2701,'март 2026'!$D$2:$D$2701,$B82,'март 2026'!$J$2:$J$2701,AF$1)</f>
        <v>0</v>
      </c>
      <c r="AG82" s="144">
        <f>SUMIFS('март 2026'!$G$2:$G$2701,'март 2026'!$D$2:$D$2701,$B82,'март 2026'!$J$2:$J$2701,AG$1)</f>
        <v>0</v>
      </c>
      <c r="AH82" s="144">
        <f>SUMIFS('март 2026'!$G$2:$G$2701,'март 2026'!$D$2:$D$2701,$B82,'март 2026'!$J$2:$J$2701,AH$1)</f>
        <v>0</v>
      </c>
      <c r="AI82" s="20">
        <f>SUM(D82:AH82)</f>
        <v>0</v>
      </c>
    </row>
    <row r="83" spans="2:35" ht="15" customHeight="1" x14ac:dyDescent="0.25">
      <c r="B83" s="85" t="s">
        <v>185</v>
      </c>
      <c r="C83" s="83">
        <v>200</v>
      </c>
      <c r="D83" s="144">
        <f>SUMIFS('март 2026'!$G$2:$G$2701,'март 2026'!$D$2:$D$2701,$B83,'март 2026'!$J$2:$J$2701,D$1)</f>
        <v>0</v>
      </c>
      <c r="E83" s="144">
        <f>SUMIFS('март 2026'!$G$2:$G$2701,'март 2026'!$D$2:$D$2701,$B83,'март 2026'!$J$2:$J$2701,E$1)</f>
        <v>0</v>
      </c>
      <c r="F83" s="144">
        <f>SUMIFS('март 2026'!$G$2:$G$2701,'март 2026'!$D$2:$D$2701,$B83,'март 2026'!$J$2:$J$2701,F$1)</f>
        <v>0</v>
      </c>
      <c r="G83" s="144">
        <f>SUMIFS('март 2026'!$G$2:$G$2701,'март 2026'!$D$2:$D$2701,$B83,'март 2026'!$J$2:$J$2701,G$1)</f>
        <v>0</v>
      </c>
      <c r="H83" s="144">
        <f>SUMIFS('март 2026'!$G$2:$G$2701,'март 2026'!$D$2:$D$2701,$B83,'март 2026'!$J$2:$J$2701,H$1)</f>
        <v>0</v>
      </c>
      <c r="I83" s="144">
        <f>SUMIFS('март 2026'!$G$2:$G$2701,'март 2026'!$D$2:$D$2701,$B83,'март 2026'!$J$2:$J$2701,I$1)</f>
        <v>0</v>
      </c>
      <c r="J83" s="144">
        <f>SUMIFS('март 2026'!$G$2:$G$2701,'март 2026'!$D$2:$D$2701,$B83,'март 2026'!$J$2:$J$2701,J$1)</f>
        <v>0</v>
      </c>
      <c r="K83" s="144">
        <f>SUMIFS('март 2026'!$G$2:$G$2701,'март 2026'!$D$2:$D$2701,$B83,'март 2026'!$J$2:$J$2701,K$1)</f>
        <v>0</v>
      </c>
      <c r="L83" s="144">
        <f>SUMIFS('март 2026'!$G$2:$G$2701,'март 2026'!$D$2:$D$2701,$B83,'март 2026'!$J$2:$J$2701,L$1)</f>
        <v>0</v>
      </c>
      <c r="M83" s="144">
        <f>SUMIFS('март 2026'!$G$2:$G$2701,'март 2026'!$D$2:$D$2701,$B83,'март 2026'!$J$2:$J$2701,M$1)</f>
        <v>0</v>
      </c>
      <c r="N83" s="144">
        <f>SUMIFS('март 2026'!$G$2:$G$2701,'март 2026'!$D$2:$D$2701,$B83,'март 2026'!$J$2:$J$2701,N$1)</f>
        <v>0</v>
      </c>
      <c r="O83" s="144">
        <f>SUMIFS('март 2026'!$G$2:$G$2701,'март 2026'!$D$2:$D$2701,$B83,'март 2026'!$J$2:$J$2701,O$1)</f>
        <v>0</v>
      </c>
      <c r="P83" s="144">
        <f>SUMIFS('март 2026'!$G$2:$G$2701,'март 2026'!$D$2:$D$2701,$B83,'март 2026'!$J$2:$J$2701,P$1)</f>
        <v>0</v>
      </c>
      <c r="Q83" s="144">
        <f>SUMIFS('март 2026'!$G$2:$G$2701,'март 2026'!$D$2:$D$2701,$B83,'март 2026'!$J$2:$J$2701,Q$1)</f>
        <v>0</v>
      </c>
      <c r="R83" s="144">
        <f>SUMIFS('март 2026'!$G$2:$G$2701,'март 2026'!$D$2:$D$2701,$B83,'март 2026'!$J$2:$J$2701,R$1)</f>
        <v>0</v>
      </c>
      <c r="S83" s="144">
        <f>SUMIFS('март 2026'!$G$2:$G$2701,'март 2026'!$D$2:$D$2701,$B83,'март 2026'!$J$2:$J$2701,S$1)</f>
        <v>0</v>
      </c>
      <c r="T83" s="144">
        <f>SUMIFS('март 2026'!$G$2:$G$2701,'март 2026'!$D$2:$D$2701,$B83,'март 2026'!$J$2:$J$2701,T$1)</f>
        <v>0</v>
      </c>
      <c r="U83" s="144">
        <f>SUMIFS('март 2026'!$G$2:$G$2701,'март 2026'!$D$2:$D$2701,$B83,'март 2026'!$J$2:$J$2701,U$1)</f>
        <v>0</v>
      </c>
      <c r="V83" s="144">
        <f>SUMIFS('март 2026'!$G$2:$G$2701,'март 2026'!$D$2:$D$2701,$B83,'март 2026'!$J$2:$J$2701,V$1)</f>
        <v>0</v>
      </c>
      <c r="W83" s="144">
        <f>SUMIFS('март 2026'!$G$2:$G$2701,'март 2026'!$D$2:$D$2701,$B83,'март 2026'!$J$2:$J$2701,W$1)</f>
        <v>0</v>
      </c>
      <c r="X83" s="144">
        <f>SUMIFS('март 2026'!$G$2:$G$2701,'март 2026'!$D$2:$D$2701,$B83,'март 2026'!$J$2:$J$2701,X$1)</f>
        <v>0</v>
      </c>
      <c r="Y83" s="144">
        <f>SUMIFS('март 2026'!$G$2:$G$2701,'март 2026'!$D$2:$D$2701,$B83,'март 2026'!$J$2:$J$2701,Y$1)</f>
        <v>0</v>
      </c>
      <c r="Z83" s="144">
        <f>SUMIFS('март 2026'!$G$2:$G$2701,'март 2026'!$D$2:$D$2701,$B83,'март 2026'!$J$2:$J$2701,Z$1)</f>
        <v>0</v>
      </c>
      <c r="AA83" s="144">
        <f>SUMIFS('март 2026'!$G$2:$G$2701,'март 2026'!$D$2:$D$2701,$B83,'март 2026'!$J$2:$J$2701,AA$1)</f>
        <v>0</v>
      </c>
      <c r="AB83" s="144">
        <f>SUMIFS('март 2026'!$G$2:$G$2701,'март 2026'!$D$2:$D$2701,$B83,'март 2026'!$J$2:$J$2701,AB$1)</f>
        <v>0</v>
      </c>
      <c r="AC83" s="144">
        <f>SUMIFS('март 2026'!$G$2:$G$2701,'март 2026'!$D$2:$D$2701,$B83,'март 2026'!$J$2:$J$2701,AC$1)</f>
        <v>0</v>
      </c>
      <c r="AD83" s="144">
        <f>SUMIFS('март 2026'!$G$2:$G$2701,'март 2026'!$D$2:$D$2701,$B83,'март 2026'!$J$2:$J$2701,AD$1)</f>
        <v>0</v>
      </c>
      <c r="AE83" s="144">
        <f>SUMIFS('март 2026'!$G$2:$G$2701,'март 2026'!$D$2:$D$2701,$B83,'март 2026'!$J$2:$J$2701,AE$1)</f>
        <v>0</v>
      </c>
      <c r="AF83" s="144">
        <f>SUMIFS('март 2026'!$G$2:$G$2701,'март 2026'!$D$2:$D$2701,$B83,'март 2026'!$J$2:$J$2701,AF$1)</f>
        <v>0</v>
      </c>
      <c r="AG83" s="144">
        <f>SUMIFS('март 2026'!$G$2:$G$2701,'март 2026'!$D$2:$D$2701,$B83,'март 2026'!$J$2:$J$2701,AG$1)</f>
        <v>0</v>
      </c>
      <c r="AH83" s="144">
        <f>SUMIFS('март 2026'!$G$2:$G$2701,'март 2026'!$D$2:$D$2701,$B83,'март 2026'!$J$2:$J$2701,AH$1)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SUMIFS('март 2026'!$G$2:$G$2701,'март 2026'!$D$2:$D$2701,$B84,'март 2026'!$J$2:$J$2701,D$1)</f>
        <v>0</v>
      </c>
      <c r="E84" s="144">
        <f>SUMIFS('март 2026'!$G$2:$G$2701,'март 2026'!$D$2:$D$2701,$B84,'март 2026'!$J$2:$J$2701,E$1)</f>
        <v>0</v>
      </c>
      <c r="F84" s="144">
        <f>SUMIFS('март 2026'!$G$2:$G$2701,'март 2026'!$D$2:$D$2701,$B84,'март 2026'!$J$2:$J$2701,F$1)</f>
        <v>0</v>
      </c>
      <c r="G84" s="144">
        <f>SUMIFS('март 2026'!$G$2:$G$2701,'март 2026'!$D$2:$D$2701,$B84,'март 2026'!$J$2:$J$2701,G$1)</f>
        <v>0</v>
      </c>
      <c r="H84" s="144">
        <f>SUMIFS('март 2026'!$G$2:$G$2701,'март 2026'!$D$2:$D$2701,$B84,'март 2026'!$J$2:$J$2701,H$1)</f>
        <v>0</v>
      </c>
      <c r="I84" s="144">
        <f>SUMIFS('март 2026'!$G$2:$G$2701,'март 2026'!$D$2:$D$2701,$B84,'март 2026'!$J$2:$J$2701,I$1)</f>
        <v>0</v>
      </c>
      <c r="J84" s="144">
        <f>SUMIFS('март 2026'!$G$2:$G$2701,'март 2026'!$D$2:$D$2701,$B84,'март 2026'!$J$2:$J$2701,J$1)</f>
        <v>0</v>
      </c>
      <c r="K84" s="144">
        <f>SUMIFS('март 2026'!$G$2:$G$2701,'март 2026'!$D$2:$D$2701,$B84,'март 2026'!$J$2:$J$2701,K$1)</f>
        <v>0</v>
      </c>
      <c r="L84" s="144">
        <f>SUMIFS('март 2026'!$G$2:$G$2701,'март 2026'!$D$2:$D$2701,$B84,'март 2026'!$J$2:$J$2701,L$1)</f>
        <v>0</v>
      </c>
      <c r="M84" s="144">
        <f>SUMIFS('март 2026'!$G$2:$G$2701,'март 2026'!$D$2:$D$2701,$B84,'март 2026'!$J$2:$J$2701,M$1)</f>
        <v>0</v>
      </c>
      <c r="N84" s="144">
        <f>SUMIFS('март 2026'!$G$2:$G$2701,'март 2026'!$D$2:$D$2701,$B84,'март 2026'!$J$2:$J$2701,N$1)</f>
        <v>0</v>
      </c>
      <c r="O84" s="144">
        <f>SUMIFS('март 2026'!$G$2:$G$2701,'март 2026'!$D$2:$D$2701,$B84,'март 2026'!$J$2:$J$2701,O$1)</f>
        <v>0</v>
      </c>
      <c r="P84" s="144">
        <f>SUMIFS('март 2026'!$G$2:$G$2701,'март 2026'!$D$2:$D$2701,$B84,'март 2026'!$J$2:$J$2701,P$1)</f>
        <v>0</v>
      </c>
      <c r="Q84" s="144">
        <f>SUMIFS('март 2026'!$G$2:$G$2701,'март 2026'!$D$2:$D$2701,$B84,'март 2026'!$J$2:$J$2701,Q$1)</f>
        <v>0</v>
      </c>
      <c r="R84" s="144">
        <f>SUMIFS('март 2026'!$G$2:$G$2701,'март 2026'!$D$2:$D$2701,$B84,'март 2026'!$J$2:$J$2701,R$1)</f>
        <v>0</v>
      </c>
      <c r="S84" s="144">
        <f>SUMIFS('март 2026'!$G$2:$G$2701,'март 2026'!$D$2:$D$2701,$B84,'март 2026'!$J$2:$J$2701,S$1)</f>
        <v>0</v>
      </c>
      <c r="T84" s="144">
        <f>SUMIFS('март 2026'!$G$2:$G$2701,'март 2026'!$D$2:$D$2701,$B84,'март 2026'!$J$2:$J$2701,T$1)</f>
        <v>0</v>
      </c>
      <c r="U84" s="144">
        <f>SUMIFS('март 2026'!$G$2:$G$2701,'март 2026'!$D$2:$D$2701,$B84,'март 2026'!$J$2:$J$2701,U$1)</f>
        <v>0</v>
      </c>
      <c r="V84" s="144">
        <f>SUMIFS('март 2026'!$G$2:$G$2701,'март 2026'!$D$2:$D$2701,$B84,'март 2026'!$J$2:$J$2701,V$1)</f>
        <v>0</v>
      </c>
      <c r="W84" s="144">
        <f>SUMIFS('март 2026'!$G$2:$G$2701,'март 2026'!$D$2:$D$2701,$B84,'март 2026'!$J$2:$J$2701,W$1)</f>
        <v>0</v>
      </c>
      <c r="X84" s="144">
        <f>SUMIFS('март 2026'!$G$2:$G$2701,'март 2026'!$D$2:$D$2701,$B84,'март 2026'!$J$2:$J$2701,X$1)</f>
        <v>0</v>
      </c>
      <c r="Y84" s="144">
        <f>SUMIFS('март 2026'!$G$2:$G$2701,'март 2026'!$D$2:$D$2701,$B84,'март 2026'!$J$2:$J$2701,Y$1)</f>
        <v>0</v>
      </c>
      <c r="Z84" s="144">
        <f>SUMIFS('март 2026'!$G$2:$G$2701,'март 2026'!$D$2:$D$2701,$B84,'март 2026'!$J$2:$J$2701,Z$1)</f>
        <v>0</v>
      </c>
      <c r="AA84" s="144">
        <f>SUMIFS('март 2026'!$G$2:$G$2701,'март 2026'!$D$2:$D$2701,$B84,'март 2026'!$J$2:$J$2701,AA$1)</f>
        <v>0</v>
      </c>
      <c r="AB84" s="144">
        <f>SUMIFS('март 2026'!$G$2:$G$2701,'март 2026'!$D$2:$D$2701,$B84,'март 2026'!$J$2:$J$2701,AB$1)</f>
        <v>0</v>
      </c>
      <c r="AC84" s="144">
        <f>SUMIFS('март 2026'!$G$2:$G$2701,'март 2026'!$D$2:$D$2701,$B84,'март 2026'!$J$2:$J$2701,AC$1)</f>
        <v>0</v>
      </c>
      <c r="AD84" s="144">
        <f>SUMIFS('март 2026'!$G$2:$G$2701,'март 2026'!$D$2:$D$2701,$B84,'март 2026'!$J$2:$J$2701,AD$1)</f>
        <v>0</v>
      </c>
      <c r="AE84" s="144">
        <f>SUMIFS('март 2026'!$G$2:$G$2701,'март 2026'!$D$2:$D$2701,$B84,'март 2026'!$J$2:$J$2701,AE$1)</f>
        <v>0</v>
      </c>
      <c r="AF84" s="144">
        <f>SUMIFS('март 2026'!$G$2:$G$2701,'март 2026'!$D$2:$D$2701,$B84,'март 2026'!$J$2:$J$2701,AF$1)</f>
        <v>0</v>
      </c>
      <c r="AG84" s="144">
        <f>SUMIFS('март 2026'!$G$2:$G$2701,'март 2026'!$D$2:$D$2701,$B84,'март 2026'!$J$2:$J$2701,AG$1)</f>
        <v>0</v>
      </c>
      <c r="AH84" s="144">
        <f>SUMIFS('март 2026'!$G$2:$G$2701,'март 2026'!$D$2:$D$2701,$B84,'март 2026'!$J$2:$J$2701,AH$1)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SUMIFS('март 2026'!$G$2:$G$2701,'март 2026'!$D$2:$D$2701,$B85,'март 2026'!$J$2:$J$2701,D$1)</f>
        <v>0</v>
      </c>
      <c r="E85" s="144">
        <f>SUMIFS('март 2026'!$G$2:$G$2701,'март 2026'!$D$2:$D$2701,$B85,'март 2026'!$J$2:$J$2701,E$1)</f>
        <v>0</v>
      </c>
      <c r="F85" s="144">
        <f>SUMIFS('март 2026'!$G$2:$G$2701,'март 2026'!$D$2:$D$2701,$B85,'март 2026'!$J$2:$J$2701,F$1)</f>
        <v>0</v>
      </c>
      <c r="G85" s="144">
        <f>SUMIFS('март 2026'!$G$2:$G$2701,'март 2026'!$D$2:$D$2701,$B85,'март 2026'!$J$2:$J$2701,G$1)</f>
        <v>0</v>
      </c>
      <c r="H85" s="144">
        <f>SUMIFS('март 2026'!$G$2:$G$2701,'март 2026'!$D$2:$D$2701,$B85,'март 2026'!$J$2:$J$2701,H$1)</f>
        <v>0</v>
      </c>
      <c r="I85" s="144">
        <f>SUMIFS('март 2026'!$G$2:$G$2701,'март 2026'!$D$2:$D$2701,$B85,'март 2026'!$J$2:$J$2701,I$1)</f>
        <v>0</v>
      </c>
      <c r="J85" s="144">
        <f>SUMIFS('март 2026'!$G$2:$G$2701,'март 2026'!$D$2:$D$2701,$B85,'март 2026'!$J$2:$J$2701,J$1)</f>
        <v>0</v>
      </c>
      <c r="K85" s="144">
        <f>SUMIFS('март 2026'!$G$2:$G$2701,'март 2026'!$D$2:$D$2701,$B85,'март 2026'!$J$2:$J$2701,K$1)</f>
        <v>0</v>
      </c>
      <c r="L85" s="144">
        <f>SUMIFS('март 2026'!$G$2:$G$2701,'март 2026'!$D$2:$D$2701,$B85,'март 2026'!$J$2:$J$2701,L$1)</f>
        <v>0</v>
      </c>
      <c r="M85" s="144">
        <f>SUMIFS('март 2026'!$G$2:$G$2701,'март 2026'!$D$2:$D$2701,$B85,'март 2026'!$J$2:$J$2701,M$1)</f>
        <v>0</v>
      </c>
      <c r="N85" s="144">
        <f>SUMIFS('март 2026'!$G$2:$G$2701,'март 2026'!$D$2:$D$2701,$B85,'март 2026'!$J$2:$J$2701,N$1)</f>
        <v>0</v>
      </c>
      <c r="O85" s="144">
        <f>SUMIFS('март 2026'!$G$2:$G$2701,'март 2026'!$D$2:$D$2701,$B85,'март 2026'!$J$2:$J$2701,O$1)</f>
        <v>0</v>
      </c>
      <c r="P85" s="144">
        <f>SUMIFS('март 2026'!$G$2:$G$2701,'март 2026'!$D$2:$D$2701,$B85,'март 2026'!$J$2:$J$2701,P$1)</f>
        <v>0</v>
      </c>
      <c r="Q85" s="144">
        <f>SUMIFS('март 2026'!$G$2:$G$2701,'март 2026'!$D$2:$D$2701,$B85,'март 2026'!$J$2:$J$2701,Q$1)</f>
        <v>0</v>
      </c>
      <c r="R85" s="144">
        <f>SUMIFS('март 2026'!$G$2:$G$2701,'март 2026'!$D$2:$D$2701,$B85,'март 2026'!$J$2:$J$2701,R$1)</f>
        <v>0</v>
      </c>
      <c r="S85" s="144">
        <f>SUMIFS('март 2026'!$G$2:$G$2701,'март 2026'!$D$2:$D$2701,$B85,'март 2026'!$J$2:$J$2701,S$1)</f>
        <v>0</v>
      </c>
      <c r="T85" s="144">
        <f>SUMIFS('март 2026'!$G$2:$G$2701,'март 2026'!$D$2:$D$2701,$B85,'март 2026'!$J$2:$J$2701,T$1)</f>
        <v>0</v>
      </c>
      <c r="U85" s="144">
        <f>SUMIFS('март 2026'!$G$2:$G$2701,'март 2026'!$D$2:$D$2701,$B85,'март 2026'!$J$2:$J$2701,U$1)</f>
        <v>0</v>
      </c>
      <c r="V85" s="144">
        <f>SUMIFS('март 2026'!$G$2:$G$2701,'март 2026'!$D$2:$D$2701,$B85,'март 2026'!$J$2:$J$2701,V$1)</f>
        <v>0</v>
      </c>
      <c r="W85" s="144">
        <f>SUMIFS('март 2026'!$G$2:$G$2701,'март 2026'!$D$2:$D$2701,$B85,'март 2026'!$J$2:$J$2701,W$1)</f>
        <v>0</v>
      </c>
      <c r="X85" s="144">
        <f>SUMIFS('март 2026'!$G$2:$G$2701,'март 2026'!$D$2:$D$2701,$B85,'март 2026'!$J$2:$J$2701,X$1)</f>
        <v>0</v>
      </c>
      <c r="Y85" s="144">
        <f>SUMIFS('март 2026'!$G$2:$G$2701,'март 2026'!$D$2:$D$2701,$B85,'март 2026'!$J$2:$J$2701,Y$1)</f>
        <v>0</v>
      </c>
      <c r="Z85" s="144">
        <f>SUMIFS('март 2026'!$G$2:$G$2701,'март 2026'!$D$2:$D$2701,$B85,'март 2026'!$J$2:$J$2701,Z$1)</f>
        <v>0</v>
      </c>
      <c r="AA85" s="144">
        <f>SUMIFS('март 2026'!$G$2:$G$2701,'март 2026'!$D$2:$D$2701,$B85,'март 2026'!$J$2:$J$2701,AA$1)</f>
        <v>0</v>
      </c>
      <c r="AB85" s="144">
        <f>SUMIFS('март 2026'!$G$2:$G$2701,'март 2026'!$D$2:$D$2701,$B85,'март 2026'!$J$2:$J$2701,AB$1)</f>
        <v>0</v>
      </c>
      <c r="AC85" s="144">
        <f>SUMIFS('март 2026'!$G$2:$G$2701,'март 2026'!$D$2:$D$2701,$B85,'март 2026'!$J$2:$J$2701,AC$1)</f>
        <v>0</v>
      </c>
      <c r="AD85" s="144">
        <f>SUMIFS('март 2026'!$G$2:$G$2701,'март 2026'!$D$2:$D$2701,$B85,'март 2026'!$J$2:$J$2701,AD$1)</f>
        <v>0</v>
      </c>
      <c r="AE85" s="144">
        <f>SUMIFS('март 2026'!$G$2:$G$2701,'март 2026'!$D$2:$D$2701,$B85,'март 2026'!$J$2:$J$2701,AE$1)</f>
        <v>0</v>
      </c>
      <c r="AF85" s="144">
        <f>SUMIFS('март 2026'!$G$2:$G$2701,'март 2026'!$D$2:$D$2701,$B85,'март 2026'!$J$2:$J$2701,AF$1)</f>
        <v>0</v>
      </c>
      <c r="AG85" s="144">
        <f>SUMIFS('март 2026'!$G$2:$G$2701,'март 2026'!$D$2:$D$2701,$B85,'март 2026'!$J$2:$J$2701,AG$1)</f>
        <v>0</v>
      </c>
      <c r="AH85" s="144">
        <f>SUMIFS('март 2026'!$G$2:$G$2701,'март 2026'!$D$2:$D$2701,$B85,'март 2026'!$J$2:$J$2701,AH$1)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SUMIFS('март 2026'!$G$2:$G$2701,'март 2026'!$D$2:$D$2701,$B86,'март 2026'!$J$2:$J$2701,D$1)</f>
        <v>0</v>
      </c>
      <c r="E86" s="144">
        <f>SUMIFS('март 2026'!$G$2:$G$2701,'март 2026'!$D$2:$D$2701,$B86,'март 2026'!$J$2:$J$2701,E$1)</f>
        <v>0</v>
      </c>
      <c r="F86" s="144">
        <f>SUMIFS('март 2026'!$G$2:$G$2701,'март 2026'!$D$2:$D$2701,$B86,'март 2026'!$J$2:$J$2701,F$1)</f>
        <v>0</v>
      </c>
      <c r="G86" s="144">
        <f>SUMIFS('март 2026'!$G$2:$G$2701,'март 2026'!$D$2:$D$2701,$B86,'март 2026'!$J$2:$J$2701,G$1)</f>
        <v>0</v>
      </c>
      <c r="H86" s="144">
        <f>SUMIFS('март 2026'!$G$2:$G$2701,'март 2026'!$D$2:$D$2701,$B86,'март 2026'!$J$2:$J$2701,H$1)</f>
        <v>0</v>
      </c>
      <c r="I86" s="144">
        <f>SUMIFS('март 2026'!$G$2:$G$2701,'март 2026'!$D$2:$D$2701,$B86,'март 2026'!$J$2:$J$2701,I$1)</f>
        <v>0</v>
      </c>
      <c r="J86" s="144">
        <f>SUMIFS('март 2026'!$G$2:$G$2701,'март 2026'!$D$2:$D$2701,$B86,'март 2026'!$J$2:$J$2701,J$1)</f>
        <v>0</v>
      </c>
      <c r="K86" s="144">
        <f>SUMIFS('март 2026'!$G$2:$G$2701,'март 2026'!$D$2:$D$2701,$B86,'март 2026'!$J$2:$J$2701,K$1)</f>
        <v>0</v>
      </c>
      <c r="L86" s="144">
        <f>SUMIFS('март 2026'!$G$2:$G$2701,'март 2026'!$D$2:$D$2701,$B86,'март 2026'!$J$2:$J$2701,L$1)</f>
        <v>0</v>
      </c>
      <c r="M86" s="144">
        <f>SUMIFS('март 2026'!$G$2:$G$2701,'март 2026'!$D$2:$D$2701,$B86,'март 2026'!$J$2:$J$2701,M$1)</f>
        <v>0</v>
      </c>
      <c r="N86" s="144">
        <f>SUMIFS('март 2026'!$G$2:$G$2701,'март 2026'!$D$2:$D$2701,$B86,'март 2026'!$J$2:$J$2701,N$1)</f>
        <v>0</v>
      </c>
      <c r="O86" s="144">
        <f>SUMIFS('март 2026'!$G$2:$G$2701,'март 2026'!$D$2:$D$2701,$B86,'март 2026'!$J$2:$J$2701,O$1)</f>
        <v>0</v>
      </c>
      <c r="P86" s="144">
        <f>SUMIFS('март 2026'!$G$2:$G$2701,'март 2026'!$D$2:$D$2701,$B86,'март 2026'!$J$2:$J$2701,P$1)</f>
        <v>0</v>
      </c>
      <c r="Q86" s="144">
        <f>SUMIFS('март 2026'!$G$2:$G$2701,'март 2026'!$D$2:$D$2701,$B86,'март 2026'!$J$2:$J$2701,Q$1)</f>
        <v>0</v>
      </c>
      <c r="R86" s="144">
        <f>SUMIFS('март 2026'!$G$2:$G$2701,'март 2026'!$D$2:$D$2701,$B86,'март 2026'!$J$2:$J$2701,R$1)</f>
        <v>0</v>
      </c>
      <c r="S86" s="144">
        <f>SUMIFS('март 2026'!$G$2:$G$2701,'март 2026'!$D$2:$D$2701,$B86,'март 2026'!$J$2:$J$2701,S$1)</f>
        <v>0</v>
      </c>
      <c r="T86" s="144">
        <f>SUMIFS('март 2026'!$G$2:$G$2701,'март 2026'!$D$2:$D$2701,$B86,'март 2026'!$J$2:$J$2701,T$1)</f>
        <v>0</v>
      </c>
      <c r="U86" s="144">
        <f>SUMIFS('март 2026'!$G$2:$G$2701,'март 2026'!$D$2:$D$2701,$B86,'март 2026'!$J$2:$J$2701,U$1)</f>
        <v>0</v>
      </c>
      <c r="V86" s="144">
        <f>SUMIFS('март 2026'!$G$2:$G$2701,'март 2026'!$D$2:$D$2701,$B86,'март 2026'!$J$2:$J$2701,V$1)</f>
        <v>0</v>
      </c>
      <c r="W86" s="144">
        <f>SUMIFS('март 2026'!$G$2:$G$2701,'март 2026'!$D$2:$D$2701,$B86,'март 2026'!$J$2:$J$2701,W$1)</f>
        <v>0</v>
      </c>
      <c r="X86" s="144">
        <f>SUMIFS('март 2026'!$G$2:$G$2701,'март 2026'!$D$2:$D$2701,$B86,'март 2026'!$J$2:$J$2701,X$1)</f>
        <v>0</v>
      </c>
      <c r="Y86" s="144">
        <f>SUMIFS('март 2026'!$G$2:$G$2701,'март 2026'!$D$2:$D$2701,$B86,'март 2026'!$J$2:$J$2701,Y$1)</f>
        <v>0</v>
      </c>
      <c r="Z86" s="144">
        <f>SUMIFS('март 2026'!$G$2:$G$2701,'март 2026'!$D$2:$D$2701,$B86,'март 2026'!$J$2:$J$2701,Z$1)</f>
        <v>0</v>
      </c>
      <c r="AA86" s="144">
        <f>SUMIFS('март 2026'!$G$2:$G$2701,'март 2026'!$D$2:$D$2701,$B86,'март 2026'!$J$2:$J$2701,AA$1)</f>
        <v>0</v>
      </c>
      <c r="AB86" s="144">
        <f>SUMIFS('март 2026'!$G$2:$G$2701,'март 2026'!$D$2:$D$2701,$B86,'март 2026'!$J$2:$J$2701,AB$1)</f>
        <v>0</v>
      </c>
      <c r="AC86" s="144">
        <f>SUMIFS('март 2026'!$G$2:$G$2701,'март 2026'!$D$2:$D$2701,$B86,'март 2026'!$J$2:$J$2701,AC$1)</f>
        <v>0</v>
      </c>
      <c r="AD86" s="144">
        <f>SUMIFS('март 2026'!$G$2:$G$2701,'март 2026'!$D$2:$D$2701,$B86,'март 2026'!$J$2:$J$2701,AD$1)</f>
        <v>0</v>
      </c>
      <c r="AE86" s="144">
        <f>SUMIFS('март 2026'!$G$2:$G$2701,'март 2026'!$D$2:$D$2701,$B86,'март 2026'!$J$2:$J$2701,AE$1)</f>
        <v>0</v>
      </c>
      <c r="AF86" s="144">
        <f>SUMIFS('март 2026'!$G$2:$G$2701,'март 2026'!$D$2:$D$2701,$B86,'март 2026'!$J$2:$J$2701,AF$1)</f>
        <v>0</v>
      </c>
      <c r="AG86" s="144">
        <f>SUMIFS('март 2026'!$G$2:$G$2701,'март 2026'!$D$2:$D$2701,$B86,'март 2026'!$J$2:$J$2701,AG$1)</f>
        <v>0</v>
      </c>
      <c r="AH86" s="144">
        <f>SUMIFS('март 2026'!$G$2:$G$2701,'март 2026'!$D$2:$D$2701,$B86,'март 2026'!$J$2:$J$2701,AH$1)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SUMIFS('март 2026'!$G$2:$G$2701,'март 2026'!$D$2:$D$2701,$B87,'март 2026'!$J$2:$J$2701,D$1)</f>
        <v>0</v>
      </c>
      <c r="E87" s="144">
        <f>SUMIFS('март 2026'!$G$2:$G$2701,'март 2026'!$D$2:$D$2701,$B87,'март 2026'!$J$2:$J$2701,E$1)</f>
        <v>0</v>
      </c>
      <c r="F87" s="144">
        <f>SUMIFS('март 2026'!$G$2:$G$2701,'март 2026'!$D$2:$D$2701,$B87,'март 2026'!$J$2:$J$2701,F$1)</f>
        <v>0</v>
      </c>
      <c r="G87" s="144">
        <f>SUMIFS('март 2026'!$G$2:$G$2701,'март 2026'!$D$2:$D$2701,$B87,'март 2026'!$J$2:$J$2701,G$1)</f>
        <v>0</v>
      </c>
      <c r="H87" s="144">
        <f>SUMIFS('март 2026'!$G$2:$G$2701,'март 2026'!$D$2:$D$2701,$B87,'март 2026'!$J$2:$J$2701,H$1)</f>
        <v>0</v>
      </c>
      <c r="I87" s="144">
        <f>SUMIFS('март 2026'!$G$2:$G$2701,'март 2026'!$D$2:$D$2701,$B87,'март 2026'!$J$2:$J$2701,I$1)</f>
        <v>0</v>
      </c>
      <c r="J87" s="144">
        <f>SUMIFS('март 2026'!$G$2:$G$2701,'март 2026'!$D$2:$D$2701,$B87,'март 2026'!$J$2:$J$2701,J$1)</f>
        <v>0</v>
      </c>
      <c r="K87" s="144">
        <f>SUMIFS('март 2026'!$G$2:$G$2701,'март 2026'!$D$2:$D$2701,$B87,'март 2026'!$J$2:$J$2701,K$1)</f>
        <v>0</v>
      </c>
      <c r="L87" s="144">
        <f>SUMIFS('март 2026'!$G$2:$G$2701,'март 2026'!$D$2:$D$2701,$B87,'март 2026'!$J$2:$J$2701,L$1)</f>
        <v>0</v>
      </c>
      <c r="M87" s="144">
        <f>SUMIFS('март 2026'!$G$2:$G$2701,'март 2026'!$D$2:$D$2701,$B87,'март 2026'!$J$2:$J$2701,M$1)</f>
        <v>0</v>
      </c>
      <c r="N87" s="144">
        <f>SUMIFS('март 2026'!$G$2:$G$2701,'март 2026'!$D$2:$D$2701,$B87,'март 2026'!$J$2:$J$2701,N$1)</f>
        <v>0</v>
      </c>
      <c r="O87" s="144">
        <f>SUMIFS('март 2026'!$G$2:$G$2701,'март 2026'!$D$2:$D$2701,$B87,'март 2026'!$J$2:$J$2701,O$1)</f>
        <v>0</v>
      </c>
      <c r="P87" s="144">
        <f>SUMIFS('март 2026'!$G$2:$G$2701,'март 2026'!$D$2:$D$2701,$B87,'март 2026'!$J$2:$J$2701,P$1)</f>
        <v>0</v>
      </c>
      <c r="Q87" s="144">
        <f>SUMIFS('март 2026'!$G$2:$G$2701,'март 2026'!$D$2:$D$2701,$B87,'март 2026'!$J$2:$J$2701,Q$1)</f>
        <v>0</v>
      </c>
      <c r="R87" s="144">
        <f>SUMIFS('март 2026'!$G$2:$G$2701,'март 2026'!$D$2:$D$2701,$B87,'март 2026'!$J$2:$J$2701,R$1)</f>
        <v>0</v>
      </c>
      <c r="S87" s="144">
        <f>SUMIFS('март 2026'!$G$2:$G$2701,'март 2026'!$D$2:$D$2701,$B87,'март 2026'!$J$2:$J$2701,S$1)</f>
        <v>0</v>
      </c>
      <c r="T87" s="144">
        <f>SUMIFS('март 2026'!$G$2:$G$2701,'март 2026'!$D$2:$D$2701,$B87,'март 2026'!$J$2:$J$2701,T$1)</f>
        <v>0</v>
      </c>
      <c r="U87" s="144">
        <f>SUMIFS('март 2026'!$G$2:$G$2701,'март 2026'!$D$2:$D$2701,$B87,'март 2026'!$J$2:$J$2701,U$1)</f>
        <v>0</v>
      </c>
      <c r="V87" s="144">
        <f>SUMIFS('март 2026'!$G$2:$G$2701,'март 2026'!$D$2:$D$2701,$B87,'март 2026'!$J$2:$J$2701,V$1)</f>
        <v>0</v>
      </c>
      <c r="W87" s="144">
        <f>SUMIFS('март 2026'!$G$2:$G$2701,'март 2026'!$D$2:$D$2701,$B87,'март 2026'!$J$2:$J$2701,W$1)</f>
        <v>0</v>
      </c>
      <c r="X87" s="144">
        <f>SUMIFS('март 2026'!$G$2:$G$2701,'март 2026'!$D$2:$D$2701,$B87,'март 2026'!$J$2:$J$2701,X$1)</f>
        <v>0</v>
      </c>
      <c r="Y87" s="144">
        <f>SUMIFS('март 2026'!$G$2:$G$2701,'март 2026'!$D$2:$D$2701,$B87,'март 2026'!$J$2:$J$2701,Y$1)</f>
        <v>0</v>
      </c>
      <c r="Z87" s="144">
        <f>SUMIFS('март 2026'!$G$2:$G$2701,'март 2026'!$D$2:$D$2701,$B87,'март 2026'!$J$2:$J$2701,Z$1)</f>
        <v>0</v>
      </c>
      <c r="AA87" s="144">
        <f>SUMIFS('март 2026'!$G$2:$G$2701,'март 2026'!$D$2:$D$2701,$B87,'март 2026'!$J$2:$J$2701,AA$1)</f>
        <v>0</v>
      </c>
      <c r="AB87" s="144">
        <f>SUMIFS('март 2026'!$G$2:$G$2701,'март 2026'!$D$2:$D$2701,$B87,'март 2026'!$J$2:$J$2701,AB$1)</f>
        <v>0</v>
      </c>
      <c r="AC87" s="144">
        <f>SUMIFS('март 2026'!$G$2:$G$2701,'март 2026'!$D$2:$D$2701,$B87,'март 2026'!$J$2:$J$2701,AC$1)</f>
        <v>0</v>
      </c>
      <c r="AD87" s="144">
        <f>SUMIFS('март 2026'!$G$2:$G$2701,'март 2026'!$D$2:$D$2701,$B87,'март 2026'!$J$2:$J$2701,AD$1)</f>
        <v>0</v>
      </c>
      <c r="AE87" s="144">
        <f>SUMIFS('март 2026'!$G$2:$G$2701,'март 2026'!$D$2:$D$2701,$B87,'март 2026'!$J$2:$J$2701,AE$1)</f>
        <v>0</v>
      </c>
      <c r="AF87" s="144">
        <f>SUMIFS('март 2026'!$G$2:$G$2701,'март 2026'!$D$2:$D$2701,$B87,'март 2026'!$J$2:$J$2701,AF$1)</f>
        <v>0</v>
      </c>
      <c r="AG87" s="144">
        <f>SUMIFS('март 2026'!$G$2:$G$2701,'март 2026'!$D$2:$D$2701,$B87,'март 2026'!$J$2:$J$2701,AG$1)</f>
        <v>0</v>
      </c>
      <c r="AH87" s="144">
        <f>SUMIFS('март 2026'!$G$2:$G$2701,'март 2026'!$D$2:$D$2701,$B87,'март 2026'!$J$2:$J$2701,AH$1)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SUMIFS('март 2026'!$G$2:$G$2701,'март 2026'!$D$2:$D$2701,$B88,'март 2026'!$J$2:$J$2701,D$1)</f>
        <v>0</v>
      </c>
      <c r="E88" s="144">
        <f>SUMIFS('март 2026'!$G$2:$G$2701,'март 2026'!$D$2:$D$2701,$B88,'март 2026'!$J$2:$J$2701,E$1)</f>
        <v>0</v>
      </c>
      <c r="F88" s="144">
        <f>SUMIFS('март 2026'!$G$2:$G$2701,'март 2026'!$D$2:$D$2701,$B88,'март 2026'!$J$2:$J$2701,F$1)</f>
        <v>0</v>
      </c>
      <c r="G88" s="144">
        <f>SUMIFS('март 2026'!$G$2:$G$2701,'март 2026'!$D$2:$D$2701,$B88,'март 2026'!$J$2:$J$2701,G$1)</f>
        <v>0</v>
      </c>
      <c r="H88" s="144">
        <f>SUMIFS('март 2026'!$G$2:$G$2701,'март 2026'!$D$2:$D$2701,$B88,'март 2026'!$J$2:$J$2701,H$1)</f>
        <v>0</v>
      </c>
      <c r="I88" s="144">
        <f>SUMIFS('март 2026'!$G$2:$G$2701,'март 2026'!$D$2:$D$2701,$B88,'март 2026'!$J$2:$J$2701,I$1)</f>
        <v>0</v>
      </c>
      <c r="J88" s="144">
        <f>SUMIFS('март 2026'!$G$2:$G$2701,'март 2026'!$D$2:$D$2701,$B88,'март 2026'!$J$2:$J$2701,J$1)</f>
        <v>0</v>
      </c>
      <c r="K88" s="144">
        <f>SUMIFS('март 2026'!$G$2:$G$2701,'март 2026'!$D$2:$D$2701,$B88,'март 2026'!$J$2:$J$2701,K$1)</f>
        <v>0</v>
      </c>
      <c r="L88" s="144">
        <f>SUMIFS('март 2026'!$G$2:$G$2701,'март 2026'!$D$2:$D$2701,$B88,'март 2026'!$J$2:$J$2701,L$1)</f>
        <v>0</v>
      </c>
      <c r="M88" s="144">
        <f>SUMIFS('март 2026'!$G$2:$G$2701,'март 2026'!$D$2:$D$2701,$B88,'март 2026'!$J$2:$J$2701,M$1)</f>
        <v>0</v>
      </c>
      <c r="N88" s="144">
        <f>SUMIFS('март 2026'!$G$2:$G$2701,'март 2026'!$D$2:$D$2701,$B88,'март 2026'!$J$2:$J$2701,N$1)</f>
        <v>0</v>
      </c>
      <c r="O88" s="144">
        <f>SUMIFS('март 2026'!$G$2:$G$2701,'март 2026'!$D$2:$D$2701,$B88,'март 2026'!$J$2:$J$2701,O$1)</f>
        <v>0</v>
      </c>
      <c r="P88" s="144">
        <f>SUMIFS('март 2026'!$G$2:$G$2701,'март 2026'!$D$2:$D$2701,$B88,'март 2026'!$J$2:$J$2701,P$1)</f>
        <v>0</v>
      </c>
      <c r="Q88" s="144">
        <f>SUMIFS('март 2026'!$G$2:$G$2701,'март 2026'!$D$2:$D$2701,$B88,'март 2026'!$J$2:$J$2701,Q$1)</f>
        <v>0</v>
      </c>
      <c r="R88" s="144">
        <f>SUMIFS('март 2026'!$G$2:$G$2701,'март 2026'!$D$2:$D$2701,$B88,'март 2026'!$J$2:$J$2701,R$1)</f>
        <v>0</v>
      </c>
      <c r="S88" s="144">
        <f>SUMIFS('март 2026'!$G$2:$G$2701,'март 2026'!$D$2:$D$2701,$B88,'март 2026'!$J$2:$J$2701,S$1)</f>
        <v>0</v>
      </c>
      <c r="T88" s="144">
        <f>SUMIFS('март 2026'!$G$2:$G$2701,'март 2026'!$D$2:$D$2701,$B88,'март 2026'!$J$2:$J$2701,T$1)</f>
        <v>0</v>
      </c>
      <c r="U88" s="144">
        <f>SUMIFS('март 2026'!$G$2:$G$2701,'март 2026'!$D$2:$D$2701,$B88,'март 2026'!$J$2:$J$2701,U$1)</f>
        <v>0</v>
      </c>
      <c r="V88" s="144">
        <f>SUMIFS('март 2026'!$G$2:$G$2701,'март 2026'!$D$2:$D$2701,$B88,'март 2026'!$J$2:$J$2701,V$1)</f>
        <v>0</v>
      </c>
      <c r="W88" s="144">
        <f>SUMIFS('март 2026'!$G$2:$G$2701,'март 2026'!$D$2:$D$2701,$B88,'март 2026'!$J$2:$J$2701,W$1)</f>
        <v>0</v>
      </c>
      <c r="X88" s="144">
        <f>SUMIFS('март 2026'!$G$2:$G$2701,'март 2026'!$D$2:$D$2701,$B88,'март 2026'!$J$2:$J$2701,X$1)</f>
        <v>0</v>
      </c>
      <c r="Y88" s="144">
        <f>SUMIFS('март 2026'!$G$2:$G$2701,'март 2026'!$D$2:$D$2701,$B88,'март 2026'!$J$2:$J$2701,Y$1)</f>
        <v>0</v>
      </c>
      <c r="Z88" s="144">
        <f>SUMIFS('март 2026'!$G$2:$G$2701,'март 2026'!$D$2:$D$2701,$B88,'март 2026'!$J$2:$J$2701,Z$1)</f>
        <v>0</v>
      </c>
      <c r="AA88" s="144">
        <f>SUMIFS('март 2026'!$G$2:$G$2701,'март 2026'!$D$2:$D$2701,$B88,'март 2026'!$J$2:$J$2701,AA$1)</f>
        <v>0</v>
      </c>
      <c r="AB88" s="144">
        <f>SUMIFS('март 2026'!$G$2:$G$2701,'март 2026'!$D$2:$D$2701,$B88,'март 2026'!$J$2:$J$2701,AB$1)</f>
        <v>0</v>
      </c>
      <c r="AC88" s="144">
        <f>SUMIFS('март 2026'!$G$2:$G$2701,'март 2026'!$D$2:$D$2701,$B88,'март 2026'!$J$2:$J$2701,AC$1)</f>
        <v>0</v>
      </c>
      <c r="AD88" s="144">
        <f>SUMIFS('март 2026'!$G$2:$G$2701,'март 2026'!$D$2:$D$2701,$B88,'март 2026'!$J$2:$J$2701,AD$1)</f>
        <v>0</v>
      </c>
      <c r="AE88" s="144">
        <f>SUMIFS('март 2026'!$G$2:$G$2701,'март 2026'!$D$2:$D$2701,$B88,'март 2026'!$J$2:$J$2701,AE$1)</f>
        <v>0</v>
      </c>
      <c r="AF88" s="144">
        <f>SUMIFS('март 2026'!$G$2:$G$2701,'март 2026'!$D$2:$D$2701,$B88,'март 2026'!$J$2:$J$2701,AF$1)</f>
        <v>0</v>
      </c>
      <c r="AG88" s="144">
        <f>SUMIFS('март 2026'!$G$2:$G$2701,'март 2026'!$D$2:$D$2701,$B88,'март 2026'!$J$2:$J$2701,AG$1)</f>
        <v>0</v>
      </c>
      <c r="AH88" s="144">
        <f>SUMIFS('март 2026'!$G$2:$G$2701,'март 2026'!$D$2:$D$2701,$B88,'март 2026'!$J$2:$J$2701,AH$1)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SUMIFS('март 2026'!$G$2:$G$2701,'март 2026'!$D$2:$D$2701,$B89,'март 2026'!$J$2:$J$2701,D$1)</f>
        <v>0</v>
      </c>
      <c r="E89" s="144">
        <f>SUMIFS('март 2026'!$G$2:$G$2701,'март 2026'!$D$2:$D$2701,$B89,'март 2026'!$J$2:$J$2701,E$1)</f>
        <v>0</v>
      </c>
      <c r="F89" s="144">
        <f>SUMIFS('март 2026'!$G$2:$G$2701,'март 2026'!$D$2:$D$2701,$B89,'март 2026'!$J$2:$J$2701,F$1)</f>
        <v>0</v>
      </c>
      <c r="G89" s="144">
        <f>SUMIFS('март 2026'!$G$2:$G$2701,'март 2026'!$D$2:$D$2701,$B89,'март 2026'!$J$2:$J$2701,G$1)</f>
        <v>0</v>
      </c>
      <c r="H89" s="144">
        <f>SUMIFS('март 2026'!$G$2:$G$2701,'март 2026'!$D$2:$D$2701,$B89,'март 2026'!$J$2:$J$2701,H$1)</f>
        <v>0</v>
      </c>
      <c r="I89" s="144">
        <f>SUMIFS('март 2026'!$G$2:$G$2701,'март 2026'!$D$2:$D$2701,$B89,'март 2026'!$J$2:$J$2701,I$1)</f>
        <v>0</v>
      </c>
      <c r="J89" s="144">
        <f>SUMIFS('март 2026'!$G$2:$G$2701,'март 2026'!$D$2:$D$2701,$B89,'март 2026'!$J$2:$J$2701,J$1)</f>
        <v>0</v>
      </c>
      <c r="K89" s="144">
        <f>SUMIFS('март 2026'!$G$2:$G$2701,'март 2026'!$D$2:$D$2701,$B89,'март 2026'!$J$2:$J$2701,K$1)</f>
        <v>0</v>
      </c>
      <c r="L89" s="144">
        <f>SUMIFS('март 2026'!$G$2:$G$2701,'март 2026'!$D$2:$D$2701,$B89,'март 2026'!$J$2:$J$2701,L$1)</f>
        <v>0</v>
      </c>
      <c r="M89" s="144">
        <f>SUMIFS('март 2026'!$G$2:$G$2701,'март 2026'!$D$2:$D$2701,$B89,'март 2026'!$J$2:$J$2701,M$1)</f>
        <v>0</v>
      </c>
      <c r="N89" s="144">
        <f>SUMIFS('март 2026'!$G$2:$G$2701,'март 2026'!$D$2:$D$2701,$B89,'март 2026'!$J$2:$J$2701,N$1)</f>
        <v>0</v>
      </c>
      <c r="O89" s="144">
        <f>SUMIFS('март 2026'!$G$2:$G$2701,'март 2026'!$D$2:$D$2701,$B89,'март 2026'!$J$2:$J$2701,O$1)</f>
        <v>0</v>
      </c>
      <c r="P89" s="144">
        <f>SUMIFS('март 2026'!$G$2:$G$2701,'март 2026'!$D$2:$D$2701,$B89,'март 2026'!$J$2:$J$2701,P$1)</f>
        <v>0</v>
      </c>
      <c r="Q89" s="144">
        <f>SUMIFS('март 2026'!$G$2:$G$2701,'март 2026'!$D$2:$D$2701,$B89,'март 2026'!$J$2:$J$2701,Q$1)</f>
        <v>0</v>
      </c>
      <c r="R89" s="144">
        <f>SUMIFS('март 2026'!$G$2:$G$2701,'март 2026'!$D$2:$D$2701,$B89,'март 2026'!$J$2:$J$2701,R$1)</f>
        <v>0</v>
      </c>
      <c r="S89" s="144">
        <f>SUMIFS('март 2026'!$G$2:$G$2701,'март 2026'!$D$2:$D$2701,$B89,'март 2026'!$J$2:$J$2701,S$1)</f>
        <v>0</v>
      </c>
      <c r="T89" s="144">
        <f>SUMIFS('март 2026'!$G$2:$G$2701,'март 2026'!$D$2:$D$2701,$B89,'март 2026'!$J$2:$J$2701,T$1)</f>
        <v>0</v>
      </c>
      <c r="U89" s="144">
        <f>SUMIFS('март 2026'!$G$2:$G$2701,'март 2026'!$D$2:$D$2701,$B89,'март 2026'!$J$2:$J$2701,U$1)</f>
        <v>0</v>
      </c>
      <c r="V89" s="144">
        <f>SUMIFS('март 2026'!$G$2:$G$2701,'март 2026'!$D$2:$D$2701,$B89,'март 2026'!$J$2:$J$2701,V$1)</f>
        <v>0</v>
      </c>
      <c r="W89" s="144">
        <f>SUMIFS('март 2026'!$G$2:$G$2701,'март 2026'!$D$2:$D$2701,$B89,'март 2026'!$J$2:$J$2701,W$1)</f>
        <v>0</v>
      </c>
      <c r="X89" s="144">
        <f>SUMIFS('март 2026'!$G$2:$G$2701,'март 2026'!$D$2:$D$2701,$B89,'март 2026'!$J$2:$J$2701,X$1)</f>
        <v>0</v>
      </c>
      <c r="Y89" s="144">
        <f>SUMIFS('март 2026'!$G$2:$G$2701,'март 2026'!$D$2:$D$2701,$B89,'март 2026'!$J$2:$J$2701,Y$1)</f>
        <v>0</v>
      </c>
      <c r="Z89" s="144">
        <f>SUMIFS('март 2026'!$G$2:$G$2701,'март 2026'!$D$2:$D$2701,$B89,'март 2026'!$J$2:$J$2701,Z$1)</f>
        <v>0</v>
      </c>
      <c r="AA89" s="144">
        <f>SUMIFS('март 2026'!$G$2:$G$2701,'март 2026'!$D$2:$D$2701,$B89,'март 2026'!$J$2:$J$2701,AA$1)</f>
        <v>0</v>
      </c>
      <c r="AB89" s="144">
        <f>SUMIFS('март 2026'!$G$2:$G$2701,'март 2026'!$D$2:$D$2701,$B89,'март 2026'!$J$2:$J$2701,AB$1)</f>
        <v>0</v>
      </c>
      <c r="AC89" s="144">
        <f>SUMIFS('март 2026'!$G$2:$G$2701,'март 2026'!$D$2:$D$2701,$B89,'март 2026'!$J$2:$J$2701,AC$1)</f>
        <v>0</v>
      </c>
      <c r="AD89" s="144">
        <f>SUMIFS('март 2026'!$G$2:$G$2701,'март 2026'!$D$2:$D$2701,$B89,'март 2026'!$J$2:$J$2701,AD$1)</f>
        <v>0</v>
      </c>
      <c r="AE89" s="144">
        <f>SUMIFS('март 2026'!$G$2:$G$2701,'март 2026'!$D$2:$D$2701,$B89,'март 2026'!$J$2:$J$2701,AE$1)</f>
        <v>0</v>
      </c>
      <c r="AF89" s="144">
        <f>SUMIFS('март 2026'!$G$2:$G$2701,'март 2026'!$D$2:$D$2701,$B89,'март 2026'!$J$2:$J$2701,AF$1)</f>
        <v>0</v>
      </c>
      <c r="AG89" s="144">
        <f>SUMIFS('март 2026'!$G$2:$G$2701,'март 2026'!$D$2:$D$2701,$B89,'март 2026'!$J$2:$J$2701,AG$1)</f>
        <v>0</v>
      </c>
      <c r="AH89" s="144">
        <f>SUMIFS('март 2026'!$G$2:$G$2701,'март 2026'!$D$2:$D$2701,$B89,'март 2026'!$J$2:$J$2701,AH$1)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SUMIFS('март 2026'!$G$2:$G$2701,'март 2026'!$D$2:$D$2701,$B90,'март 2026'!$J$2:$J$2701,D$1)</f>
        <v>0</v>
      </c>
      <c r="E90" s="144">
        <f>SUMIFS('март 2026'!$G$2:$G$2701,'март 2026'!$D$2:$D$2701,$B90,'март 2026'!$J$2:$J$2701,E$1)</f>
        <v>0</v>
      </c>
      <c r="F90" s="144">
        <f>SUMIFS('март 2026'!$G$2:$G$2701,'март 2026'!$D$2:$D$2701,$B90,'март 2026'!$J$2:$J$2701,F$1)</f>
        <v>0</v>
      </c>
      <c r="G90" s="144">
        <f>SUMIFS('март 2026'!$G$2:$G$2701,'март 2026'!$D$2:$D$2701,$B90,'март 2026'!$J$2:$J$2701,G$1)</f>
        <v>0</v>
      </c>
      <c r="H90" s="144">
        <f>SUMIFS('март 2026'!$G$2:$G$2701,'март 2026'!$D$2:$D$2701,$B90,'март 2026'!$J$2:$J$2701,H$1)</f>
        <v>0</v>
      </c>
      <c r="I90" s="144">
        <f>SUMIFS('март 2026'!$G$2:$G$2701,'март 2026'!$D$2:$D$2701,$B90,'март 2026'!$J$2:$J$2701,I$1)</f>
        <v>0</v>
      </c>
      <c r="J90" s="144">
        <f>SUMIFS('март 2026'!$G$2:$G$2701,'март 2026'!$D$2:$D$2701,$B90,'март 2026'!$J$2:$J$2701,J$1)</f>
        <v>0</v>
      </c>
      <c r="K90" s="144">
        <f>SUMIFS('март 2026'!$G$2:$G$2701,'март 2026'!$D$2:$D$2701,$B90,'март 2026'!$J$2:$J$2701,K$1)</f>
        <v>0</v>
      </c>
      <c r="L90" s="144">
        <f>SUMIFS('март 2026'!$G$2:$G$2701,'март 2026'!$D$2:$D$2701,$B90,'март 2026'!$J$2:$J$2701,L$1)</f>
        <v>0</v>
      </c>
      <c r="M90" s="144">
        <f>SUMIFS('март 2026'!$G$2:$G$2701,'март 2026'!$D$2:$D$2701,$B90,'март 2026'!$J$2:$J$2701,M$1)</f>
        <v>0</v>
      </c>
      <c r="N90" s="144">
        <f>SUMIFS('март 2026'!$G$2:$G$2701,'март 2026'!$D$2:$D$2701,$B90,'март 2026'!$J$2:$J$2701,N$1)</f>
        <v>0</v>
      </c>
      <c r="O90" s="144">
        <f>SUMIFS('март 2026'!$G$2:$G$2701,'март 2026'!$D$2:$D$2701,$B90,'март 2026'!$J$2:$J$2701,O$1)</f>
        <v>0</v>
      </c>
      <c r="P90" s="144">
        <f>SUMIFS('март 2026'!$G$2:$G$2701,'март 2026'!$D$2:$D$2701,$B90,'март 2026'!$J$2:$J$2701,P$1)</f>
        <v>0</v>
      </c>
      <c r="Q90" s="144">
        <f>SUMIFS('март 2026'!$G$2:$G$2701,'март 2026'!$D$2:$D$2701,$B90,'март 2026'!$J$2:$J$2701,Q$1)</f>
        <v>0</v>
      </c>
      <c r="R90" s="144">
        <f>SUMIFS('март 2026'!$G$2:$G$2701,'март 2026'!$D$2:$D$2701,$B90,'март 2026'!$J$2:$J$2701,R$1)</f>
        <v>0</v>
      </c>
      <c r="S90" s="144">
        <f>SUMIFS('март 2026'!$G$2:$G$2701,'март 2026'!$D$2:$D$2701,$B90,'март 2026'!$J$2:$J$2701,S$1)</f>
        <v>0</v>
      </c>
      <c r="T90" s="144">
        <f>SUMIFS('март 2026'!$G$2:$G$2701,'март 2026'!$D$2:$D$2701,$B90,'март 2026'!$J$2:$J$2701,T$1)</f>
        <v>0</v>
      </c>
      <c r="U90" s="144">
        <f>SUMIFS('март 2026'!$G$2:$G$2701,'март 2026'!$D$2:$D$2701,$B90,'март 2026'!$J$2:$J$2701,U$1)</f>
        <v>0</v>
      </c>
      <c r="V90" s="144">
        <f>SUMIFS('март 2026'!$G$2:$G$2701,'март 2026'!$D$2:$D$2701,$B90,'март 2026'!$J$2:$J$2701,V$1)</f>
        <v>0</v>
      </c>
      <c r="W90" s="144">
        <f>SUMIFS('март 2026'!$G$2:$G$2701,'март 2026'!$D$2:$D$2701,$B90,'март 2026'!$J$2:$J$2701,W$1)</f>
        <v>0</v>
      </c>
      <c r="X90" s="144">
        <f>SUMIFS('март 2026'!$G$2:$G$2701,'март 2026'!$D$2:$D$2701,$B90,'март 2026'!$J$2:$J$2701,X$1)</f>
        <v>0</v>
      </c>
      <c r="Y90" s="144">
        <f>SUMIFS('март 2026'!$G$2:$G$2701,'март 2026'!$D$2:$D$2701,$B90,'март 2026'!$J$2:$J$2701,Y$1)</f>
        <v>0</v>
      </c>
      <c r="Z90" s="144">
        <f>SUMIFS('март 2026'!$G$2:$G$2701,'март 2026'!$D$2:$D$2701,$B90,'март 2026'!$J$2:$J$2701,Z$1)</f>
        <v>0</v>
      </c>
      <c r="AA90" s="144">
        <f>SUMIFS('март 2026'!$G$2:$G$2701,'март 2026'!$D$2:$D$2701,$B90,'март 2026'!$J$2:$J$2701,AA$1)</f>
        <v>0</v>
      </c>
      <c r="AB90" s="144">
        <f>SUMIFS('март 2026'!$G$2:$G$2701,'март 2026'!$D$2:$D$2701,$B90,'март 2026'!$J$2:$J$2701,AB$1)</f>
        <v>0</v>
      </c>
      <c r="AC90" s="144">
        <f>SUMIFS('март 2026'!$G$2:$G$2701,'март 2026'!$D$2:$D$2701,$B90,'март 2026'!$J$2:$J$2701,AC$1)</f>
        <v>0</v>
      </c>
      <c r="AD90" s="144">
        <f>SUMIFS('март 2026'!$G$2:$G$2701,'март 2026'!$D$2:$D$2701,$B90,'март 2026'!$J$2:$J$2701,AD$1)</f>
        <v>0</v>
      </c>
      <c r="AE90" s="144">
        <f>SUMIFS('март 2026'!$G$2:$G$2701,'март 2026'!$D$2:$D$2701,$B90,'март 2026'!$J$2:$J$2701,AE$1)</f>
        <v>0</v>
      </c>
      <c r="AF90" s="144">
        <f>SUMIFS('март 2026'!$G$2:$G$2701,'март 2026'!$D$2:$D$2701,$B90,'март 2026'!$J$2:$J$2701,AF$1)</f>
        <v>0</v>
      </c>
      <c r="AG90" s="144">
        <f>SUMIFS('март 2026'!$G$2:$G$2701,'март 2026'!$D$2:$D$2701,$B90,'март 2026'!$J$2:$J$2701,AG$1)</f>
        <v>0</v>
      </c>
      <c r="AH90" s="144">
        <f>SUMIFS('март 2026'!$G$2:$G$2701,'март 2026'!$D$2:$D$2701,$B90,'март 2026'!$J$2:$J$2701,AH$1)</f>
        <v>0</v>
      </c>
      <c r="AI90" s="20">
        <f t="shared" si="1"/>
        <v>0</v>
      </c>
    </row>
    <row r="91" spans="2:35" ht="15" customHeight="1" x14ac:dyDescent="0.25">
      <c r="B91" s="85" t="s">
        <v>346</v>
      </c>
      <c r="C91" s="83">
        <v>215.5</v>
      </c>
      <c r="D91" s="144">
        <f>SUMIFS('март 2026'!$G$2:$G$2701,'март 2026'!$D$2:$D$2701,$B91,'март 2026'!$J$2:$J$2701,D$1)</f>
        <v>0</v>
      </c>
      <c r="E91" s="144">
        <f>SUMIFS('март 2026'!$G$2:$G$2701,'март 2026'!$D$2:$D$2701,$B91,'март 2026'!$J$2:$J$2701,E$1)</f>
        <v>0</v>
      </c>
      <c r="F91" s="144">
        <f>SUMIFS('март 2026'!$G$2:$G$2701,'март 2026'!$D$2:$D$2701,$B91,'март 2026'!$J$2:$J$2701,F$1)</f>
        <v>0</v>
      </c>
      <c r="G91" s="144">
        <f>SUMIFS('март 2026'!$G$2:$G$2701,'март 2026'!$D$2:$D$2701,$B91,'март 2026'!$J$2:$J$2701,G$1)</f>
        <v>0</v>
      </c>
      <c r="H91" s="144">
        <f>SUMIFS('март 2026'!$G$2:$G$2701,'март 2026'!$D$2:$D$2701,$B91,'март 2026'!$J$2:$J$2701,H$1)</f>
        <v>0</v>
      </c>
      <c r="I91" s="144">
        <f>SUMIFS('март 2026'!$G$2:$G$2701,'март 2026'!$D$2:$D$2701,$B91,'март 2026'!$J$2:$J$2701,I$1)</f>
        <v>0</v>
      </c>
      <c r="J91" s="144">
        <f>SUMIFS('март 2026'!$G$2:$G$2701,'март 2026'!$D$2:$D$2701,$B91,'март 2026'!$J$2:$J$2701,J$1)</f>
        <v>0</v>
      </c>
      <c r="K91" s="144">
        <f>SUMIFS('март 2026'!$G$2:$G$2701,'март 2026'!$D$2:$D$2701,$B91,'март 2026'!$J$2:$J$2701,K$1)</f>
        <v>0</v>
      </c>
      <c r="L91" s="144">
        <f>SUMIFS('март 2026'!$G$2:$G$2701,'март 2026'!$D$2:$D$2701,$B91,'март 2026'!$J$2:$J$2701,L$1)</f>
        <v>0</v>
      </c>
      <c r="M91" s="144">
        <f>SUMIFS('март 2026'!$G$2:$G$2701,'март 2026'!$D$2:$D$2701,$B91,'март 2026'!$J$2:$J$2701,M$1)</f>
        <v>0</v>
      </c>
      <c r="N91" s="144">
        <f>SUMIFS('март 2026'!$G$2:$G$2701,'март 2026'!$D$2:$D$2701,$B91,'март 2026'!$J$2:$J$2701,N$1)</f>
        <v>0</v>
      </c>
      <c r="O91" s="144">
        <f>SUMIFS('март 2026'!$G$2:$G$2701,'март 2026'!$D$2:$D$2701,$B91,'март 2026'!$J$2:$J$2701,O$1)</f>
        <v>0</v>
      </c>
      <c r="P91" s="144">
        <f>SUMIFS('март 2026'!$G$2:$G$2701,'март 2026'!$D$2:$D$2701,$B91,'март 2026'!$J$2:$J$2701,P$1)</f>
        <v>0</v>
      </c>
      <c r="Q91" s="144">
        <f>SUMIFS('март 2026'!$G$2:$G$2701,'март 2026'!$D$2:$D$2701,$B91,'март 2026'!$J$2:$J$2701,Q$1)</f>
        <v>0</v>
      </c>
      <c r="R91" s="144">
        <f>SUMIFS('март 2026'!$G$2:$G$2701,'март 2026'!$D$2:$D$2701,$B91,'март 2026'!$J$2:$J$2701,R$1)</f>
        <v>0</v>
      </c>
      <c r="S91" s="144">
        <f>SUMIFS('март 2026'!$G$2:$G$2701,'март 2026'!$D$2:$D$2701,$B91,'март 2026'!$J$2:$J$2701,S$1)</f>
        <v>0</v>
      </c>
      <c r="T91" s="144">
        <f>SUMIFS('март 2026'!$G$2:$G$2701,'март 2026'!$D$2:$D$2701,$B91,'март 2026'!$J$2:$J$2701,T$1)</f>
        <v>0</v>
      </c>
      <c r="U91" s="144">
        <f>SUMIFS('март 2026'!$G$2:$G$2701,'март 2026'!$D$2:$D$2701,$B91,'март 2026'!$J$2:$J$2701,U$1)</f>
        <v>0</v>
      </c>
      <c r="V91" s="144">
        <f>SUMIFS('март 2026'!$G$2:$G$2701,'март 2026'!$D$2:$D$2701,$B91,'март 2026'!$J$2:$J$2701,V$1)</f>
        <v>0</v>
      </c>
      <c r="W91" s="144">
        <f>SUMIFS('март 2026'!$G$2:$G$2701,'март 2026'!$D$2:$D$2701,$B91,'март 2026'!$J$2:$J$2701,W$1)</f>
        <v>0</v>
      </c>
      <c r="X91" s="144">
        <f>SUMIFS('март 2026'!$G$2:$G$2701,'март 2026'!$D$2:$D$2701,$B91,'март 2026'!$J$2:$J$2701,X$1)</f>
        <v>0</v>
      </c>
      <c r="Y91" s="144">
        <f>SUMIFS('март 2026'!$G$2:$G$2701,'март 2026'!$D$2:$D$2701,$B91,'март 2026'!$J$2:$J$2701,Y$1)</f>
        <v>0</v>
      </c>
      <c r="Z91" s="144">
        <f>SUMIFS('март 2026'!$G$2:$G$2701,'март 2026'!$D$2:$D$2701,$B91,'март 2026'!$J$2:$J$2701,Z$1)</f>
        <v>0</v>
      </c>
      <c r="AA91" s="144">
        <f>SUMIFS('март 2026'!$G$2:$G$2701,'март 2026'!$D$2:$D$2701,$B91,'март 2026'!$J$2:$J$2701,AA$1)</f>
        <v>0</v>
      </c>
      <c r="AB91" s="144">
        <f>SUMIFS('март 2026'!$G$2:$G$2701,'март 2026'!$D$2:$D$2701,$B91,'март 2026'!$J$2:$J$2701,AB$1)</f>
        <v>0</v>
      </c>
      <c r="AC91" s="144">
        <f>SUMIFS('март 2026'!$G$2:$G$2701,'март 2026'!$D$2:$D$2701,$B91,'март 2026'!$J$2:$J$2701,AC$1)</f>
        <v>0</v>
      </c>
      <c r="AD91" s="144">
        <f>SUMIFS('март 2026'!$G$2:$G$2701,'март 2026'!$D$2:$D$2701,$B91,'март 2026'!$J$2:$J$2701,AD$1)</f>
        <v>0</v>
      </c>
      <c r="AE91" s="144">
        <f>SUMIFS('март 2026'!$G$2:$G$2701,'март 2026'!$D$2:$D$2701,$B91,'март 2026'!$J$2:$J$2701,AE$1)</f>
        <v>0</v>
      </c>
      <c r="AF91" s="144">
        <f>SUMIFS('март 2026'!$G$2:$G$2701,'март 2026'!$D$2:$D$2701,$B91,'март 2026'!$J$2:$J$2701,AF$1)</f>
        <v>0</v>
      </c>
      <c r="AG91" s="144">
        <f>SUMIFS('март 2026'!$G$2:$G$2701,'март 2026'!$D$2:$D$2701,$B91,'март 2026'!$J$2:$J$2701,AG$1)</f>
        <v>0</v>
      </c>
      <c r="AH91" s="144">
        <f>SUMIFS('март 2026'!$G$2:$G$2701,'март 2026'!$D$2:$D$2701,$B91,'март 2026'!$J$2:$J$2701,AH$1)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SUMIFS('март 2026'!$G$2:$G$2701,'март 2026'!$D$2:$D$2701,$B92,'март 2026'!$J$2:$J$2701,D$1)</f>
        <v>0</v>
      </c>
      <c r="E92" s="144">
        <f>SUMIFS('март 2026'!$G$2:$G$2701,'март 2026'!$D$2:$D$2701,$B92,'март 2026'!$J$2:$J$2701,E$1)</f>
        <v>0</v>
      </c>
      <c r="F92" s="144">
        <f>SUMIFS('март 2026'!$G$2:$G$2701,'март 2026'!$D$2:$D$2701,$B92,'март 2026'!$J$2:$J$2701,F$1)</f>
        <v>0</v>
      </c>
      <c r="G92" s="144">
        <f>SUMIFS('март 2026'!$G$2:$G$2701,'март 2026'!$D$2:$D$2701,$B92,'март 2026'!$J$2:$J$2701,G$1)</f>
        <v>0</v>
      </c>
      <c r="H92" s="144">
        <f>SUMIFS('март 2026'!$G$2:$G$2701,'март 2026'!$D$2:$D$2701,$B92,'март 2026'!$J$2:$J$2701,H$1)</f>
        <v>0</v>
      </c>
      <c r="I92" s="144">
        <f>SUMIFS('март 2026'!$G$2:$G$2701,'март 2026'!$D$2:$D$2701,$B92,'март 2026'!$J$2:$J$2701,I$1)</f>
        <v>0</v>
      </c>
      <c r="J92" s="144">
        <f>SUMIFS('март 2026'!$G$2:$G$2701,'март 2026'!$D$2:$D$2701,$B92,'март 2026'!$J$2:$J$2701,J$1)</f>
        <v>0</v>
      </c>
      <c r="K92" s="144">
        <f>SUMIFS('март 2026'!$G$2:$G$2701,'март 2026'!$D$2:$D$2701,$B92,'март 2026'!$J$2:$J$2701,K$1)</f>
        <v>0</v>
      </c>
      <c r="L92" s="144">
        <f>SUMIFS('март 2026'!$G$2:$G$2701,'март 2026'!$D$2:$D$2701,$B92,'март 2026'!$J$2:$J$2701,L$1)</f>
        <v>0</v>
      </c>
      <c r="M92" s="144">
        <f>SUMIFS('март 2026'!$G$2:$G$2701,'март 2026'!$D$2:$D$2701,$B92,'март 2026'!$J$2:$J$2701,M$1)</f>
        <v>0</v>
      </c>
      <c r="N92" s="144">
        <f>SUMIFS('март 2026'!$G$2:$G$2701,'март 2026'!$D$2:$D$2701,$B92,'март 2026'!$J$2:$J$2701,N$1)</f>
        <v>0</v>
      </c>
      <c r="O92" s="144">
        <f>SUMIFS('март 2026'!$G$2:$G$2701,'март 2026'!$D$2:$D$2701,$B92,'март 2026'!$J$2:$J$2701,O$1)</f>
        <v>0</v>
      </c>
      <c r="P92" s="144">
        <f>SUMIFS('март 2026'!$G$2:$G$2701,'март 2026'!$D$2:$D$2701,$B92,'март 2026'!$J$2:$J$2701,P$1)</f>
        <v>0</v>
      </c>
      <c r="Q92" s="144">
        <f>SUMIFS('март 2026'!$G$2:$G$2701,'март 2026'!$D$2:$D$2701,$B92,'март 2026'!$J$2:$J$2701,Q$1)</f>
        <v>0</v>
      </c>
      <c r="R92" s="144">
        <f>SUMIFS('март 2026'!$G$2:$G$2701,'март 2026'!$D$2:$D$2701,$B92,'март 2026'!$J$2:$J$2701,R$1)</f>
        <v>0</v>
      </c>
      <c r="S92" s="144">
        <f>SUMIFS('март 2026'!$G$2:$G$2701,'март 2026'!$D$2:$D$2701,$B92,'март 2026'!$J$2:$J$2701,S$1)</f>
        <v>0</v>
      </c>
      <c r="T92" s="144">
        <f>SUMIFS('март 2026'!$G$2:$G$2701,'март 2026'!$D$2:$D$2701,$B92,'март 2026'!$J$2:$J$2701,T$1)</f>
        <v>0</v>
      </c>
      <c r="U92" s="144">
        <f>SUMIFS('март 2026'!$G$2:$G$2701,'март 2026'!$D$2:$D$2701,$B92,'март 2026'!$J$2:$J$2701,U$1)</f>
        <v>0</v>
      </c>
      <c r="V92" s="144">
        <f>SUMIFS('март 2026'!$G$2:$G$2701,'март 2026'!$D$2:$D$2701,$B92,'март 2026'!$J$2:$J$2701,V$1)</f>
        <v>0</v>
      </c>
      <c r="W92" s="144">
        <f>SUMIFS('март 2026'!$G$2:$G$2701,'март 2026'!$D$2:$D$2701,$B92,'март 2026'!$J$2:$J$2701,W$1)</f>
        <v>0</v>
      </c>
      <c r="X92" s="144">
        <f>SUMIFS('март 2026'!$G$2:$G$2701,'март 2026'!$D$2:$D$2701,$B92,'март 2026'!$J$2:$J$2701,X$1)</f>
        <v>0</v>
      </c>
      <c r="Y92" s="144">
        <f>SUMIFS('март 2026'!$G$2:$G$2701,'март 2026'!$D$2:$D$2701,$B92,'март 2026'!$J$2:$J$2701,Y$1)</f>
        <v>0</v>
      </c>
      <c r="Z92" s="144">
        <f>SUMIFS('март 2026'!$G$2:$G$2701,'март 2026'!$D$2:$D$2701,$B92,'март 2026'!$J$2:$J$2701,Z$1)</f>
        <v>0</v>
      </c>
      <c r="AA92" s="144">
        <f>SUMIFS('март 2026'!$G$2:$G$2701,'март 2026'!$D$2:$D$2701,$B92,'март 2026'!$J$2:$J$2701,AA$1)</f>
        <v>0</v>
      </c>
      <c r="AB92" s="144">
        <f>SUMIFS('март 2026'!$G$2:$G$2701,'март 2026'!$D$2:$D$2701,$B92,'март 2026'!$J$2:$J$2701,AB$1)</f>
        <v>0</v>
      </c>
      <c r="AC92" s="144">
        <f>SUMIFS('март 2026'!$G$2:$G$2701,'март 2026'!$D$2:$D$2701,$B92,'март 2026'!$J$2:$J$2701,AC$1)</f>
        <v>0</v>
      </c>
      <c r="AD92" s="144">
        <f>SUMIFS('март 2026'!$G$2:$G$2701,'март 2026'!$D$2:$D$2701,$B92,'март 2026'!$J$2:$J$2701,AD$1)</f>
        <v>0</v>
      </c>
      <c r="AE92" s="144">
        <f>SUMIFS('март 2026'!$G$2:$G$2701,'март 2026'!$D$2:$D$2701,$B92,'март 2026'!$J$2:$J$2701,AE$1)</f>
        <v>0</v>
      </c>
      <c r="AF92" s="144">
        <f>SUMIFS('март 2026'!$G$2:$G$2701,'март 2026'!$D$2:$D$2701,$B92,'март 2026'!$J$2:$J$2701,AF$1)</f>
        <v>0</v>
      </c>
      <c r="AG92" s="144">
        <f>SUMIFS('март 2026'!$G$2:$G$2701,'март 2026'!$D$2:$D$2701,$B92,'март 2026'!$J$2:$J$2701,AG$1)</f>
        <v>0</v>
      </c>
      <c r="AH92" s="144">
        <f>SUMIFS('март 2026'!$G$2:$G$2701,'март 2026'!$D$2:$D$2701,$B92,'март 2026'!$J$2:$J$2701,AH$1)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SUMIFS('март 2026'!$G$2:$G$2701,'март 2026'!$D$2:$D$2701,$B93,'март 2026'!$J$2:$J$2701,D$1)</f>
        <v>0</v>
      </c>
      <c r="E93" s="144">
        <f>SUMIFS('март 2026'!$G$2:$G$2701,'март 2026'!$D$2:$D$2701,$B93,'март 2026'!$J$2:$J$2701,E$1)</f>
        <v>0</v>
      </c>
      <c r="F93" s="144">
        <f>SUMIFS('март 2026'!$G$2:$G$2701,'март 2026'!$D$2:$D$2701,$B93,'март 2026'!$J$2:$J$2701,F$1)</f>
        <v>0</v>
      </c>
      <c r="G93" s="144">
        <f>SUMIFS('март 2026'!$G$2:$G$2701,'март 2026'!$D$2:$D$2701,$B93,'март 2026'!$J$2:$J$2701,G$1)</f>
        <v>0</v>
      </c>
      <c r="H93" s="144">
        <f>SUMIFS('март 2026'!$G$2:$G$2701,'март 2026'!$D$2:$D$2701,$B93,'март 2026'!$J$2:$J$2701,H$1)</f>
        <v>0</v>
      </c>
      <c r="I93" s="144">
        <f>SUMIFS('март 2026'!$G$2:$G$2701,'март 2026'!$D$2:$D$2701,$B93,'март 2026'!$J$2:$J$2701,I$1)</f>
        <v>0</v>
      </c>
      <c r="J93" s="144">
        <f>SUMIFS('март 2026'!$G$2:$G$2701,'март 2026'!$D$2:$D$2701,$B93,'март 2026'!$J$2:$J$2701,J$1)</f>
        <v>0</v>
      </c>
      <c r="K93" s="144">
        <f>SUMIFS('март 2026'!$G$2:$G$2701,'март 2026'!$D$2:$D$2701,$B93,'март 2026'!$J$2:$J$2701,K$1)</f>
        <v>0</v>
      </c>
      <c r="L93" s="144">
        <f>SUMIFS('март 2026'!$G$2:$G$2701,'март 2026'!$D$2:$D$2701,$B93,'март 2026'!$J$2:$J$2701,L$1)</f>
        <v>0</v>
      </c>
      <c r="M93" s="144">
        <f>SUMIFS('март 2026'!$G$2:$G$2701,'март 2026'!$D$2:$D$2701,$B93,'март 2026'!$J$2:$J$2701,M$1)</f>
        <v>0</v>
      </c>
      <c r="N93" s="144">
        <f>SUMIFS('март 2026'!$G$2:$G$2701,'март 2026'!$D$2:$D$2701,$B93,'март 2026'!$J$2:$J$2701,N$1)</f>
        <v>0</v>
      </c>
      <c r="O93" s="144">
        <f>SUMIFS('март 2026'!$G$2:$G$2701,'март 2026'!$D$2:$D$2701,$B93,'март 2026'!$J$2:$J$2701,O$1)</f>
        <v>0</v>
      </c>
      <c r="P93" s="144">
        <f>SUMIFS('март 2026'!$G$2:$G$2701,'март 2026'!$D$2:$D$2701,$B93,'март 2026'!$J$2:$J$2701,P$1)</f>
        <v>0</v>
      </c>
      <c r="Q93" s="144">
        <f>SUMIFS('март 2026'!$G$2:$G$2701,'март 2026'!$D$2:$D$2701,$B93,'март 2026'!$J$2:$J$2701,Q$1)</f>
        <v>0</v>
      </c>
      <c r="R93" s="144">
        <f>SUMIFS('март 2026'!$G$2:$G$2701,'март 2026'!$D$2:$D$2701,$B93,'март 2026'!$J$2:$J$2701,R$1)</f>
        <v>0</v>
      </c>
      <c r="S93" s="144">
        <f>SUMIFS('март 2026'!$G$2:$G$2701,'март 2026'!$D$2:$D$2701,$B93,'март 2026'!$J$2:$J$2701,S$1)</f>
        <v>0</v>
      </c>
      <c r="T93" s="144">
        <f>SUMIFS('март 2026'!$G$2:$G$2701,'март 2026'!$D$2:$D$2701,$B93,'март 2026'!$J$2:$J$2701,T$1)</f>
        <v>0</v>
      </c>
      <c r="U93" s="144">
        <f>SUMIFS('март 2026'!$G$2:$G$2701,'март 2026'!$D$2:$D$2701,$B93,'март 2026'!$J$2:$J$2701,U$1)</f>
        <v>0</v>
      </c>
      <c r="V93" s="144">
        <f>SUMIFS('март 2026'!$G$2:$G$2701,'март 2026'!$D$2:$D$2701,$B93,'март 2026'!$J$2:$J$2701,V$1)</f>
        <v>0</v>
      </c>
      <c r="W93" s="144">
        <f>SUMIFS('март 2026'!$G$2:$G$2701,'март 2026'!$D$2:$D$2701,$B93,'март 2026'!$J$2:$J$2701,W$1)</f>
        <v>0</v>
      </c>
      <c r="X93" s="144">
        <f>SUMIFS('март 2026'!$G$2:$G$2701,'март 2026'!$D$2:$D$2701,$B93,'март 2026'!$J$2:$J$2701,X$1)</f>
        <v>0</v>
      </c>
      <c r="Y93" s="144">
        <f>SUMIFS('март 2026'!$G$2:$G$2701,'март 2026'!$D$2:$D$2701,$B93,'март 2026'!$J$2:$J$2701,Y$1)</f>
        <v>0</v>
      </c>
      <c r="Z93" s="144">
        <f>SUMIFS('март 2026'!$G$2:$G$2701,'март 2026'!$D$2:$D$2701,$B93,'март 2026'!$J$2:$J$2701,Z$1)</f>
        <v>0</v>
      </c>
      <c r="AA93" s="144">
        <f>SUMIFS('март 2026'!$G$2:$G$2701,'март 2026'!$D$2:$D$2701,$B93,'март 2026'!$J$2:$J$2701,AA$1)</f>
        <v>0</v>
      </c>
      <c r="AB93" s="144">
        <f>SUMIFS('март 2026'!$G$2:$G$2701,'март 2026'!$D$2:$D$2701,$B93,'март 2026'!$J$2:$J$2701,AB$1)</f>
        <v>0</v>
      </c>
      <c r="AC93" s="144">
        <f>SUMIFS('март 2026'!$G$2:$G$2701,'март 2026'!$D$2:$D$2701,$B93,'март 2026'!$J$2:$J$2701,AC$1)</f>
        <v>0</v>
      </c>
      <c r="AD93" s="144">
        <f>SUMIFS('март 2026'!$G$2:$G$2701,'март 2026'!$D$2:$D$2701,$B93,'март 2026'!$J$2:$J$2701,AD$1)</f>
        <v>0</v>
      </c>
      <c r="AE93" s="144">
        <f>SUMIFS('март 2026'!$G$2:$G$2701,'март 2026'!$D$2:$D$2701,$B93,'март 2026'!$J$2:$J$2701,AE$1)</f>
        <v>0</v>
      </c>
      <c r="AF93" s="144">
        <f>SUMIFS('март 2026'!$G$2:$G$2701,'март 2026'!$D$2:$D$2701,$B93,'март 2026'!$J$2:$J$2701,AF$1)</f>
        <v>0</v>
      </c>
      <c r="AG93" s="144">
        <f>SUMIFS('март 2026'!$G$2:$G$2701,'март 2026'!$D$2:$D$2701,$B93,'март 2026'!$J$2:$J$2701,AG$1)</f>
        <v>0</v>
      </c>
      <c r="AH93" s="144">
        <f>SUMIFS('март 2026'!$G$2:$G$2701,'март 2026'!$D$2:$D$2701,$B93,'март 2026'!$J$2:$J$2701,AH$1)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SUMIFS('март 2026'!$G$2:$G$2701,'март 2026'!$D$2:$D$2701,$B94,'март 2026'!$J$2:$J$2701,D$1)</f>
        <v>0</v>
      </c>
      <c r="E94" s="144">
        <f>SUMIFS('март 2026'!$G$2:$G$2701,'март 2026'!$D$2:$D$2701,$B94,'март 2026'!$J$2:$J$2701,E$1)</f>
        <v>0</v>
      </c>
      <c r="F94" s="144">
        <f>SUMIFS('март 2026'!$G$2:$G$2701,'март 2026'!$D$2:$D$2701,$B94,'март 2026'!$J$2:$J$2701,F$1)</f>
        <v>0</v>
      </c>
      <c r="G94" s="144">
        <f>SUMIFS('март 2026'!$G$2:$G$2701,'март 2026'!$D$2:$D$2701,$B94,'март 2026'!$J$2:$J$2701,G$1)</f>
        <v>0</v>
      </c>
      <c r="H94" s="144">
        <f>SUMIFS('март 2026'!$G$2:$G$2701,'март 2026'!$D$2:$D$2701,$B94,'март 2026'!$J$2:$J$2701,H$1)</f>
        <v>0</v>
      </c>
      <c r="I94" s="144">
        <f>SUMIFS('март 2026'!$G$2:$G$2701,'март 2026'!$D$2:$D$2701,$B94,'март 2026'!$J$2:$J$2701,I$1)</f>
        <v>0</v>
      </c>
      <c r="J94" s="144">
        <f>SUMIFS('март 2026'!$G$2:$G$2701,'март 2026'!$D$2:$D$2701,$B94,'март 2026'!$J$2:$J$2701,J$1)</f>
        <v>0</v>
      </c>
      <c r="K94" s="144">
        <f>SUMIFS('март 2026'!$G$2:$G$2701,'март 2026'!$D$2:$D$2701,$B94,'март 2026'!$J$2:$J$2701,K$1)</f>
        <v>0</v>
      </c>
      <c r="L94" s="144">
        <f>SUMIFS('март 2026'!$G$2:$G$2701,'март 2026'!$D$2:$D$2701,$B94,'март 2026'!$J$2:$J$2701,L$1)</f>
        <v>0</v>
      </c>
      <c r="M94" s="144">
        <f>SUMIFS('март 2026'!$G$2:$G$2701,'март 2026'!$D$2:$D$2701,$B94,'март 2026'!$J$2:$J$2701,M$1)</f>
        <v>0</v>
      </c>
      <c r="N94" s="144">
        <f>SUMIFS('март 2026'!$G$2:$G$2701,'март 2026'!$D$2:$D$2701,$B94,'март 2026'!$J$2:$J$2701,N$1)</f>
        <v>0</v>
      </c>
      <c r="O94" s="144">
        <f>SUMIFS('март 2026'!$G$2:$G$2701,'март 2026'!$D$2:$D$2701,$B94,'март 2026'!$J$2:$J$2701,O$1)</f>
        <v>0</v>
      </c>
      <c r="P94" s="144">
        <f>SUMIFS('март 2026'!$G$2:$G$2701,'март 2026'!$D$2:$D$2701,$B94,'март 2026'!$J$2:$J$2701,P$1)</f>
        <v>0</v>
      </c>
      <c r="Q94" s="144">
        <f>SUMIFS('март 2026'!$G$2:$G$2701,'март 2026'!$D$2:$D$2701,$B94,'март 2026'!$J$2:$J$2701,Q$1)</f>
        <v>0</v>
      </c>
      <c r="R94" s="144">
        <f>SUMIFS('март 2026'!$G$2:$G$2701,'март 2026'!$D$2:$D$2701,$B94,'март 2026'!$J$2:$J$2701,R$1)</f>
        <v>0</v>
      </c>
      <c r="S94" s="144">
        <f>SUMIFS('март 2026'!$G$2:$G$2701,'март 2026'!$D$2:$D$2701,$B94,'март 2026'!$J$2:$J$2701,S$1)</f>
        <v>0</v>
      </c>
      <c r="T94" s="144">
        <f>SUMIFS('март 2026'!$G$2:$G$2701,'март 2026'!$D$2:$D$2701,$B94,'март 2026'!$J$2:$J$2701,T$1)</f>
        <v>0</v>
      </c>
      <c r="U94" s="144">
        <f>SUMIFS('март 2026'!$G$2:$G$2701,'март 2026'!$D$2:$D$2701,$B94,'март 2026'!$J$2:$J$2701,U$1)</f>
        <v>0</v>
      </c>
      <c r="V94" s="144">
        <f>SUMIFS('март 2026'!$G$2:$G$2701,'март 2026'!$D$2:$D$2701,$B94,'март 2026'!$J$2:$J$2701,V$1)</f>
        <v>0</v>
      </c>
      <c r="W94" s="144">
        <f>SUMIFS('март 2026'!$G$2:$G$2701,'март 2026'!$D$2:$D$2701,$B94,'март 2026'!$J$2:$J$2701,W$1)</f>
        <v>0</v>
      </c>
      <c r="X94" s="144">
        <f>SUMIFS('март 2026'!$G$2:$G$2701,'март 2026'!$D$2:$D$2701,$B94,'март 2026'!$J$2:$J$2701,X$1)</f>
        <v>0</v>
      </c>
      <c r="Y94" s="144">
        <f>SUMIFS('март 2026'!$G$2:$G$2701,'март 2026'!$D$2:$D$2701,$B94,'март 2026'!$J$2:$J$2701,Y$1)</f>
        <v>0</v>
      </c>
      <c r="Z94" s="144">
        <f>SUMIFS('март 2026'!$G$2:$G$2701,'март 2026'!$D$2:$D$2701,$B94,'март 2026'!$J$2:$J$2701,Z$1)</f>
        <v>0</v>
      </c>
      <c r="AA94" s="144">
        <f>SUMIFS('март 2026'!$G$2:$G$2701,'март 2026'!$D$2:$D$2701,$B94,'март 2026'!$J$2:$J$2701,AA$1)</f>
        <v>0</v>
      </c>
      <c r="AB94" s="144">
        <f>SUMIFS('март 2026'!$G$2:$G$2701,'март 2026'!$D$2:$D$2701,$B94,'март 2026'!$J$2:$J$2701,AB$1)</f>
        <v>0</v>
      </c>
      <c r="AC94" s="144">
        <f>SUMIFS('март 2026'!$G$2:$G$2701,'март 2026'!$D$2:$D$2701,$B94,'март 2026'!$J$2:$J$2701,AC$1)</f>
        <v>0</v>
      </c>
      <c r="AD94" s="144">
        <f>SUMIFS('март 2026'!$G$2:$G$2701,'март 2026'!$D$2:$D$2701,$B94,'март 2026'!$J$2:$J$2701,AD$1)</f>
        <v>0</v>
      </c>
      <c r="AE94" s="144">
        <f>SUMIFS('март 2026'!$G$2:$G$2701,'март 2026'!$D$2:$D$2701,$B94,'март 2026'!$J$2:$J$2701,AE$1)</f>
        <v>0</v>
      </c>
      <c r="AF94" s="144">
        <f>SUMIFS('март 2026'!$G$2:$G$2701,'март 2026'!$D$2:$D$2701,$B94,'март 2026'!$J$2:$J$2701,AF$1)</f>
        <v>0</v>
      </c>
      <c r="AG94" s="144">
        <f>SUMIFS('март 2026'!$G$2:$G$2701,'март 2026'!$D$2:$D$2701,$B94,'март 2026'!$J$2:$J$2701,AG$1)</f>
        <v>0</v>
      </c>
      <c r="AH94" s="144">
        <f>SUMIFS('март 2026'!$G$2:$G$2701,'март 2026'!$D$2:$D$2701,$B94,'март 2026'!$J$2:$J$2701,AH$1)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SUMIFS('март 2026'!$G$2:$G$2701,'март 2026'!$D$2:$D$2701,$B95,'март 2026'!$J$2:$J$2701,D$1)</f>
        <v>0</v>
      </c>
      <c r="E95" s="144">
        <f>SUMIFS('март 2026'!$G$2:$G$2701,'март 2026'!$D$2:$D$2701,$B95,'март 2026'!$J$2:$J$2701,E$1)</f>
        <v>0</v>
      </c>
      <c r="F95" s="144">
        <f>SUMIFS('март 2026'!$G$2:$G$2701,'март 2026'!$D$2:$D$2701,$B95,'март 2026'!$J$2:$J$2701,F$1)</f>
        <v>0</v>
      </c>
      <c r="G95" s="144">
        <f>SUMIFS('март 2026'!$G$2:$G$2701,'март 2026'!$D$2:$D$2701,$B95,'март 2026'!$J$2:$J$2701,G$1)</f>
        <v>0</v>
      </c>
      <c r="H95" s="144">
        <f>SUMIFS('март 2026'!$G$2:$G$2701,'март 2026'!$D$2:$D$2701,$B95,'март 2026'!$J$2:$J$2701,H$1)</f>
        <v>0</v>
      </c>
      <c r="I95" s="144">
        <f>SUMIFS('март 2026'!$G$2:$G$2701,'март 2026'!$D$2:$D$2701,$B95,'март 2026'!$J$2:$J$2701,I$1)</f>
        <v>0</v>
      </c>
      <c r="J95" s="144">
        <f>SUMIFS('март 2026'!$G$2:$G$2701,'март 2026'!$D$2:$D$2701,$B95,'март 2026'!$J$2:$J$2701,J$1)</f>
        <v>0</v>
      </c>
      <c r="K95" s="144">
        <f>SUMIFS('март 2026'!$G$2:$G$2701,'март 2026'!$D$2:$D$2701,$B95,'март 2026'!$J$2:$J$2701,K$1)</f>
        <v>0</v>
      </c>
      <c r="L95" s="144">
        <f>SUMIFS('март 2026'!$G$2:$G$2701,'март 2026'!$D$2:$D$2701,$B95,'март 2026'!$J$2:$J$2701,L$1)</f>
        <v>0</v>
      </c>
      <c r="M95" s="144">
        <f>SUMIFS('март 2026'!$G$2:$G$2701,'март 2026'!$D$2:$D$2701,$B95,'март 2026'!$J$2:$J$2701,M$1)</f>
        <v>0</v>
      </c>
      <c r="N95" s="144">
        <f>SUMIFS('март 2026'!$G$2:$G$2701,'март 2026'!$D$2:$D$2701,$B95,'март 2026'!$J$2:$J$2701,N$1)</f>
        <v>0</v>
      </c>
      <c r="O95" s="144">
        <f>SUMIFS('март 2026'!$G$2:$G$2701,'март 2026'!$D$2:$D$2701,$B95,'март 2026'!$J$2:$J$2701,O$1)</f>
        <v>0</v>
      </c>
      <c r="P95" s="144">
        <f>SUMIFS('март 2026'!$G$2:$G$2701,'март 2026'!$D$2:$D$2701,$B95,'март 2026'!$J$2:$J$2701,P$1)</f>
        <v>0</v>
      </c>
      <c r="Q95" s="144">
        <f>SUMIFS('март 2026'!$G$2:$G$2701,'март 2026'!$D$2:$D$2701,$B95,'март 2026'!$J$2:$J$2701,Q$1)</f>
        <v>0</v>
      </c>
      <c r="R95" s="144">
        <f>SUMIFS('март 2026'!$G$2:$G$2701,'март 2026'!$D$2:$D$2701,$B95,'март 2026'!$J$2:$J$2701,R$1)</f>
        <v>0</v>
      </c>
      <c r="S95" s="144">
        <f>SUMIFS('март 2026'!$G$2:$G$2701,'март 2026'!$D$2:$D$2701,$B95,'март 2026'!$J$2:$J$2701,S$1)</f>
        <v>0</v>
      </c>
      <c r="T95" s="144">
        <f>SUMIFS('март 2026'!$G$2:$G$2701,'март 2026'!$D$2:$D$2701,$B95,'март 2026'!$J$2:$J$2701,T$1)</f>
        <v>0</v>
      </c>
      <c r="U95" s="144">
        <f>SUMIFS('март 2026'!$G$2:$G$2701,'март 2026'!$D$2:$D$2701,$B95,'март 2026'!$J$2:$J$2701,U$1)</f>
        <v>0</v>
      </c>
      <c r="V95" s="144">
        <f>SUMIFS('март 2026'!$G$2:$G$2701,'март 2026'!$D$2:$D$2701,$B95,'март 2026'!$J$2:$J$2701,V$1)</f>
        <v>0</v>
      </c>
      <c r="W95" s="144">
        <f>SUMIFS('март 2026'!$G$2:$G$2701,'март 2026'!$D$2:$D$2701,$B95,'март 2026'!$J$2:$J$2701,W$1)</f>
        <v>0</v>
      </c>
      <c r="X95" s="144">
        <f>SUMIFS('март 2026'!$G$2:$G$2701,'март 2026'!$D$2:$D$2701,$B95,'март 2026'!$J$2:$J$2701,X$1)</f>
        <v>0</v>
      </c>
      <c r="Y95" s="144">
        <f>SUMIFS('март 2026'!$G$2:$G$2701,'март 2026'!$D$2:$D$2701,$B95,'март 2026'!$J$2:$J$2701,Y$1)</f>
        <v>0</v>
      </c>
      <c r="Z95" s="144">
        <f>SUMIFS('март 2026'!$G$2:$G$2701,'март 2026'!$D$2:$D$2701,$B95,'март 2026'!$J$2:$J$2701,Z$1)</f>
        <v>0</v>
      </c>
      <c r="AA95" s="144">
        <f>SUMIFS('март 2026'!$G$2:$G$2701,'март 2026'!$D$2:$D$2701,$B95,'март 2026'!$J$2:$J$2701,AA$1)</f>
        <v>0</v>
      </c>
      <c r="AB95" s="144">
        <f>SUMIFS('март 2026'!$G$2:$G$2701,'март 2026'!$D$2:$D$2701,$B95,'март 2026'!$J$2:$J$2701,AB$1)</f>
        <v>0</v>
      </c>
      <c r="AC95" s="144">
        <f>SUMIFS('март 2026'!$G$2:$G$2701,'март 2026'!$D$2:$D$2701,$B95,'март 2026'!$J$2:$J$2701,AC$1)</f>
        <v>0</v>
      </c>
      <c r="AD95" s="144">
        <f>SUMIFS('март 2026'!$G$2:$G$2701,'март 2026'!$D$2:$D$2701,$B95,'март 2026'!$J$2:$J$2701,AD$1)</f>
        <v>0</v>
      </c>
      <c r="AE95" s="144">
        <f>SUMIFS('март 2026'!$G$2:$G$2701,'март 2026'!$D$2:$D$2701,$B95,'март 2026'!$J$2:$J$2701,AE$1)</f>
        <v>0</v>
      </c>
      <c r="AF95" s="144">
        <f>SUMIFS('март 2026'!$G$2:$G$2701,'март 2026'!$D$2:$D$2701,$B95,'март 2026'!$J$2:$J$2701,AF$1)</f>
        <v>0</v>
      </c>
      <c r="AG95" s="144">
        <f>SUMIFS('март 2026'!$G$2:$G$2701,'март 2026'!$D$2:$D$2701,$B95,'март 2026'!$J$2:$J$2701,AG$1)</f>
        <v>0</v>
      </c>
      <c r="AH95" s="144">
        <f>SUMIFS('март 2026'!$G$2:$G$2701,'март 2026'!$D$2:$D$2701,$B95,'март 2026'!$J$2:$J$2701,AH$1)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SUMIFS('март 2026'!$G$2:$G$2701,'март 2026'!$D$2:$D$2701,$B96,'март 2026'!$J$2:$J$2701,D$1)</f>
        <v>0</v>
      </c>
      <c r="E96" s="144">
        <f>SUMIFS('март 2026'!$G$2:$G$2701,'март 2026'!$D$2:$D$2701,$B96,'март 2026'!$J$2:$J$2701,E$1)</f>
        <v>0</v>
      </c>
      <c r="F96" s="144">
        <f>SUMIFS('март 2026'!$G$2:$G$2701,'март 2026'!$D$2:$D$2701,$B96,'март 2026'!$J$2:$J$2701,F$1)</f>
        <v>0</v>
      </c>
      <c r="G96" s="144">
        <f>SUMIFS('март 2026'!$G$2:$G$2701,'март 2026'!$D$2:$D$2701,$B96,'март 2026'!$J$2:$J$2701,G$1)</f>
        <v>0</v>
      </c>
      <c r="H96" s="144">
        <f>SUMIFS('март 2026'!$G$2:$G$2701,'март 2026'!$D$2:$D$2701,$B96,'март 2026'!$J$2:$J$2701,H$1)</f>
        <v>0</v>
      </c>
      <c r="I96" s="144">
        <f>SUMIFS('март 2026'!$G$2:$G$2701,'март 2026'!$D$2:$D$2701,$B96,'март 2026'!$J$2:$J$2701,I$1)</f>
        <v>0</v>
      </c>
      <c r="J96" s="144">
        <f>SUMIFS('март 2026'!$G$2:$G$2701,'март 2026'!$D$2:$D$2701,$B96,'март 2026'!$J$2:$J$2701,J$1)</f>
        <v>0</v>
      </c>
      <c r="K96" s="144">
        <f>SUMIFS('март 2026'!$G$2:$G$2701,'март 2026'!$D$2:$D$2701,$B96,'март 2026'!$J$2:$J$2701,K$1)</f>
        <v>0</v>
      </c>
      <c r="L96" s="144">
        <f>SUMIFS('март 2026'!$G$2:$G$2701,'март 2026'!$D$2:$D$2701,$B96,'март 2026'!$J$2:$J$2701,L$1)</f>
        <v>0</v>
      </c>
      <c r="M96" s="144">
        <f>SUMIFS('март 2026'!$G$2:$G$2701,'март 2026'!$D$2:$D$2701,$B96,'март 2026'!$J$2:$J$2701,M$1)</f>
        <v>0</v>
      </c>
      <c r="N96" s="144">
        <f>SUMIFS('март 2026'!$G$2:$G$2701,'март 2026'!$D$2:$D$2701,$B96,'март 2026'!$J$2:$J$2701,N$1)</f>
        <v>0</v>
      </c>
      <c r="O96" s="144">
        <f>SUMIFS('март 2026'!$G$2:$G$2701,'март 2026'!$D$2:$D$2701,$B96,'март 2026'!$J$2:$J$2701,O$1)</f>
        <v>0</v>
      </c>
      <c r="P96" s="144">
        <f>SUMIFS('март 2026'!$G$2:$G$2701,'март 2026'!$D$2:$D$2701,$B96,'март 2026'!$J$2:$J$2701,P$1)</f>
        <v>0</v>
      </c>
      <c r="Q96" s="144">
        <f>SUMIFS('март 2026'!$G$2:$G$2701,'март 2026'!$D$2:$D$2701,$B96,'март 2026'!$J$2:$J$2701,Q$1)</f>
        <v>0</v>
      </c>
      <c r="R96" s="144">
        <f>SUMIFS('март 2026'!$G$2:$G$2701,'март 2026'!$D$2:$D$2701,$B96,'март 2026'!$J$2:$J$2701,R$1)</f>
        <v>0</v>
      </c>
      <c r="S96" s="144">
        <f>SUMIFS('март 2026'!$G$2:$G$2701,'март 2026'!$D$2:$D$2701,$B96,'март 2026'!$J$2:$J$2701,S$1)</f>
        <v>0</v>
      </c>
      <c r="T96" s="144">
        <f>SUMIFS('март 2026'!$G$2:$G$2701,'март 2026'!$D$2:$D$2701,$B96,'март 2026'!$J$2:$J$2701,T$1)</f>
        <v>0</v>
      </c>
      <c r="U96" s="144">
        <f>SUMIFS('март 2026'!$G$2:$G$2701,'март 2026'!$D$2:$D$2701,$B96,'март 2026'!$J$2:$J$2701,U$1)</f>
        <v>0</v>
      </c>
      <c r="V96" s="144">
        <f>SUMIFS('март 2026'!$G$2:$G$2701,'март 2026'!$D$2:$D$2701,$B96,'март 2026'!$J$2:$J$2701,V$1)</f>
        <v>0</v>
      </c>
      <c r="W96" s="144">
        <f>SUMIFS('март 2026'!$G$2:$G$2701,'март 2026'!$D$2:$D$2701,$B96,'март 2026'!$J$2:$J$2701,W$1)</f>
        <v>0</v>
      </c>
      <c r="X96" s="144">
        <f>SUMIFS('март 2026'!$G$2:$G$2701,'март 2026'!$D$2:$D$2701,$B96,'март 2026'!$J$2:$J$2701,X$1)</f>
        <v>0</v>
      </c>
      <c r="Y96" s="144">
        <f>SUMIFS('март 2026'!$G$2:$G$2701,'март 2026'!$D$2:$D$2701,$B96,'март 2026'!$J$2:$J$2701,Y$1)</f>
        <v>0</v>
      </c>
      <c r="Z96" s="144">
        <f>SUMIFS('март 2026'!$G$2:$G$2701,'март 2026'!$D$2:$D$2701,$B96,'март 2026'!$J$2:$J$2701,Z$1)</f>
        <v>0</v>
      </c>
      <c r="AA96" s="144">
        <f>SUMIFS('март 2026'!$G$2:$G$2701,'март 2026'!$D$2:$D$2701,$B96,'март 2026'!$J$2:$J$2701,AA$1)</f>
        <v>0</v>
      </c>
      <c r="AB96" s="144">
        <f>SUMIFS('март 2026'!$G$2:$G$2701,'март 2026'!$D$2:$D$2701,$B96,'март 2026'!$J$2:$J$2701,AB$1)</f>
        <v>0</v>
      </c>
      <c r="AC96" s="144">
        <f>SUMIFS('март 2026'!$G$2:$G$2701,'март 2026'!$D$2:$D$2701,$B96,'март 2026'!$J$2:$J$2701,AC$1)</f>
        <v>0</v>
      </c>
      <c r="AD96" s="144">
        <f>SUMIFS('март 2026'!$G$2:$G$2701,'март 2026'!$D$2:$D$2701,$B96,'март 2026'!$J$2:$J$2701,AD$1)</f>
        <v>0</v>
      </c>
      <c r="AE96" s="144">
        <f>SUMIFS('март 2026'!$G$2:$G$2701,'март 2026'!$D$2:$D$2701,$B96,'март 2026'!$J$2:$J$2701,AE$1)</f>
        <v>0</v>
      </c>
      <c r="AF96" s="144">
        <f>SUMIFS('март 2026'!$G$2:$G$2701,'март 2026'!$D$2:$D$2701,$B96,'март 2026'!$J$2:$J$2701,AF$1)</f>
        <v>0</v>
      </c>
      <c r="AG96" s="144">
        <f>SUMIFS('март 2026'!$G$2:$G$2701,'март 2026'!$D$2:$D$2701,$B96,'март 2026'!$J$2:$J$2701,AG$1)</f>
        <v>0</v>
      </c>
      <c r="AH96" s="144">
        <f>SUMIFS('март 2026'!$G$2:$G$2701,'март 2026'!$D$2:$D$2701,$B96,'март 2026'!$J$2:$J$2701,AH$1)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SUMIFS('март 2026'!$G$2:$G$2701,'март 2026'!$D$2:$D$2701,$B97,'март 2026'!$J$2:$J$2701,D$1)</f>
        <v>0</v>
      </c>
      <c r="E97" s="144">
        <f>SUMIFS('март 2026'!$G$2:$G$2701,'март 2026'!$D$2:$D$2701,$B97,'март 2026'!$J$2:$J$2701,E$1)</f>
        <v>0</v>
      </c>
      <c r="F97" s="144">
        <f>SUMIFS('март 2026'!$G$2:$G$2701,'март 2026'!$D$2:$D$2701,$B97,'март 2026'!$J$2:$J$2701,F$1)</f>
        <v>0</v>
      </c>
      <c r="G97" s="144">
        <f>SUMIFS('март 2026'!$G$2:$G$2701,'март 2026'!$D$2:$D$2701,$B97,'март 2026'!$J$2:$J$2701,G$1)</f>
        <v>0</v>
      </c>
      <c r="H97" s="144">
        <f>SUMIFS('март 2026'!$G$2:$G$2701,'март 2026'!$D$2:$D$2701,$B97,'март 2026'!$J$2:$J$2701,H$1)</f>
        <v>0</v>
      </c>
      <c r="I97" s="144">
        <f>SUMIFS('март 2026'!$G$2:$G$2701,'март 2026'!$D$2:$D$2701,$B97,'март 2026'!$J$2:$J$2701,I$1)</f>
        <v>0</v>
      </c>
      <c r="J97" s="144">
        <f>SUMIFS('март 2026'!$G$2:$G$2701,'март 2026'!$D$2:$D$2701,$B97,'март 2026'!$J$2:$J$2701,J$1)</f>
        <v>0</v>
      </c>
      <c r="K97" s="144">
        <f>SUMIFS('март 2026'!$G$2:$G$2701,'март 2026'!$D$2:$D$2701,$B97,'март 2026'!$J$2:$J$2701,K$1)</f>
        <v>0</v>
      </c>
      <c r="L97" s="144">
        <f>SUMIFS('март 2026'!$G$2:$G$2701,'март 2026'!$D$2:$D$2701,$B97,'март 2026'!$J$2:$J$2701,L$1)</f>
        <v>0</v>
      </c>
      <c r="M97" s="144">
        <f>SUMIFS('март 2026'!$G$2:$G$2701,'март 2026'!$D$2:$D$2701,$B97,'март 2026'!$J$2:$J$2701,M$1)</f>
        <v>0</v>
      </c>
      <c r="N97" s="144">
        <f>SUMIFS('март 2026'!$G$2:$G$2701,'март 2026'!$D$2:$D$2701,$B97,'март 2026'!$J$2:$J$2701,N$1)</f>
        <v>0</v>
      </c>
      <c r="O97" s="144">
        <f>SUMIFS('март 2026'!$G$2:$G$2701,'март 2026'!$D$2:$D$2701,$B97,'март 2026'!$J$2:$J$2701,O$1)</f>
        <v>0</v>
      </c>
      <c r="P97" s="144">
        <f>SUMIFS('март 2026'!$G$2:$G$2701,'март 2026'!$D$2:$D$2701,$B97,'март 2026'!$J$2:$J$2701,P$1)</f>
        <v>0</v>
      </c>
      <c r="Q97" s="144">
        <f>SUMIFS('март 2026'!$G$2:$G$2701,'март 2026'!$D$2:$D$2701,$B97,'март 2026'!$J$2:$J$2701,Q$1)</f>
        <v>0</v>
      </c>
      <c r="R97" s="144">
        <f>SUMIFS('март 2026'!$G$2:$G$2701,'март 2026'!$D$2:$D$2701,$B97,'март 2026'!$J$2:$J$2701,R$1)</f>
        <v>0</v>
      </c>
      <c r="S97" s="144">
        <f>SUMIFS('март 2026'!$G$2:$G$2701,'март 2026'!$D$2:$D$2701,$B97,'март 2026'!$J$2:$J$2701,S$1)</f>
        <v>0</v>
      </c>
      <c r="T97" s="144">
        <f>SUMIFS('март 2026'!$G$2:$G$2701,'март 2026'!$D$2:$D$2701,$B97,'март 2026'!$J$2:$J$2701,T$1)</f>
        <v>0</v>
      </c>
      <c r="U97" s="144">
        <f>SUMIFS('март 2026'!$G$2:$G$2701,'март 2026'!$D$2:$D$2701,$B97,'март 2026'!$J$2:$J$2701,U$1)</f>
        <v>0</v>
      </c>
      <c r="V97" s="144">
        <f>SUMIFS('март 2026'!$G$2:$G$2701,'март 2026'!$D$2:$D$2701,$B97,'март 2026'!$J$2:$J$2701,V$1)</f>
        <v>0</v>
      </c>
      <c r="W97" s="144">
        <f>SUMIFS('март 2026'!$G$2:$G$2701,'март 2026'!$D$2:$D$2701,$B97,'март 2026'!$J$2:$J$2701,W$1)</f>
        <v>0</v>
      </c>
      <c r="X97" s="144">
        <f>SUMIFS('март 2026'!$G$2:$G$2701,'март 2026'!$D$2:$D$2701,$B97,'март 2026'!$J$2:$J$2701,X$1)</f>
        <v>0</v>
      </c>
      <c r="Y97" s="144">
        <f>SUMIFS('март 2026'!$G$2:$G$2701,'март 2026'!$D$2:$D$2701,$B97,'март 2026'!$J$2:$J$2701,Y$1)</f>
        <v>0</v>
      </c>
      <c r="Z97" s="144">
        <f>SUMIFS('март 2026'!$G$2:$G$2701,'март 2026'!$D$2:$D$2701,$B97,'март 2026'!$J$2:$J$2701,Z$1)</f>
        <v>0</v>
      </c>
      <c r="AA97" s="144">
        <f>SUMIFS('март 2026'!$G$2:$G$2701,'март 2026'!$D$2:$D$2701,$B97,'март 2026'!$J$2:$J$2701,AA$1)</f>
        <v>0</v>
      </c>
      <c r="AB97" s="144">
        <f>SUMIFS('март 2026'!$G$2:$G$2701,'март 2026'!$D$2:$D$2701,$B97,'март 2026'!$J$2:$J$2701,AB$1)</f>
        <v>0</v>
      </c>
      <c r="AC97" s="144">
        <f>SUMIFS('март 2026'!$G$2:$G$2701,'март 2026'!$D$2:$D$2701,$B97,'март 2026'!$J$2:$J$2701,AC$1)</f>
        <v>0</v>
      </c>
      <c r="AD97" s="144">
        <f>SUMIFS('март 2026'!$G$2:$G$2701,'март 2026'!$D$2:$D$2701,$B97,'март 2026'!$J$2:$J$2701,AD$1)</f>
        <v>0</v>
      </c>
      <c r="AE97" s="144">
        <f>SUMIFS('март 2026'!$G$2:$G$2701,'март 2026'!$D$2:$D$2701,$B97,'март 2026'!$J$2:$J$2701,AE$1)</f>
        <v>0</v>
      </c>
      <c r="AF97" s="144">
        <f>SUMIFS('март 2026'!$G$2:$G$2701,'март 2026'!$D$2:$D$2701,$B97,'март 2026'!$J$2:$J$2701,AF$1)</f>
        <v>0</v>
      </c>
      <c r="AG97" s="144">
        <f>SUMIFS('март 2026'!$G$2:$G$2701,'март 2026'!$D$2:$D$2701,$B97,'март 2026'!$J$2:$J$2701,AG$1)</f>
        <v>0</v>
      </c>
      <c r="AH97" s="144">
        <f>SUMIFS('март 2026'!$G$2:$G$2701,'март 2026'!$D$2:$D$2701,$B97,'март 2026'!$J$2:$J$2701,AH$1)</f>
        <v>0</v>
      </c>
      <c r="AI97" s="20">
        <f t="shared" si="1"/>
        <v>0</v>
      </c>
    </row>
    <row r="98" spans="2:35" ht="15" customHeight="1" x14ac:dyDescent="0.25">
      <c r="B98" s="85" t="s">
        <v>188</v>
      </c>
      <c r="C98" s="83">
        <v>190</v>
      </c>
      <c r="D98" s="144">
        <f>SUMIFS('март 2026'!$G$2:$G$2701,'март 2026'!$D$2:$D$2701,$B98,'март 2026'!$J$2:$J$2701,D$1)</f>
        <v>0</v>
      </c>
      <c r="E98" s="144">
        <f>SUMIFS('март 2026'!$G$2:$G$2701,'март 2026'!$D$2:$D$2701,$B98,'март 2026'!$J$2:$J$2701,E$1)</f>
        <v>0</v>
      </c>
      <c r="F98" s="144">
        <f>SUMIFS('март 2026'!$G$2:$G$2701,'март 2026'!$D$2:$D$2701,$B98,'март 2026'!$J$2:$J$2701,F$1)</f>
        <v>0</v>
      </c>
      <c r="G98" s="144">
        <f>SUMIFS('март 2026'!$G$2:$G$2701,'март 2026'!$D$2:$D$2701,$B98,'март 2026'!$J$2:$J$2701,G$1)</f>
        <v>0</v>
      </c>
      <c r="H98" s="144">
        <f>SUMIFS('март 2026'!$G$2:$G$2701,'март 2026'!$D$2:$D$2701,$B98,'март 2026'!$J$2:$J$2701,H$1)</f>
        <v>0</v>
      </c>
      <c r="I98" s="144">
        <f>SUMIFS('март 2026'!$G$2:$G$2701,'март 2026'!$D$2:$D$2701,$B98,'март 2026'!$J$2:$J$2701,I$1)</f>
        <v>0</v>
      </c>
      <c r="J98" s="144">
        <f>SUMIFS('март 2026'!$G$2:$G$2701,'март 2026'!$D$2:$D$2701,$B98,'март 2026'!$J$2:$J$2701,J$1)</f>
        <v>0</v>
      </c>
      <c r="K98" s="144">
        <f>SUMIFS('март 2026'!$G$2:$G$2701,'март 2026'!$D$2:$D$2701,$B98,'март 2026'!$J$2:$J$2701,K$1)</f>
        <v>0</v>
      </c>
      <c r="L98" s="144">
        <f>SUMIFS('март 2026'!$G$2:$G$2701,'март 2026'!$D$2:$D$2701,$B98,'март 2026'!$J$2:$J$2701,L$1)</f>
        <v>0</v>
      </c>
      <c r="M98" s="144">
        <f>SUMIFS('март 2026'!$G$2:$G$2701,'март 2026'!$D$2:$D$2701,$B98,'март 2026'!$J$2:$J$2701,M$1)</f>
        <v>0</v>
      </c>
      <c r="N98" s="144">
        <f>SUMIFS('март 2026'!$G$2:$G$2701,'март 2026'!$D$2:$D$2701,$B98,'март 2026'!$J$2:$J$2701,N$1)</f>
        <v>0</v>
      </c>
      <c r="O98" s="144">
        <f>SUMIFS('март 2026'!$G$2:$G$2701,'март 2026'!$D$2:$D$2701,$B98,'март 2026'!$J$2:$J$2701,O$1)</f>
        <v>0</v>
      </c>
      <c r="P98" s="144">
        <f>SUMIFS('март 2026'!$G$2:$G$2701,'март 2026'!$D$2:$D$2701,$B98,'март 2026'!$J$2:$J$2701,P$1)</f>
        <v>0</v>
      </c>
      <c r="Q98" s="144">
        <f>SUMIFS('март 2026'!$G$2:$G$2701,'март 2026'!$D$2:$D$2701,$B98,'март 2026'!$J$2:$J$2701,Q$1)</f>
        <v>0</v>
      </c>
      <c r="R98" s="144">
        <f>SUMIFS('март 2026'!$G$2:$G$2701,'март 2026'!$D$2:$D$2701,$B98,'март 2026'!$J$2:$J$2701,R$1)</f>
        <v>0</v>
      </c>
      <c r="S98" s="144">
        <f>SUMIFS('март 2026'!$G$2:$G$2701,'март 2026'!$D$2:$D$2701,$B98,'март 2026'!$J$2:$J$2701,S$1)</f>
        <v>0</v>
      </c>
      <c r="T98" s="144">
        <f>SUMIFS('март 2026'!$G$2:$G$2701,'март 2026'!$D$2:$D$2701,$B98,'март 2026'!$J$2:$J$2701,T$1)</f>
        <v>0</v>
      </c>
      <c r="U98" s="144">
        <f>SUMIFS('март 2026'!$G$2:$G$2701,'март 2026'!$D$2:$D$2701,$B98,'март 2026'!$J$2:$J$2701,U$1)</f>
        <v>0</v>
      </c>
      <c r="V98" s="144">
        <f>SUMIFS('март 2026'!$G$2:$G$2701,'март 2026'!$D$2:$D$2701,$B98,'март 2026'!$J$2:$J$2701,V$1)</f>
        <v>0</v>
      </c>
      <c r="W98" s="144">
        <f>SUMIFS('март 2026'!$G$2:$G$2701,'март 2026'!$D$2:$D$2701,$B98,'март 2026'!$J$2:$J$2701,W$1)</f>
        <v>0</v>
      </c>
      <c r="X98" s="144">
        <f>SUMIFS('март 2026'!$G$2:$G$2701,'март 2026'!$D$2:$D$2701,$B98,'март 2026'!$J$2:$J$2701,X$1)</f>
        <v>0</v>
      </c>
      <c r="Y98" s="144">
        <f>SUMIFS('март 2026'!$G$2:$G$2701,'март 2026'!$D$2:$D$2701,$B98,'март 2026'!$J$2:$J$2701,Y$1)</f>
        <v>0</v>
      </c>
      <c r="Z98" s="144">
        <f>SUMIFS('март 2026'!$G$2:$G$2701,'март 2026'!$D$2:$D$2701,$B98,'март 2026'!$J$2:$J$2701,Z$1)</f>
        <v>0</v>
      </c>
      <c r="AA98" s="144">
        <f>SUMIFS('март 2026'!$G$2:$G$2701,'март 2026'!$D$2:$D$2701,$B98,'март 2026'!$J$2:$J$2701,AA$1)</f>
        <v>0</v>
      </c>
      <c r="AB98" s="144">
        <f>SUMIFS('март 2026'!$G$2:$G$2701,'март 2026'!$D$2:$D$2701,$B98,'март 2026'!$J$2:$J$2701,AB$1)</f>
        <v>0</v>
      </c>
      <c r="AC98" s="144">
        <f>SUMIFS('март 2026'!$G$2:$G$2701,'март 2026'!$D$2:$D$2701,$B98,'март 2026'!$J$2:$J$2701,AC$1)</f>
        <v>0</v>
      </c>
      <c r="AD98" s="144">
        <f>SUMIFS('март 2026'!$G$2:$G$2701,'март 2026'!$D$2:$D$2701,$B98,'март 2026'!$J$2:$J$2701,AD$1)</f>
        <v>0</v>
      </c>
      <c r="AE98" s="144">
        <f>SUMIFS('март 2026'!$G$2:$G$2701,'март 2026'!$D$2:$D$2701,$B98,'март 2026'!$J$2:$J$2701,AE$1)</f>
        <v>0</v>
      </c>
      <c r="AF98" s="144">
        <f>SUMIFS('март 2026'!$G$2:$G$2701,'март 2026'!$D$2:$D$2701,$B98,'март 2026'!$J$2:$J$2701,AF$1)</f>
        <v>0</v>
      </c>
      <c r="AG98" s="144">
        <f>SUMIFS('март 2026'!$G$2:$G$2701,'март 2026'!$D$2:$D$2701,$B98,'март 2026'!$J$2:$J$2701,AG$1)</f>
        <v>0</v>
      </c>
      <c r="AH98" s="144">
        <f>SUMIFS('март 2026'!$G$2:$G$2701,'март 2026'!$D$2:$D$2701,$B98,'март 2026'!$J$2:$J$2701,AH$1)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SUMIFS('март 2026'!$G$2:$G$2701,'март 2026'!$D$2:$D$2701,$B99,'март 2026'!$J$2:$J$2701,D$1)</f>
        <v>0</v>
      </c>
      <c r="E99" s="144">
        <f>SUMIFS('март 2026'!$G$2:$G$2701,'март 2026'!$D$2:$D$2701,$B99,'март 2026'!$J$2:$J$2701,E$1)</f>
        <v>0</v>
      </c>
      <c r="F99" s="144">
        <f>SUMIFS('март 2026'!$G$2:$G$2701,'март 2026'!$D$2:$D$2701,$B99,'март 2026'!$J$2:$J$2701,F$1)</f>
        <v>0</v>
      </c>
      <c r="G99" s="144">
        <f>SUMIFS('март 2026'!$G$2:$G$2701,'март 2026'!$D$2:$D$2701,$B99,'март 2026'!$J$2:$J$2701,G$1)</f>
        <v>0</v>
      </c>
      <c r="H99" s="144">
        <f>SUMIFS('март 2026'!$G$2:$G$2701,'март 2026'!$D$2:$D$2701,$B99,'март 2026'!$J$2:$J$2701,H$1)</f>
        <v>0</v>
      </c>
      <c r="I99" s="144">
        <f>SUMIFS('март 2026'!$G$2:$G$2701,'март 2026'!$D$2:$D$2701,$B99,'март 2026'!$J$2:$J$2701,I$1)</f>
        <v>0</v>
      </c>
      <c r="J99" s="144">
        <f>SUMIFS('март 2026'!$G$2:$G$2701,'март 2026'!$D$2:$D$2701,$B99,'март 2026'!$J$2:$J$2701,J$1)</f>
        <v>0</v>
      </c>
      <c r="K99" s="144">
        <f>SUMIFS('март 2026'!$G$2:$G$2701,'март 2026'!$D$2:$D$2701,$B99,'март 2026'!$J$2:$J$2701,K$1)</f>
        <v>0</v>
      </c>
      <c r="L99" s="144">
        <f>SUMIFS('март 2026'!$G$2:$G$2701,'март 2026'!$D$2:$D$2701,$B99,'март 2026'!$J$2:$J$2701,L$1)</f>
        <v>0</v>
      </c>
      <c r="M99" s="144">
        <f>SUMIFS('март 2026'!$G$2:$G$2701,'март 2026'!$D$2:$D$2701,$B99,'март 2026'!$J$2:$J$2701,M$1)</f>
        <v>0</v>
      </c>
      <c r="N99" s="144">
        <f>SUMIFS('март 2026'!$G$2:$G$2701,'март 2026'!$D$2:$D$2701,$B99,'март 2026'!$J$2:$J$2701,N$1)</f>
        <v>0</v>
      </c>
      <c r="O99" s="144">
        <f>SUMIFS('март 2026'!$G$2:$G$2701,'март 2026'!$D$2:$D$2701,$B99,'март 2026'!$J$2:$J$2701,O$1)</f>
        <v>0</v>
      </c>
      <c r="P99" s="144">
        <f>SUMIFS('март 2026'!$G$2:$G$2701,'март 2026'!$D$2:$D$2701,$B99,'март 2026'!$J$2:$J$2701,P$1)</f>
        <v>0</v>
      </c>
      <c r="Q99" s="144">
        <f>SUMIFS('март 2026'!$G$2:$G$2701,'март 2026'!$D$2:$D$2701,$B99,'март 2026'!$J$2:$J$2701,Q$1)</f>
        <v>0</v>
      </c>
      <c r="R99" s="144">
        <f>SUMIFS('март 2026'!$G$2:$G$2701,'март 2026'!$D$2:$D$2701,$B99,'март 2026'!$J$2:$J$2701,R$1)</f>
        <v>0</v>
      </c>
      <c r="S99" s="144">
        <f>SUMIFS('март 2026'!$G$2:$G$2701,'март 2026'!$D$2:$D$2701,$B99,'март 2026'!$J$2:$J$2701,S$1)</f>
        <v>0</v>
      </c>
      <c r="T99" s="144">
        <f>SUMIFS('март 2026'!$G$2:$G$2701,'март 2026'!$D$2:$D$2701,$B99,'март 2026'!$J$2:$J$2701,T$1)</f>
        <v>0</v>
      </c>
      <c r="U99" s="144">
        <f>SUMIFS('март 2026'!$G$2:$G$2701,'март 2026'!$D$2:$D$2701,$B99,'март 2026'!$J$2:$J$2701,U$1)</f>
        <v>0</v>
      </c>
      <c r="V99" s="144">
        <f>SUMIFS('март 2026'!$G$2:$G$2701,'март 2026'!$D$2:$D$2701,$B99,'март 2026'!$J$2:$J$2701,V$1)</f>
        <v>0</v>
      </c>
      <c r="W99" s="144">
        <f>SUMIFS('март 2026'!$G$2:$G$2701,'март 2026'!$D$2:$D$2701,$B99,'март 2026'!$J$2:$J$2701,W$1)</f>
        <v>0</v>
      </c>
      <c r="X99" s="144">
        <f>SUMIFS('март 2026'!$G$2:$G$2701,'март 2026'!$D$2:$D$2701,$B99,'март 2026'!$J$2:$J$2701,X$1)</f>
        <v>0</v>
      </c>
      <c r="Y99" s="144">
        <f>SUMIFS('март 2026'!$G$2:$G$2701,'март 2026'!$D$2:$D$2701,$B99,'март 2026'!$J$2:$J$2701,Y$1)</f>
        <v>0</v>
      </c>
      <c r="Z99" s="144">
        <f>SUMIFS('март 2026'!$G$2:$G$2701,'март 2026'!$D$2:$D$2701,$B99,'март 2026'!$J$2:$J$2701,Z$1)</f>
        <v>0</v>
      </c>
      <c r="AA99" s="144">
        <f>SUMIFS('март 2026'!$G$2:$G$2701,'март 2026'!$D$2:$D$2701,$B99,'март 2026'!$J$2:$J$2701,AA$1)</f>
        <v>0</v>
      </c>
      <c r="AB99" s="144">
        <f>SUMIFS('март 2026'!$G$2:$G$2701,'март 2026'!$D$2:$D$2701,$B99,'март 2026'!$J$2:$J$2701,AB$1)</f>
        <v>0</v>
      </c>
      <c r="AC99" s="144">
        <f>SUMIFS('март 2026'!$G$2:$G$2701,'март 2026'!$D$2:$D$2701,$B99,'март 2026'!$J$2:$J$2701,AC$1)</f>
        <v>0</v>
      </c>
      <c r="AD99" s="144">
        <f>SUMIFS('март 2026'!$G$2:$G$2701,'март 2026'!$D$2:$D$2701,$B99,'март 2026'!$J$2:$J$2701,AD$1)</f>
        <v>0</v>
      </c>
      <c r="AE99" s="144">
        <f>SUMIFS('март 2026'!$G$2:$G$2701,'март 2026'!$D$2:$D$2701,$B99,'март 2026'!$J$2:$J$2701,AE$1)</f>
        <v>0</v>
      </c>
      <c r="AF99" s="144">
        <f>SUMIFS('март 2026'!$G$2:$G$2701,'март 2026'!$D$2:$D$2701,$B99,'март 2026'!$J$2:$J$2701,AF$1)</f>
        <v>0</v>
      </c>
      <c r="AG99" s="144">
        <f>SUMIFS('март 2026'!$G$2:$G$2701,'март 2026'!$D$2:$D$2701,$B99,'март 2026'!$J$2:$J$2701,AG$1)</f>
        <v>0</v>
      </c>
      <c r="AH99" s="144">
        <f>SUMIFS('март 2026'!$G$2:$G$2701,'март 2026'!$D$2:$D$2701,$B99,'март 2026'!$J$2:$J$2701,AH$1)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SUMIFS('март 2026'!$G$2:$G$2701,'март 2026'!$D$2:$D$2701,$B100,'март 2026'!$J$2:$J$2701,D$1)</f>
        <v>0</v>
      </c>
      <c r="E100" s="144">
        <f>SUMIFS('март 2026'!$G$2:$G$2701,'март 2026'!$D$2:$D$2701,$B100,'март 2026'!$J$2:$J$2701,E$1)</f>
        <v>0</v>
      </c>
      <c r="F100" s="144">
        <f>SUMIFS('март 2026'!$G$2:$G$2701,'март 2026'!$D$2:$D$2701,$B100,'март 2026'!$J$2:$J$2701,F$1)</f>
        <v>0</v>
      </c>
      <c r="G100" s="144">
        <f>SUMIFS('март 2026'!$G$2:$G$2701,'март 2026'!$D$2:$D$2701,$B100,'март 2026'!$J$2:$J$2701,G$1)</f>
        <v>0</v>
      </c>
      <c r="H100" s="144">
        <f>SUMIFS('март 2026'!$G$2:$G$2701,'март 2026'!$D$2:$D$2701,$B100,'март 2026'!$J$2:$J$2701,H$1)</f>
        <v>0</v>
      </c>
      <c r="I100" s="144">
        <f>SUMIFS('март 2026'!$G$2:$G$2701,'март 2026'!$D$2:$D$2701,$B100,'март 2026'!$J$2:$J$2701,I$1)</f>
        <v>72</v>
      </c>
      <c r="J100" s="144">
        <f>SUMIFS('март 2026'!$G$2:$G$2701,'март 2026'!$D$2:$D$2701,$B100,'март 2026'!$J$2:$J$2701,J$1)</f>
        <v>0</v>
      </c>
      <c r="K100" s="144">
        <f>SUMIFS('март 2026'!$G$2:$G$2701,'март 2026'!$D$2:$D$2701,$B100,'март 2026'!$J$2:$J$2701,K$1)</f>
        <v>0</v>
      </c>
      <c r="L100" s="144">
        <f>SUMIFS('март 2026'!$G$2:$G$2701,'март 2026'!$D$2:$D$2701,$B100,'март 2026'!$J$2:$J$2701,L$1)</f>
        <v>0</v>
      </c>
      <c r="M100" s="144">
        <f>SUMIFS('март 2026'!$G$2:$G$2701,'март 2026'!$D$2:$D$2701,$B100,'март 2026'!$J$2:$J$2701,M$1)</f>
        <v>0</v>
      </c>
      <c r="N100" s="144">
        <f>SUMIFS('март 2026'!$G$2:$G$2701,'март 2026'!$D$2:$D$2701,$B100,'март 2026'!$J$2:$J$2701,N$1)</f>
        <v>0</v>
      </c>
      <c r="O100" s="144">
        <f>SUMIFS('март 2026'!$G$2:$G$2701,'март 2026'!$D$2:$D$2701,$B100,'март 2026'!$J$2:$J$2701,O$1)</f>
        <v>0</v>
      </c>
      <c r="P100" s="144">
        <f>SUMIFS('март 2026'!$G$2:$G$2701,'март 2026'!$D$2:$D$2701,$B100,'март 2026'!$J$2:$J$2701,P$1)</f>
        <v>0</v>
      </c>
      <c r="Q100" s="144">
        <f>SUMIFS('март 2026'!$G$2:$G$2701,'март 2026'!$D$2:$D$2701,$B100,'март 2026'!$J$2:$J$2701,Q$1)</f>
        <v>0</v>
      </c>
      <c r="R100" s="144">
        <f>SUMIFS('март 2026'!$G$2:$G$2701,'март 2026'!$D$2:$D$2701,$B100,'март 2026'!$J$2:$J$2701,R$1)</f>
        <v>0</v>
      </c>
      <c r="S100" s="144">
        <f>SUMIFS('март 2026'!$G$2:$G$2701,'март 2026'!$D$2:$D$2701,$B100,'март 2026'!$J$2:$J$2701,S$1)</f>
        <v>0</v>
      </c>
      <c r="T100" s="144">
        <f>SUMIFS('март 2026'!$G$2:$G$2701,'март 2026'!$D$2:$D$2701,$B100,'март 2026'!$J$2:$J$2701,T$1)</f>
        <v>0</v>
      </c>
      <c r="U100" s="144">
        <f>SUMIFS('март 2026'!$G$2:$G$2701,'март 2026'!$D$2:$D$2701,$B100,'март 2026'!$J$2:$J$2701,U$1)</f>
        <v>0</v>
      </c>
      <c r="V100" s="144">
        <f>SUMIFS('март 2026'!$G$2:$G$2701,'март 2026'!$D$2:$D$2701,$B100,'март 2026'!$J$2:$J$2701,V$1)</f>
        <v>0</v>
      </c>
      <c r="W100" s="144">
        <f>SUMIFS('март 2026'!$G$2:$G$2701,'март 2026'!$D$2:$D$2701,$B100,'март 2026'!$J$2:$J$2701,W$1)</f>
        <v>0</v>
      </c>
      <c r="X100" s="144">
        <f>SUMIFS('март 2026'!$G$2:$G$2701,'март 2026'!$D$2:$D$2701,$B100,'март 2026'!$J$2:$J$2701,X$1)</f>
        <v>0</v>
      </c>
      <c r="Y100" s="144">
        <f>SUMIFS('март 2026'!$G$2:$G$2701,'март 2026'!$D$2:$D$2701,$B100,'март 2026'!$J$2:$J$2701,Y$1)</f>
        <v>0</v>
      </c>
      <c r="Z100" s="144">
        <f>SUMIFS('март 2026'!$G$2:$G$2701,'март 2026'!$D$2:$D$2701,$B100,'март 2026'!$J$2:$J$2701,Z$1)</f>
        <v>0</v>
      </c>
      <c r="AA100" s="144">
        <f>SUMIFS('март 2026'!$G$2:$G$2701,'март 2026'!$D$2:$D$2701,$B100,'март 2026'!$J$2:$J$2701,AA$1)</f>
        <v>0</v>
      </c>
      <c r="AB100" s="144">
        <f>SUMIFS('март 2026'!$G$2:$G$2701,'март 2026'!$D$2:$D$2701,$B100,'март 2026'!$J$2:$J$2701,AB$1)</f>
        <v>0</v>
      </c>
      <c r="AC100" s="144">
        <f>SUMIFS('март 2026'!$G$2:$G$2701,'март 2026'!$D$2:$D$2701,$B100,'март 2026'!$J$2:$J$2701,AC$1)</f>
        <v>0</v>
      </c>
      <c r="AD100" s="144">
        <f>SUMIFS('март 2026'!$G$2:$G$2701,'март 2026'!$D$2:$D$2701,$B100,'март 2026'!$J$2:$J$2701,AD$1)</f>
        <v>0</v>
      </c>
      <c r="AE100" s="144">
        <f>SUMIFS('март 2026'!$G$2:$G$2701,'март 2026'!$D$2:$D$2701,$B100,'март 2026'!$J$2:$J$2701,AE$1)</f>
        <v>0</v>
      </c>
      <c r="AF100" s="144">
        <f>SUMIFS('март 2026'!$G$2:$G$2701,'март 2026'!$D$2:$D$2701,$B100,'март 2026'!$J$2:$J$2701,AF$1)</f>
        <v>0</v>
      </c>
      <c r="AG100" s="144">
        <f>SUMIFS('март 2026'!$G$2:$G$2701,'март 2026'!$D$2:$D$2701,$B100,'март 2026'!$J$2:$J$2701,AG$1)</f>
        <v>0</v>
      </c>
      <c r="AH100" s="144">
        <f>SUMIFS('март 2026'!$G$2:$G$2701,'март 2026'!$D$2:$D$2701,$B100,'март 2026'!$J$2:$J$2701,AH$1)</f>
        <v>0</v>
      </c>
      <c r="AI100" s="20">
        <f t="shared" si="1"/>
        <v>72</v>
      </c>
    </row>
    <row r="101" spans="2:35" ht="15" customHeight="1" x14ac:dyDescent="0.25">
      <c r="B101" s="85" t="s">
        <v>190</v>
      </c>
      <c r="C101" s="83">
        <v>900</v>
      </c>
      <c r="D101" s="144">
        <f>SUMIFS('март 2026'!$G$2:$G$2701,'март 2026'!$D$2:$D$2701,$B101,'март 2026'!$J$2:$J$2701,D$1)</f>
        <v>0</v>
      </c>
      <c r="E101" s="144">
        <f>SUMIFS('март 2026'!$G$2:$G$2701,'март 2026'!$D$2:$D$2701,$B101,'март 2026'!$J$2:$J$2701,E$1)</f>
        <v>0</v>
      </c>
      <c r="F101" s="144">
        <f>SUMIFS('март 2026'!$G$2:$G$2701,'март 2026'!$D$2:$D$2701,$B101,'март 2026'!$J$2:$J$2701,F$1)</f>
        <v>0</v>
      </c>
      <c r="G101" s="144">
        <f>SUMIFS('март 2026'!$G$2:$G$2701,'март 2026'!$D$2:$D$2701,$B101,'март 2026'!$J$2:$J$2701,G$1)</f>
        <v>0</v>
      </c>
      <c r="H101" s="144">
        <f>SUMIFS('март 2026'!$G$2:$G$2701,'март 2026'!$D$2:$D$2701,$B101,'март 2026'!$J$2:$J$2701,H$1)</f>
        <v>0</v>
      </c>
      <c r="I101" s="144">
        <f>SUMIFS('март 2026'!$G$2:$G$2701,'март 2026'!$D$2:$D$2701,$B101,'март 2026'!$J$2:$J$2701,I$1)</f>
        <v>0</v>
      </c>
      <c r="J101" s="144">
        <f>SUMIFS('март 2026'!$G$2:$G$2701,'март 2026'!$D$2:$D$2701,$B101,'март 2026'!$J$2:$J$2701,J$1)</f>
        <v>0</v>
      </c>
      <c r="K101" s="144">
        <f>SUMIFS('март 2026'!$G$2:$G$2701,'март 2026'!$D$2:$D$2701,$B101,'март 2026'!$J$2:$J$2701,K$1)</f>
        <v>0</v>
      </c>
      <c r="L101" s="144">
        <f>SUMIFS('март 2026'!$G$2:$G$2701,'март 2026'!$D$2:$D$2701,$B101,'март 2026'!$J$2:$J$2701,L$1)</f>
        <v>0</v>
      </c>
      <c r="M101" s="144">
        <f>SUMIFS('март 2026'!$G$2:$G$2701,'март 2026'!$D$2:$D$2701,$B101,'март 2026'!$J$2:$J$2701,M$1)</f>
        <v>0</v>
      </c>
      <c r="N101" s="144">
        <f>SUMIFS('март 2026'!$G$2:$G$2701,'март 2026'!$D$2:$D$2701,$B101,'март 2026'!$J$2:$J$2701,N$1)</f>
        <v>0</v>
      </c>
      <c r="O101" s="144">
        <f>SUMIFS('март 2026'!$G$2:$G$2701,'март 2026'!$D$2:$D$2701,$B101,'март 2026'!$J$2:$J$2701,O$1)</f>
        <v>0</v>
      </c>
      <c r="P101" s="144">
        <f>SUMIFS('март 2026'!$G$2:$G$2701,'март 2026'!$D$2:$D$2701,$B101,'март 2026'!$J$2:$J$2701,P$1)</f>
        <v>0</v>
      </c>
      <c r="Q101" s="144">
        <f>SUMIFS('март 2026'!$G$2:$G$2701,'март 2026'!$D$2:$D$2701,$B101,'март 2026'!$J$2:$J$2701,Q$1)</f>
        <v>0</v>
      </c>
      <c r="R101" s="144">
        <f>SUMIFS('март 2026'!$G$2:$G$2701,'март 2026'!$D$2:$D$2701,$B101,'март 2026'!$J$2:$J$2701,R$1)</f>
        <v>0</v>
      </c>
      <c r="S101" s="144">
        <f>SUMIFS('март 2026'!$G$2:$G$2701,'март 2026'!$D$2:$D$2701,$B101,'март 2026'!$J$2:$J$2701,S$1)</f>
        <v>0</v>
      </c>
      <c r="T101" s="144">
        <f>SUMIFS('март 2026'!$G$2:$G$2701,'март 2026'!$D$2:$D$2701,$B101,'март 2026'!$J$2:$J$2701,T$1)</f>
        <v>0</v>
      </c>
      <c r="U101" s="144">
        <f>SUMIFS('март 2026'!$G$2:$G$2701,'март 2026'!$D$2:$D$2701,$B101,'март 2026'!$J$2:$J$2701,U$1)</f>
        <v>0</v>
      </c>
      <c r="V101" s="144">
        <f>SUMIFS('март 2026'!$G$2:$G$2701,'март 2026'!$D$2:$D$2701,$B101,'март 2026'!$J$2:$J$2701,V$1)</f>
        <v>0</v>
      </c>
      <c r="W101" s="144">
        <f>SUMIFS('март 2026'!$G$2:$G$2701,'март 2026'!$D$2:$D$2701,$B101,'март 2026'!$J$2:$J$2701,W$1)</f>
        <v>0</v>
      </c>
      <c r="X101" s="144">
        <f>SUMIFS('март 2026'!$G$2:$G$2701,'март 2026'!$D$2:$D$2701,$B101,'март 2026'!$J$2:$J$2701,X$1)</f>
        <v>0</v>
      </c>
      <c r="Y101" s="144">
        <f>SUMIFS('март 2026'!$G$2:$G$2701,'март 2026'!$D$2:$D$2701,$B101,'март 2026'!$J$2:$J$2701,Y$1)</f>
        <v>0</v>
      </c>
      <c r="Z101" s="144">
        <f>SUMIFS('март 2026'!$G$2:$G$2701,'март 2026'!$D$2:$D$2701,$B101,'март 2026'!$J$2:$J$2701,Z$1)</f>
        <v>0</v>
      </c>
      <c r="AA101" s="144">
        <f>SUMIFS('март 2026'!$G$2:$G$2701,'март 2026'!$D$2:$D$2701,$B101,'март 2026'!$J$2:$J$2701,AA$1)</f>
        <v>0</v>
      </c>
      <c r="AB101" s="144">
        <f>SUMIFS('март 2026'!$G$2:$G$2701,'март 2026'!$D$2:$D$2701,$B101,'март 2026'!$J$2:$J$2701,AB$1)</f>
        <v>0</v>
      </c>
      <c r="AC101" s="144">
        <f>SUMIFS('март 2026'!$G$2:$G$2701,'март 2026'!$D$2:$D$2701,$B101,'март 2026'!$J$2:$J$2701,AC$1)</f>
        <v>0</v>
      </c>
      <c r="AD101" s="144">
        <f>SUMIFS('март 2026'!$G$2:$G$2701,'март 2026'!$D$2:$D$2701,$B101,'март 2026'!$J$2:$J$2701,AD$1)</f>
        <v>0</v>
      </c>
      <c r="AE101" s="144">
        <f>SUMIFS('март 2026'!$G$2:$G$2701,'март 2026'!$D$2:$D$2701,$B101,'март 2026'!$J$2:$J$2701,AE$1)</f>
        <v>0</v>
      </c>
      <c r="AF101" s="144">
        <f>SUMIFS('март 2026'!$G$2:$G$2701,'март 2026'!$D$2:$D$2701,$B101,'март 2026'!$J$2:$J$2701,AF$1)</f>
        <v>0</v>
      </c>
      <c r="AG101" s="144">
        <f>SUMIFS('март 2026'!$G$2:$G$2701,'март 2026'!$D$2:$D$2701,$B101,'март 2026'!$J$2:$J$2701,AG$1)</f>
        <v>0</v>
      </c>
      <c r="AH101" s="144">
        <f>SUMIFS('март 2026'!$G$2:$G$2701,'март 2026'!$D$2:$D$2701,$B101,'март 2026'!$J$2:$J$2701,AH$1)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SUMIFS('март 2026'!$G$2:$G$2701,'март 2026'!$D$2:$D$2701,$B102,'март 2026'!$J$2:$J$2701,D$1)</f>
        <v>0</v>
      </c>
      <c r="E102" s="144">
        <f>SUMIFS('март 2026'!$G$2:$G$2701,'март 2026'!$D$2:$D$2701,$B102,'март 2026'!$J$2:$J$2701,E$1)</f>
        <v>0</v>
      </c>
      <c r="F102" s="144">
        <f>SUMIFS('март 2026'!$G$2:$G$2701,'март 2026'!$D$2:$D$2701,$B102,'март 2026'!$J$2:$J$2701,F$1)</f>
        <v>0</v>
      </c>
      <c r="G102" s="144">
        <f>SUMIFS('март 2026'!$G$2:$G$2701,'март 2026'!$D$2:$D$2701,$B102,'март 2026'!$J$2:$J$2701,G$1)</f>
        <v>0</v>
      </c>
      <c r="H102" s="144">
        <f>SUMIFS('март 2026'!$G$2:$G$2701,'март 2026'!$D$2:$D$2701,$B102,'март 2026'!$J$2:$J$2701,H$1)</f>
        <v>0</v>
      </c>
      <c r="I102" s="144">
        <f>SUMIFS('март 2026'!$G$2:$G$2701,'март 2026'!$D$2:$D$2701,$B102,'март 2026'!$J$2:$J$2701,I$1)</f>
        <v>0</v>
      </c>
      <c r="J102" s="144">
        <f>SUMIFS('март 2026'!$G$2:$G$2701,'март 2026'!$D$2:$D$2701,$B102,'март 2026'!$J$2:$J$2701,J$1)</f>
        <v>0</v>
      </c>
      <c r="K102" s="144">
        <f>SUMIFS('март 2026'!$G$2:$G$2701,'март 2026'!$D$2:$D$2701,$B102,'март 2026'!$J$2:$J$2701,K$1)</f>
        <v>0</v>
      </c>
      <c r="L102" s="144">
        <f>SUMIFS('март 2026'!$G$2:$G$2701,'март 2026'!$D$2:$D$2701,$B102,'март 2026'!$J$2:$J$2701,L$1)</f>
        <v>0</v>
      </c>
      <c r="M102" s="144">
        <f>SUMIFS('март 2026'!$G$2:$G$2701,'март 2026'!$D$2:$D$2701,$B102,'март 2026'!$J$2:$J$2701,M$1)</f>
        <v>0</v>
      </c>
      <c r="N102" s="144">
        <f>SUMIFS('март 2026'!$G$2:$G$2701,'март 2026'!$D$2:$D$2701,$B102,'март 2026'!$J$2:$J$2701,N$1)</f>
        <v>0</v>
      </c>
      <c r="O102" s="144">
        <f>SUMIFS('март 2026'!$G$2:$G$2701,'март 2026'!$D$2:$D$2701,$B102,'март 2026'!$J$2:$J$2701,O$1)</f>
        <v>0</v>
      </c>
      <c r="P102" s="144">
        <f>SUMIFS('март 2026'!$G$2:$G$2701,'март 2026'!$D$2:$D$2701,$B102,'март 2026'!$J$2:$J$2701,P$1)</f>
        <v>0</v>
      </c>
      <c r="Q102" s="144">
        <f>SUMIFS('март 2026'!$G$2:$G$2701,'март 2026'!$D$2:$D$2701,$B102,'март 2026'!$J$2:$J$2701,Q$1)</f>
        <v>0</v>
      </c>
      <c r="R102" s="144">
        <f>SUMIFS('март 2026'!$G$2:$G$2701,'март 2026'!$D$2:$D$2701,$B102,'март 2026'!$J$2:$J$2701,R$1)</f>
        <v>0</v>
      </c>
      <c r="S102" s="144">
        <f>SUMIFS('март 2026'!$G$2:$G$2701,'март 2026'!$D$2:$D$2701,$B102,'март 2026'!$J$2:$J$2701,S$1)</f>
        <v>0</v>
      </c>
      <c r="T102" s="144">
        <f>SUMIFS('март 2026'!$G$2:$G$2701,'март 2026'!$D$2:$D$2701,$B102,'март 2026'!$J$2:$J$2701,T$1)</f>
        <v>0</v>
      </c>
      <c r="U102" s="144">
        <f>SUMIFS('март 2026'!$G$2:$G$2701,'март 2026'!$D$2:$D$2701,$B102,'март 2026'!$J$2:$J$2701,U$1)</f>
        <v>0</v>
      </c>
      <c r="V102" s="144">
        <f>SUMIFS('март 2026'!$G$2:$G$2701,'март 2026'!$D$2:$D$2701,$B102,'март 2026'!$J$2:$J$2701,V$1)</f>
        <v>0</v>
      </c>
      <c r="W102" s="144">
        <f>SUMIFS('март 2026'!$G$2:$G$2701,'март 2026'!$D$2:$D$2701,$B102,'март 2026'!$J$2:$J$2701,W$1)</f>
        <v>0</v>
      </c>
      <c r="X102" s="144">
        <f>SUMIFS('март 2026'!$G$2:$G$2701,'март 2026'!$D$2:$D$2701,$B102,'март 2026'!$J$2:$J$2701,X$1)</f>
        <v>0</v>
      </c>
      <c r="Y102" s="144">
        <f>SUMIFS('март 2026'!$G$2:$G$2701,'март 2026'!$D$2:$D$2701,$B102,'март 2026'!$J$2:$J$2701,Y$1)</f>
        <v>0</v>
      </c>
      <c r="Z102" s="144">
        <f>SUMIFS('март 2026'!$G$2:$G$2701,'март 2026'!$D$2:$D$2701,$B102,'март 2026'!$J$2:$J$2701,Z$1)</f>
        <v>0</v>
      </c>
      <c r="AA102" s="144">
        <f>SUMIFS('март 2026'!$G$2:$G$2701,'март 2026'!$D$2:$D$2701,$B102,'март 2026'!$J$2:$J$2701,AA$1)</f>
        <v>0</v>
      </c>
      <c r="AB102" s="144">
        <f>SUMIFS('март 2026'!$G$2:$G$2701,'март 2026'!$D$2:$D$2701,$B102,'март 2026'!$J$2:$J$2701,AB$1)</f>
        <v>0</v>
      </c>
      <c r="AC102" s="144">
        <f>SUMIFS('март 2026'!$G$2:$G$2701,'март 2026'!$D$2:$D$2701,$B102,'март 2026'!$J$2:$J$2701,AC$1)</f>
        <v>0</v>
      </c>
      <c r="AD102" s="144">
        <f>SUMIFS('март 2026'!$G$2:$G$2701,'март 2026'!$D$2:$D$2701,$B102,'март 2026'!$J$2:$J$2701,AD$1)</f>
        <v>0</v>
      </c>
      <c r="AE102" s="144">
        <f>SUMIFS('март 2026'!$G$2:$G$2701,'март 2026'!$D$2:$D$2701,$B102,'март 2026'!$J$2:$J$2701,AE$1)</f>
        <v>0</v>
      </c>
      <c r="AF102" s="144">
        <f>SUMIFS('март 2026'!$G$2:$G$2701,'март 2026'!$D$2:$D$2701,$B102,'март 2026'!$J$2:$J$2701,AF$1)</f>
        <v>0</v>
      </c>
      <c r="AG102" s="144">
        <f>SUMIFS('март 2026'!$G$2:$G$2701,'март 2026'!$D$2:$D$2701,$B102,'март 2026'!$J$2:$J$2701,AG$1)</f>
        <v>0</v>
      </c>
      <c r="AH102" s="144">
        <f>SUMIFS('март 2026'!$G$2:$G$2701,'март 2026'!$D$2:$D$2701,$B102,'март 2026'!$J$2:$J$2701,AH$1)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SUMIFS('март 2026'!$G$2:$G$2701,'март 2026'!$D$2:$D$2701,$B103,'март 2026'!$J$2:$J$2701,D$1)</f>
        <v>0</v>
      </c>
      <c r="E103" s="144">
        <f>SUMIFS('март 2026'!$G$2:$G$2701,'март 2026'!$D$2:$D$2701,$B103,'март 2026'!$J$2:$J$2701,E$1)</f>
        <v>0</v>
      </c>
      <c r="F103" s="144">
        <f>SUMIFS('март 2026'!$G$2:$G$2701,'март 2026'!$D$2:$D$2701,$B103,'март 2026'!$J$2:$J$2701,F$1)</f>
        <v>0</v>
      </c>
      <c r="G103" s="144">
        <f>SUMIFS('март 2026'!$G$2:$G$2701,'март 2026'!$D$2:$D$2701,$B103,'март 2026'!$J$2:$J$2701,G$1)</f>
        <v>0</v>
      </c>
      <c r="H103" s="144">
        <f>SUMIFS('март 2026'!$G$2:$G$2701,'март 2026'!$D$2:$D$2701,$B103,'март 2026'!$J$2:$J$2701,H$1)</f>
        <v>0</v>
      </c>
      <c r="I103" s="144">
        <f>SUMIFS('март 2026'!$G$2:$G$2701,'март 2026'!$D$2:$D$2701,$B103,'март 2026'!$J$2:$J$2701,I$1)</f>
        <v>0</v>
      </c>
      <c r="J103" s="144">
        <f>SUMIFS('март 2026'!$G$2:$G$2701,'март 2026'!$D$2:$D$2701,$B103,'март 2026'!$J$2:$J$2701,J$1)</f>
        <v>0</v>
      </c>
      <c r="K103" s="144">
        <f>SUMIFS('март 2026'!$G$2:$G$2701,'март 2026'!$D$2:$D$2701,$B103,'март 2026'!$J$2:$J$2701,K$1)</f>
        <v>0</v>
      </c>
      <c r="L103" s="144">
        <f>SUMIFS('март 2026'!$G$2:$G$2701,'март 2026'!$D$2:$D$2701,$B103,'март 2026'!$J$2:$J$2701,L$1)</f>
        <v>0</v>
      </c>
      <c r="M103" s="144">
        <f>SUMIFS('март 2026'!$G$2:$G$2701,'март 2026'!$D$2:$D$2701,$B103,'март 2026'!$J$2:$J$2701,M$1)</f>
        <v>0</v>
      </c>
      <c r="N103" s="144">
        <f>SUMIFS('март 2026'!$G$2:$G$2701,'март 2026'!$D$2:$D$2701,$B103,'март 2026'!$J$2:$J$2701,N$1)</f>
        <v>0</v>
      </c>
      <c r="O103" s="144">
        <f>SUMIFS('март 2026'!$G$2:$G$2701,'март 2026'!$D$2:$D$2701,$B103,'март 2026'!$J$2:$J$2701,O$1)</f>
        <v>0</v>
      </c>
      <c r="P103" s="144">
        <f>SUMIFS('март 2026'!$G$2:$G$2701,'март 2026'!$D$2:$D$2701,$B103,'март 2026'!$J$2:$J$2701,P$1)</f>
        <v>0</v>
      </c>
      <c r="Q103" s="144">
        <f>SUMIFS('март 2026'!$G$2:$G$2701,'март 2026'!$D$2:$D$2701,$B103,'март 2026'!$J$2:$J$2701,Q$1)</f>
        <v>0</v>
      </c>
      <c r="R103" s="144">
        <f>SUMIFS('март 2026'!$G$2:$G$2701,'март 2026'!$D$2:$D$2701,$B103,'март 2026'!$J$2:$J$2701,R$1)</f>
        <v>0</v>
      </c>
      <c r="S103" s="144">
        <f>SUMIFS('март 2026'!$G$2:$G$2701,'март 2026'!$D$2:$D$2701,$B103,'март 2026'!$J$2:$J$2701,S$1)</f>
        <v>0</v>
      </c>
      <c r="T103" s="144">
        <f>SUMIFS('март 2026'!$G$2:$G$2701,'март 2026'!$D$2:$D$2701,$B103,'март 2026'!$J$2:$J$2701,T$1)</f>
        <v>0</v>
      </c>
      <c r="U103" s="144">
        <f>SUMIFS('март 2026'!$G$2:$G$2701,'март 2026'!$D$2:$D$2701,$B103,'март 2026'!$J$2:$J$2701,U$1)</f>
        <v>0</v>
      </c>
      <c r="V103" s="144">
        <f>SUMIFS('март 2026'!$G$2:$G$2701,'март 2026'!$D$2:$D$2701,$B103,'март 2026'!$J$2:$J$2701,V$1)</f>
        <v>0</v>
      </c>
      <c r="W103" s="144">
        <f>SUMIFS('март 2026'!$G$2:$G$2701,'март 2026'!$D$2:$D$2701,$B103,'март 2026'!$J$2:$J$2701,W$1)</f>
        <v>0</v>
      </c>
      <c r="X103" s="144">
        <f>SUMIFS('март 2026'!$G$2:$G$2701,'март 2026'!$D$2:$D$2701,$B103,'март 2026'!$J$2:$J$2701,X$1)</f>
        <v>0</v>
      </c>
      <c r="Y103" s="144">
        <f>SUMIFS('март 2026'!$G$2:$G$2701,'март 2026'!$D$2:$D$2701,$B103,'март 2026'!$J$2:$J$2701,Y$1)</f>
        <v>0</v>
      </c>
      <c r="Z103" s="144">
        <f>SUMIFS('март 2026'!$G$2:$G$2701,'март 2026'!$D$2:$D$2701,$B103,'март 2026'!$J$2:$J$2701,Z$1)</f>
        <v>0</v>
      </c>
      <c r="AA103" s="144">
        <f>SUMIFS('март 2026'!$G$2:$G$2701,'март 2026'!$D$2:$D$2701,$B103,'март 2026'!$J$2:$J$2701,AA$1)</f>
        <v>0</v>
      </c>
      <c r="AB103" s="144">
        <f>SUMIFS('март 2026'!$G$2:$G$2701,'март 2026'!$D$2:$D$2701,$B103,'март 2026'!$J$2:$J$2701,AB$1)</f>
        <v>0</v>
      </c>
      <c r="AC103" s="144">
        <f>SUMIFS('март 2026'!$G$2:$G$2701,'март 2026'!$D$2:$D$2701,$B103,'март 2026'!$J$2:$J$2701,AC$1)</f>
        <v>0</v>
      </c>
      <c r="AD103" s="144">
        <f>SUMIFS('март 2026'!$G$2:$G$2701,'март 2026'!$D$2:$D$2701,$B103,'март 2026'!$J$2:$J$2701,AD$1)</f>
        <v>0</v>
      </c>
      <c r="AE103" s="144">
        <f>SUMIFS('март 2026'!$G$2:$G$2701,'март 2026'!$D$2:$D$2701,$B103,'март 2026'!$J$2:$J$2701,AE$1)</f>
        <v>0</v>
      </c>
      <c r="AF103" s="144">
        <f>SUMIFS('март 2026'!$G$2:$G$2701,'март 2026'!$D$2:$D$2701,$B103,'март 2026'!$J$2:$J$2701,AF$1)</f>
        <v>0</v>
      </c>
      <c r="AG103" s="144">
        <f>SUMIFS('март 2026'!$G$2:$G$2701,'март 2026'!$D$2:$D$2701,$B103,'март 2026'!$J$2:$J$2701,AG$1)</f>
        <v>0</v>
      </c>
      <c r="AH103" s="144">
        <f>SUMIFS('март 2026'!$G$2:$G$2701,'март 2026'!$D$2:$D$2701,$B103,'март 2026'!$J$2:$J$2701,AH$1)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SUMIFS('март 2026'!$G$2:$G$2701,'март 2026'!$D$2:$D$2701,$B104,'март 2026'!$J$2:$J$2701,D$1)</f>
        <v>0</v>
      </c>
      <c r="E104" s="144">
        <f>SUMIFS('март 2026'!$G$2:$G$2701,'март 2026'!$D$2:$D$2701,$B104,'март 2026'!$J$2:$J$2701,E$1)</f>
        <v>0</v>
      </c>
      <c r="F104" s="144">
        <f>SUMIFS('март 2026'!$G$2:$G$2701,'март 2026'!$D$2:$D$2701,$B104,'март 2026'!$J$2:$J$2701,F$1)</f>
        <v>0</v>
      </c>
      <c r="G104" s="144">
        <f>SUMIFS('март 2026'!$G$2:$G$2701,'март 2026'!$D$2:$D$2701,$B104,'март 2026'!$J$2:$J$2701,G$1)</f>
        <v>0</v>
      </c>
      <c r="H104" s="144">
        <f>SUMIFS('март 2026'!$G$2:$G$2701,'март 2026'!$D$2:$D$2701,$B104,'март 2026'!$J$2:$J$2701,H$1)</f>
        <v>0</v>
      </c>
      <c r="I104" s="144">
        <f>SUMIFS('март 2026'!$G$2:$G$2701,'март 2026'!$D$2:$D$2701,$B104,'март 2026'!$J$2:$J$2701,I$1)</f>
        <v>0</v>
      </c>
      <c r="J104" s="144">
        <f>SUMIFS('март 2026'!$G$2:$G$2701,'март 2026'!$D$2:$D$2701,$B104,'март 2026'!$J$2:$J$2701,J$1)</f>
        <v>0</v>
      </c>
      <c r="K104" s="144">
        <f>SUMIFS('март 2026'!$G$2:$G$2701,'март 2026'!$D$2:$D$2701,$B104,'март 2026'!$J$2:$J$2701,K$1)</f>
        <v>0</v>
      </c>
      <c r="L104" s="144">
        <f>SUMIFS('март 2026'!$G$2:$G$2701,'март 2026'!$D$2:$D$2701,$B104,'март 2026'!$J$2:$J$2701,L$1)</f>
        <v>0</v>
      </c>
      <c r="M104" s="144">
        <f>SUMIFS('март 2026'!$G$2:$G$2701,'март 2026'!$D$2:$D$2701,$B104,'март 2026'!$J$2:$J$2701,M$1)</f>
        <v>0</v>
      </c>
      <c r="N104" s="144">
        <f>SUMIFS('март 2026'!$G$2:$G$2701,'март 2026'!$D$2:$D$2701,$B104,'март 2026'!$J$2:$J$2701,N$1)</f>
        <v>0</v>
      </c>
      <c r="O104" s="144">
        <f>SUMIFS('март 2026'!$G$2:$G$2701,'март 2026'!$D$2:$D$2701,$B104,'март 2026'!$J$2:$J$2701,O$1)</f>
        <v>0</v>
      </c>
      <c r="P104" s="144">
        <f>SUMIFS('март 2026'!$G$2:$G$2701,'март 2026'!$D$2:$D$2701,$B104,'март 2026'!$J$2:$J$2701,P$1)</f>
        <v>0</v>
      </c>
      <c r="Q104" s="144">
        <f>SUMIFS('март 2026'!$G$2:$G$2701,'март 2026'!$D$2:$D$2701,$B104,'март 2026'!$J$2:$J$2701,Q$1)</f>
        <v>0</v>
      </c>
      <c r="R104" s="144">
        <f>SUMIFS('март 2026'!$G$2:$G$2701,'март 2026'!$D$2:$D$2701,$B104,'март 2026'!$J$2:$J$2701,R$1)</f>
        <v>0</v>
      </c>
      <c r="S104" s="144">
        <f>SUMIFS('март 2026'!$G$2:$G$2701,'март 2026'!$D$2:$D$2701,$B104,'март 2026'!$J$2:$J$2701,S$1)</f>
        <v>0</v>
      </c>
      <c r="T104" s="144">
        <f>SUMIFS('март 2026'!$G$2:$G$2701,'март 2026'!$D$2:$D$2701,$B104,'март 2026'!$J$2:$J$2701,T$1)</f>
        <v>0</v>
      </c>
      <c r="U104" s="144">
        <f>SUMIFS('март 2026'!$G$2:$G$2701,'март 2026'!$D$2:$D$2701,$B104,'март 2026'!$J$2:$J$2701,U$1)</f>
        <v>0</v>
      </c>
      <c r="V104" s="144">
        <f>SUMIFS('март 2026'!$G$2:$G$2701,'март 2026'!$D$2:$D$2701,$B104,'март 2026'!$J$2:$J$2701,V$1)</f>
        <v>0</v>
      </c>
      <c r="W104" s="144">
        <f>SUMIFS('март 2026'!$G$2:$G$2701,'март 2026'!$D$2:$D$2701,$B104,'март 2026'!$J$2:$J$2701,W$1)</f>
        <v>0</v>
      </c>
      <c r="X104" s="144">
        <f>SUMIFS('март 2026'!$G$2:$G$2701,'март 2026'!$D$2:$D$2701,$B104,'март 2026'!$J$2:$J$2701,X$1)</f>
        <v>0</v>
      </c>
      <c r="Y104" s="144">
        <f>SUMIFS('март 2026'!$G$2:$G$2701,'март 2026'!$D$2:$D$2701,$B104,'март 2026'!$J$2:$J$2701,Y$1)</f>
        <v>0</v>
      </c>
      <c r="Z104" s="144">
        <f>SUMIFS('март 2026'!$G$2:$G$2701,'март 2026'!$D$2:$D$2701,$B104,'март 2026'!$J$2:$J$2701,Z$1)</f>
        <v>0</v>
      </c>
      <c r="AA104" s="144">
        <f>SUMIFS('март 2026'!$G$2:$G$2701,'март 2026'!$D$2:$D$2701,$B104,'март 2026'!$J$2:$J$2701,AA$1)</f>
        <v>0</v>
      </c>
      <c r="AB104" s="144">
        <f>SUMIFS('март 2026'!$G$2:$G$2701,'март 2026'!$D$2:$D$2701,$B104,'март 2026'!$J$2:$J$2701,AB$1)</f>
        <v>0</v>
      </c>
      <c r="AC104" s="144">
        <f>SUMIFS('март 2026'!$G$2:$G$2701,'март 2026'!$D$2:$D$2701,$B104,'март 2026'!$J$2:$J$2701,AC$1)</f>
        <v>0</v>
      </c>
      <c r="AD104" s="144">
        <f>SUMIFS('март 2026'!$G$2:$G$2701,'март 2026'!$D$2:$D$2701,$B104,'март 2026'!$J$2:$J$2701,AD$1)</f>
        <v>0</v>
      </c>
      <c r="AE104" s="144">
        <f>SUMIFS('март 2026'!$G$2:$G$2701,'март 2026'!$D$2:$D$2701,$B104,'март 2026'!$J$2:$J$2701,AE$1)</f>
        <v>0</v>
      </c>
      <c r="AF104" s="144">
        <f>SUMIFS('март 2026'!$G$2:$G$2701,'март 2026'!$D$2:$D$2701,$B104,'март 2026'!$J$2:$J$2701,AF$1)</f>
        <v>0</v>
      </c>
      <c r="AG104" s="144">
        <f>SUMIFS('март 2026'!$G$2:$G$2701,'март 2026'!$D$2:$D$2701,$B104,'март 2026'!$J$2:$J$2701,AG$1)</f>
        <v>0</v>
      </c>
      <c r="AH104" s="144">
        <f>SUMIFS('март 2026'!$G$2:$G$2701,'март 2026'!$D$2:$D$2701,$B104,'март 2026'!$J$2:$J$2701,AH$1)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SUMIFS('март 2026'!$G$2:$G$2701,'март 2026'!$D$2:$D$2701,$B105,'март 2026'!$J$2:$J$2701,D$1)</f>
        <v>0</v>
      </c>
      <c r="E105" s="144">
        <f>SUMIFS('март 2026'!$G$2:$G$2701,'март 2026'!$D$2:$D$2701,$B105,'март 2026'!$J$2:$J$2701,E$1)</f>
        <v>0</v>
      </c>
      <c r="F105" s="144">
        <f>SUMIFS('март 2026'!$G$2:$G$2701,'март 2026'!$D$2:$D$2701,$B105,'март 2026'!$J$2:$J$2701,F$1)</f>
        <v>0</v>
      </c>
      <c r="G105" s="144">
        <f>SUMIFS('март 2026'!$G$2:$G$2701,'март 2026'!$D$2:$D$2701,$B105,'март 2026'!$J$2:$J$2701,G$1)</f>
        <v>0</v>
      </c>
      <c r="H105" s="144">
        <f>SUMIFS('март 2026'!$G$2:$G$2701,'март 2026'!$D$2:$D$2701,$B105,'март 2026'!$J$2:$J$2701,H$1)</f>
        <v>0</v>
      </c>
      <c r="I105" s="144">
        <f>SUMIFS('март 2026'!$G$2:$G$2701,'март 2026'!$D$2:$D$2701,$B105,'март 2026'!$J$2:$J$2701,I$1)</f>
        <v>0</v>
      </c>
      <c r="J105" s="144">
        <f>SUMIFS('март 2026'!$G$2:$G$2701,'март 2026'!$D$2:$D$2701,$B105,'март 2026'!$J$2:$J$2701,J$1)</f>
        <v>0</v>
      </c>
      <c r="K105" s="144">
        <f>SUMIFS('март 2026'!$G$2:$G$2701,'март 2026'!$D$2:$D$2701,$B105,'март 2026'!$J$2:$J$2701,K$1)</f>
        <v>0</v>
      </c>
      <c r="L105" s="144">
        <f>SUMIFS('март 2026'!$G$2:$G$2701,'март 2026'!$D$2:$D$2701,$B105,'март 2026'!$J$2:$J$2701,L$1)</f>
        <v>0</v>
      </c>
      <c r="M105" s="144">
        <f>SUMIFS('март 2026'!$G$2:$G$2701,'март 2026'!$D$2:$D$2701,$B105,'март 2026'!$J$2:$J$2701,M$1)</f>
        <v>0</v>
      </c>
      <c r="N105" s="144">
        <f>SUMIFS('март 2026'!$G$2:$G$2701,'март 2026'!$D$2:$D$2701,$B105,'март 2026'!$J$2:$J$2701,N$1)</f>
        <v>0</v>
      </c>
      <c r="O105" s="144">
        <f>SUMIFS('март 2026'!$G$2:$G$2701,'март 2026'!$D$2:$D$2701,$B105,'март 2026'!$J$2:$J$2701,O$1)</f>
        <v>0</v>
      </c>
      <c r="P105" s="144">
        <f>SUMIFS('март 2026'!$G$2:$G$2701,'март 2026'!$D$2:$D$2701,$B105,'март 2026'!$J$2:$J$2701,P$1)</f>
        <v>0</v>
      </c>
      <c r="Q105" s="144">
        <f>SUMIFS('март 2026'!$G$2:$G$2701,'март 2026'!$D$2:$D$2701,$B105,'март 2026'!$J$2:$J$2701,Q$1)</f>
        <v>0</v>
      </c>
      <c r="R105" s="144">
        <f>SUMIFS('март 2026'!$G$2:$G$2701,'март 2026'!$D$2:$D$2701,$B105,'март 2026'!$J$2:$J$2701,R$1)</f>
        <v>0</v>
      </c>
      <c r="S105" s="144">
        <f>SUMIFS('март 2026'!$G$2:$G$2701,'март 2026'!$D$2:$D$2701,$B105,'март 2026'!$J$2:$J$2701,S$1)</f>
        <v>0</v>
      </c>
      <c r="T105" s="144">
        <f>SUMIFS('март 2026'!$G$2:$G$2701,'март 2026'!$D$2:$D$2701,$B105,'март 2026'!$J$2:$J$2701,T$1)</f>
        <v>0</v>
      </c>
      <c r="U105" s="144">
        <f>SUMIFS('март 2026'!$G$2:$G$2701,'март 2026'!$D$2:$D$2701,$B105,'март 2026'!$J$2:$J$2701,U$1)</f>
        <v>0</v>
      </c>
      <c r="V105" s="144">
        <f>SUMIFS('март 2026'!$G$2:$G$2701,'март 2026'!$D$2:$D$2701,$B105,'март 2026'!$J$2:$J$2701,V$1)</f>
        <v>0</v>
      </c>
      <c r="W105" s="144">
        <f>SUMIFS('март 2026'!$G$2:$G$2701,'март 2026'!$D$2:$D$2701,$B105,'март 2026'!$J$2:$J$2701,W$1)</f>
        <v>0</v>
      </c>
      <c r="X105" s="144">
        <f>SUMIFS('март 2026'!$G$2:$G$2701,'март 2026'!$D$2:$D$2701,$B105,'март 2026'!$J$2:$J$2701,X$1)</f>
        <v>0</v>
      </c>
      <c r="Y105" s="144">
        <f>SUMIFS('март 2026'!$G$2:$G$2701,'март 2026'!$D$2:$D$2701,$B105,'март 2026'!$J$2:$J$2701,Y$1)</f>
        <v>0</v>
      </c>
      <c r="Z105" s="144">
        <f>SUMIFS('март 2026'!$G$2:$G$2701,'март 2026'!$D$2:$D$2701,$B105,'март 2026'!$J$2:$J$2701,Z$1)</f>
        <v>0</v>
      </c>
      <c r="AA105" s="144">
        <f>SUMIFS('март 2026'!$G$2:$G$2701,'март 2026'!$D$2:$D$2701,$B105,'март 2026'!$J$2:$J$2701,AA$1)</f>
        <v>0</v>
      </c>
      <c r="AB105" s="144">
        <f>SUMIFS('март 2026'!$G$2:$G$2701,'март 2026'!$D$2:$D$2701,$B105,'март 2026'!$J$2:$J$2701,AB$1)</f>
        <v>0</v>
      </c>
      <c r="AC105" s="144">
        <f>SUMIFS('март 2026'!$G$2:$G$2701,'март 2026'!$D$2:$D$2701,$B105,'март 2026'!$J$2:$J$2701,AC$1)</f>
        <v>0</v>
      </c>
      <c r="AD105" s="144">
        <f>SUMIFS('март 2026'!$G$2:$G$2701,'март 2026'!$D$2:$D$2701,$B105,'март 2026'!$J$2:$J$2701,AD$1)</f>
        <v>0</v>
      </c>
      <c r="AE105" s="144">
        <f>SUMIFS('март 2026'!$G$2:$G$2701,'март 2026'!$D$2:$D$2701,$B105,'март 2026'!$J$2:$J$2701,AE$1)</f>
        <v>0</v>
      </c>
      <c r="AF105" s="144">
        <f>SUMIFS('март 2026'!$G$2:$G$2701,'март 2026'!$D$2:$D$2701,$B105,'март 2026'!$J$2:$J$2701,AF$1)</f>
        <v>0</v>
      </c>
      <c r="AG105" s="144">
        <f>SUMIFS('март 2026'!$G$2:$G$2701,'март 2026'!$D$2:$D$2701,$B105,'март 2026'!$J$2:$J$2701,AG$1)</f>
        <v>0</v>
      </c>
      <c r="AH105" s="144">
        <f>SUMIFS('март 2026'!$G$2:$G$2701,'март 2026'!$D$2:$D$2701,$B105,'март 2026'!$J$2:$J$2701,AH$1)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SUMIFS('март 2026'!$G$2:$G$2701,'март 2026'!$D$2:$D$2701,$B106,'март 2026'!$J$2:$J$2701,D$1)</f>
        <v>0</v>
      </c>
      <c r="E106" s="144">
        <f>SUMIFS('март 2026'!$G$2:$G$2701,'март 2026'!$D$2:$D$2701,$B106,'март 2026'!$J$2:$J$2701,E$1)</f>
        <v>0</v>
      </c>
      <c r="F106" s="144">
        <f>SUMIFS('март 2026'!$G$2:$G$2701,'март 2026'!$D$2:$D$2701,$B106,'март 2026'!$J$2:$J$2701,F$1)</f>
        <v>0</v>
      </c>
      <c r="G106" s="144">
        <f>SUMIFS('март 2026'!$G$2:$G$2701,'март 2026'!$D$2:$D$2701,$B106,'март 2026'!$J$2:$J$2701,G$1)</f>
        <v>0</v>
      </c>
      <c r="H106" s="144">
        <f>SUMIFS('март 2026'!$G$2:$G$2701,'март 2026'!$D$2:$D$2701,$B106,'март 2026'!$J$2:$J$2701,H$1)</f>
        <v>0</v>
      </c>
      <c r="I106" s="144">
        <f>SUMIFS('март 2026'!$G$2:$G$2701,'март 2026'!$D$2:$D$2701,$B106,'март 2026'!$J$2:$J$2701,I$1)</f>
        <v>0</v>
      </c>
      <c r="J106" s="144">
        <f>SUMIFS('март 2026'!$G$2:$G$2701,'март 2026'!$D$2:$D$2701,$B106,'март 2026'!$J$2:$J$2701,J$1)</f>
        <v>0</v>
      </c>
      <c r="K106" s="144">
        <f>SUMIFS('март 2026'!$G$2:$G$2701,'март 2026'!$D$2:$D$2701,$B106,'март 2026'!$J$2:$J$2701,K$1)</f>
        <v>0</v>
      </c>
      <c r="L106" s="144">
        <f>SUMIFS('март 2026'!$G$2:$G$2701,'март 2026'!$D$2:$D$2701,$B106,'март 2026'!$J$2:$J$2701,L$1)</f>
        <v>0</v>
      </c>
      <c r="M106" s="144">
        <f>SUMIFS('март 2026'!$G$2:$G$2701,'март 2026'!$D$2:$D$2701,$B106,'март 2026'!$J$2:$J$2701,M$1)</f>
        <v>0</v>
      </c>
      <c r="N106" s="144">
        <f>SUMIFS('март 2026'!$G$2:$G$2701,'март 2026'!$D$2:$D$2701,$B106,'март 2026'!$J$2:$J$2701,N$1)</f>
        <v>0</v>
      </c>
      <c r="O106" s="144">
        <f>SUMIFS('март 2026'!$G$2:$G$2701,'март 2026'!$D$2:$D$2701,$B106,'март 2026'!$J$2:$J$2701,O$1)</f>
        <v>0</v>
      </c>
      <c r="P106" s="144">
        <f>SUMIFS('март 2026'!$G$2:$G$2701,'март 2026'!$D$2:$D$2701,$B106,'март 2026'!$J$2:$J$2701,P$1)</f>
        <v>0</v>
      </c>
      <c r="Q106" s="144">
        <f>SUMIFS('март 2026'!$G$2:$G$2701,'март 2026'!$D$2:$D$2701,$B106,'март 2026'!$J$2:$J$2701,Q$1)</f>
        <v>0</v>
      </c>
      <c r="R106" s="144">
        <f>SUMIFS('март 2026'!$G$2:$G$2701,'март 2026'!$D$2:$D$2701,$B106,'март 2026'!$J$2:$J$2701,R$1)</f>
        <v>0</v>
      </c>
      <c r="S106" s="144">
        <f>SUMIFS('март 2026'!$G$2:$G$2701,'март 2026'!$D$2:$D$2701,$B106,'март 2026'!$J$2:$J$2701,S$1)</f>
        <v>0</v>
      </c>
      <c r="T106" s="144">
        <f>SUMIFS('март 2026'!$G$2:$G$2701,'март 2026'!$D$2:$D$2701,$B106,'март 2026'!$J$2:$J$2701,T$1)</f>
        <v>0</v>
      </c>
      <c r="U106" s="144">
        <f>SUMIFS('март 2026'!$G$2:$G$2701,'март 2026'!$D$2:$D$2701,$B106,'март 2026'!$J$2:$J$2701,U$1)</f>
        <v>0</v>
      </c>
      <c r="V106" s="144">
        <f>SUMIFS('март 2026'!$G$2:$G$2701,'март 2026'!$D$2:$D$2701,$B106,'март 2026'!$J$2:$J$2701,V$1)</f>
        <v>0</v>
      </c>
      <c r="W106" s="144">
        <f>SUMIFS('март 2026'!$G$2:$G$2701,'март 2026'!$D$2:$D$2701,$B106,'март 2026'!$J$2:$J$2701,W$1)</f>
        <v>0</v>
      </c>
      <c r="X106" s="144">
        <f>SUMIFS('март 2026'!$G$2:$G$2701,'март 2026'!$D$2:$D$2701,$B106,'март 2026'!$J$2:$J$2701,X$1)</f>
        <v>0</v>
      </c>
      <c r="Y106" s="144">
        <f>SUMIFS('март 2026'!$G$2:$G$2701,'март 2026'!$D$2:$D$2701,$B106,'март 2026'!$J$2:$J$2701,Y$1)</f>
        <v>0</v>
      </c>
      <c r="Z106" s="144">
        <f>SUMIFS('март 2026'!$G$2:$G$2701,'март 2026'!$D$2:$D$2701,$B106,'март 2026'!$J$2:$J$2701,Z$1)</f>
        <v>0</v>
      </c>
      <c r="AA106" s="144">
        <f>SUMIFS('март 2026'!$G$2:$G$2701,'март 2026'!$D$2:$D$2701,$B106,'март 2026'!$J$2:$J$2701,AA$1)</f>
        <v>0</v>
      </c>
      <c r="AB106" s="144">
        <f>SUMIFS('март 2026'!$G$2:$G$2701,'март 2026'!$D$2:$D$2701,$B106,'март 2026'!$J$2:$J$2701,AB$1)</f>
        <v>0</v>
      </c>
      <c r="AC106" s="144">
        <f>SUMIFS('март 2026'!$G$2:$G$2701,'март 2026'!$D$2:$D$2701,$B106,'март 2026'!$J$2:$J$2701,AC$1)</f>
        <v>0</v>
      </c>
      <c r="AD106" s="144">
        <f>SUMIFS('март 2026'!$G$2:$G$2701,'март 2026'!$D$2:$D$2701,$B106,'март 2026'!$J$2:$J$2701,AD$1)</f>
        <v>0</v>
      </c>
      <c r="AE106" s="144">
        <f>SUMIFS('март 2026'!$G$2:$G$2701,'март 2026'!$D$2:$D$2701,$B106,'март 2026'!$J$2:$J$2701,AE$1)</f>
        <v>0</v>
      </c>
      <c r="AF106" s="144">
        <f>SUMIFS('март 2026'!$G$2:$G$2701,'март 2026'!$D$2:$D$2701,$B106,'март 2026'!$J$2:$J$2701,AF$1)</f>
        <v>0</v>
      </c>
      <c r="AG106" s="144">
        <f>SUMIFS('март 2026'!$G$2:$G$2701,'март 2026'!$D$2:$D$2701,$B106,'март 2026'!$J$2:$J$2701,AG$1)</f>
        <v>0</v>
      </c>
      <c r="AH106" s="144">
        <f>SUMIFS('март 2026'!$G$2:$G$2701,'март 2026'!$D$2:$D$2701,$B106,'март 2026'!$J$2:$J$2701,AH$1)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SUMIFS('март 2026'!$G$2:$G$2701,'март 2026'!$D$2:$D$2701,$B107,'март 2026'!$J$2:$J$2701,D$1)</f>
        <v>0</v>
      </c>
      <c r="E107" s="144">
        <f>SUMIFS('март 2026'!$G$2:$G$2701,'март 2026'!$D$2:$D$2701,$B107,'март 2026'!$J$2:$J$2701,E$1)</f>
        <v>0</v>
      </c>
      <c r="F107" s="144">
        <f>SUMIFS('март 2026'!$G$2:$G$2701,'март 2026'!$D$2:$D$2701,$B107,'март 2026'!$J$2:$J$2701,F$1)</f>
        <v>0</v>
      </c>
      <c r="G107" s="144">
        <f>SUMIFS('март 2026'!$G$2:$G$2701,'март 2026'!$D$2:$D$2701,$B107,'март 2026'!$J$2:$J$2701,G$1)</f>
        <v>0</v>
      </c>
      <c r="H107" s="144">
        <f>SUMIFS('март 2026'!$G$2:$G$2701,'март 2026'!$D$2:$D$2701,$B107,'март 2026'!$J$2:$J$2701,H$1)</f>
        <v>0</v>
      </c>
      <c r="I107" s="144">
        <f>SUMIFS('март 2026'!$G$2:$G$2701,'март 2026'!$D$2:$D$2701,$B107,'март 2026'!$J$2:$J$2701,I$1)</f>
        <v>0</v>
      </c>
      <c r="J107" s="144">
        <f>SUMIFS('март 2026'!$G$2:$G$2701,'март 2026'!$D$2:$D$2701,$B107,'март 2026'!$J$2:$J$2701,J$1)</f>
        <v>0</v>
      </c>
      <c r="K107" s="144">
        <f>SUMIFS('март 2026'!$G$2:$G$2701,'март 2026'!$D$2:$D$2701,$B107,'март 2026'!$J$2:$J$2701,K$1)</f>
        <v>0</v>
      </c>
      <c r="L107" s="144">
        <f>SUMIFS('март 2026'!$G$2:$G$2701,'март 2026'!$D$2:$D$2701,$B107,'март 2026'!$J$2:$J$2701,L$1)</f>
        <v>0</v>
      </c>
      <c r="M107" s="144">
        <f>SUMIFS('март 2026'!$G$2:$G$2701,'март 2026'!$D$2:$D$2701,$B107,'март 2026'!$J$2:$J$2701,M$1)</f>
        <v>0</v>
      </c>
      <c r="N107" s="144">
        <f>SUMIFS('март 2026'!$G$2:$G$2701,'март 2026'!$D$2:$D$2701,$B107,'март 2026'!$J$2:$J$2701,N$1)</f>
        <v>0</v>
      </c>
      <c r="O107" s="144">
        <f>SUMIFS('март 2026'!$G$2:$G$2701,'март 2026'!$D$2:$D$2701,$B107,'март 2026'!$J$2:$J$2701,O$1)</f>
        <v>0</v>
      </c>
      <c r="P107" s="144">
        <f>SUMIFS('март 2026'!$G$2:$G$2701,'март 2026'!$D$2:$D$2701,$B107,'март 2026'!$J$2:$J$2701,P$1)</f>
        <v>0</v>
      </c>
      <c r="Q107" s="144">
        <f>SUMIFS('март 2026'!$G$2:$G$2701,'март 2026'!$D$2:$D$2701,$B107,'март 2026'!$J$2:$J$2701,Q$1)</f>
        <v>0</v>
      </c>
      <c r="R107" s="144">
        <f>SUMIFS('март 2026'!$G$2:$G$2701,'март 2026'!$D$2:$D$2701,$B107,'март 2026'!$J$2:$J$2701,R$1)</f>
        <v>0</v>
      </c>
      <c r="S107" s="144">
        <f>SUMIFS('март 2026'!$G$2:$G$2701,'март 2026'!$D$2:$D$2701,$B107,'март 2026'!$J$2:$J$2701,S$1)</f>
        <v>0</v>
      </c>
      <c r="T107" s="144">
        <f>SUMIFS('март 2026'!$G$2:$G$2701,'март 2026'!$D$2:$D$2701,$B107,'март 2026'!$J$2:$J$2701,T$1)</f>
        <v>0</v>
      </c>
      <c r="U107" s="144">
        <f>SUMIFS('март 2026'!$G$2:$G$2701,'март 2026'!$D$2:$D$2701,$B107,'март 2026'!$J$2:$J$2701,U$1)</f>
        <v>0</v>
      </c>
      <c r="V107" s="144">
        <f>SUMIFS('март 2026'!$G$2:$G$2701,'март 2026'!$D$2:$D$2701,$B107,'март 2026'!$J$2:$J$2701,V$1)</f>
        <v>0</v>
      </c>
      <c r="W107" s="144">
        <f>SUMIFS('март 2026'!$G$2:$G$2701,'март 2026'!$D$2:$D$2701,$B107,'март 2026'!$J$2:$J$2701,W$1)</f>
        <v>0</v>
      </c>
      <c r="X107" s="144">
        <f>SUMIFS('март 2026'!$G$2:$G$2701,'март 2026'!$D$2:$D$2701,$B107,'март 2026'!$J$2:$J$2701,X$1)</f>
        <v>0</v>
      </c>
      <c r="Y107" s="144">
        <f>SUMIFS('март 2026'!$G$2:$G$2701,'март 2026'!$D$2:$D$2701,$B107,'март 2026'!$J$2:$J$2701,Y$1)</f>
        <v>0</v>
      </c>
      <c r="Z107" s="144">
        <f>SUMIFS('март 2026'!$G$2:$G$2701,'март 2026'!$D$2:$D$2701,$B107,'март 2026'!$J$2:$J$2701,Z$1)</f>
        <v>0</v>
      </c>
      <c r="AA107" s="144">
        <f>SUMIFS('март 2026'!$G$2:$G$2701,'март 2026'!$D$2:$D$2701,$B107,'март 2026'!$J$2:$J$2701,AA$1)</f>
        <v>0</v>
      </c>
      <c r="AB107" s="144">
        <f>SUMIFS('март 2026'!$G$2:$G$2701,'март 2026'!$D$2:$D$2701,$B107,'март 2026'!$J$2:$J$2701,AB$1)</f>
        <v>0</v>
      </c>
      <c r="AC107" s="144">
        <f>SUMIFS('март 2026'!$G$2:$G$2701,'март 2026'!$D$2:$D$2701,$B107,'март 2026'!$J$2:$J$2701,AC$1)</f>
        <v>0</v>
      </c>
      <c r="AD107" s="144">
        <f>SUMIFS('март 2026'!$G$2:$G$2701,'март 2026'!$D$2:$D$2701,$B107,'март 2026'!$J$2:$J$2701,AD$1)</f>
        <v>0</v>
      </c>
      <c r="AE107" s="144">
        <f>SUMIFS('март 2026'!$G$2:$G$2701,'март 2026'!$D$2:$D$2701,$B107,'март 2026'!$J$2:$J$2701,AE$1)</f>
        <v>0</v>
      </c>
      <c r="AF107" s="144">
        <f>SUMIFS('март 2026'!$G$2:$G$2701,'март 2026'!$D$2:$D$2701,$B107,'март 2026'!$J$2:$J$2701,AF$1)</f>
        <v>0</v>
      </c>
      <c r="AG107" s="144">
        <f>SUMIFS('март 2026'!$G$2:$G$2701,'март 2026'!$D$2:$D$2701,$B107,'март 2026'!$J$2:$J$2701,AG$1)</f>
        <v>0</v>
      </c>
      <c r="AH107" s="144">
        <f>SUMIFS('март 2026'!$G$2:$G$2701,'март 2026'!$D$2:$D$2701,$B107,'март 2026'!$J$2:$J$2701,AH$1)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SUMIFS('март 2026'!$G$2:$G$2701,'март 2026'!$D$2:$D$2701,$B108,'март 2026'!$J$2:$J$2701,D$1)</f>
        <v>0</v>
      </c>
      <c r="E108" s="144">
        <f>SUMIFS('март 2026'!$G$2:$G$2701,'март 2026'!$D$2:$D$2701,$B108,'март 2026'!$J$2:$J$2701,E$1)</f>
        <v>0</v>
      </c>
      <c r="F108" s="144">
        <f>SUMIFS('март 2026'!$G$2:$G$2701,'март 2026'!$D$2:$D$2701,$B108,'март 2026'!$J$2:$J$2701,F$1)</f>
        <v>0</v>
      </c>
      <c r="G108" s="144">
        <f>SUMIFS('март 2026'!$G$2:$G$2701,'март 2026'!$D$2:$D$2701,$B108,'март 2026'!$J$2:$J$2701,G$1)</f>
        <v>0</v>
      </c>
      <c r="H108" s="144">
        <f>SUMIFS('март 2026'!$G$2:$G$2701,'март 2026'!$D$2:$D$2701,$B108,'март 2026'!$J$2:$J$2701,H$1)</f>
        <v>0</v>
      </c>
      <c r="I108" s="144">
        <f>SUMIFS('март 2026'!$G$2:$G$2701,'март 2026'!$D$2:$D$2701,$B108,'март 2026'!$J$2:$J$2701,I$1)</f>
        <v>0</v>
      </c>
      <c r="J108" s="144">
        <f>SUMIFS('март 2026'!$G$2:$G$2701,'март 2026'!$D$2:$D$2701,$B108,'март 2026'!$J$2:$J$2701,J$1)</f>
        <v>0</v>
      </c>
      <c r="K108" s="144">
        <f>SUMIFS('март 2026'!$G$2:$G$2701,'март 2026'!$D$2:$D$2701,$B108,'март 2026'!$J$2:$J$2701,K$1)</f>
        <v>0</v>
      </c>
      <c r="L108" s="144">
        <f>SUMIFS('март 2026'!$G$2:$G$2701,'март 2026'!$D$2:$D$2701,$B108,'март 2026'!$J$2:$J$2701,L$1)</f>
        <v>0</v>
      </c>
      <c r="M108" s="144">
        <f>SUMIFS('март 2026'!$G$2:$G$2701,'март 2026'!$D$2:$D$2701,$B108,'март 2026'!$J$2:$J$2701,M$1)</f>
        <v>0</v>
      </c>
      <c r="N108" s="144">
        <f>SUMIFS('март 2026'!$G$2:$G$2701,'март 2026'!$D$2:$D$2701,$B108,'март 2026'!$J$2:$J$2701,N$1)</f>
        <v>0</v>
      </c>
      <c r="O108" s="144">
        <f>SUMIFS('март 2026'!$G$2:$G$2701,'март 2026'!$D$2:$D$2701,$B108,'март 2026'!$J$2:$J$2701,O$1)</f>
        <v>0</v>
      </c>
      <c r="P108" s="144">
        <f>SUMIFS('март 2026'!$G$2:$G$2701,'март 2026'!$D$2:$D$2701,$B108,'март 2026'!$J$2:$J$2701,P$1)</f>
        <v>0</v>
      </c>
      <c r="Q108" s="144">
        <f>SUMIFS('март 2026'!$G$2:$G$2701,'март 2026'!$D$2:$D$2701,$B108,'март 2026'!$J$2:$J$2701,Q$1)</f>
        <v>0</v>
      </c>
      <c r="R108" s="144">
        <f>SUMIFS('март 2026'!$G$2:$G$2701,'март 2026'!$D$2:$D$2701,$B108,'март 2026'!$J$2:$J$2701,R$1)</f>
        <v>0</v>
      </c>
      <c r="S108" s="144">
        <f>SUMIFS('март 2026'!$G$2:$G$2701,'март 2026'!$D$2:$D$2701,$B108,'март 2026'!$J$2:$J$2701,S$1)</f>
        <v>0</v>
      </c>
      <c r="T108" s="144">
        <f>SUMIFS('март 2026'!$G$2:$G$2701,'март 2026'!$D$2:$D$2701,$B108,'март 2026'!$J$2:$J$2701,T$1)</f>
        <v>0</v>
      </c>
      <c r="U108" s="144">
        <f>SUMIFS('март 2026'!$G$2:$G$2701,'март 2026'!$D$2:$D$2701,$B108,'март 2026'!$J$2:$J$2701,U$1)</f>
        <v>0</v>
      </c>
      <c r="V108" s="144">
        <f>SUMIFS('март 2026'!$G$2:$G$2701,'март 2026'!$D$2:$D$2701,$B108,'март 2026'!$J$2:$J$2701,V$1)</f>
        <v>0</v>
      </c>
      <c r="W108" s="144">
        <f>SUMIFS('март 2026'!$G$2:$G$2701,'март 2026'!$D$2:$D$2701,$B108,'март 2026'!$J$2:$J$2701,W$1)</f>
        <v>0</v>
      </c>
      <c r="X108" s="144">
        <f>SUMIFS('март 2026'!$G$2:$G$2701,'март 2026'!$D$2:$D$2701,$B108,'март 2026'!$J$2:$J$2701,X$1)</f>
        <v>0</v>
      </c>
      <c r="Y108" s="144">
        <f>SUMIFS('март 2026'!$G$2:$G$2701,'март 2026'!$D$2:$D$2701,$B108,'март 2026'!$J$2:$J$2701,Y$1)</f>
        <v>0</v>
      </c>
      <c r="Z108" s="144">
        <f>SUMIFS('март 2026'!$G$2:$G$2701,'март 2026'!$D$2:$D$2701,$B108,'март 2026'!$J$2:$J$2701,Z$1)</f>
        <v>0</v>
      </c>
      <c r="AA108" s="144">
        <f>SUMIFS('март 2026'!$G$2:$G$2701,'март 2026'!$D$2:$D$2701,$B108,'март 2026'!$J$2:$J$2701,AA$1)</f>
        <v>0</v>
      </c>
      <c r="AB108" s="144">
        <f>SUMIFS('март 2026'!$G$2:$G$2701,'март 2026'!$D$2:$D$2701,$B108,'март 2026'!$J$2:$J$2701,AB$1)</f>
        <v>0</v>
      </c>
      <c r="AC108" s="144">
        <f>SUMIFS('март 2026'!$G$2:$G$2701,'март 2026'!$D$2:$D$2701,$B108,'март 2026'!$J$2:$J$2701,AC$1)</f>
        <v>0</v>
      </c>
      <c r="AD108" s="144">
        <f>SUMIFS('март 2026'!$G$2:$G$2701,'март 2026'!$D$2:$D$2701,$B108,'март 2026'!$J$2:$J$2701,AD$1)</f>
        <v>0</v>
      </c>
      <c r="AE108" s="144">
        <f>SUMIFS('март 2026'!$G$2:$G$2701,'март 2026'!$D$2:$D$2701,$B108,'март 2026'!$J$2:$J$2701,AE$1)</f>
        <v>0</v>
      </c>
      <c r="AF108" s="144">
        <f>SUMIFS('март 2026'!$G$2:$G$2701,'март 2026'!$D$2:$D$2701,$B108,'март 2026'!$J$2:$J$2701,AF$1)</f>
        <v>0</v>
      </c>
      <c r="AG108" s="144">
        <f>SUMIFS('март 2026'!$G$2:$G$2701,'март 2026'!$D$2:$D$2701,$B108,'март 2026'!$J$2:$J$2701,AG$1)</f>
        <v>0</v>
      </c>
      <c r="AH108" s="144">
        <f>SUMIFS('март 2026'!$G$2:$G$2701,'март 2026'!$D$2:$D$2701,$B108,'март 2026'!$J$2:$J$2701,AH$1)</f>
        <v>0</v>
      </c>
      <c r="AI108" s="20">
        <f t="shared" si="1"/>
        <v>0</v>
      </c>
    </row>
    <row r="109" spans="2:35" ht="15" customHeight="1" x14ac:dyDescent="0.25">
      <c r="B109" s="85" t="s">
        <v>756</v>
      </c>
      <c r="C109" s="83">
        <v>190</v>
      </c>
      <c r="D109" s="144">
        <f>SUMIFS('март 2026'!$G$2:$G$2701,'март 2026'!$D$2:$D$2701,$B109,'март 2026'!$J$2:$J$2701,D$1)</f>
        <v>0</v>
      </c>
      <c r="E109" s="144">
        <f>SUMIFS('март 2026'!$G$2:$G$2701,'март 2026'!$D$2:$D$2701,$B109,'март 2026'!$J$2:$J$2701,E$1)</f>
        <v>0</v>
      </c>
      <c r="F109" s="144">
        <f>SUMIFS('март 2026'!$G$2:$G$2701,'март 2026'!$D$2:$D$2701,$B109,'март 2026'!$J$2:$J$2701,F$1)</f>
        <v>0</v>
      </c>
      <c r="G109" s="144">
        <f>SUMIFS('март 2026'!$G$2:$G$2701,'март 2026'!$D$2:$D$2701,$B109,'март 2026'!$J$2:$J$2701,G$1)</f>
        <v>0</v>
      </c>
      <c r="H109" s="144">
        <f>SUMIFS('март 2026'!$G$2:$G$2701,'март 2026'!$D$2:$D$2701,$B109,'март 2026'!$J$2:$J$2701,H$1)</f>
        <v>0</v>
      </c>
      <c r="I109" s="144">
        <f>SUMIFS('март 2026'!$G$2:$G$2701,'март 2026'!$D$2:$D$2701,$B109,'март 2026'!$J$2:$J$2701,I$1)</f>
        <v>0</v>
      </c>
      <c r="J109" s="144">
        <f>SUMIFS('март 2026'!$G$2:$G$2701,'март 2026'!$D$2:$D$2701,$B109,'март 2026'!$J$2:$J$2701,J$1)</f>
        <v>0</v>
      </c>
      <c r="K109" s="144">
        <f>SUMIFS('март 2026'!$G$2:$G$2701,'март 2026'!$D$2:$D$2701,$B109,'март 2026'!$J$2:$J$2701,K$1)</f>
        <v>0</v>
      </c>
      <c r="L109" s="144">
        <f>SUMIFS('март 2026'!$G$2:$G$2701,'март 2026'!$D$2:$D$2701,$B109,'март 2026'!$J$2:$J$2701,L$1)</f>
        <v>0</v>
      </c>
      <c r="M109" s="144">
        <f>SUMIFS('март 2026'!$G$2:$G$2701,'март 2026'!$D$2:$D$2701,$B109,'март 2026'!$J$2:$J$2701,M$1)</f>
        <v>0</v>
      </c>
      <c r="N109" s="144">
        <f>SUMIFS('март 2026'!$G$2:$G$2701,'март 2026'!$D$2:$D$2701,$B109,'март 2026'!$J$2:$J$2701,N$1)</f>
        <v>0</v>
      </c>
      <c r="O109" s="144">
        <f>SUMIFS('март 2026'!$G$2:$G$2701,'март 2026'!$D$2:$D$2701,$B109,'март 2026'!$J$2:$J$2701,O$1)</f>
        <v>0</v>
      </c>
      <c r="P109" s="144">
        <f>SUMIFS('март 2026'!$G$2:$G$2701,'март 2026'!$D$2:$D$2701,$B109,'март 2026'!$J$2:$J$2701,P$1)</f>
        <v>0</v>
      </c>
      <c r="Q109" s="144">
        <f>SUMIFS('март 2026'!$G$2:$G$2701,'март 2026'!$D$2:$D$2701,$B109,'март 2026'!$J$2:$J$2701,Q$1)</f>
        <v>0</v>
      </c>
      <c r="R109" s="144">
        <f>SUMIFS('март 2026'!$G$2:$G$2701,'март 2026'!$D$2:$D$2701,$B109,'март 2026'!$J$2:$J$2701,R$1)</f>
        <v>0</v>
      </c>
      <c r="S109" s="144">
        <f>SUMIFS('март 2026'!$G$2:$G$2701,'март 2026'!$D$2:$D$2701,$B109,'март 2026'!$J$2:$J$2701,S$1)</f>
        <v>0</v>
      </c>
      <c r="T109" s="144">
        <f>SUMIFS('март 2026'!$G$2:$G$2701,'март 2026'!$D$2:$D$2701,$B109,'март 2026'!$J$2:$J$2701,T$1)</f>
        <v>0</v>
      </c>
      <c r="U109" s="144">
        <f>SUMIFS('март 2026'!$G$2:$G$2701,'март 2026'!$D$2:$D$2701,$B109,'март 2026'!$J$2:$J$2701,U$1)</f>
        <v>0</v>
      </c>
      <c r="V109" s="144">
        <f>SUMIFS('март 2026'!$G$2:$G$2701,'март 2026'!$D$2:$D$2701,$B109,'март 2026'!$J$2:$J$2701,V$1)</f>
        <v>0</v>
      </c>
      <c r="W109" s="144">
        <f>SUMIFS('март 2026'!$G$2:$G$2701,'март 2026'!$D$2:$D$2701,$B109,'март 2026'!$J$2:$J$2701,W$1)</f>
        <v>0</v>
      </c>
      <c r="X109" s="144">
        <f>SUMIFS('март 2026'!$G$2:$G$2701,'март 2026'!$D$2:$D$2701,$B109,'март 2026'!$J$2:$J$2701,X$1)</f>
        <v>0</v>
      </c>
      <c r="Y109" s="144">
        <f>SUMIFS('март 2026'!$G$2:$G$2701,'март 2026'!$D$2:$D$2701,$B109,'март 2026'!$J$2:$J$2701,Y$1)</f>
        <v>0</v>
      </c>
      <c r="Z109" s="144">
        <f>SUMIFS('март 2026'!$G$2:$G$2701,'март 2026'!$D$2:$D$2701,$B109,'март 2026'!$J$2:$J$2701,Z$1)</f>
        <v>0</v>
      </c>
      <c r="AA109" s="144">
        <f>SUMIFS('март 2026'!$G$2:$G$2701,'март 2026'!$D$2:$D$2701,$B109,'март 2026'!$J$2:$J$2701,AA$1)</f>
        <v>88</v>
      </c>
      <c r="AB109" s="144">
        <f>SUMIFS('март 2026'!$G$2:$G$2701,'март 2026'!$D$2:$D$2701,$B109,'март 2026'!$J$2:$J$2701,AB$1)</f>
        <v>0</v>
      </c>
      <c r="AC109" s="144">
        <f>SUMIFS('март 2026'!$G$2:$G$2701,'март 2026'!$D$2:$D$2701,$B109,'март 2026'!$J$2:$J$2701,AC$1)</f>
        <v>0</v>
      </c>
      <c r="AD109" s="144">
        <f>SUMIFS('март 2026'!$G$2:$G$2701,'март 2026'!$D$2:$D$2701,$B109,'март 2026'!$J$2:$J$2701,AD$1)</f>
        <v>0</v>
      </c>
      <c r="AE109" s="144">
        <f>SUMIFS('март 2026'!$G$2:$G$2701,'март 2026'!$D$2:$D$2701,$B109,'март 2026'!$J$2:$J$2701,AE$1)</f>
        <v>0</v>
      </c>
      <c r="AF109" s="144">
        <f>SUMIFS('март 2026'!$G$2:$G$2701,'март 2026'!$D$2:$D$2701,$B109,'март 2026'!$J$2:$J$2701,AF$1)</f>
        <v>0</v>
      </c>
      <c r="AG109" s="144">
        <f>SUMIFS('март 2026'!$G$2:$G$2701,'март 2026'!$D$2:$D$2701,$B109,'март 2026'!$J$2:$J$2701,AG$1)</f>
        <v>0</v>
      </c>
      <c r="AH109" s="144">
        <f>SUMIFS('март 2026'!$G$2:$G$2701,'март 2026'!$D$2:$D$2701,$B109,'март 2026'!$J$2:$J$2701,AH$1)</f>
        <v>0</v>
      </c>
      <c r="AI109" s="20">
        <f t="shared" si="1"/>
        <v>88</v>
      </c>
    </row>
    <row r="110" spans="2:35" ht="15" customHeight="1" x14ac:dyDescent="0.25">
      <c r="B110" s="85" t="s">
        <v>277</v>
      </c>
      <c r="C110" s="83">
        <v>190</v>
      </c>
      <c r="D110" s="144">
        <f>SUMIFS('март 2026'!$G$2:$G$2701,'март 2026'!$D$2:$D$2701,$B110,'март 2026'!$J$2:$J$2701,D$1)</f>
        <v>0</v>
      </c>
      <c r="E110" s="144">
        <f>SUMIFS('март 2026'!$G$2:$G$2701,'март 2026'!$D$2:$D$2701,$B110,'март 2026'!$J$2:$J$2701,E$1)</f>
        <v>0</v>
      </c>
      <c r="F110" s="144">
        <f>SUMIFS('март 2026'!$G$2:$G$2701,'март 2026'!$D$2:$D$2701,$B110,'март 2026'!$J$2:$J$2701,F$1)</f>
        <v>0</v>
      </c>
      <c r="G110" s="144">
        <f>SUMIFS('март 2026'!$G$2:$G$2701,'март 2026'!$D$2:$D$2701,$B110,'март 2026'!$J$2:$J$2701,G$1)</f>
        <v>0</v>
      </c>
      <c r="H110" s="144">
        <f>SUMIFS('март 2026'!$G$2:$G$2701,'март 2026'!$D$2:$D$2701,$B110,'март 2026'!$J$2:$J$2701,H$1)</f>
        <v>0</v>
      </c>
      <c r="I110" s="144">
        <f>SUMIFS('март 2026'!$G$2:$G$2701,'март 2026'!$D$2:$D$2701,$B110,'март 2026'!$J$2:$J$2701,I$1)</f>
        <v>0</v>
      </c>
      <c r="J110" s="144">
        <f>SUMIFS('март 2026'!$G$2:$G$2701,'март 2026'!$D$2:$D$2701,$B110,'март 2026'!$J$2:$J$2701,J$1)</f>
        <v>0</v>
      </c>
      <c r="K110" s="144">
        <f>SUMIFS('март 2026'!$G$2:$G$2701,'март 2026'!$D$2:$D$2701,$B110,'март 2026'!$J$2:$J$2701,K$1)</f>
        <v>0</v>
      </c>
      <c r="L110" s="144">
        <f>SUMIFS('март 2026'!$G$2:$G$2701,'март 2026'!$D$2:$D$2701,$B110,'март 2026'!$J$2:$J$2701,L$1)</f>
        <v>0</v>
      </c>
      <c r="M110" s="144">
        <f>SUMIFS('март 2026'!$G$2:$G$2701,'март 2026'!$D$2:$D$2701,$B110,'март 2026'!$J$2:$J$2701,M$1)</f>
        <v>0</v>
      </c>
      <c r="N110" s="144">
        <f>SUMIFS('март 2026'!$G$2:$G$2701,'март 2026'!$D$2:$D$2701,$B110,'март 2026'!$J$2:$J$2701,N$1)</f>
        <v>0</v>
      </c>
      <c r="O110" s="144">
        <f>SUMIFS('март 2026'!$G$2:$G$2701,'март 2026'!$D$2:$D$2701,$B110,'март 2026'!$J$2:$J$2701,O$1)</f>
        <v>0</v>
      </c>
      <c r="P110" s="144">
        <f>SUMIFS('март 2026'!$G$2:$G$2701,'март 2026'!$D$2:$D$2701,$B110,'март 2026'!$J$2:$J$2701,P$1)</f>
        <v>0</v>
      </c>
      <c r="Q110" s="144">
        <f>SUMIFS('март 2026'!$G$2:$G$2701,'март 2026'!$D$2:$D$2701,$B110,'март 2026'!$J$2:$J$2701,Q$1)</f>
        <v>0</v>
      </c>
      <c r="R110" s="144">
        <f>SUMIFS('март 2026'!$G$2:$G$2701,'март 2026'!$D$2:$D$2701,$B110,'март 2026'!$J$2:$J$2701,R$1)</f>
        <v>0</v>
      </c>
      <c r="S110" s="144">
        <f>SUMIFS('март 2026'!$G$2:$G$2701,'март 2026'!$D$2:$D$2701,$B110,'март 2026'!$J$2:$J$2701,S$1)</f>
        <v>0</v>
      </c>
      <c r="T110" s="144">
        <f>SUMIFS('март 2026'!$G$2:$G$2701,'март 2026'!$D$2:$D$2701,$B110,'март 2026'!$J$2:$J$2701,T$1)</f>
        <v>0</v>
      </c>
      <c r="U110" s="144">
        <f>SUMIFS('март 2026'!$G$2:$G$2701,'март 2026'!$D$2:$D$2701,$B110,'март 2026'!$J$2:$J$2701,U$1)</f>
        <v>0</v>
      </c>
      <c r="V110" s="144">
        <f>SUMIFS('март 2026'!$G$2:$G$2701,'март 2026'!$D$2:$D$2701,$B110,'март 2026'!$J$2:$J$2701,V$1)</f>
        <v>0</v>
      </c>
      <c r="W110" s="144">
        <f>SUMIFS('март 2026'!$G$2:$G$2701,'март 2026'!$D$2:$D$2701,$B110,'март 2026'!$J$2:$J$2701,W$1)</f>
        <v>0</v>
      </c>
      <c r="X110" s="144">
        <f>SUMIFS('март 2026'!$G$2:$G$2701,'март 2026'!$D$2:$D$2701,$B110,'март 2026'!$J$2:$J$2701,X$1)</f>
        <v>0</v>
      </c>
      <c r="Y110" s="144">
        <f>SUMIFS('март 2026'!$G$2:$G$2701,'март 2026'!$D$2:$D$2701,$B110,'март 2026'!$J$2:$J$2701,Y$1)</f>
        <v>0</v>
      </c>
      <c r="Z110" s="144">
        <f>SUMIFS('март 2026'!$G$2:$G$2701,'март 2026'!$D$2:$D$2701,$B110,'март 2026'!$J$2:$J$2701,Z$1)</f>
        <v>0</v>
      </c>
      <c r="AA110" s="144">
        <f>SUMIFS('март 2026'!$G$2:$G$2701,'март 2026'!$D$2:$D$2701,$B110,'март 2026'!$J$2:$J$2701,AA$1)</f>
        <v>0</v>
      </c>
      <c r="AB110" s="144">
        <f>SUMIFS('март 2026'!$G$2:$G$2701,'март 2026'!$D$2:$D$2701,$B110,'март 2026'!$J$2:$J$2701,AB$1)</f>
        <v>0</v>
      </c>
      <c r="AC110" s="144">
        <f>SUMIFS('март 2026'!$G$2:$G$2701,'март 2026'!$D$2:$D$2701,$B110,'март 2026'!$J$2:$J$2701,AC$1)</f>
        <v>0</v>
      </c>
      <c r="AD110" s="144">
        <f>SUMIFS('март 2026'!$G$2:$G$2701,'март 2026'!$D$2:$D$2701,$B110,'март 2026'!$J$2:$J$2701,AD$1)</f>
        <v>0</v>
      </c>
      <c r="AE110" s="144">
        <f>SUMIFS('март 2026'!$G$2:$G$2701,'март 2026'!$D$2:$D$2701,$B110,'март 2026'!$J$2:$J$2701,AE$1)</f>
        <v>0</v>
      </c>
      <c r="AF110" s="144">
        <f>SUMIFS('март 2026'!$G$2:$G$2701,'март 2026'!$D$2:$D$2701,$B110,'март 2026'!$J$2:$J$2701,AF$1)</f>
        <v>0</v>
      </c>
      <c r="AG110" s="144">
        <f>SUMIFS('март 2026'!$G$2:$G$2701,'март 2026'!$D$2:$D$2701,$B110,'март 2026'!$J$2:$J$2701,AG$1)</f>
        <v>0</v>
      </c>
      <c r="AH110" s="144">
        <f>SUMIFS('март 2026'!$G$2:$G$2701,'март 2026'!$D$2:$D$2701,$B110,'март 2026'!$J$2:$J$2701,AH$1)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SUMIFS('март 2026'!$G$2:$G$2701,'март 2026'!$D$2:$D$2701,$B111,'март 2026'!$J$2:$J$2701,D$1)</f>
        <v>0</v>
      </c>
      <c r="E111" s="144">
        <f>SUMIFS('март 2026'!$G$2:$G$2701,'март 2026'!$D$2:$D$2701,$B111,'март 2026'!$J$2:$J$2701,E$1)</f>
        <v>0</v>
      </c>
      <c r="F111" s="144">
        <f>SUMIFS('март 2026'!$G$2:$G$2701,'март 2026'!$D$2:$D$2701,$B111,'март 2026'!$J$2:$J$2701,F$1)</f>
        <v>0</v>
      </c>
      <c r="G111" s="144">
        <f>SUMIFS('март 2026'!$G$2:$G$2701,'март 2026'!$D$2:$D$2701,$B111,'март 2026'!$J$2:$J$2701,G$1)</f>
        <v>0</v>
      </c>
      <c r="H111" s="144">
        <f>SUMIFS('март 2026'!$G$2:$G$2701,'март 2026'!$D$2:$D$2701,$B111,'март 2026'!$J$2:$J$2701,H$1)</f>
        <v>0</v>
      </c>
      <c r="I111" s="144">
        <f>SUMIFS('март 2026'!$G$2:$G$2701,'март 2026'!$D$2:$D$2701,$B111,'март 2026'!$J$2:$J$2701,I$1)</f>
        <v>0</v>
      </c>
      <c r="J111" s="144">
        <f>SUMIFS('март 2026'!$G$2:$G$2701,'март 2026'!$D$2:$D$2701,$B111,'март 2026'!$J$2:$J$2701,J$1)</f>
        <v>0</v>
      </c>
      <c r="K111" s="144">
        <f>SUMIFS('март 2026'!$G$2:$G$2701,'март 2026'!$D$2:$D$2701,$B111,'март 2026'!$J$2:$J$2701,K$1)</f>
        <v>0</v>
      </c>
      <c r="L111" s="144">
        <f>SUMIFS('март 2026'!$G$2:$G$2701,'март 2026'!$D$2:$D$2701,$B111,'март 2026'!$J$2:$J$2701,L$1)</f>
        <v>0</v>
      </c>
      <c r="M111" s="144">
        <f>SUMIFS('март 2026'!$G$2:$G$2701,'март 2026'!$D$2:$D$2701,$B111,'март 2026'!$J$2:$J$2701,M$1)</f>
        <v>0</v>
      </c>
      <c r="N111" s="144">
        <f>SUMIFS('март 2026'!$G$2:$G$2701,'март 2026'!$D$2:$D$2701,$B111,'март 2026'!$J$2:$J$2701,N$1)</f>
        <v>0</v>
      </c>
      <c r="O111" s="144">
        <f>SUMIFS('март 2026'!$G$2:$G$2701,'март 2026'!$D$2:$D$2701,$B111,'март 2026'!$J$2:$J$2701,O$1)</f>
        <v>0</v>
      </c>
      <c r="P111" s="144">
        <f>SUMIFS('март 2026'!$G$2:$G$2701,'март 2026'!$D$2:$D$2701,$B111,'март 2026'!$J$2:$J$2701,P$1)</f>
        <v>0</v>
      </c>
      <c r="Q111" s="144">
        <f>SUMIFS('март 2026'!$G$2:$G$2701,'март 2026'!$D$2:$D$2701,$B111,'март 2026'!$J$2:$J$2701,Q$1)</f>
        <v>0</v>
      </c>
      <c r="R111" s="144">
        <f>SUMIFS('март 2026'!$G$2:$G$2701,'март 2026'!$D$2:$D$2701,$B111,'март 2026'!$J$2:$J$2701,R$1)</f>
        <v>0</v>
      </c>
      <c r="S111" s="144">
        <f>SUMIFS('март 2026'!$G$2:$G$2701,'март 2026'!$D$2:$D$2701,$B111,'март 2026'!$J$2:$J$2701,S$1)</f>
        <v>0</v>
      </c>
      <c r="T111" s="144">
        <f>SUMIFS('март 2026'!$G$2:$G$2701,'март 2026'!$D$2:$D$2701,$B111,'март 2026'!$J$2:$J$2701,T$1)</f>
        <v>0</v>
      </c>
      <c r="U111" s="144">
        <f>SUMIFS('март 2026'!$G$2:$G$2701,'март 2026'!$D$2:$D$2701,$B111,'март 2026'!$J$2:$J$2701,U$1)</f>
        <v>0</v>
      </c>
      <c r="V111" s="144">
        <f>SUMIFS('март 2026'!$G$2:$G$2701,'март 2026'!$D$2:$D$2701,$B111,'март 2026'!$J$2:$J$2701,V$1)</f>
        <v>0</v>
      </c>
      <c r="W111" s="144">
        <f>SUMIFS('март 2026'!$G$2:$G$2701,'март 2026'!$D$2:$D$2701,$B111,'март 2026'!$J$2:$J$2701,W$1)</f>
        <v>0</v>
      </c>
      <c r="X111" s="144">
        <f>SUMIFS('март 2026'!$G$2:$G$2701,'март 2026'!$D$2:$D$2701,$B111,'март 2026'!$J$2:$J$2701,X$1)</f>
        <v>0</v>
      </c>
      <c r="Y111" s="144">
        <f>SUMIFS('март 2026'!$G$2:$G$2701,'март 2026'!$D$2:$D$2701,$B111,'март 2026'!$J$2:$J$2701,Y$1)</f>
        <v>0</v>
      </c>
      <c r="Z111" s="144">
        <f>SUMIFS('март 2026'!$G$2:$G$2701,'март 2026'!$D$2:$D$2701,$B111,'март 2026'!$J$2:$J$2701,Z$1)</f>
        <v>0</v>
      </c>
      <c r="AA111" s="144">
        <f>SUMIFS('март 2026'!$G$2:$G$2701,'март 2026'!$D$2:$D$2701,$B111,'март 2026'!$J$2:$J$2701,AA$1)</f>
        <v>0</v>
      </c>
      <c r="AB111" s="144">
        <f>SUMIFS('март 2026'!$G$2:$G$2701,'март 2026'!$D$2:$D$2701,$B111,'март 2026'!$J$2:$J$2701,AB$1)</f>
        <v>0</v>
      </c>
      <c r="AC111" s="144">
        <f>SUMIFS('март 2026'!$G$2:$G$2701,'март 2026'!$D$2:$D$2701,$B111,'март 2026'!$J$2:$J$2701,AC$1)</f>
        <v>0</v>
      </c>
      <c r="AD111" s="144">
        <f>SUMIFS('март 2026'!$G$2:$G$2701,'март 2026'!$D$2:$D$2701,$B111,'март 2026'!$J$2:$J$2701,AD$1)</f>
        <v>0</v>
      </c>
      <c r="AE111" s="144">
        <f>SUMIFS('март 2026'!$G$2:$G$2701,'март 2026'!$D$2:$D$2701,$B111,'март 2026'!$J$2:$J$2701,AE$1)</f>
        <v>0</v>
      </c>
      <c r="AF111" s="144">
        <f>SUMIFS('март 2026'!$G$2:$G$2701,'март 2026'!$D$2:$D$2701,$B111,'март 2026'!$J$2:$J$2701,AF$1)</f>
        <v>0</v>
      </c>
      <c r="AG111" s="144">
        <f>SUMIFS('март 2026'!$G$2:$G$2701,'март 2026'!$D$2:$D$2701,$B111,'март 2026'!$J$2:$J$2701,AG$1)</f>
        <v>0</v>
      </c>
      <c r="AH111" s="144">
        <f>SUMIFS('март 2026'!$G$2:$G$2701,'март 2026'!$D$2:$D$2701,$B111,'март 2026'!$J$2:$J$2701,AH$1)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SUMIFS('март 2026'!$G$2:$G$2701,'март 2026'!$D$2:$D$2701,$B112,'март 2026'!$J$2:$J$2701,D$1)</f>
        <v>0</v>
      </c>
      <c r="E112" s="144">
        <f>SUMIFS('март 2026'!$G$2:$G$2701,'март 2026'!$D$2:$D$2701,$B112,'март 2026'!$J$2:$J$2701,E$1)</f>
        <v>0</v>
      </c>
      <c r="F112" s="144">
        <f>SUMIFS('март 2026'!$G$2:$G$2701,'март 2026'!$D$2:$D$2701,$B112,'март 2026'!$J$2:$J$2701,F$1)</f>
        <v>0</v>
      </c>
      <c r="G112" s="144">
        <f>SUMIFS('март 2026'!$G$2:$G$2701,'март 2026'!$D$2:$D$2701,$B112,'март 2026'!$J$2:$J$2701,G$1)</f>
        <v>0</v>
      </c>
      <c r="H112" s="144">
        <f>SUMIFS('март 2026'!$G$2:$G$2701,'март 2026'!$D$2:$D$2701,$B112,'март 2026'!$J$2:$J$2701,H$1)</f>
        <v>0</v>
      </c>
      <c r="I112" s="144">
        <f>SUMIFS('март 2026'!$G$2:$G$2701,'март 2026'!$D$2:$D$2701,$B112,'март 2026'!$J$2:$J$2701,I$1)</f>
        <v>0</v>
      </c>
      <c r="J112" s="144">
        <f>SUMIFS('март 2026'!$G$2:$G$2701,'март 2026'!$D$2:$D$2701,$B112,'март 2026'!$J$2:$J$2701,J$1)</f>
        <v>0</v>
      </c>
      <c r="K112" s="144">
        <f>SUMIFS('март 2026'!$G$2:$G$2701,'март 2026'!$D$2:$D$2701,$B112,'март 2026'!$J$2:$J$2701,K$1)</f>
        <v>0</v>
      </c>
      <c r="L112" s="144">
        <f>SUMIFS('март 2026'!$G$2:$G$2701,'март 2026'!$D$2:$D$2701,$B112,'март 2026'!$J$2:$J$2701,L$1)</f>
        <v>0</v>
      </c>
      <c r="M112" s="144">
        <f>SUMIFS('март 2026'!$G$2:$G$2701,'март 2026'!$D$2:$D$2701,$B112,'март 2026'!$J$2:$J$2701,M$1)</f>
        <v>0</v>
      </c>
      <c r="N112" s="144">
        <f>SUMIFS('март 2026'!$G$2:$G$2701,'март 2026'!$D$2:$D$2701,$B112,'март 2026'!$J$2:$J$2701,N$1)</f>
        <v>0</v>
      </c>
      <c r="O112" s="144">
        <f>SUMIFS('март 2026'!$G$2:$G$2701,'март 2026'!$D$2:$D$2701,$B112,'март 2026'!$J$2:$J$2701,O$1)</f>
        <v>0</v>
      </c>
      <c r="P112" s="144">
        <f>SUMIFS('март 2026'!$G$2:$G$2701,'март 2026'!$D$2:$D$2701,$B112,'март 2026'!$J$2:$J$2701,P$1)</f>
        <v>0</v>
      </c>
      <c r="Q112" s="144">
        <f>SUMIFS('март 2026'!$G$2:$G$2701,'март 2026'!$D$2:$D$2701,$B112,'март 2026'!$J$2:$J$2701,Q$1)</f>
        <v>0</v>
      </c>
      <c r="R112" s="144">
        <f>SUMIFS('март 2026'!$G$2:$G$2701,'март 2026'!$D$2:$D$2701,$B112,'март 2026'!$J$2:$J$2701,R$1)</f>
        <v>0</v>
      </c>
      <c r="S112" s="144">
        <f>SUMIFS('март 2026'!$G$2:$G$2701,'март 2026'!$D$2:$D$2701,$B112,'март 2026'!$J$2:$J$2701,S$1)</f>
        <v>0</v>
      </c>
      <c r="T112" s="144">
        <f>SUMIFS('март 2026'!$G$2:$G$2701,'март 2026'!$D$2:$D$2701,$B112,'март 2026'!$J$2:$J$2701,T$1)</f>
        <v>0</v>
      </c>
      <c r="U112" s="144">
        <f>SUMIFS('март 2026'!$G$2:$G$2701,'март 2026'!$D$2:$D$2701,$B112,'март 2026'!$J$2:$J$2701,U$1)</f>
        <v>0</v>
      </c>
      <c r="V112" s="144">
        <f>SUMIFS('март 2026'!$G$2:$G$2701,'март 2026'!$D$2:$D$2701,$B112,'март 2026'!$J$2:$J$2701,V$1)</f>
        <v>0</v>
      </c>
      <c r="W112" s="144">
        <f>SUMIFS('март 2026'!$G$2:$G$2701,'март 2026'!$D$2:$D$2701,$B112,'март 2026'!$J$2:$J$2701,W$1)</f>
        <v>0</v>
      </c>
      <c r="X112" s="144">
        <f>SUMIFS('март 2026'!$G$2:$G$2701,'март 2026'!$D$2:$D$2701,$B112,'март 2026'!$J$2:$J$2701,X$1)</f>
        <v>0</v>
      </c>
      <c r="Y112" s="144">
        <f>SUMIFS('март 2026'!$G$2:$G$2701,'март 2026'!$D$2:$D$2701,$B112,'март 2026'!$J$2:$J$2701,Y$1)</f>
        <v>0</v>
      </c>
      <c r="Z112" s="144">
        <f>SUMIFS('март 2026'!$G$2:$G$2701,'март 2026'!$D$2:$D$2701,$B112,'март 2026'!$J$2:$J$2701,Z$1)</f>
        <v>0</v>
      </c>
      <c r="AA112" s="144">
        <f>SUMIFS('март 2026'!$G$2:$G$2701,'март 2026'!$D$2:$D$2701,$B112,'март 2026'!$J$2:$J$2701,AA$1)</f>
        <v>0</v>
      </c>
      <c r="AB112" s="144">
        <f>SUMIFS('март 2026'!$G$2:$G$2701,'март 2026'!$D$2:$D$2701,$B112,'март 2026'!$J$2:$J$2701,AB$1)</f>
        <v>0</v>
      </c>
      <c r="AC112" s="144">
        <f>SUMIFS('март 2026'!$G$2:$G$2701,'март 2026'!$D$2:$D$2701,$B112,'март 2026'!$J$2:$J$2701,AC$1)</f>
        <v>0</v>
      </c>
      <c r="AD112" s="144">
        <f>SUMIFS('март 2026'!$G$2:$G$2701,'март 2026'!$D$2:$D$2701,$B112,'март 2026'!$J$2:$J$2701,AD$1)</f>
        <v>0</v>
      </c>
      <c r="AE112" s="144">
        <f>SUMIFS('март 2026'!$G$2:$G$2701,'март 2026'!$D$2:$D$2701,$B112,'март 2026'!$J$2:$J$2701,AE$1)</f>
        <v>0</v>
      </c>
      <c r="AF112" s="144">
        <f>SUMIFS('март 2026'!$G$2:$G$2701,'март 2026'!$D$2:$D$2701,$B112,'март 2026'!$J$2:$J$2701,AF$1)</f>
        <v>0</v>
      </c>
      <c r="AG112" s="144">
        <f>SUMIFS('март 2026'!$G$2:$G$2701,'март 2026'!$D$2:$D$2701,$B112,'март 2026'!$J$2:$J$2701,AG$1)</f>
        <v>0</v>
      </c>
      <c r="AH112" s="144">
        <f>SUMIFS('март 2026'!$G$2:$G$2701,'март 2026'!$D$2:$D$2701,$B112,'март 2026'!$J$2:$J$2701,AH$1)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SUMIFS('март 2026'!$G$2:$G$2701,'март 2026'!$D$2:$D$2701,$B113,'март 2026'!$J$2:$J$2701,D$1)</f>
        <v>0</v>
      </c>
      <c r="E113" s="144">
        <f>SUMIFS('март 2026'!$G$2:$G$2701,'март 2026'!$D$2:$D$2701,$B113,'март 2026'!$J$2:$J$2701,E$1)</f>
        <v>0</v>
      </c>
      <c r="F113" s="144">
        <f>SUMIFS('март 2026'!$G$2:$G$2701,'март 2026'!$D$2:$D$2701,$B113,'март 2026'!$J$2:$J$2701,F$1)</f>
        <v>0</v>
      </c>
      <c r="G113" s="144">
        <f>SUMIFS('март 2026'!$G$2:$G$2701,'март 2026'!$D$2:$D$2701,$B113,'март 2026'!$J$2:$J$2701,G$1)</f>
        <v>0</v>
      </c>
      <c r="H113" s="144">
        <f>SUMIFS('март 2026'!$G$2:$G$2701,'март 2026'!$D$2:$D$2701,$B113,'март 2026'!$J$2:$J$2701,H$1)</f>
        <v>0</v>
      </c>
      <c r="I113" s="144">
        <f>SUMIFS('март 2026'!$G$2:$G$2701,'март 2026'!$D$2:$D$2701,$B113,'март 2026'!$J$2:$J$2701,I$1)</f>
        <v>0</v>
      </c>
      <c r="J113" s="144">
        <f>SUMIFS('март 2026'!$G$2:$G$2701,'март 2026'!$D$2:$D$2701,$B113,'март 2026'!$J$2:$J$2701,J$1)</f>
        <v>0</v>
      </c>
      <c r="K113" s="144">
        <f>SUMIFS('март 2026'!$G$2:$G$2701,'март 2026'!$D$2:$D$2701,$B113,'март 2026'!$J$2:$J$2701,K$1)</f>
        <v>0</v>
      </c>
      <c r="L113" s="144">
        <f>SUMIFS('март 2026'!$G$2:$G$2701,'март 2026'!$D$2:$D$2701,$B113,'март 2026'!$J$2:$J$2701,L$1)</f>
        <v>0</v>
      </c>
      <c r="M113" s="144">
        <f>SUMIFS('март 2026'!$G$2:$G$2701,'март 2026'!$D$2:$D$2701,$B113,'март 2026'!$J$2:$J$2701,M$1)</f>
        <v>0</v>
      </c>
      <c r="N113" s="144">
        <f>SUMIFS('март 2026'!$G$2:$G$2701,'март 2026'!$D$2:$D$2701,$B113,'март 2026'!$J$2:$J$2701,N$1)</f>
        <v>0</v>
      </c>
      <c r="O113" s="144">
        <f>SUMIFS('март 2026'!$G$2:$G$2701,'март 2026'!$D$2:$D$2701,$B113,'март 2026'!$J$2:$J$2701,O$1)</f>
        <v>0</v>
      </c>
      <c r="P113" s="144">
        <f>SUMIFS('март 2026'!$G$2:$G$2701,'март 2026'!$D$2:$D$2701,$B113,'март 2026'!$J$2:$J$2701,P$1)</f>
        <v>0</v>
      </c>
      <c r="Q113" s="144">
        <f>SUMIFS('март 2026'!$G$2:$G$2701,'март 2026'!$D$2:$D$2701,$B113,'март 2026'!$J$2:$J$2701,Q$1)</f>
        <v>0</v>
      </c>
      <c r="R113" s="144">
        <f>SUMIFS('март 2026'!$G$2:$G$2701,'март 2026'!$D$2:$D$2701,$B113,'март 2026'!$J$2:$J$2701,R$1)</f>
        <v>0</v>
      </c>
      <c r="S113" s="144">
        <f>SUMIFS('март 2026'!$G$2:$G$2701,'март 2026'!$D$2:$D$2701,$B113,'март 2026'!$J$2:$J$2701,S$1)</f>
        <v>0</v>
      </c>
      <c r="T113" s="144">
        <f>SUMIFS('март 2026'!$G$2:$G$2701,'март 2026'!$D$2:$D$2701,$B113,'март 2026'!$J$2:$J$2701,T$1)</f>
        <v>0</v>
      </c>
      <c r="U113" s="144">
        <f>SUMIFS('март 2026'!$G$2:$G$2701,'март 2026'!$D$2:$D$2701,$B113,'март 2026'!$J$2:$J$2701,U$1)</f>
        <v>0</v>
      </c>
      <c r="V113" s="144">
        <f>SUMIFS('март 2026'!$G$2:$G$2701,'март 2026'!$D$2:$D$2701,$B113,'март 2026'!$J$2:$J$2701,V$1)</f>
        <v>0</v>
      </c>
      <c r="W113" s="144">
        <f>SUMIFS('март 2026'!$G$2:$G$2701,'март 2026'!$D$2:$D$2701,$B113,'март 2026'!$J$2:$J$2701,W$1)</f>
        <v>0</v>
      </c>
      <c r="X113" s="144">
        <f>SUMIFS('март 2026'!$G$2:$G$2701,'март 2026'!$D$2:$D$2701,$B113,'март 2026'!$J$2:$J$2701,X$1)</f>
        <v>0</v>
      </c>
      <c r="Y113" s="144">
        <f>SUMIFS('март 2026'!$G$2:$G$2701,'март 2026'!$D$2:$D$2701,$B113,'март 2026'!$J$2:$J$2701,Y$1)</f>
        <v>0</v>
      </c>
      <c r="Z113" s="144">
        <f>SUMIFS('март 2026'!$G$2:$G$2701,'март 2026'!$D$2:$D$2701,$B113,'март 2026'!$J$2:$J$2701,Z$1)</f>
        <v>0</v>
      </c>
      <c r="AA113" s="144">
        <f>SUMIFS('март 2026'!$G$2:$G$2701,'март 2026'!$D$2:$D$2701,$B113,'март 2026'!$J$2:$J$2701,AA$1)</f>
        <v>0</v>
      </c>
      <c r="AB113" s="144">
        <f>SUMIFS('март 2026'!$G$2:$G$2701,'март 2026'!$D$2:$D$2701,$B113,'март 2026'!$J$2:$J$2701,AB$1)</f>
        <v>0</v>
      </c>
      <c r="AC113" s="144">
        <f>SUMIFS('март 2026'!$G$2:$G$2701,'март 2026'!$D$2:$D$2701,$B113,'март 2026'!$J$2:$J$2701,AC$1)</f>
        <v>0</v>
      </c>
      <c r="AD113" s="144">
        <f>SUMIFS('март 2026'!$G$2:$G$2701,'март 2026'!$D$2:$D$2701,$B113,'март 2026'!$J$2:$J$2701,AD$1)</f>
        <v>0</v>
      </c>
      <c r="AE113" s="144">
        <f>SUMIFS('март 2026'!$G$2:$G$2701,'март 2026'!$D$2:$D$2701,$B113,'март 2026'!$J$2:$J$2701,AE$1)</f>
        <v>0</v>
      </c>
      <c r="AF113" s="144">
        <f>SUMIFS('март 2026'!$G$2:$G$2701,'март 2026'!$D$2:$D$2701,$B113,'март 2026'!$J$2:$J$2701,AF$1)</f>
        <v>0</v>
      </c>
      <c r="AG113" s="144">
        <f>SUMIFS('март 2026'!$G$2:$G$2701,'март 2026'!$D$2:$D$2701,$B113,'март 2026'!$J$2:$J$2701,AG$1)</f>
        <v>0</v>
      </c>
      <c r="AH113" s="144">
        <f>SUMIFS('март 2026'!$G$2:$G$2701,'март 2026'!$D$2:$D$2701,$B113,'март 2026'!$J$2:$J$2701,AH$1)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SUMIFS('март 2026'!$G$2:$G$2701,'март 2026'!$D$2:$D$2701,$B114,'март 2026'!$J$2:$J$2701,D$1)</f>
        <v>0</v>
      </c>
      <c r="E114" s="144">
        <f>SUMIFS('март 2026'!$G$2:$G$2701,'март 2026'!$D$2:$D$2701,$B114,'март 2026'!$J$2:$J$2701,E$1)</f>
        <v>0</v>
      </c>
      <c r="F114" s="144">
        <f>SUMIFS('март 2026'!$G$2:$G$2701,'март 2026'!$D$2:$D$2701,$B114,'март 2026'!$J$2:$J$2701,F$1)</f>
        <v>0</v>
      </c>
      <c r="G114" s="144">
        <f>SUMIFS('март 2026'!$G$2:$G$2701,'март 2026'!$D$2:$D$2701,$B114,'март 2026'!$J$2:$J$2701,G$1)</f>
        <v>0</v>
      </c>
      <c r="H114" s="144">
        <f>SUMIFS('март 2026'!$G$2:$G$2701,'март 2026'!$D$2:$D$2701,$B114,'март 2026'!$J$2:$J$2701,H$1)</f>
        <v>0</v>
      </c>
      <c r="I114" s="144">
        <f>SUMIFS('март 2026'!$G$2:$G$2701,'март 2026'!$D$2:$D$2701,$B114,'март 2026'!$J$2:$J$2701,I$1)</f>
        <v>0</v>
      </c>
      <c r="J114" s="144">
        <f>SUMIFS('март 2026'!$G$2:$G$2701,'март 2026'!$D$2:$D$2701,$B114,'март 2026'!$J$2:$J$2701,J$1)</f>
        <v>0</v>
      </c>
      <c r="K114" s="144">
        <f>SUMIFS('март 2026'!$G$2:$G$2701,'март 2026'!$D$2:$D$2701,$B114,'март 2026'!$J$2:$J$2701,K$1)</f>
        <v>0</v>
      </c>
      <c r="L114" s="144">
        <f>SUMIFS('март 2026'!$G$2:$G$2701,'март 2026'!$D$2:$D$2701,$B114,'март 2026'!$J$2:$J$2701,L$1)</f>
        <v>0</v>
      </c>
      <c r="M114" s="144">
        <f>SUMIFS('март 2026'!$G$2:$G$2701,'март 2026'!$D$2:$D$2701,$B114,'март 2026'!$J$2:$J$2701,M$1)</f>
        <v>0</v>
      </c>
      <c r="N114" s="144">
        <f>SUMIFS('март 2026'!$G$2:$G$2701,'март 2026'!$D$2:$D$2701,$B114,'март 2026'!$J$2:$J$2701,N$1)</f>
        <v>0</v>
      </c>
      <c r="O114" s="144">
        <f>SUMIFS('март 2026'!$G$2:$G$2701,'март 2026'!$D$2:$D$2701,$B114,'март 2026'!$J$2:$J$2701,O$1)</f>
        <v>0</v>
      </c>
      <c r="P114" s="144">
        <f>SUMIFS('март 2026'!$G$2:$G$2701,'март 2026'!$D$2:$D$2701,$B114,'март 2026'!$J$2:$J$2701,P$1)</f>
        <v>0</v>
      </c>
      <c r="Q114" s="144">
        <f>SUMIFS('март 2026'!$G$2:$G$2701,'март 2026'!$D$2:$D$2701,$B114,'март 2026'!$J$2:$J$2701,Q$1)</f>
        <v>0</v>
      </c>
      <c r="R114" s="144">
        <f>SUMIFS('март 2026'!$G$2:$G$2701,'март 2026'!$D$2:$D$2701,$B114,'март 2026'!$J$2:$J$2701,R$1)</f>
        <v>0</v>
      </c>
      <c r="S114" s="144">
        <f>SUMIFS('март 2026'!$G$2:$G$2701,'март 2026'!$D$2:$D$2701,$B114,'март 2026'!$J$2:$J$2701,S$1)</f>
        <v>0</v>
      </c>
      <c r="T114" s="144">
        <f>SUMIFS('март 2026'!$G$2:$G$2701,'март 2026'!$D$2:$D$2701,$B114,'март 2026'!$J$2:$J$2701,T$1)</f>
        <v>0</v>
      </c>
      <c r="U114" s="144">
        <f>SUMIFS('март 2026'!$G$2:$G$2701,'март 2026'!$D$2:$D$2701,$B114,'март 2026'!$J$2:$J$2701,U$1)</f>
        <v>0</v>
      </c>
      <c r="V114" s="144">
        <f>SUMIFS('март 2026'!$G$2:$G$2701,'март 2026'!$D$2:$D$2701,$B114,'март 2026'!$J$2:$J$2701,V$1)</f>
        <v>0</v>
      </c>
      <c r="W114" s="144">
        <f>SUMIFS('март 2026'!$G$2:$G$2701,'март 2026'!$D$2:$D$2701,$B114,'март 2026'!$J$2:$J$2701,W$1)</f>
        <v>0</v>
      </c>
      <c r="X114" s="144">
        <f>SUMIFS('март 2026'!$G$2:$G$2701,'март 2026'!$D$2:$D$2701,$B114,'март 2026'!$J$2:$J$2701,X$1)</f>
        <v>0</v>
      </c>
      <c r="Y114" s="144">
        <f>SUMIFS('март 2026'!$G$2:$G$2701,'март 2026'!$D$2:$D$2701,$B114,'март 2026'!$J$2:$J$2701,Y$1)</f>
        <v>0</v>
      </c>
      <c r="Z114" s="144">
        <f>SUMIFS('март 2026'!$G$2:$G$2701,'март 2026'!$D$2:$D$2701,$B114,'март 2026'!$J$2:$J$2701,Z$1)</f>
        <v>0</v>
      </c>
      <c r="AA114" s="144">
        <f>SUMIFS('март 2026'!$G$2:$G$2701,'март 2026'!$D$2:$D$2701,$B114,'март 2026'!$J$2:$J$2701,AA$1)</f>
        <v>0</v>
      </c>
      <c r="AB114" s="144">
        <f>SUMIFS('март 2026'!$G$2:$G$2701,'март 2026'!$D$2:$D$2701,$B114,'март 2026'!$J$2:$J$2701,AB$1)</f>
        <v>0</v>
      </c>
      <c r="AC114" s="144">
        <f>SUMIFS('март 2026'!$G$2:$G$2701,'март 2026'!$D$2:$D$2701,$B114,'март 2026'!$J$2:$J$2701,AC$1)</f>
        <v>0</v>
      </c>
      <c r="AD114" s="144">
        <f>SUMIFS('март 2026'!$G$2:$G$2701,'март 2026'!$D$2:$D$2701,$B114,'март 2026'!$J$2:$J$2701,AD$1)</f>
        <v>0</v>
      </c>
      <c r="AE114" s="144">
        <f>SUMIFS('март 2026'!$G$2:$G$2701,'март 2026'!$D$2:$D$2701,$B114,'март 2026'!$J$2:$J$2701,AE$1)</f>
        <v>0</v>
      </c>
      <c r="AF114" s="144">
        <f>SUMIFS('март 2026'!$G$2:$G$2701,'март 2026'!$D$2:$D$2701,$B114,'март 2026'!$J$2:$J$2701,AF$1)</f>
        <v>0</v>
      </c>
      <c r="AG114" s="144">
        <f>SUMIFS('март 2026'!$G$2:$G$2701,'март 2026'!$D$2:$D$2701,$B114,'март 2026'!$J$2:$J$2701,AG$1)</f>
        <v>0</v>
      </c>
      <c r="AH114" s="144">
        <f>SUMIFS('март 2026'!$G$2:$G$2701,'март 2026'!$D$2:$D$2701,$B114,'март 2026'!$J$2:$J$2701,AH$1)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SUMIFS('март 2026'!$G$2:$G$2701,'март 2026'!$D$2:$D$2701,$B115,'март 2026'!$J$2:$J$2701,D$1)</f>
        <v>0</v>
      </c>
      <c r="E115" s="144">
        <f>SUMIFS('март 2026'!$G$2:$G$2701,'март 2026'!$D$2:$D$2701,$B115,'март 2026'!$J$2:$J$2701,E$1)</f>
        <v>0</v>
      </c>
      <c r="F115" s="144">
        <f>SUMIFS('март 2026'!$G$2:$G$2701,'март 2026'!$D$2:$D$2701,$B115,'март 2026'!$J$2:$J$2701,F$1)</f>
        <v>0</v>
      </c>
      <c r="G115" s="144">
        <f>SUMIFS('март 2026'!$G$2:$G$2701,'март 2026'!$D$2:$D$2701,$B115,'март 2026'!$J$2:$J$2701,G$1)</f>
        <v>0</v>
      </c>
      <c r="H115" s="144">
        <f>SUMIFS('март 2026'!$G$2:$G$2701,'март 2026'!$D$2:$D$2701,$B115,'март 2026'!$J$2:$J$2701,H$1)</f>
        <v>0</v>
      </c>
      <c r="I115" s="144">
        <f>SUMIFS('март 2026'!$G$2:$G$2701,'март 2026'!$D$2:$D$2701,$B115,'март 2026'!$J$2:$J$2701,I$1)</f>
        <v>0</v>
      </c>
      <c r="J115" s="144">
        <f>SUMIFS('март 2026'!$G$2:$G$2701,'март 2026'!$D$2:$D$2701,$B115,'март 2026'!$J$2:$J$2701,J$1)</f>
        <v>0</v>
      </c>
      <c r="K115" s="144">
        <f>SUMIFS('март 2026'!$G$2:$G$2701,'март 2026'!$D$2:$D$2701,$B115,'март 2026'!$J$2:$J$2701,K$1)</f>
        <v>0</v>
      </c>
      <c r="L115" s="144">
        <f>SUMIFS('март 2026'!$G$2:$G$2701,'март 2026'!$D$2:$D$2701,$B115,'март 2026'!$J$2:$J$2701,L$1)</f>
        <v>0</v>
      </c>
      <c r="M115" s="144">
        <f>SUMIFS('март 2026'!$G$2:$G$2701,'март 2026'!$D$2:$D$2701,$B115,'март 2026'!$J$2:$J$2701,M$1)</f>
        <v>0</v>
      </c>
      <c r="N115" s="144">
        <f>SUMIFS('март 2026'!$G$2:$G$2701,'март 2026'!$D$2:$D$2701,$B115,'март 2026'!$J$2:$J$2701,N$1)</f>
        <v>0</v>
      </c>
      <c r="O115" s="144">
        <f>SUMIFS('март 2026'!$G$2:$G$2701,'март 2026'!$D$2:$D$2701,$B115,'март 2026'!$J$2:$J$2701,O$1)</f>
        <v>0</v>
      </c>
      <c r="P115" s="144">
        <f>SUMIFS('март 2026'!$G$2:$G$2701,'март 2026'!$D$2:$D$2701,$B115,'март 2026'!$J$2:$J$2701,P$1)</f>
        <v>0</v>
      </c>
      <c r="Q115" s="144">
        <f>SUMIFS('март 2026'!$G$2:$G$2701,'март 2026'!$D$2:$D$2701,$B115,'март 2026'!$J$2:$J$2701,Q$1)</f>
        <v>0</v>
      </c>
      <c r="R115" s="144">
        <f>SUMIFS('март 2026'!$G$2:$G$2701,'март 2026'!$D$2:$D$2701,$B115,'март 2026'!$J$2:$J$2701,R$1)</f>
        <v>0</v>
      </c>
      <c r="S115" s="144">
        <f>SUMIFS('март 2026'!$G$2:$G$2701,'март 2026'!$D$2:$D$2701,$B115,'март 2026'!$J$2:$J$2701,S$1)</f>
        <v>0</v>
      </c>
      <c r="T115" s="144">
        <f>SUMIFS('март 2026'!$G$2:$G$2701,'март 2026'!$D$2:$D$2701,$B115,'март 2026'!$J$2:$J$2701,T$1)</f>
        <v>0</v>
      </c>
      <c r="U115" s="144">
        <f>SUMIFS('март 2026'!$G$2:$G$2701,'март 2026'!$D$2:$D$2701,$B115,'март 2026'!$J$2:$J$2701,U$1)</f>
        <v>0</v>
      </c>
      <c r="V115" s="144">
        <f>SUMIFS('март 2026'!$G$2:$G$2701,'март 2026'!$D$2:$D$2701,$B115,'март 2026'!$J$2:$J$2701,V$1)</f>
        <v>0</v>
      </c>
      <c r="W115" s="144">
        <f>SUMIFS('март 2026'!$G$2:$G$2701,'март 2026'!$D$2:$D$2701,$B115,'март 2026'!$J$2:$J$2701,W$1)</f>
        <v>0</v>
      </c>
      <c r="X115" s="144">
        <f>SUMIFS('март 2026'!$G$2:$G$2701,'март 2026'!$D$2:$D$2701,$B115,'март 2026'!$J$2:$J$2701,X$1)</f>
        <v>0</v>
      </c>
      <c r="Y115" s="144">
        <f>SUMIFS('март 2026'!$G$2:$G$2701,'март 2026'!$D$2:$D$2701,$B115,'март 2026'!$J$2:$J$2701,Y$1)</f>
        <v>0</v>
      </c>
      <c r="Z115" s="144">
        <f>SUMIFS('март 2026'!$G$2:$G$2701,'март 2026'!$D$2:$D$2701,$B115,'март 2026'!$J$2:$J$2701,Z$1)</f>
        <v>0</v>
      </c>
      <c r="AA115" s="144">
        <f>SUMIFS('март 2026'!$G$2:$G$2701,'март 2026'!$D$2:$D$2701,$B115,'март 2026'!$J$2:$J$2701,AA$1)</f>
        <v>0</v>
      </c>
      <c r="AB115" s="144">
        <f>SUMIFS('март 2026'!$G$2:$G$2701,'март 2026'!$D$2:$D$2701,$B115,'март 2026'!$J$2:$J$2701,AB$1)</f>
        <v>0</v>
      </c>
      <c r="AC115" s="144">
        <f>SUMIFS('март 2026'!$G$2:$G$2701,'март 2026'!$D$2:$D$2701,$B115,'март 2026'!$J$2:$J$2701,AC$1)</f>
        <v>0</v>
      </c>
      <c r="AD115" s="144">
        <f>SUMIFS('март 2026'!$G$2:$G$2701,'март 2026'!$D$2:$D$2701,$B115,'март 2026'!$J$2:$J$2701,AD$1)</f>
        <v>0</v>
      </c>
      <c r="AE115" s="144">
        <f>SUMIFS('март 2026'!$G$2:$G$2701,'март 2026'!$D$2:$D$2701,$B115,'март 2026'!$J$2:$J$2701,AE$1)</f>
        <v>0</v>
      </c>
      <c r="AF115" s="144">
        <f>SUMIFS('март 2026'!$G$2:$G$2701,'март 2026'!$D$2:$D$2701,$B115,'март 2026'!$J$2:$J$2701,AF$1)</f>
        <v>0</v>
      </c>
      <c r="AG115" s="144">
        <f>SUMIFS('март 2026'!$G$2:$G$2701,'март 2026'!$D$2:$D$2701,$B115,'март 2026'!$J$2:$J$2701,AG$1)</f>
        <v>0</v>
      </c>
      <c r="AH115" s="144">
        <f>SUMIFS('март 2026'!$G$2:$G$2701,'март 2026'!$D$2:$D$2701,$B115,'март 2026'!$J$2:$J$2701,AH$1)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SUMIFS('март 2026'!$G$2:$G$2701,'март 2026'!$D$2:$D$2701,$B116,'март 2026'!$J$2:$J$2701,D$1)</f>
        <v>0</v>
      </c>
      <c r="E116" s="144">
        <f>SUMIFS('март 2026'!$G$2:$G$2701,'март 2026'!$D$2:$D$2701,$B116,'март 2026'!$J$2:$J$2701,E$1)</f>
        <v>0</v>
      </c>
      <c r="F116" s="144">
        <f>SUMIFS('март 2026'!$G$2:$G$2701,'март 2026'!$D$2:$D$2701,$B116,'март 2026'!$J$2:$J$2701,F$1)</f>
        <v>0</v>
      </c>
      <c r="G116" s="144">
        <f>SUMIFS('март 2026'!$G$2:$G$2701,'март 2026'!$D$2:$D$2701,$B116,'март 2026'!$J$2:$J$2701,G$1)</f>
        <v>0</v>
      </c>
      <c r="H116" s="144">
        <f>SUMIFS('март 2026'!$G$2:$G$2701,'март 2026'!$D$2:$D$2701,$B116,'март 2026'!$J$2:$J$2701,H$1)</f>
        <v>0</v>
      </c>
      <c r="I116" s="144">
        <f>SUMIFS('март 2026'!$G$2:$G$2701,'март 2026'!$D$2:$D$2701,$B116,'март 2026'!$J$2:$J$2701,I$1)</f>
        <v>0</v>
      </c>
      <c r="J116" s="144">
        <f>SUMIFS('март 2026'!$G$2:$G$2701,'март 2026'!$D$2:$D$2701,$B116,'март 2026'!$J$2:$J$2701,J$1)</f>
        <v>0</v>
      </c>
      <c r="K116" s="144">
        <f>SUMIFS('март 2026'!$G$2:$G$2701,'март 2026'!$D$2:$D$2701,$B116,'март 2026'!$J$2:$J$2701,K$1)</f>
        <v>0</v>
      </c>
      <c r="L116" s="144">
        <f>SUMIFS('март 2026'!$G$2:$G$2701,'март 2026'!$D$2:$D$2701,$B116,'март 2026'!$J$2:$J$2701,L$1)</f>
        <v>0</v>
      </c>
      <c r="M116" s="144">
        <f>SUMIFS('март 2026'!$G$2:$G$2701,'март 2026'!$D$2:$D$2701,$B116,'март 2026'!$J$2:$J$2701,M$1)</f>
        <v>0</v>
      </c>
      <c r="N116" s="144">
        <f>SUMIFS('март 2026'!$G$2:$G$2701,'март 2026'!$D$2:$D$2701,$B116,'март 2026'!$J$2:$J$2701,N$1)</f>
        <v>0</v>
      </c>
      <c r="O116" s="144">
        <f>SUMIFS('март 2026'!$G$2:$G$2701,'март 2026'!$D$2:$D$2701,$B116,'март 2026'!$J$2:$J$2701,O$1)</f>
        <v>0</v>
      </c>
      <c r="P116" s="144">
        <f>SUMIFS('март 2026'!$G$2:$G$2701,'март 2026'!$D$2:$D$2701,$B116,'март 2026'!$J$2:$J$2701,P$1)</f>
        <v>0</v>
      </c>
      <c r="Q116" s="144">
        <f>SUMIFS('март 2026'!$G$2:$G$2701,'март 2026'!$D$2:$D$2701,$B116,'март 2026'!$J$2:$J$2701,Q$1)</f>
        <v>0</v>
      </c>
      <c r="R116" s="144">
        <f>SUMIFS('март 2026'!$G$2:$G$2701,'март 2026'!$D$2:$D$2701,$B116,'март 2026'!$J$2:$J$2701,R$1)</f>
        <v>0</v>
      </c>
      <c r="S116" s="144">
        <f>SUMIFS('март 2026'!$G$2:$G$2701,'март 2026'!$D$2:$D$2701,$B116,'март 2026'!$J$2:$J$2701,S$1)</f>
        <v>0</v>
      </c>
      <c r="T116" s="144">
        <f>SUMIFS('март 2026'!$G$2:$G$2701,'март 2026'!$D$2:$D$2701,$B116,'март 2026'!$J$2:$J$2701,T$1)</f>
        <v>0</v>
      </c>
      <c r="U116" s="144">
        <f>SUMIFS('март 2026'!$G$2:$G$2701,'март 2026'!$D$2:$D$2701,$B116,'март 2026'!$J$2:$J$2701,U$1)</f>
        <v>0</v>
      </c>
      <c r="V116" s="144">
        <f>SUMIFS('март 2026'!$G$2:$G$2701,'март 2026'!$D$2:$D$2701,$B116,'март 2026'!$J$2:$J$2701,V$1)</f>
        <v>0</v>
      </c>
      <c r="W116" s="144">
        <f>SUMIFS('март 2026'!$G$2:$G$2701,'март 2026'!$D$2:$D$2701,$B116,'март 2026'!$J$2:$J$2701,W$1)</f>
        <v>0</v>
      </c>
      <c r="X116" s="144">
        <f>SUMIFS('март 2026'!$G$2:$G$2701,'март 2026'!$D$2:$D$2701,$B116,'март 2026'!$J$2:$J$2701,X$1)</f>
        <v>0</v>
      </c>
      <c r="Y116" s="144">
        <f>SUMIFS('март 2026'!$G$2:$G$2701,'март 2026'!$D$2:$D$2701,$B116,'март 2026'!$J$2:$J$2701,Y$1)</f>
        <v>0</v>
      </c>
      <c r="Z116" s="144">
        <f>SUMIFS('март 2026'!$G$2:$G$2701,'март 2026'!$D$2:$D$2701,$B116,'март 2026'!$J$2:$J$2701,Z$1)</f>
        <v>0</v>
      </c>
      <c r="AA116" s="144">
        <f>SUMIFS('март 2026'!$G$2:$G$2701,'март 2026'!$D$2:$D$2701,$B116,'март 2026'!$J$2:$J$2701,AA$1)</f>
        <v>0</v>
      </c>
      <c r="AB116" s="144">
        <f>SUMIFS('март 2026'!$G$2:$G$2701,'март 2026'!$D$2:$D$2701,$B116,'март 2026'!$J$2:$J$2701,AB$1)</f>
        <v>0</v>
      </c>
      <c r="AC116" s="144">
        <f>SUMIFS('март 2026'!$G$2:$G$2701,'март 2026'!$D$2:$D$2701,$B116,'март 2026'!$J$2:$J$2701,AC$1)</f>
        <v>0</v>
      </c>
      <c r="AD116" s="144">
        <f>SUMIFS('март 2026'!$G$2:$G$2701,'март 2026'!$D$2:$D$2701,$B116,'март 2026'!$J$2:$J$2701,AD$1)</f>
        <v>0</v>
      </c>
      <c r="AE116" s="144">
        <f>SUMIFS('март 2026'!$G$2:$G$2701,'март 2026'!$D$2:$D$2701,$B116,'март 2026'!$J$2:$J$2701,AE$1)</f>
        <v>0</v>
      </c>
      <c r="AF116" s="144">
        <f>SUMIFS('март 2026'!$G$2:$G$2701,'март 2026'!$D$2:$D$2701,$B116,'март 2026'!$J$2:$J$2701,AF$1)</f>
        <v>0</v>
      </c>
      <c r="AG116" s="144">
        <f>SUMIFS('март 2026'!$G$2:$G$2701,'март 2026'!$D$2:$D$2701,$B116,'март 2026'!$J$2:$J$2701,AG$1)</f>
        <v>0</v>
      </c>
      <c r="AH116" s="144">
        <f>SUMIFS('март 2026'!$G$2:$G$2701,'март 2026'!$D$2:$D$2701,$B116,'март 2026'!$J$2:$J$2701,AH$1)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SUMIFS('март 2026'!$G$2:$G$2701,'март 2026'!$D$2:$D$2701,$B117,'март 2026'!$J$2:$J$2701,D$1)</f>
        <v>0</v>
      </c>
      <c r="E117" s="144">
        <f>SUMIFS('март 2026'!$G$2:$G$2701,'март 2026'!$D$2:$D$2701,$B117,'март 2026'!$J$2:$J$2701,E$1)</f>
        <v>0</v>
      </c>
      <c r="F117" s="144">
        <f>SUMIFS('март 2026'!$G$2:$G$2701,'март 2026'!$D$2:$D$2701,$B117,'март 2026'!$J$2:$J$2701,F$1)</f>
        <v>0</v>
      </c>
      <c r="G117" s="144">
        <f>SUMIFS('март 2026'!$G$2:$G$2701,'март 2026'!$D$2:$D$2701,$B117,'март 2026'!$J$2:$J$2701,G$1)</f>
        <v>0</v>
      </c>
      <c r="H117" s="144">
        <f>SUMIFS('март 2026'!$G$2:$G$2701,'март 2026'!$D$2:$D$2701,$B117,'март 2026'!$J$2:$J$2701,H$1)</f>
        <v>0</v>
      </c>
      <c r="I117" s="144">
        <f>SUMIFS('март 2026'!$G$2:$G$2701,'март 2026'!$D$2:$D$2701,$B117,'март 2026'!$J$2:$J$2701,I$1)</f>
        <v>0</v>
      </c>
      <c r="J117" s="144">
        <f>SUMIFS('март 2026'!$G$2:$G$2701,'март 2026'!$D$2:$D$2701,$B117,'март 2026'!$J$2:$J$2701,J$1)</f>
        <v>0</v>
      </c>
      <c r="K117" s="144">
        <f>SUMIFS('март 2026'!$G$2:$G$2701,'март 2026'!$D$2:$D$2701,$B117,'март 2026'!$J$2:$J$2701,K$1)</f>
        <v>0</v>
      </c>
      <c r="L117" s="144">
        <f>SUMIFS('март 2026'!$G$2:$G$2701,'март 2026'!$D$2:$D$2701,$B117,'март 2026'!$J$2:$J$2701,L$1)</f>
        <v>0</v>
      </c>
      <c r="M117" s="144">
        <f>SUMIFS('март 2026'!$G$2:$G$2701,'март 2026'!$D$2:$D$2701,$B117,'март 2026'!$J$2:$J$2701,M$1)</f>
        <v>0</v>
      </c>
      <c r="N117" s="144">
        <f>SUMIFS('март 2026'!$G$2:$G$2701,'март 2026'!$D$2:$D$2701,$B117,'март 2026'!$J$2:$J$2701,N$1)</f>
        <v>80</v>
      </c>
      <c r="O117" s="144">
        <f>SUMIFS('март 2026'!$G$2:$G$2701,'март 2026'!$D$2:$D$2701,$B117,'март 2026'!$J$2:$J$2701,O$1)</f>
        <v>0</v>
      </c>
      <c r="P117" s="144">
        <f>SUMIFS('март 2026'!$G$2:$G$2701,'март 2026'!$D$2:$D$2701,$B117,'март 2026'!$J$2:$J$2701,P$1)</f>
        <v>0</v>
      </c>
      <c r="Q117" s="144">
        <f>SUMIFS('март 2026'!$G$2:$G$2701,'март 2026'!$D$2:$D$2701,$B117,'март 2026'!$J$2:$J$2701,Q$1)</f>
        <v>0</v>
      </c>
      <c r="R117" s="144">
        <f>SUMIFS('март 2026'!$G$2:$G$2701,'март 2026'!$D$2:$D$2701,$B117,'март 2026'!$J$2:$J$2701,R$1)</f>
        <v>0</v>
      </c>
      <c r="S117" s="144">
        <f>SUMIFS('март 2026'!$G$2:$G$2701,'март 2026'!$D$2:$D$2701,$B117,'март 2026'!$J$2:$J$2701,S$1)</f>
        <v>0</v>
      </c>
      <c r="T117" s="144">
        <f>SUMIFS('март 2026'!$G$2:$G$2701,'март 2026'!$D$2:$D$2701,$B117,'март 2026'!$J$2:$J$2701,T$1)</f>
        <v>0</v>
      </c>
      <c r="U117" s="144">
        <f>SUMIFS('март 2026'!$G$2:$G$2701,'март 2026'!$D$2:$D$2701,$B117,'март 2026'!$J$2:$J$2701,U$1)</f>
        <v>0</v>
      </c>
      <c r="V117" s="144">
        <f>SUMIFS('март 2026'!$G$2:$G$2701,'март 2026'!$D$2:$D$2701,$B117,'март 2026'!$J$2:$J$2701,V$1)</f>
        <v>0</v>
      </c>
      <c r="W117" s="144">
        <f>SUMIFS('март 2026'!$G$2:$G$2701,'март 2026'!$D$2:$D$2701,$B117,'март 2026'!$J$2:$J$2701,W$1)</f>
        <v>0</v>
      </c>
      <c r="X117" s="144">
        <f>SUMIFS('март 2026'!$G$2:$G$2701,'март 2026'!$D$2:$D$2701,$B117,'март 2026'!$J$2:$J$2701,X$1)</f>
        <v>0</v>
      </c>
      <c r="Y117" s="144">
        <f>SUMIFS('март 2026'!$G$2:$G$2701,'март 2026'!$D$2:$D$2701,$B117,'март 2026'!$J$2:$J$2701,Y$1)</f>
        <v>0</v>
      </c>
      <c r="Z117" s="144">
        <f>SUMIFS('март 2026'!$G$2:$G$2701,'март 2026'!$D$2:$D$2701,$B117,'март 2026'!$J$2:$J$2701,Z$1)</f>
        <v>0</v>
      </c>
      <c r="AA117" s="144">
        <f>SUMIFS('март 2026'!$G$2:$G$2701,'март 2026'!$D$2:$D$2701,$B117,'март 2026'!$J$2:$J$2701,AA$1)</f>
        <v>0</v>
      </c>
      <c r="AB117" s="144">
        <f>SUMIFS('март 2026'!$G$2:$G$2701,'март 2026'!$D$2:$D$2701,$B117,'март 2026'!$J$2:$J$2701,AB$1)</f>
        <v>0</v>
      </c>
      <c r="AC117" s="144">
        <f>SUMIFS('март 2026'!$G$2:$G$2701,'март 2026'!$D$2:$D$2701,$B117,'март 2026'!$J$2:$J$2701,AC$1)</f>
        <v>0</v>
      </c>
      <c r="AD117" s="144">
        <f>SUMIFS('март 2026'!$G$2:$G$2701,'март 2026'!$D$2:$D$2701,$B117,'март 2026'!$J$2:$J$2701,AD$1)</f>
        <v>0</v>
      </c>
      <c r="AE117" s="144">
        <f>SUMIFS('март 2026'!$G$2:$G$2701,'март 2026'!$D$2:$D$2701,$B117,'март 2026'!$J$2:$J$2701,AE$1)</f>
        <v>0</v>
      </c>
      <c r="AF117" s="144">
        <f>SUMIFS('март 2026'!$G$2:$G$2701,'март 2026'!$D$2:$D$2701,$B117,'март 2026'!$J$2:$J$2701,AF$1)</f>
        <v>0</v>
      </c>
      <c r="AG117" s="144">
        <f>SUMIFS('март 2026'!$G$2:$G$2701,'март 2026'!$D$2:$D$2701,$B117,'март 2026'!$J$2:$J$2701,AG$1)</f>
        <v>0</v>
      </c>
      <c r="AH117" s="144">
        <f>SUMIFS('март 2026'!$G$2:$G$2701,'март 2026'!$D$2:$D$2701,$B117,'март 2026'!$J$2:$J$2701,AH$1)</f>
        <v>0</v>
      </c>
      <c r="AI117" s="20">
        <f t="shared" si="1"/>
        <v>80</v>
      </c>
    </row>
    <row r="118" spans="2:35" ht="15" customHeight="1" x14ac:dyDescent="0.25">
      <c r="B118" s="84" t="s">
        <v>167</v>
      </c>
      <c r="C118" s="83">
        <v>180</v>
      </c>
      <c r="D118" s="144">
        <f>SUMIFS('март 2026'!$G$2:$G$2701,'март 2026'!$D$2:$D$2701,$B118,'март 2026'!$J$2:$J$2701,D$1)</f>
        <v>0</v>
      </c>
      <c r="E118" s="144">
        <f>SUMIFS('март 2026'!$G$2:$G$2701,'март 2026'!$D$2:$D$2701,$B118,'март 2026'!$J$2:$J$2701,E$1)</f>
        <v>0</v>
      </c>
      <c r="F118" s="144">
        <f>SUMIFS('март 2026'!$G$2:$G$2701,'март 2026'!$D$2:$D$2701,$B118,'март 2026'!$J$2:$J$2701,F$1)</f>
        <v>0</v>
      </c>
      <c r="G118" s="144">
        <f>SUMIFS('март 2026'!$G$2:$G$2701,'март 2026'!$D$2:$D$2701,$B118,'март 2026'!$J$2:$J$2701,G$1)</f>
        <v>0</v>
      </c>
      <c r="H118" s="144">
        <f>SUMIFS('март 2026'!$G$2:$G$2701,'март 2026'!$D$2:$D$2701,$B118,'март 2026'!$J$2:$J$2701,H$1)</f>
        <v>0</v>
      </c>
      <c r="I118" s="144">
        <f>SUMIFS('март 2026'!$G$2:$G$2701,'март 2026'!$D$2:$D$2701,$B118,'март 2026'!$J$2:$J$2701,I$1)</f>
        <v>0</v>
      </c>
      <c r="J118" s="144">
        <f>SUMIFS('март 2026'!$G$2:$G$2701,'март 2026'!$D$2:$D$2701,$B118,'март 2026'!$J$2:$J$2701,J$1)</f>
        <v>0</v>
      </c>
      <c r="K118" s="144">
        <f>SUMIFS('март 2026'!$G$2:$G$2701,'март 2026'!$D$2:$D$2701,$B118,'март 2026'!$J$2:$J$2701,K$1)</f>
        <v>0</v>
      </c>
      <c r="L118" s="144">
        <f>SUMIFS('март 2026'!$G$2:$G$2701,'март 2026'!$D$2:$D$2701,$B118,'март 2026'!$J$2:$J$2701,L$1)</f>
        <v>0</v>
      </c>
      <c r="M118" s="144">
        <f>SUMIFS('март 2026'!$G$2:$G$2701,'март 2026'!$D$2:$D$2701,$B118,'март 2026'!$J$2:$J$2701,M$1)</f>
        <v>0</v>
      </c>
      <c r="N118" s="144">
        <f>SUMIFS('март 2026'!$G$2:$G$2701,'март 2026'!$D$2:$D$2701,$B118,'март 2026'!$J$2:$J$2701,N$1)</f>
        <v>0</v>
      </c>
      <c r="O118" s="144">
        <f>SUMIFS('март 2026'!$G$2:$G$2701,'март 2026'!$D$2:$D$2701,$B118,'март 2026'!$J$2:$J$2701,O$1)</f>
        <v>0</v>
      </c>
      <c r="P118" s="144">
        <f>SUMIFS('март 2026'!$G$2:$G$2701,'март 2026'!$D$2:$D$2701,$B118,'март 2026'!$J$2:$J$2701,P$1)</f>
        <v>0</v>
      </c>
      <c r="Q118" s="144">
        <f>SUMIFS('март 2026'!$G$2:$G$2701,'март 2026'!$D$2:$D$2701,$B118,'март 2026'!$J$2:$J$2701,Q$1)</f>
        <v>0</v>
      </c>
      <c r="R118" s="144">
        <f>SUMIFS('март 2026'!$G$2:$G$2701,'март 2026'!$D$2:$D$2701,$B118,'март 2026'!$J$2:$J$2701,R$1)</f>
        <v>0</v>
      </c>
      <c r="S118" s="144">
        <f>SUMIFS('март 2026'!$G$2:$G$2701,'март 2026'!$D$2:$D$2701,$B118,'март 2026'!$J$2:$J$2701,S$1)</f>
        <v>0</v>
      </c>
      <c r="T118" s="144">
        <f>SUMIFS('март 2026'!$G$2:$G$2701,'март 2026'!$D$2:$D$2701,$B118,'март 2026'!$J$2:$J$2701,T$1)</f>
        <v>0</v>
      </c>
      <c r="U118" s="144">
        <f>SUMIFS('март 2026'!$G$2:$G$2701,'март 2026'!$D$2:$D$2701,$B118,'март 2026'!$J$2:$J$2701,U$1)</f>
        <v>0</v>
      </c>
      <c r="V118" s="144">
        <f>SUMIFS('март 2026'!$G$2:$G$2701,'март 2026'!$D$2:$D$2701,$B118,'март 2026'!$J$2:$J$2701,V$1)</f>
        <v>0</v>
      </c>
      <c r="W118" s="144">
        <f>SUMIFS('март 2026'!$G$2:$G$2701,'март 2026'!$D$2:$D$2701,$B118,'март 2026'!$J$2:$J$2701,W$1)</f>
        <v>0</v>
      </c>
      <c r="X118" s="144">
        <f>SUMIFS('март 2026'!$G$2:$G$2701,'март 2026'!$D$2:$D$2701,$B118,'март 2026'!$J$2:$J$2701,X$1)</f>
        <v>0</v>
      </c>
      <c r="Y118" s="144">
        <f>SUMIFS('март 2026'!$G$2:$G$2701,'март 2026'!$D$2:$D$2701,$B118,'март 2026'!$J$2:$J$2701,Y$1)</f>
        <v>0</v>
      </c>
      <c r="Z118" s="144">
        <f>SUMIFS('март 2026'!$G$2:$G$2701,'март 2026'!$D$2:$D$2701,$B118,'март 2026'!$J$2:$J$2701,Z$1)</f>
        <v>0</v>
      </c>
      <c r="AA118" s="144">
        <f>SUMIFS('март 2026'!$G$2:$G$2701,'март 2026'!$D$2:$D$2701,$B118,'март 2026'!$J$2:$J$2701,AA$1)</f>
        <v>0</v>
      </c>
      <c r="AB118" s="144">
        <f>SUMIFS('март 2026'!$G$2:$G$2701,'март 2026'!$D$2:$D$2701,$B118,'март 2026'!$J$2:$J$2701,AB$1)</f>
        <v>0</v>
      </c>
      <c r="AC118" s="144">
        <f>SUMIFS('март 2026'!$G$2:$G$2701,'март 2026'!$D$2:$D$2701,$B118,'март 2026'!$J$2:$J$2701,AC$1)</f>
        <v>0</v>
      </c>
      <c r="AD118" s="144">
        <f>SUMIFS('март 2026'!$G$2:$G$2701,'март 2026'!$D$2:$D$2701,$B118,'март 2026'!$J$2:$J$2701,AD$1)</f>
        <v>0</v>
      </c>
      <c r="AE118" s="144">
        <f>SUMIFS('март 2026'!$G$2:$G$2701,'март 2026'!$D$2:$D$2701,$B118,'март 2026'!$J$2:$J$2701,AE$1)</f>
        <v>0</v>
      </c>
      <c r="AF118" s="144">
        <f>SUMIFS('март 2026'!$G$2:$G$2701,'март 2026'!$D$2:$D$2701,$B118,'март 2026'!$J$2:$J$2701,AF$1)</f>
        <v>0</v>
      </c>
      <c r="AG118" s="144">
        <f>SUMIFS('март 2026'!$G$2:$G$2701,'март 2026'!$D$2:$D$2701,$B118,'март 2026'!$J$2:$J$2701,AG$1)</f>
        <v>0</v>
      </c>
      <c r="AH118" s="144">
        <f>SUMIFS('март 2026'!$G$2:$G$2701,'март 2026'!$D$2:$D$2701,$B118,'март 2026'!$J$2:$J$2701,AH$1)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SUMIFS('март 2026'!$G$2:$G$2701,'март 2026'!$D$2:$D$2701,$B119,'март 2026'!$J$2:$J$2701,D$1)</f>
        <v>0</v>
      </c>
      <c r="E119" s="144">
        <f>SUMIFS('март 2026'!$G$2:$G$2701,'март 2026'!$D$2:$D$2701,$B119,'март 2026'!$J$2:$J$2701,E$1)</f>
        <v>0</v>
      </c>
      <c r="F119" s="144">
        <f>SUMIFS('март 2026'!$G$2:$G$2701,'март 2026'!$D$2:$D$2701,$B119,'март 2026'!$J$2:$J$2701,F$1)</f>
        <v>0</v>
      </c>
      <c r="G119" s="144">
        <f>SUMIFS('март 2026'!$G$2:$G$2701,'март 2026'!$D$2:$D$2701,$B119,'март 2026'!$J$2:$J$2701,G$1)</f>
        <v>0</v>
      </c>
      <c r="H119" s="144">
        <f>SUMIFS('март 2026'!$G$2:$G$2701,'март 2026'!$D$2:$D$2701,$B119,'март 2026'!$J$2:$J$2701,H$1)</f>
        <v>0</v>
      </c>
      <c r="I119" s="144">
        <f>SUMIFS('март 2026'!$G$2:$G$2701,'март 2026'!$D$2:$D$2701,$B119,'март 2026'!$J$2:$J$2701,I$1)</f>
        <v>0</v>
      </c>
      <c r="J119" s="144">
        <f>SUMIFS('март 2026'!$G$2:$G$2701,'март 2026'!$D$2:$D$2701,$B119,'март 2026'!$J$2:$J$2701,J$1)</f>
        <v>0</v>
      </c>
      <c r="K119" s="144">
        <f>SUMIFS('март 2026'!$G$2:$G$2701,'март 2026'!$D$2:$D$2701,$B119,'март 2026'!$J$2:$J$2701,K$1)</f>
        <v>0</v>
      </c>
      <c r="L119" s="144">
        <f>SUMIFS('март 2026'!$G$2:$G$2701,'март 2026'!$D$2:$D$2701,$B119,'март 2026'!$J$2:$J$2701,L$1)</f>
        <v>0</v>
      </c>
      <c r="M119" s="144">
        <f>SUMIFS('март 2026'!$G$2:$G$2701,'март 2026'!$D$2:$D$2701,$B119,'март 2026'!$J$2:$J$2701,M$1)</f>
        <v>0</v>
      </c>
      <c r="N119" s="144">
        <f>SUMIFS('март 2026'!$G$2:$G$2701,'март 2026'!$D$2:$D$2701,$B119,'март 2026'!$J$2:$J$2701,N$1)</f>
        <v>0</v>
      </c>
      <c r="O119" s="144">
        <f>SUMIFS('март 2026'!$G$2:$G$2701,'март 2026'!$D$2:$D$2701,$B119,'март 2026'!$J$2:$J$2701,O$1)</f>
        <v>0</v>
      </c>
      <c r="P119" s="144">
        <f>SUMIFS('март 2026'!$G$2:$G$2701,'март 2026'!$D$2:$D$2701,$B119,'март 2026'!$J$2:$J$2701,P$1)</f>
        <v>0</v>
      </c>
      <c r="Q119" s="144">
        <f>SUMIFS('март 2026'!$G$2:$G$2701,'март 2026'!$D$2:$D$2701,$B119,'март 2026'!$J$2:$J$2701,Q$1)</f>
        <v>0</v>
      </c>
      <c r="R119" s="144">
        <f>SUMIFS('март 2026'!$G$2:$G$2701,'март 2026'!$D$2:$D$2701,$B119,'март 2026'!$J$2:$J$2701,R$1)</f>
        <v>0</v>
      </c>
      <c r="S119" s="144">
        <f>SUMIFS('март 2026'!$G$2:$G$2701,'март 2026'!$D$2:$D$2701,$B119,'март 2026'!$J$2:$J$2701,S$1)</f>
        <v>0</v>
      </c>
      <c r="T119" s="144">
        <f>SUMIFS('март 2026'!$G$2:$G$2701,'март 2026'!$D$2:$D$2701,$B119,'март 2026'!$J$2:$J$2701,T$1)</f>
        <v>0</v>
      </c>
      <c r="U119" s="144">
        <f>SUMIFS('март 2026'!$G$2:$G$2701,'март 2026'!$D$2:$D$2701,$B119,'март 2026'!$J$2:$J$2701,U$1)</f>
        <v>0</v>
      </c>
      <c r="V119" s="144">
        <f>SUMIFS('март 2026'!$G$2:$G$2701,'март 2026'!$D$2:$D$2701,$B119,'март 2026'!$J$2:$J$2701,V$1)</f>
        <v>0</v>
      </c>
      <c r="W119" s="144">
        <f>SUMIFS('март 2026'!$G$2:$G$2701,'март 2026'!$D$2:$D$2701,$B119,'март 2026'!$J$2:$J$2701,W$1)</f>
        <v>0</v>
      </c>
      <c r="X119" s="144">
        <f>SUMIFS('март 2026'!$G$2:$G$2701,'март 2026'!$D$2:$D$2701,$B119,'март 2026'!$J$2:$J$2701,X$1)</f>
        <v>0</v>
      </c>
      <c r="Y119" s="144">
        <f>SUMIFS('март 2026'!$G$2:$G$2701,'март 2026'!$D$2:$D$2701,$B119,'март 2026'!$J$2:$J$2701,Y$1)</f>
        <v>0</v>
      </c>
      <c r="Z119" s="144">
        <f>SUMIFS('март 2026'!$G$2:$G$2701,'март 2026'!$D$2:$D$2701,$B119,'март 2026'!$J$2:$J$2701,Z$1)</f>
        <v>0</v>
      </c>
      <c r="AA119" s="144">
        <f>SUMIFS('март 2026'!$G$2:$G$2701,'март 2026'!$D$2:$D$2701,$B119,'март 2026'!$J$2:$J$2701,AA$1)</f>
        <v>0</v>
      </c>
      <c r="AB119" s="144">
        <f>SUMIFS('март 2026'!$G$2:$G$2701,'март 2026'!$D$2:$D$2701,$B119,'март 2026'!$J$2:$J$2701,AB$1)</f>
        <v>0</v>
      </c>
      <c r="AC119" s="144">
        <f>SUMIFS('март 2026'!$G$2:$G$2701,'март 2026'!$D$2:$D$2701,$B119,'март 2026'!$J$2:$J$2701,AC$1)</f>
        <v>0</v>
      </c>
      <c r="AD119" s="144">
        <f>SUMIFS('март 2026'!$G$2:$G$2701,'март 2026'!$D$2:$D$2701,$B119,'март 2026'!$J$2:$J$2701,AD$1)</f>
        <v>0</v>
      </c>
      <c r="AE119" s="144">
        <f>SUMIFS('март 2026'!$G$2:$G$2701,'март 2026'!$D$2:$D$2701,$B119,'март 2026'!$J$2:$J$2701,AE$1)</f>
        <v>0</v>
      </c>
      <c r="AF119" s="144">
        <f>SUMIFS('март 2026'!$G$2:$G$2701,'март 2026'!$D$2:$D$2701,$B119,'март 2026'!$J$2:$J$2701,AF$1)</f>
        <v>0</v>
      </c>
      <c r="AG119" s="144">
        <f>SUMIFS('март 2026'!$G$2:$G$2701,'март 2026'!$D$2:$D$2701,$B119,'март 2026'!$J$2:$J$2701,AG$1)</f>
        <v>0</v>
      </c>
      <c r="AH119" s="144">
        <f>SUMIFS('март 2026'!$G$2:$G$2701,'март 2026'!$D$2:$D$2701,$B119,'март 2026'!$J$2:$J$2701,AH$1)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SUMIFS('март 2026'!$G$2:$G$2701,'март 2026'!$D$2:$D$2701,$B120,'март 2026'!$J$2:$J$2701,D$1)</f>
        <v>0</v>
      </c>
      <c r="E120" s="144">
        <f>SUMIFS('март 2026'!$G$2:$G$2701,'март 2026'!$D$2:$D$2701,$B120,'март 2026'!$J$2:$J$2701,E$1)</f>
        <v>0</v>
      </c>
      <c r="F120" s="144">
        <f>SUMIFS('март 2026'!$G$2:$G$2701,'март 2026'!$D$2:$D$2701,$B120,'март 2026'!$J$2:$J$2701,F$1)</f>
        <v>0</v>
      </c>
      <c r="G120" s="144">
        <f>SUMIFS('март 2026'!$G$2:$G$2701,'март 2026'!$D$2:$D$2701,$B120,'март 2026'!$J$2:$J$2701,G$1)</f>
        <v>0</v>
      </c>
      <c r="H120" s="144">
        <f>SUMIFS('март 2026'!$G$2:$G$2701,'март 2026'!$D$2:$D$2701,$B120,'март 2026'!$J$2:$J$2701,H$1)</f>
        <v>0</v>
      </c>
      <c r="I120" s="144">
        <f>SUMIFS('март 2026'!$G$2:$G$2701,'март 2026'!$D$2:$D$2701,$B120,'март 2026'!$J$2:$J$2701,I$1)</f>
        <v>0</v>
      </c>
      <c r="J120" s="144">
        <f>SUMIFS('март 2026'!$G$2:$G$2701,'март 2026'!$D$2:$D$2701,$B120,'март 2026'!$J$2:$J$2701,J$1)</f>
        <v>0</v>
      </c>
      <c r="K120" s="144">
        <f>SUMIFS('март 2026'!$G$2:$G$2701,'март 2026'!$D$2:$D$2701,$B120,'март 2026'!$J$2:$J$2701,K$1)</f>
        <v>0</v>
      </c>
      <c r="L120" s="144">
        <f>SUMIFS('март 2026'!$G$2:$G$2701,'март 2026'!$D$2:$D$2701,$B120,'март 2026'!$J$2:$J$2701,L$1)</f>
        <v>0</v>
      </c>
      <c r="M120" s="144">
        <f>SUMIFS('март 2026'!$G$2:$G$2701,'март 2026'!$D$2:$D$2701,$B120,'март 2026'!$J$2:$J$2701,M$1)</f>
        <v>0</v>
      </c>
      <c r="N120" s="144">
        <f>SUMIFS('март 2026'!$G$2:$G$2701,'март 2026'!$D$2:$D$2701,$B120,'март 2026'!$J$2:$J$2701,N$1)</f>
        <v>0</v>
      </c>
      <c r="O120" s="144">
        <f>SUMIFS('март 2026'!$G$2:$G$2701,'март 2026'!$D$2:$D$2701,$B120,'март 2026'!$J$2:$J$2701,O$1)</f>
        <v>0</v>
      </c>
      <c r="P120" s="144">
        <f>SUMIFS('март 2026'!$G$2:$G$2701,'март 2026'!$D$2:$D$2701,$B120,'март 2026'!$J$2:$J$2701,P$1)</f>
        <v>0</v>
      </c>
      <c r="Q120" s="144">
        <f>SUMIFS('март 2026'!$G$2:$G$2701,'март 2026'!$D$2:$D$2701,$B120,'март 2026'!$J$2:$J$2701,Q$1)</f>
        <v>0</v>
      </c>
      <c r="R120" s="144">
        <f>SUMIFS('март 2026'!$G$2:$G$2701,'март 2026'!$D$2:$D$2701,$B120,'март 2026'!$J$2:$J$2701,R$1)</f>
        <v>0</v>
      </c>
      <c r="S120" s="144">
        <f>SUMIFS('март 2026'!$G$2:$G$2701,'март 2026'!$D$2:$D$2701,$B120,'март 2026'!$J$2:$J$2701,S$1)</f>
        <v>0</v>
      </c>
      <c r="T120" s="144">
        <f>SUMIFS('март 2026'!$G$2:$G$2701,'март 2026'!$D$2:$D$2701,$B120,'март 2026'!$J$2:$J$2701,T$1)</f>
        <v>0</v>
      </c>
      <c r="U120" s="144">
        <f>SUMIFS('март 2026'!$G$2:$G$2701,'март 2026'!$D$2:$D$2701,$B120,'март 2026'!$J$2:$J$2701,U$1)</f>
        <v>0</v>
      </c>
      <c r="V120" s="144">
        <f>SUMIFS('март 2026'!$G$2:$G$2701,'март 2026'!$D$2:$D$2701,$B120,'март 2026'!$J$2:$J$2701,V$1)</f>
        <v>0</v>
      </c>
      <c r="W120" s="144">
        <f>SUMIFS('март 2026'!$G$2:$G$2701,'март 2026'!$D$2:$D$2701,$B120,'март 2026'!$J$2:$J$2701,W$1)</f>
        <v>0</v>
      </c>
      <c r="X120" s="144">
        <f>SUMIFS('март 2026'!$G$2:$G$2701,'март 2026'!$D$2:$D$2701,$B120,'март 2026'!$J$2:$J$2701,X$1)</f>
        <v>0</v>
      </c>
      <c r="Y120" s="144">
        <f>SUMIFS('март 2026'!$G$2:$G$2701,'март 2026'!$D$2:$D$2701,$B120,'март 2026'!$J$2:$J$2701,Y$1)</f>
        <v>0</v>
      </c>
      <c r="Z120" s="144">
        <f>SUMIFS('март 2026'!$G$2:$G$2701,'март 2026'!$D$2:$D$2701,$B120,'март 2026'!$J$2:$J$2701,Z$1)</f>
        <v>0</v>
      </c>
      <c r="AA120" s="144">
        <f>SUMIFS('март 2026'!$G$2:$G$2701,'март 2026'!$D$2:$D$2701,$B120,'март 2026'!$J$2:$J$2701,AA$1)</f>
        <v>0</v>
      </c>
      <c r="AB120" s="144">
        <f>SUMIFS('март 2026'!$G$2:$G$2701,'март 2026'!$D$2:$D$2701,$B120,'март 2026'!$J$2:$J$2701,AB$1)</f>
        <v>0</v>
      </c>
      <c r="AC120" s="144">
        <f>SUMIFS('март 2026'!$G$2:$G$2701,'март 2026'!$D$2:$D$2701,$B120,'март 2026'!$J$2:$J$2701,AC$1)</f>
        <v>0</v>
      </c>
      <c r="AD120" s="144">
        <f>SUMIFS('март 2026'!$G$2:$G$2701,'март 2026'!$D$2:$D$2701,$B120,'март 2026'!$J$2:$J$2701,AD$1)</f>
        <v>0</v>
      </c>
      <c r="AE120" s="144">
        <f>SUMIFS('март 2026'!$G$2:$G$2701,'март 2026'!$D$2:$D$2701,$B120,'март 2026'!$J$2:$J$2701,AE$1)</f>
        <v>0</v>
      </c>
      <c r="AF120" s="144">
        <f>SUMIFS('март 2026'!$G$2:$G$2701,'март 2026'!$D$2:$D$2701,$B120,'март 2026'!$J$2:$J$2701,AF$1)</f>
        <v>0</v>
      </c>
      <c r="AG120" s="144">
        <f>SUMIFS('март 2026'!$G$2:$G$2701,'март 2026'!$D$2:$D$2701,$B120,'март 2026'!$J$2:$J$2701,AG$1)</f>
        <v>0</v>
      </c>
      <c r="AH120" s="144">
        <f>SUMIFS('март 2026'!$G$2:$G$2701,'март 2026'!$D$2:$D$2701,$B120,'март 2026'!$J$2:$J$2701,AH$1)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SUMIFS('март 2026'!$G$2:$G$2701,'март 2026'!$D$2:$D$2701,$B121,'март 2026'!$J$2:$J$2701,D$1)</f>
        <v>0</v>
      </c>
      <c r="E121" s="144">
        <f>SUMIFS('март 2026'!$G$2:$G$2701,'март 2026'!$D$2:$D$2701,$B121,'март 2026'!$J$2:$J$2701,E$1)</f>
        <v>0</v>
      </c>
      <c r="F121" s="144">
        <f>SUMIFS('март 2026'!$G$2:$G$2701,'март 2026'!$D$2:$D$2701,$B121,'март 2026'!$J$2:$J$2701,F$1)</f>
        <v>0</v>
      </c>
      <c r="G121" s="144">
        <f>SUMIFS('март 2026'!$G$2:$G$2701,'март 2026'!$D$2:$D$2701,$B121,'март 2026'!$J$2:$J$2701,G$1)</f>
        <v>0</v>
      </c>
      <c r="H121" s="144">
        <f>SUMIFS('март 2026'!$G$2:$G$2701,'март 2026'!$D$2:$D$2701,$B121,'март 2026'!$J$2:$J$2701,H$1)</f>
        <v>0</v>
      </c>
      <c r="I121" s="144">
        <f>SUMIFS('март 2026'!$G$2:$G$2701,'март 2026'!$D$2:$D$2701,$B121,'март 2026'!$J$2:$J$2701,I$1)</f>
        <v>0</v>
      </c>
      <c r="J121" s="144">
        <f>SUMIFS('март 2026'!$G$2:$G$2701,'март 2026'!$D$2:$D$2701,$B121,'март 2026'!$J$2:$J$2701,J$1)</f>
        <v>0</v>
      </c>
      <c r="K121" s="144">
        <f>SUMIFS('март 2026'!$G$2:$G$2701,'март 2026'!$D$2:$D$2701,$B121,'март 2026'!$J$2:$J$2701,K$1)</f>
        <v>0</v>
      </c>
      <c r="L121" s="144">
        <f>SUMIFS('март 2026'!$G$2:$G$2701,'март 2026'!$D$2:$D$2701,$B121,'март 2026'!$J$2:$J$2701,L$1)</f>
        <v>0</v>
      </c>
      <c r="M121" s="144">
        <f>SUMIFS('март 2026'!$G$2:$G$2701,'март 2026'!$D$2:$D$2701,$B121,'март 2026'!$J$2:$J$2701,M$1)</f>
        <v>0</v>
      </c>
      <c r="N121" s="144">
        <f>SUMIFS('март 2026'!$G$2:$G$2701,'март 2026'!$D$2:$D$2701,$B121,'март 2026'!$J$2:$J$2701,N$1)</f>
        <v>0</v>
      </c>
      <c r="O121" s="144">
        <f>SUMIFS('март 2026'!$G$2:$G$2701,'март 2026'!$D$2:$D$2701,$B121,'март 2026'!$J$2:$J$2701,O$1)</f>
        <v>0</v>
      </c>
      <c r="P121" s="144">
        <f>SUMIFS('март 2026'!$G$2:$G$2701,'март 2026'!$D$2:$D$2701,$B121,'март 2026'!$J$2:$J$2701,P$1)</f>
        <v>0</v>
      </c>
      <c r="Q121" s="144">
        <f>SUMIFS('март 2026'!$G$2:$G$2701,'март 2026'!$D$2:$D$2701,$B121,'март 2026'!$J$2:$J$2701,Q$1)</f>
        <v>0</v>
      </c>
      <c r="R121" s="144">
        <f>SUMIFS('март 2026'!$G$2:$G$2701,'март 2026'!$D$2:$D$2701,$B121,'март 2026'!$J$2:$J$2701,R$1)</f>
        <v>0</v>
      </c>
      <c r="S121" s="144">
        <f>SUMIFS('март 2026'!$G$2:$G$2701,'март 2026'!$D$2:$D$2701,$B121,'март 2026'!$J$2:$J$2701,S$1)</f>
        <v>0</v>
      </c>
      <c r="T121" s="144">
        <f>SUMIFS('март 2026'!$G$2:$G$2701,'март 2026'!$D$2:$D$2701,$B121,'март 2026'!$J$2:$J$2701,T$1)</f>
        <v>0</v>
      </c>
      <c r="U121" s="144">
        <f>SUMIFS('март 2026'!$G$2:$G$2701,'март 2026'!$D$2:$D$2701,$B121,'март 2026'!$J$2:$J$2701,U$1)</f>
        <v>0</v>
      </c>
      <c r="V121" s="144">
        <f>SUMIFS('март 2026'!$G$2:$G$2701,'март 2026'!$D$2:$D$2701,$B121,'март 2026'!$J$2:$J$2701,V$1)</f>
        <v>0</v>
      </c>
      <c r="W121" s="144">
        <f>SUMIFS('март 2026'!$G$2:$G$2701,'март 2026'!$D$2:$D$2701,$B121,'март 2026'!$J$2:$J$2701,W$1)</f>
        <v>0</v>
      </c>
      <c r="X121" s="144">
        <f>SUMIFS('март 2026'!$G$2:$G$2701,'март 2026'!$D$2:$D$2701,$B121,'март 2026'!$J$2:$J$2701,X$1)</f>
        <v>0</v>
      </c>
      <c r="Y121" s="144">
        <f>SUMIFS('март 2026'!$G$2:$G$2701,'март 2026'!$D$2:$D$2701,$B121,'март 2026'!$J$2:$J$2701,Y$1)</f>
        <v>0</v>
      </c>
      <c r="Z121" s="144">
        <f>SUMIFS('март 2026'!$G$2:$G$2701,'март 2026'!$D$2:$D$2701,$B121,'март 2026'!$J$2:$J$2701,Z$1)</f>
        <v>0</v>
      </c>
      <c r="AA121" s="144">
        <f>SUMIFS('март 2026'!$G$2:$G$2701,'март 2026'!$D$2:$D$2701,$B121,'март 2026'!$J$2:$J$2701,AA$1)</f>
        <v>0</v>
      </c>
      <c r="AB121" s="144">
        <f>SUMIFS('март 2026'!$G$2:$G$2701,'март 2026'!$D$2:$D$2701,$B121,'март 2026'!$J$2:$J$2701,AB$1)</f>
        <v>0</v>
      </c>
      <c r="AC121" s="144">
        <f>SUMIFS('март 2026'!$G$2:$G$2701,'март 2026'!$D$2:$D$2701,$B121,'март 2026'!$J$2:$J$2701,AC$1)</f>
        <v>0</v>
      </c>
      <c r="AD121" s="144">
        <f>SUMIFS('март 2026'!$G$2:$G$2701,'март 2026'!$D$2:$D$2701,$B121,'март 2026'!$J$2:$J$2701,AD$1)</f>
        <v>0</v>
      </c>
      <c r="AE121" s="144">
        <f>SUMIFS('март 2026'!$G$2:$G$2701,'март 2026'!$D$2:$D$2701,$B121,'март 2026'!$J$2:$J$2701,AE$1)</f>
        <v>0</v>
      </c>
      <c r="AF121" s="144">
        <f>SUMIFS('март 2026'!$G$2:$G$2701,'март 2026'!$D$2:$D$2701,$B121,'март 2026'!$J$2:$J$2701,AF$1)</f>
        <v>0</v>
      </c>
      <c r="AG121" s="144">
        <f>SUMIFS('март 2026'!$G$2:$G$2701,'март 2026'!$D$2:$D$2701,$B121,'март 2026'!$J$2:$J$2701,AG$1)</f>
        <v>0</v>
      </c>
      <c r="AH121" s="144">
        <f>SUMIFS('март 2026'!$G$2:$G$2701,'март 2026'!$D$2:$D$2701,$B121,'март 2026'!$J$2:$J$2701,AH$1)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SUMIFS('март 2026'!$G$2:$G$2701,'март 2026'!$D$2:$D$2701,$B122,'март 2026'!$J$2:$J$2701,D$1)</f>
        <v>0</v>
      </c>
      <c r="E122" s="144">
        <f>SUMIFS('март 2026'!$G$2:$G$2701,'март 2026'!$D$2:$D$2701,$B122,'март 2026'!$J$2:$J$2701,E$1)</f>
        <v>0</v>
      </c>
      <c r="F122" s="144">
        <f>SUMIFS('март 2026'!$G$2:$G$2701,'март 2026'!$D$2:$D$2701,$B122,'март 2026'!$J$2:$J$2701,F$1)</f>
        <v>0</v>
      </c>
      <c r="G122" s="144">
        <f>SUMIFS('март 2026'!$G$2:$G$2701,'март 2026'!$D$2:$D$2701,$B122,'март 2026'!$J$2:$J$2701,G$1)</f>
        <v>0</v>
      </c>
      <c r="H122" s="144">
        <f>SUMIFS('март 2026'!$G$2:$G$2701,'март 2026'!$D$2:$D$2701,$B122,'март 2026'!$J$2:$J$2701,H$1)</f>
        <v>0</v>
      </c>
      <c r="I122" s="144">
        <f>SUMIFS('март 2026'!$G$2:$G$2701,'март 2026'!$D$2:$D$2701,$B122,'март 2026'!$J$2:$J$2701,I$1)</f>
        <v>0</v>
      </c>
      <c r="J122" s="144">
        <f>SUMIFS('март 2026'!$G$2:$G$2701,'март 2026'!$D$2:$D$2701,$B122,'март 2026'!$J$2:$J$2701,J$1)</f>
        <v>0</v>
      </c>
      <c r="K122" s="144">
        <f>SUMIFS('март 2026'!$G$2:$G$2701,'март 2026'!$D$2:$D$2701,$B122,'март 2026'!$J$2:$J$2701,K$1)</f>
        <v>0</v>
      </c>
      <c r="L122" s="144">
        <f>SUMIFS('март 2026'!$G$2:$G$2701,'март 2026'!$D$2:$D$2701,$B122,'март 2026'!$J$2:$J$2701,L$1)</f>
        <v>0</v>
      </c>
      <c r="M122" s="144">
        <f>SUMIFS('март 2026'!$G$2:$G$2701,'март 2026'!$D$2:$D$2701,$B122,'март 2026'!$J$2:$J$2701,M$1)</f>
        <v>0</v>
      </c>
      <c r="N122" s="144">
        <f>SUMIFS('март 2026'!$G$2:$G$2701,'март 2026'!$D$2:$D$2701,$B122,'март 2026'!$J$2:$J$2701,N$1)</f>
        <v>0</v>
      </c>
      <c r="O122" s="144">
        <f>SUMIFS('март 2026'!$G$2:$G$2701,'март 2026'!$D$2:$D$2701,$B122,'март 2026'!$J$2:$J$2701,O$1)</f>
        <v>0</v>
      </c>
      <c r="P122" s="144">
        <f>SUMIFS('март 2026'!$G$2:$G$2701,'март 2026'!$D$2:$D$2701,$B122,'март 2026'!$J$2:$J$2701,P$1)</f>
        <v>0</v>
      </c>
      <c r="Q122" s="144">
        <f>SUMIFS('март 2026'!$G$2:$G$2701,'март 2026'!$D$2:$D$2701,$B122,'март 2026'!$J$2:$J$2701,Q$1)</f>
        <v>0</v>
      </c>
      <c r="R122" s="144">
        <f>SUMIFS('март 2026'!$G$2:$G$2701,'март 2026'!$D$2:$D$2701,$B122,'март 2026'!$J$2:$J$2701,R$1)</f>
        <v>0</v>
      </c>
      <c r="S122" s="144">
        <f>SUMIFS('март 2026'!$G$2:$G$2701,'март 2026'!$D$2:$D$2701,$B122,'март 2026'!$J$2:$J$2701,S$1)</f>
        <v>0</v>
      </c>
      <c r="T122" s="144">
        <f>SUMIFS('март 2026'!$G$2:$G$2701,'март 2026'!$D$2:$D$2701,$B122,'март 2026'!$J$2:$J$2701,T$1)</f>
        <v>0</v>
      </c>
      <c r="U122" s="144">
        <f>SUMIFS('март 2026'!$G$2:$G$2701,'март 2026'!$D$2:$D$2701,$B122,'март 2026'!$J$2:$J$2701,U$1)</f>
        <v>0</v>
      </c>
      <c r="V122" s="144">
        <f>SUMIFS('март 2026'!$G$2:$G$2701,'март 2026'!$D$2:$D$2701,$B122,'март 2026'!$J$2:$J$2701,V$1)</f>
        <v>0</v>
      </c>
      <c r="W122" s="144">
        <f>SUMIFS('март 2026'!$G$2:$G$2701,'март 2026'!$D$2:$D$2701,$B122,'март 2026'!$J$2:$J$2701,W$1)</f>
        <v>0</v>
      </c>
      <c r="X122" s="144">
        <f>SUMIFS('март 2026'!$G$2:$G$2701,'март 2026'!$D$2:$D$2701,$B122,'март 2026'!$J$2:$J$2701,X$1)</f>
        <v>0</v>
      </c>
      <c r="Y122" s="144">
        <f>SUMIFS('март 2026'!$G$2:$G$2701,'март 2026'!$D$2:$D$2701,$B122,'март 2026'!$J$2:$J$2701,Y$1)</f>
        <v>0</v>
      </c>
      <c r="Z122" s="144">
        <f>SUMIFS('март 2026'!$G$2:$G$2701,'март 2026'!$D$2:$D$2701,$B122,'март 2026'!$J$2:$J$2701,Z$1)</f>
        <v>0</v>
      </c>
      <c r="AA122" s="144">
        <f>SUMIFS('март 2026'!$G$2:$G$2701,'март 2026'!$D$2:$D$2701,$B122,'март 2026'!$J$2:$J$2701,AA$1)</f>
        <v>0</v>
      </c>
      <c r="AB122" s="144">
        <f>SUMIFS('март 2026'!$G$2:$G$2701,'март 2026'!$D$2:$D$2701,$B122,'март 2026'!$J$2:$J$2701,AB$1)</f>
        <v>0</v>
      </c>
      <c r="AC122" s="144">
        <f>SUMIFS('март 2026'!$G$2:$G$2701,'март 2026'!$D$2:$D$2701,$B122,'март 2026'!$J$2:$J$2701,AC$1)</f>
        <v>0</v>
      </c>
      <c r="AD122" s="144">
        <f>SUMIFS('март 2026'!$G$2:$G$2701,'март 2026'!$D$2:$D$2701,$B122,'март 2026'!$J$2:$J$2701,AD$1)</f>
        <v>0</v>
      </c>
      <c r="AE122" s="144">
        <f>SUMIFS('март 2026'!$G$2:$G$2701,'март 2026'!$D$2:$D$2701,$B122,'март 2026'!$J$2:$J$2701,AE$1)</f>
        <v>0</v>
      </c>
      <c r="AF122" s="144">
        <f>SUMIFS('март 2026'!$G$2:$G$2701,'март 2026'!$D$2:$D$2701,$B122,'март 2026'!$J$2:$J$2701,AF$1)</f>
        <v>0</v>
      </c>
      <c r="AG122" s="144">
        <f>SUMIFS('март 2026'!$G$2:$G$2701,'март 2026'!$D$2:$D$2701,$B122,'март 2026'!$J$2:$J$2701,AG$1)</f>
        <v>0</v>
      </c>
      <c r="AH122" s="144">
        <f>SUMIFS('март 2026'!$G$2:$G$2701,'март 2026'!$D$2:$D$2701,$B122,'март 2026'!$J$2:$J$2701,AH$1)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SUMIFS('март 2026'!$G$2:$G$2701,'март 2026'!$D$2:$D$2701,$B123,'март 2026'!$J$2:$J$2701,D$1)</f>
        <v>0</v>
      </c>
      <c r="E123" s="144">
        <f>SUMIFS('март 2026'!$G$2:$G$2701,'март 2026'!$D$2:$D$2701,$B123,'март 2026'!$J$2:$J$2701,E$1)</f>
        <v>0</v>
      </c>
      <c r="F123" s="144">
        <f>SUMIFS('март 2026'!$G$2:$G$2701,'март 2026'!$D$2:$D$2701,$B123,'март 2026'!$J$2:$J$2701,F$1)</f>
        <v>0</v>
      </c>
      <c r="G123" s="144">
        <f>SUMIFS('март 2026'!$G$2:$G$2701,'март 2026'!$D$2:$D$2701,$B123,'март 2026'!$J$2:$J$2701,G$1)</f>
        <v>0</v>
      </c>
      <c r="H123" s="144">
        <f>SUMIFS('март 2026'!$G$2:$G$2701,'март 2026'!$D$2:$D$2701,$B123,'март 2026'!$J$2:$J$2701,H$1)</f>
        <v>0</v>
      </c>
      <c r="I123" s="144">
        <f>SUMIFS('март 2026'!$G$2:$G$2701,'март 2026'!$D$2:$D$2701,$B123,'март 2026'!$J$2:$J$2701,I$1)</f>
        <v>0</v>
      </c>
      <c r="J123" s="144">
        <f>SUMIFS('март 2026'!$G$2:$G$2701,'март 2026'!$D$2:$D$2701,$B123,'март 2026'!$J$2:$J$2701,J$1)</f>
        <v>0</v>
      </c>
      <c r="K123" s="144">
        <f>SUMIFS('март 2026'!$G$2:$G$2701,'март 2026'!$D$2:$D$2701,$B123,'март 2026'!$J$2:$J$2701,K$1)</f>
        <v>0</v>
      </c>
      <c r="L123" s="144">
        <f>SUMIFS('март 2026'!$G$2:$G$2701,'март 2026'!$D$2:$D$2701,$B123,'март 2026'!$J$2:$J$2701,L$1)</f>
        <v>0</v>
      </c>
      <c r="M123" s="144">
        <f>SUMIFS('март 2026'!$G$2:$G$2701,'март 2026'!$D$2:$D$2701,$B123,'март 2026'!$J$2:$J$2701,M$1)</f>
        <v>0</v>
      </c>
      <c r="N123" s="144">
        <f>SUMIFS('март 2026'!$G$2:$G$2701,'март 2026'!$D$2:$D$2701,$B123,'март 2026'!$J$2:$J$2701,N$1)</f>
        <v>0</v>
      </c>
      <c r="O123" s="144">
        <f>SUMIFS('март 2026'!$G$2:$G$2701,'март 2026'!$D$2:$D$2701,$B123,'март 2026'!$J$2:$J$2701,O$1)</f>
        <v>0</v>
      </c>
      <c r="P123" s="144">
        <f>SUMIFS('март 2026'!$G$2:$G$2701,'март 2026'!$D$2:$D$2701,$B123,'март 2026'!$J$2:$J$2701,P$1)</f>
        <v>0</v>
      </c>
      <c r="Q123" s="144">
        <f>SUMIFS('март 2026'!$G$2:$G$2701,'март 2026'!$D$2:$D$2701,$B123,'март 2026'!$J$2:$J$2701,Q$1)</f>
        <v>0</v>
      </c>
      <c r="R123" s="144">
        <f>SUMIFS('март 2026'!$G$2:$G$2701,'март 2026'!$D$2:$D$2701,$B123,'март 2026'!$J$2:$J$2701,R$1)</f>
        <v>0</v>
      </c>
      <c r="S123" s="144">
        <f>SUMIFS('март 2026'!$G$2:$G$2701,'март 2026'!$D$2:$D$2701,$B123,'март 2026'!$J$2:$J$2701,S$1)</f>
        <v>0</v>
      </c>
      <c r="T123" s="144">
        <f>SUMIFS('март 2026'!$G$2:$G$2701,'март 2026'!$D$2:$D$2701,$B123,'март 2026'!$J$2:$J$2701,T$1)</f>
        <v>0</v>
      </c>
      <c r="U123" s="144">
        <f>SUMIFS('март 2026'!$G$2:$G$2701,'март 2026'!$D$2:$D$2701,$B123,'март 2026'!$J$2:$J$2701,U$1)</f>
        <v>0</v>
      </c>
      <c r="V123" s="144">
        <f>SUMIFS('март 2026'!$G$2:$G$2701,'март 2026'!$D$2:$D$2701,$B123,'март 2026'!$J$2:$J$2701,V$1)</f>
        <v>0</v>
      </c>
      <c r="W123" s="144">
        <f>SUMIFS('март 2026'!$G$2:$G$2701,'март 2026'!$D$2:$D$2701,$B123,'март 2026'!$J$2:$J$2701,W$1)</f>
        <v>0</v>
      </c>
      <c r="X123" s="144">
        <f>SUMIFS('март 2026'!$G$2:$G$2701,'март 2026'!$D$2:$D$2701,$B123,'март 2026'!$J$2:$J$2701,X$1)</f>
        <v>0</v>
      </c>
      <c r="Y123" s="144">
        <f>SUMIFS('март 2026'!$G$2:$G$2701,'март 2026'!$D$2:$D$2701,$B123,'март 2026'!$J$2:$J$2701,Y$1)</f>
        <v>0</v>
      </c>
      <c r="Z123" s="144">
        <f>SUMIFS('март 2026'!$G$2:$G$2701,'март 2026'!$D$2:$D$2701,$B123,'март 2026'!$J$2:$J$2701,Z$1)</f>
        <v>0</v>
      </c>
      <c r="AA123" s="144">
        <f>SUMIFS('март 2026'!$G$2:$G$2701,'март 2026'!$D$2:$D$2701,$B123,'март 2026'!$J$2:$J$2701,AA$1)</f>
        <v>0</v>
      </c>
      <c r="AB123" s="144">
        <f>SUMIFS('март 2026'!$G$2:$G$2701,'март 2026'!$D$2:$D$2701,$B123,'март 2026'!$J$2:$J$2701,AB$1)</f>
        <v>0</v>
      </c>
      <c r="AC123" s="144">
        <f>SUMIFS('март 2026'!$G$2:$G$2701,'март 2026'!$D$2:$D$2701,$B123,'март 2026'!$J$2:$J$2701,AC$1)</f>
        <v>0</v>
      </c>
      <c r="AD123" s="144">
        <f>SUMIFS('март 2026'!$G$2:$G$2701,'март 2026'!$D$2:$D$2701,$B123,'март 2026'!$J$2:$J$2701,AD$1)</f>
        <v>0</v>
      </c>
      <c r="AE123" s="144">
        <f>SUMIFS('март 2026'!$G$2:$G$2701,'март 2026'!$D$2:$D$2701,$B123,'март 2026'!$J$2:$J$2701,AE$1)</f>
        <v>0</v>
      </c>
      <c r="AF123" s="144">
        <f>SUMIFS('март 2026'!$G$2:$G$2701,'март 2026'!$D$2:$D$2701,$B123,'март 2026'!$J$2:$J$2701,AF$1)</f>
        <v>0</v>
      </c>
      <c r="AG123" s="144">
        <f>SUMIFS('март 2026'!$G$2:$G$2701,'март 2026'!$D$2:$D$2701,$B123,'март 2026'!$J$2:$J$2701,AG$1)</f>
        <v>0</v>
      </c>
      <c r="AH123" s="144">
        <f>SUMIFS('март 2026'!$G$2:$G$2701,'март 2026'!$D$2:$D$2701,$B123,'март 2026'!$J$2:$J$2701,AH$1)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SUMIFS('март 2026'!$G$2:$G$2701,'март 2026'!$D$2:$D$2701,$B124,'март 2026'!$J$2:$J$2701,D$1)</f>
        <v>0</v>
      </c>
      <c r="E124" s="144">
        <f>SUMIFS('март 2026'!$G$2:$G$2701,'март 2026'!$D$2:$D$2701,$B124,'март 2026'!$J$2:$J$2701,E$1)</f>
        <v>0</v>
      </c>
      <c r="F124" s="144">
        <f>SUMIFS('март 2026'!$G$2:$G$2701,'март 2026'!$D$2:$D$2701,$B124,'март 2026'!$J$2:$J$2701,F$1)</f>
        <v>0</v>
      </c>
      <c r="G124" s="144">
        <f>SUMIFS('март 2026'!$G$2:$G$2701,'март 2026'!$D$2:$D$2701,$B124,'март 2026'!$J$2:$J$2701,G$1)</f>
        <v>0</v>
      </c>
      <c r="H124" s="144">
        <f>SUMIFS('март 2026'!$G$2:$G$2701,'март 2026'!$D$2:$D$2701,$B124,'март 2026'!$J$2:$J$2701,H$1)</f>
        <v>0</v>
      </c>
      <c r="I124" s="144">
        <f>SUMIFS('март 2026'!$G$2:$G$2701,'март 2026'!$D$2:$D$2701,$B124,'март 2026'!$J$2:$J$2701,I$1)</f>
        <v>0</v>
      </c>
      <c r="J124" s="144">
        <f>SUMIFS('март 2026'!$G$2:$G$2701,'март 2026'!$D$2:$D$2701,$B124,'март 2026'!$J$2:$J$2701,J$1)</f>
        <v>0</v>
      </c>
      <c r="K124" s="144">
        <f>SUMIFS('март 2026'!$G$2:$G$2701,'март 2026'!$D$2:$D$2701,$B124,'март 2026'!$J$2:$J$2701,K$1)</f>
        <v>0</v>
      </c>
      <c r="L124" s="144">
        <f>SUMIFS('март 2026'!$G$2:$G$2701,'март 2026'!$D$2:$D$2701,$B124,'март 2026'!$J$2:$J$2701,L$1)</f>
        <v>0</v>
      </c>
      <c r="M124" s="144">
        <f>SUMIFS('март 2026'!$G$2:$G$2701,'март 2026'!$D$2:$D$2701,$B124,'март 2026'!$J$2:$J$2701,M$1)</f>
        <v>0</v>
      </c>
      <c r="N124" s="144">
        <f>SUMIFS('март 2026'!$G$2:$G$2701,'март 2026'!$D$2:$D$2701,$B124,'март 2026'!$J$2:$J$2701,N$1)</f>
        <v>0</v>
      </c>
      <c r="O124" s="144">
        <f>SUMIFS('март 2026'!$G$2:$G$2701,'март 2026'!$D$2:$D$2701,$B124,'март 2026'!$J$2:$J$2701,O$1)</f>
        <v>0</v>
      </c>
      <c r="P124" s="144">
        <f>SUMIFS('март 2026'!$G$2:$G$2701,'март 2026'!$D$2:$D$2701,$B124,'март 2026'!$J$2:$J$2701,P$1)</f>
        <v>0</v>
      </c>
      <c r="Q124" s="144">
        <f>SUMIFS('март 2026'!$G$2:$G$2701,'март 2026'!$D$2:$D$2701,$B124,'март 2026'!$J$2:$J$2701,Q$1)</f>
        <v>0</v>
      </c>
      <c r="R124" s="144">
        <f>SUMIFS('март 2026'!$G$2:$G$2701,'март 2026'!$D$2:$D$2701,$B124,'март 2026'!$J$2:$J$2701,R$1)</f>
        <v>0</v>
      </c>
      <c r="S124" s="144">
        <f>SUMIFS('март 2026'!$G$2:$G$2701,'март 2026'!$D$2:$D$2701,$B124,'март 2026'!$J$2:$J$2701,S$1)</f>
        <v>0</v>
      </c>
      <c r="T124" s="144">
        <f>SUMIFS('март 2026'!$G$2:$G$2701,'март 2026'!$D$2:$D$2701,$B124,'март 2026'!$J$2:$J$2701,T$1)</f>
        <v>0</v>
      </c>
      <c r="U124" s="144">
        <f>SUMIFS('март 2026'!$G$2:$G$2701,'март 2026'!$D$2:$D$2701,$B124,'март 2026'!$J$2:$J$2701,U$1)</f>
        <v>0</v>
      </c>
      <c r="V124" s="144">
        <f>SUMIFS('март 2026'!$G$2:$G$2701,'март 2026'!$D$2:$D$2701,$B124,'март 2026'!$J$2:$J$2701,V$1)</f>
        <v>0</v>
      </c>
      <c r="W124" s="144">
        <f>SUMIFS('март 2026'!$G$2:$G$2701,'март 2026'!$D$2:$D$2701,$B124,'март 2026'!$J$2:$J$2701,W$1)</f>
        <v>0</v>
      </c>
      <c r="X124" s="144">
        <f>SUMIFS('март 2026'!$G$2:$G$2701,'март 2026'!$D$2:$D$2701,$B124,'март 2026'!$J$2:$J$2701,X$1)</f>
        <v>0</v>
      </c>
      <c r="Y124" s="144">
        <f>SUMIFS('март 2026'!$G$2:$G$2701,'март 2026'!$D$2:$D$2701,$B124,'март 2026'!$J$2:$J$2701,Y$1)</f>
        <v>0</v>
      </c>
      <c r="Z124" s="144">
        <f>SUMIFS('март 2026'!$G$2:$G$2701,'март 2026'!$D$2:$D$2701,$B124,'март 2026'!$J$2:$J$2701,Z$1)</f>
        <v>0</v>
      </c>
      <c r="AA124" s="144">
        <f>SUMIFS('март 2026'!$G$2:$G$2701,'март 2026'!$D$2:$D$2701,$B124,'март 2026'!$J$2:$J$2701,AA$1)</f>
        <v>0</v>
      </c>
      <c r="AB124" s="144">
        <f>SUMIFS('март 2026'!$G$2:$G$2701,'март 2026'!$D$2:$D$2701,$B124,'март 2026'!$J$2:$J$2701,AB$1)</f>
        <v>0</v>
      </c>
      <c r="AC124" s="144">
        <f>SUMIFS('март 2026'!$G$2:$G$2701,'март 2026'!$D$2:$D$2701,$B124,'март 2026'!$J$2:$J$2701,AC$1)</f>
        <v>0</v>
      </c>
      <c r="AD124" s="144">
        <f>SUMIFS('март 2026'!$G$2:$G$2701,'март 2026'!$D$2:$D$2701,$B124,'март 2026'!$J$2:$J$2701,AD$1)</f>
        <v>0</v>
      </c>
      <c r="AE124" s="144">
        <f>SUMIFS('март 2026'!$G$2:$G$2701,'март 2026'!$D$2:$D$2701,$B124,'март 2026'!$J$2:$J$2701,AE$1)</f>
        <v>0</v>
      </c>
      <c r="AF124" s="144">
        <f>SUMIFS('март 2026'!$G$2:$G$2701,'март 2026'!$D$2:$D$2701,$B124,'март 2026'!$J$2:$J$2701,AF$1)</f>
        <v>0</v>
      </c>
      <c r="AG124" s="144">
        <f>SUMIFS('март 2026'!$G$2:$G$2701,'март 2026'!$D$2:$D$2701,$B124,'март 2026'!$J$2:$J$2701,AG$1)</f>
        <v>0</v>
      </c>
      <c r="AH124" s="144">
        <f>SUMIFS('март 2026'!$G$2:$G$2701,'март 2026'!$D$2:$D$2701,$B124,'март 2026'!$J$2:$J$2701,AH$1)</f>
        <v>0</v>
      </c>
      <c r="AI124" s="20">
        <f t="shared" si="1"/>
        <v>0</v>
      </c>
    </row>
    <row r="125" spans="2:35" ht="15" customHeight="1" x14ac:dyDescent="0.25">
      <c r="B125" s="85" t="s">
        <v>258</v>
      </c>
      <c r="C125" s="83">
        <v>200</v>
      </c>
      <c r="D125" s="144">
        <f>SUMIFS('март 2026'!$G$2:$G$2701,'март 2026'!$D$2:$D$2701,$B125,'март 2026'!$J$2:$J$2701,D$1)</f>
        <v>0</v>
      </c>
      <c r="E125" s="144">
        <f>SUMIFS('март 2026'!$G$2:$G$2701,'март 2026'!$D$2:$D$2701,$B125,'март 2026'!$J$2:$J$2701,E$1)</f>
        <v>0</v>
      </c>
      <c r="F125" s="144">
        <f>SUMIFS('март 2026'!$G$2:$G$2701,'март 2026'!$D$2:$D$2701,$B125,'март 2026'!$J$2:$J$2701,F$1)</f>
        <v>0</v>
      </c>
      <c r="G125" s="144">
        <f>SUMIFS('март 2026'!$G$2:$G$2701,'март 2026'!$D$2:$D$2701,$B125,'март 2026'!$J$2:$J$2701,G$1)</f>
        <v>0</v>
      </c>
      <c r="H125" s="144">
        <f>SUMIFS('март 2026'!$G$2:$G$2701,'март 2026'!$D$2:$D$2701,$B125,'март 2026'!$J$2:$J$2701,H$1)</f>
        <v>0</v>
      </c>
      <c r="I125" s="144">
        <f>SUMIFS('март 2026'!$G$2:$G$2701,'март 2026'!$D$2:$D$2701,$B125,'март 2026'!$J$2:$J$2701,I$1)</f>
        <v>0</v>
      </c>
      <c r="J125" s="144">
        <f>SUMIFS('март 2026'!$G$2:$G$2701,'март 2026'!$D$2:$D$2701,$B125,'март 2026'!$J$2:$J$2701,J$1)</f>
        <v>0</v>
      </c>
      <c r="K125" s="144">
        <f>SUMIFS('март 2026'!$G$2:$G$2701,'март 2026'!$D$2:$D$2701,$B125,'март 2026'!$J$2:$J$2701,K$1)</f>
        <v>0</v>
      </c>
      <c r="L125" s="144">
        <f>SUMIFS('март 2026'!$G$2:$G$2701,'март 2026'!$D$2:$D$2701,$B125,'март 2026'!$J$2:$J$2701,L$1)</f>
        <v>0</v>
      </c>
      <c r="M125" s="144">
        <f>SUMIFS('март 2026'!$G$2:$G$2701,'март 2026'!$D$2:$D$2701,$B125,'март 2026'!$J$2:$J$2701,M$1)</f>
        <v>0</v>
      </c>
      <c r="N125" s="144">
        <f>SUMIFS('март 2026'!$G$2:$G$2701,'март 2026'!$D$2:$D$2701,$B125,'март 2026'!$J$2:$J$2701,N$1)</f>
        <v>0</v>
      </c>
      <c r="O125" s="144">
        <f>SUMIFS('март 2026'!$G$2:$G$2701,'март 2026'!$D$2:$D$2701,$B125,'март 2026'!$J$2:$J$2701,O$1)</f>
        <v>0</v>
      </c>
      <c r="P125" s="144">
        <f>SUMIFS('март 2026'!$G$2:$G$2701,'март 2026'!$D$2:$D$2701,$B125,'март 2026'!$J$2:$J$2701,P$1)</f>
        <v>0</v>
      </c>
      <c r="Q125" s="144">
        <f>SUMIFS('март 2026'!$G$2:$G$2701,'март 2026'!$D$2:$D$2701,$B125,'март 2026'!$J$2:$J$2701,Q$1)</f>
        <v>0</v>
      </c>
      <c r="R125" s="144">
        <f>SUMIFS('март 2026'!$G$2:$G$2701,'март 2026'!$D$2:$D$2701,$B125,'март 2026'!$J$2:$J$2701,R$1)</f>
        <v>0</v>
      </c>
      <c r="S125" s="144">
        <f>SUMIFS('март 2026'!$G$2:$G$2701,'март 2026'!$D$2:$D$2701,$B125,'март 2026'!$J$2:$J$2701,S$1)</f>
        <v>0</v>
      </c>
      <c r="T125" s="144">
        <f>SUMIFS('март 2026'!$G$2:$G$2701,'март 2026'!$D$2:$D$2701,$B125,'март 2026'!$J$2:$J$2701,T$1)</f>
        <v>0</v>
      </c>
      <c r="U125" s="144">
        <f>SUMIFS('март 2026'!$G$2:$G$2701,'март 2026'!$D$2:$D$2701,$B125,'март 2026'!$J$2:$J$2701,U$1)</f>
        <v>0</v>
      </c>
      <c r="V125" s="144">
        <f>SUMIFS('март 2026'!$G$2:$G$2701,'март 2026'!$D$2:$D$2701,$B125,'март 2026'!$J$2:$J$2701,V$1)</f>
        <v>0</v>
      </c>
      <c r="W125" s="144">
        <f>SUMIFS('март 2026'!$G$2:$G$2701,'март 2026'!$D$2:$D$2701,$B125,'март 2026'!$J$2:$J$2701,W$1)</f>
        <v>0</v>
      </c>
      <c r="X125" s="144">
        <f>SUMIFS('март 2026'!$G$2:$G$2701,'март 2026'!$D$2:$D$2701,$B125,'март 2026'!$J$2:$J$2701,X$1)</f>
        <v>0</v>
      </c>
      <c r="Y125" s="144">
        <f>SUMIFS('март 2026'!$G$2:$G$2701,'март 2026'!$D$2:$D$2701,$B125,'март 2026'!$J$2:$J$2701,Y$1)</f>
        <v>0</v>
      </c>
      <c r="Z125" s="144">
        <f>SUMIFS('март 2026'!$G$2:$G$2701,'март 2026'!$D$2:$D$2701,$B125,'март 2026'!$J$2:$J$2701,Z$1)</f>
        <v>0</v>
      </c>
      <c r="AA125" s="144">
        <f>SUMIFS('март 2026'!$G$2:$G$2701,'март 2026'!$D$2:$D$2701,$B125,'март 2026'!$J$2:$J$2701,AA$1)</f>
        <v>0</v>
      </c>
      <c r="AB125" s="144">
        <f>SUMIFS('март 2026'!$G$2:$G$2701,'март 2026'!$D$2:$D$2701,$B125,'март 2026'!$J$2:$J$2701,AB$1)</f>
        <v>0</v>
      </c>
      <c r="AC125" s="144">
        <f>SUMIFS('март 2026'!$G$2:$G$2701,'март 2026'!$D$2:$D$2701,$B125,'март 2026'!$J$2:$J$2701,AC$1)</f>
        <v>0</v>
      </c>
      <c r="AD125" s="144">
        <f>SUMIFS('март 2026'!$G$2:$G$2701,'март 2026'!$D$2:$D$2701,$B125,'март 2026'!$J$2:$J$2701,AD$1)</f>
        <v>0</v>
      </c>
      <c r="AE125" s="144">
        <f>SUMIFS('март 2026'!$G$2:$G$2701,'март 2026'!$D$2:$D$2701,$B125,'март 2026'!$J$2:$J$2701,AE$1)</f>
        <v>0</v>
      </c>
      <c r="AF125" s="144">
        <f>SUMIFS('март 2026'!$G$2:$G$2701,'март 2026'!$D$2:$D$2701,$B125,'март 2026'!$J$2:$J$2701,AF$1)</f>
        <v>0</v>
      </c>
      <c r="AG125" s="144">
        <f>SUMIFS('март 2026'!$G$2:$G$2701,'март 2026'!$D$2:$D$2701,$B125,'март 2026'!$J$2:$J$2701,AG$1)</f>
        <v>0</v>
      </c>
      <c r="AH125" s="144">
        <f>SUMIFS('март 2026'!$G$2:$G$2701,'март 2026'!$D$2:$D$2701,$B125,'март 2026'!$J$2:$J$2701,AH$1)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SUMIFS('март 2026'!$G$2:$G$2701,'март 2026'!$D$2:$D$2701,$B126,'март 2026'!$J$2:$J$2701,D$1)</f>
        <v>0</v>
      </c>
      <c r="E126" s="144">
        <f>SUMIFS('март 2026'!$G$2:$G$2701,'март 2026'!$D$2:$D$2701,$B126,'март 2026'!$J$2:$J$2701,E$1)</f>
        <v>0</v>
      </c>
      <c r="F126" s="144">
        <f>SUMIFS('март 2026'!$G$2:$G$2701,'март 2026'!$D$2:$D$2701,$B126,'март 2026'!$J$2:$J$2701,F$1)</f>
        <v>0</v>
      </c>
      <c r="G126" s="144">
        <f>SUMIFS('март 2026'!$G$2:$G$2701,'март 2026'!$D$2:$D$2701,$B126,'март 2026'!$J$2:$J$2701,G$1)</f>
        <v>0</v>
      </c>
      <c r="H126" s="144">
        <f>SUMIFS('март 2026'!$G$2:$G$2701,'март 2026'!$D$2:$D$2701,$B126,'март 2026'!$J$2:$J$2701,H$1)</f>
        <v>0</v>
      </c>
      <c r="I126" s="144">
        <f>SUMIFS('март 2026'!$G$2:$G$2701,'март 2026'!$D$2:$D$2701,$B126,'март 2026'!$J$2:$J$2701,I$1)</f>
        <v>0</v>
      </c>
      <c r="J126" s="144">
        <f>SUMIFS('март 2026'!$G$2:$G$2701,'март 2026'!$D$2:$D$2701,$B126,'март 2026'!$J$2:$J$2701,J$1)</f>
        <v>0</v>
      </c>
      <c r="K126" s="144">
        <f>SUMIFS('март 2026'!$G$2:$G$2701,'март 2026'!$D$2:$D$2701,$B126,'март 2026'!$J$2:$J$2701,K$1)</f>
        <v>0</v>
      </c>
      <c r="L126" s="144">
        <f>SUMIFS('март 2026'!$G$2:$G$2701,'март 2026'!$D$2:$D$2701,$B126,'март 2026'!$J$2:$J$2701,L$1)</f>
        <v>0</v>
      </c>
      <c r="M126" s="144">
        <f>SUMIFS('март 2026'!$G$2:$G$2701,'март 2026'!$D$2:$D$2701,$B126,'март 2026'!$J$2:$J$2701,M$1)</f>
        <v>0</v>
      </c>
      <c r="N126" s="144">
        <f>SUMIFS('март 2026'!$G$2:$G$2701,'март 2026'!$D$2:$D$2701,$B126,'март 2026'!$J$2:$J$2701,N$1)</f>
        <v>0</v>
      </c>
      <c r="O126" s="144">
        <f>SUMIFS('март 2026'!$G$2:$G$2701,'март 2026'!$D$2:$D$2701,$B126,'март 2026'!$J$2:$J$2701,O$1)</f>
        <v>0</v>
      </c>
      <c r="P126" s="144">
        <f>SUMIFS('март 2026'!$G$2:$G$2701,'март 2026'!$D$2:$D$2701,$B126,'март 2026'!$J$2:$J$2701,P$1)</f>
        <v>0</v>
      </c>
      <c r="Q126" s="144">
        <f>SUMIFS('март 2026'!$G$2:$G$2701,'март 2026'!$D$2:$D$2701,$B126,'март 2026'!$J$2:$J$2701,Q$1)</f>
        <v>0</v>
      </c>
      <c r="R126" s="144">
        <f>SUMIFS('март 2026'!$G$2:$G$2701,'март 2026'!$D$2:$D$2701,$B126,'март 2026'!$J$2:$J$2701,R$1)</f>
        <v>0</v>
      </c>
      <c r="S126" s="144">
        <f>SUMIFS('март 2026'!$G$2:$G$2701,'март 2026'!$D$2:$D$2701,$B126,'март 2026'!$J$2:$J$2701,S$1)</f>
        <v>0</v>
      </c>
      <c r="T126" s="144">
        <f>SUMIFS('март 2026'!$G$2:$G$2701,'март 2026'!$D$2:$D$2701,$B126,'март 2026'!$J$2:$J$2701,T$1)</f>
        <v>0</v>
      </c>
      <c r="U126" s="144">
        <f>SUMIFS('март 2026'!$G$2:$G$2701,'март 2026'!$D$2:$D$2701,$B126,'март 2026'!$J$2:$J$2701,U$1)</f>
        <v>0</v>
      </c>
      <c r="V126" s="144">
        <f>SUMIFS('март 2026'!$G$2:$G$2701,'март 2026'!$D$2:$D$2701,$B126,'март 2026'!$J$2:$J$2701,V$1)</f>
        <v>0</v>
      </c>
      <c r="W126" s="144">
        <f>SUMIFS('март 2026'!$G$2:$G$2701,'март 2026'!$D$2:$D$2701,$B126,'март 2026'!$J$2:$J$2701,W$1)</f>
        <v>0</v>
      </c>
      <c r="X126" s="144">
        <f>SUMIFS('март 2026'!$G$2:$G$2701,'март 2026'!$D$2:$D$2701,$B126,'март 2026'!$J$2:$J$2701,X$1)</f>
        <v>0</v>
      </c>
      <c r="Y126" s="144">
        <f>SUMIFS('март 2026'!$G$2:$G$2701,'март 2026'!$D$2:$D$2701,$B126,'март 2026'!$J$2:$J$2701,Y$1)</f>
        <v>0</v>
      </c>
      <c r="Z126" s="144">
        <f>SUMIFS('март 2026'!$G$2:$G$2701,'март 2026'!$D$2:$D$2701,$B126,'март 2026'!$J$2:$J$2701,Z$1)</f>
        <v>0</v>
      </c>
      <c r="AA126" s="144">
        <f>SUMIFS('март 2026'!$G$2:$G$2701,'март 2026'!$D$2:$D$2701,$B126,'март 2026'!$J$2:$J$2701,AA$1)</f>
        <v>0</v>
      </c>
      <c r="AB126" s="144">
        <f>SUMIFS('март 2026'!$G$2:$G$2701,'март 2026'!$D$2:$D$2701,$B126,'март 2026'!$J$2:$J$2701,AB$1)</f>
        <v>0</v>
      </c>
      <c r="AC126" s="144">
        <f>SUMIFS('март 2026'!$G$2:$G$2701,'март 2026'!$D$2:$D$2701,$B126,'март 2026'!$J$2:$J$2701,AC$1)</f>
        <v>0</v>
      </c>
      <c r="AD126" s="144">
        <f>SUMIFS('март 2026'!$G$2:$G$2701,'март 2026'!$D$2:$D$2701,$B126,'март 2026'!$J$2:$J$2701,AD$1)</f>
        <v>0</v>
      </c>
      <c r="AE126" s="144">
        <f>SUMIFS('март 2026'!$G$2:$G$2701,'март 2026'!$D$2:$D$2701,$B126,'март 2026'!$J$2:$J$2701,AE$1)</f>
        <v>0</v>
      </c>
      <c r="AF126" s="144">
        <f>SUMIFS('март 2026'!$G$2:$G$2701,'март 2026'!$D$2:$D$2701,$B126,'март 2026'!$J$2:$J$2701,AF$1)</f>
        <v>0</v>
      </c>
      <c r="AG126" s="144">
        <f>SUMIFS('март 2026'!$G$2:$G$2701,'март 2026'!$D$2:$D$2701,$B126,'март 2026'!$J$2:$J$2701,AG$1)</f>
        <v>48</v>
      </c>
      <c r="AH126" s="144">
        <f>SUMIFS('март 2026'!$G$2:$G$2701,'март 2026'!$D$2:$D$2701,$B126,'март 2026'!$J$2:$J$2701,AH$1)</f>
        <v>0</v>
      </c>
      <c r="AI126" s="20">
        <f t="shared" si="1"/>
        <v>48</v>
      </c>
    </row>
    <row r="127" spans="2:35" ht="15" customHeight="1" x14ac:dyDescent="0.25">
      <c r="B127" s="82" t="s">
        <v>206</v>
      </c>
      <c r="C127" s="81">
        <v>25</v>
      </c>
      <c r="D127" s="144">
        <f>SUMIFS('март 2026'!$G$2:$G$2701,'март 2026'!$D$2:$D$2701,$B127,'март 2026'!$J$2:$J$2701,D$1)</f>
        <v>0</v>
      </c>
      <c r="E127" s="144">
        <f>SUMIFS('март 2026'!$G$2:$G$2701,'март 2026'!$D$2:$D$2701,$B127,'март 2026'!$J$2:$J$2701,E$1)</f>
        <v>0</v>
      </c>
      <c r="F127" s="144">
        <f>SUMIFS('март 2026'!$G$2:$G$2701,'март 2026'!$D$2:$D$2701,$B127,'март 2026'!$J$2:$J$2701,F$1)</f>
        <v>0</v>
      </c>
      <c r="G127" s="144">
        <f>SUMIFS('март 2026'!$G$2:$G$2701,'март 2026'!$D$2:$D$2701,$B127,'март 2026'!$J$2:$J$2701,G$1)</f>
        <v>0</v>
      </c>
      <c r="H127" s="144">
        <f>SUMIFS('март 2026'!$G$2:$G$2701,'март 2026'!$D$2:$D$2701,$B127,'март 2026'!$J$2:$J$2701,H$1)</f>
        <v>0</v>
      </c>
      <c r="I127" s="144">
        <f>SUMIFS('март 2026'!$G$2:$G$2701,'март 2026'!$D$2:$D$2701,$B127,'март 2026'!$J$2:$J$2701,I$1)</f>
        <v>0</v>
      </c>
      <c r="J127" s="144">
        <f>SUMIFS('март 2026'!$G$2:$G$2701,'март 2026'!$D$2:$D$2701,$B127,'март 2026'!$J$2:$J$2701,J$1)</f>
        <v>0</v>
      </c>
      <c r="K127" s="144">
        <f>SUMIFS('март 2026'!$G$2:$G$2701,'март 2026'!$D$2:$D$2701,$B127,'март 2026'!$J$2:$J$2701,K$1)</f>
        <v>0</v>
      </c>
      <c r="L127" s="144">
        <f>SUMIFS('март 2026'!$G$2:$G$2701,'март 2026'!$D$2:$D$2701,$B127,'март 2026'!$J$2:$J$2701,L$1)</f>
        <v>0</v>
      </c>
      <c r="M127" s="144">
        <f>SUMIFS('март 2026'!$G$2:$G$2701,'март 2026'!$D$2:$D$2701,$B127,'март 2026'!$J$2:$J$2701,M$1)</f>
        <v>0</v>
      </c>
      <c r="N127" s="144">
        <f>SUMIFS('март 2026'!$G$2:$G$2701,'март 2026'!$D$2:$D$2701,$B127,'март 2026'!$J$2:$J$2701,N$1)</f>
        <v>0</v>
      </c>
      <c r="O127" s="144">
        <f>SUMIFS('март 2026'!$G$2:$G$2701,'март 2026'!$D$2:$D$2701,$B127,'март 2026'!$J$2:$J$2701,O$1)</f>
        <v>0</v>
      </c>
      <c r="P127" s="144">
        <f>SUMIFS('март 2026'!$G$2:$G$2701,'март 2026'!$D$2:$D$2701,$B127,'март 2026'!$J$2:$J$2701,P$1)</f>
        <v>0</v>
      </c>
      <c r="Q127" s="144">
        <f>SUMIFS('март 2026'!$G$2:$G$2701,'март 2026'!$D$2:$D$2701,$B127,'март 2026'!$J$2:$J$2701,Q$1)</f>
        <v>0</v>
      </c>
      <c r="R127" s="144">
        <f>SUMIFS('март 2026'!$G$2:$G$2701,'март 2026'!$D$2:$D$2701,$B127,'март 2026'!$J$2:$J$2701,R$1)</f>
        <v>0</v>
      </c>
      <c r="S127" s="144">
        <f>SUMIFS('март 2026'!$G$2:$G$2701,'март 2026'!$D$2:$D$2701,$B127,'март 2026'!$J$2:$J$2701,S$1)</f>
        <v>0</v>
      </c>
      <c r="T127" s="144">
        <f>SUMIFS('март 2026'!$G$2:$G$2701,'март 2026'!$D$2:$D$2701,$B127,'март 2026'!$J$2:$J$2701,T$1)</f>
        <v>0</v>
      </c>
      <c r="U127" s="144">
        <f>SUMIFS('март 2026'!$G$2:$G$2701,'март 2026'!$D$2:$D$2701,$B127,'март 2026'!$J$2:$J$2701,U$1)</f>
        <v>0</v>
      </c>
      <c r="V127" s="144">
        <f>SUMIFS('март 2026'!$G$2:$G$2701,'март 2026'!$D$2:$D$2701,$B127,'март 2026'!$J$2:$J$2701,V$1)</f>
        <v>0</v>
      </c>
      <c r="W127" s="144">
        <f>SUMIFS('март 2026'!$G$2:$G$2701,'март 2026'!$D$2:$D$2701,$B127,'март 2026'!$J$2:$J$2701,W$1)</f>
        <v>0</v>
      </c>
      <c r="X127" s="144">
        <f>SUMIFS('март 2026'!$G$2:$G$2701,'март 2026'!$D$2:$D$2701,$B127,'март 2026'!$J$2:$J$2701,X$1)</f>
        <v>0</v>
      </c>
      <c r="Y127" s="144">
        <f>SUMIFS('март 2026'!$G$2:$G$2701,'март 2026'!$D$2:$D$2701,$B127,'март 2026'!$J$2:$J$2701,Y$1)</f>
        <v>0</v>
      </c>
      <c r="Z127" s="144">
        <f>SUMIFS('март 2026'!$G$2:$G$2701,'март 2026'!$D$2:$D$2701,$B127,'март 2026'!$J$2:$J$2701,Z$1)</f>
        <v>0</v>
      </c>
      <c r="AA127" s="144">
        <f>SUMIFS('март 2026'!$G$2:$G$2701,'март 2026'!$D$2:$D$2701,$B127,'март 2026'!$J$2:$J$2701,AA$1)</f>
        <v>0</v>
      </c>
      <c r="AB127" s="144">
        <f>SUMIFS('март 2026'!$G$2:$G$2701,'март 2026'!$D$2:$D$2701,$B127,'март 2026'!$J$2:$J$2701,AB$1)</f>
        <v>0</v>
      </c>
      <c r="AC127" s="144">
        <f>SUMIFS('март 2026'!$G$2:$G$2701,'март 2026'!$D$2:$D$2701,$B127,'март 2026'!$J$2:$J$2701,AC$1)</f>
        <v>0</v>
      </c>
      <c r="AD127" s="144">
        <f>SUMIFS('март 2026'!$G$2:$G$2701,'март 2026'!$D$2:$D$2701,$B127,'март 2026'!$J$2:$J$2701,AD$1)</f>
        <v>0</v>
      </c>
      <c r="AE127" s="144">
        <f>SUMIFS('март 2026'!$G$2:$G$2701,'март 2026'!$D$2:$D$2701,$B127,'март 2026'!$J$2:$J$2701,AE$1)</f>
        <v>0</v>
      </c>
      <c r="AF127" s="144">
        <f>SUMIFS('март 2026'!$G$2:$G$2701,'март 2026'!$D$2:$D$2701,$B127,'март 2026'!$J$2:$J$2701,AF$1)</f>
        <v>0</v>
      </c>
      <c r="AG127" s="144">
        <f>SUMIFS('март 2026'!$G$2:$G$2701,'март 2026'!$D$2:$D$2701,$B127,'март 2026'!$J$2:$J$2701,AG$1)</f>
        <v>0</v>
      </c>
      <c r="AH127" s="144">
        <f>SUMIFS('март 2026'!$G$2:$G$2701,'март 2026'!$D$2:$D$2701,$B127,'март 2026'!$J$2:$J$2701,AH$1)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SUMIFS('март 2026'!$G$2:$G$2701,'март 2026'!$D$2:$D$2701,$B128,'март 2026'!$J$2:$J$2701,D$1)</f>
        <v>0</v>
      </c>
      <c r="E128" s="144">
        <f>SUMIFS('март 2026'!$G$2:$G$2701,'март 2026'!$D$2:$D$2701,$B128,'март 2026'!$J$2:$J$2701,E$1)</f>
        <v>0</v>
      </c>
      <c r="F128" s="144">
        <f>SUMIFS('март 2026'!$G$2:$G$2701,'март 2026'!$D$2:$D$2701,$B128,'март 2026'!$J$2:$J$2701,F$1)</f>
        <v>0</v>
      </c>
      <c r="G128" s="144">
        <f>SUMIFS('март 2026'!$G$2:$G$2701,'март 2026'!$D$2:$D$2701,$B128,'март 2026'!$J$2:$J$2701,G$1)</f>
        <v>0</v>
      </c>
      <c r="H128" s="144">
        <f>SUMIFS('март 2026'!$G$2:$G$2701,'март 2026'!$D$2:$D$2701,$B128,'март 2026'!$J$2:$J$2701,H$1)</f>
        <v>0</v>
      </c>
      <c r="I128" s="144">
        <f>SUMIFS('март 2026'!$G$2:$G$2701,'март 2026'!$D$2:$D$2701,$B128,'март 2026'!$J$2:$J$2701,I$1)</f>
        <v>0</v>
      </c>
      <c r="J128" s="144">
        <f>SUMIFS('март 2026'!$G$2:$G$2701,'март 2026'!$D$2:$D$2701,$B128,'март 2026'!$J$2:$J$2701,J$1)</f>
        <v>0</v>
      </c>
      <c r="K128" s="144">
        <f>SUMIFS('март 2026'!$G$2:$G$2701,'март 2026'!$D$2:$D$2701,$B128,'март 2026'!$J$2:$J$2701,K$1)</f>
        <v>0</v>
      </c>
      <c r="L128" s="144">
        <f>SUMIFS('март 2026'!$G$2:$G$2701,'март 2026'!$D$2:$D$2701,$B128,'март 2026'!$J$2:$J$2701,L$1)</f>
        <v>0</v>
      </c>
      <c r="M128" s="144">
        <f>SUMIFS('март 2026'!$G$2:$G$2701,'март 2026'!$D$2:$D$2701,$B128,'март 2026'!$J$2:$J$2701,M$1)</f>
        <v>0</v>
      </c>
      <c r="N128" s="144">
        <f>SUMIFS('март 2026'!$G$2:$G$2701,'март 2026'!$D$2:$D$2701,$B128,'март 2026'!$J$2:$J$2701,N$1)</f>
        <v>0</v>
      </c>
      <c r="O128" s="144">
        <f>SUMIFS('март 2026'!$G$2:$G$2701,'март 2026'!$D$2:$D$2701,$B128,'март 2026'!$J$2:$J$2701,O$1)</f>
        <v>0</v>
      </c>
      <c r="P128" s="144">
        <f>SUMIFS('март 2026'!$G$2:$G$2701,'март 2026'!$D$2:$D$2701,$B128,'март 2026'!$J$2:$J$2701,P$1)</f>
        <v>0</v>
      </c>
      <c r="Q128" s="144">
        <f>SUMIFS('март 2026'!$G$2:$G$2701,'март 2026'!$D$2:$D$2701,$B128,'март 2026'!$J$2:$J$2701,Q$1)</f>
        <v>0</v>
      </c>
      <c r="R128" s="144">
        <f>SUMIFS('март 2026'!$G$2:$G$2701,'март 2026'!$D$2:$D$2701,$B128,'март 2026'!$J$2:$J$2701,R$1)</f>
        <v>0</v>
      </c>
      <c r="S128" s="144">
        <f>SUMIFS('март 2026'!$G$2:$G$2701,'март 2026'!$D$2:$D$2701,$B128,'март 2026'!$J$2:$J$2701,S$1)</f>
        <v>0</v>
      </c>
      <c r="T128" s="144">
        <f>SUMIFS('март 2026'!$G$2:$G$2701,'март 2026'!$D$2:$D$2701,$B128,'март 2026'!$J$2:$J$2701,T$1)</f>
        <v>0</v>
      </c>
      <c r="U128" s="144">
        <f>SUMIFS('март 2026'!$G$2:$G$2701,'март 2026'!$D$2:$D$2701,$B128,'март 2026'!$J$2:$J$2701,U$1)</f>
        <v>0</v>
      </c>
      <c r="V128" s="144">
        <f>SUMIFS('март 2026'!$G$2:$G$2701,'март 2026'!$D$2:$D$2701,$B128,'март 2026'!$J$2:$J$2701,V$1)</f>
        <v>0</v>
      </c>
      <c r="W128" s="144">
        <f>SUMIFS('март 2026'!$G$2:$G$2701,'март 2026'!$D$2:$D$2701,$B128,'март 2026'!$J$2:$J$2701,W$1)</f>
        <v>0</v>
      </c>
      <c r="X128" s="144">
        <f>SUMIFS('март 2026'!$G$2:$G$2701,'март 2026'!$D$2:$D$2701,$B128,'март 2026'!$J$2:$J$2701,X$1)</f>
        <v>0</v>
      </c>
      <c r="Y128" s="144">
        <f>SUMIFS('март 2026'!$G$2:$G$2701,'март 2026'!$D$2:$D$2701,$B128,'март 2026'!$J$2:$J$2701,Y$1)</f>
        <v>0</v>
      </c>
      <c r="Z128" s="144">
        <f>SUMIFS('март 2026'!$G$2:$G$2701,'март 2026'!$D$2:$D$2701,$B128,'март 2026'!$J$2:$J$2701,Z$1)</f>
        <v>0</v>
      </c>
      <c r="AA128" s="144">
        <f>SUMIFS('март 2026'!$G$2:$G$2701,'март 2026'!$D$2:$D$2701,$B128,'март 2026'!$J$2:$J$2701,AA$1)</f>
        <v>0</v>
      </c>
      <c r="AB128" s="144">
        <f>SUMIFS('март 2026'!$G$2:$G$2701,'март 2026'!$D$2:$D$2701,$B128,'март 2026'!$J$2:$J$2701,AB$1)</f>
        <v>0</v>
      </c>
      <c r="AC128" s="144">
        <f>SUMIFS('март 2026'!$G$2:$G$2701,'март 2026'!$D$2:$D$2701,$B128,'март 2026'!$J$2:$J$2701,AC$1)</f>
        <v>0</v>
      </c>
      <c r="AD128" s="144">
        <f>SUMIFS('март 2026'!$G$2:$G$2701,'март 2026'!$D$2:$D$2701,$B128,'март 2026'!$J$2:$J$2701,AD$1)</f>
        <v>0</v>
      </c>
      <c r="AE128" s="144">
        <f>SUMIFS('март 2026'!$G$2:$G$2701,'март 2026'!$D$2:$D$2701,$B128,'март 2026'!$J$2:$J$2701,AE$1)</f>
        <v>0</v>
      </c>
      <c r="AF128" s="144">
        <f>SUMIFS('март 2026'!$G$2:$G$2701,'март 2026'!$D$2:$D$2701,$B128,'март 2026'!$J$2:$J$2701,AF$1)</f>
        <v>0</v>
      </c>
      <c r="AG128" s="144">
        <f>SUMIFS('март 2026'!$G$2:$G$2701,'март 2026'!$D$2:$D$2701,$B128,'март 2026'!$J$2:$J$2701,AG$1)</f>
        <v>0</v>
      </c>
      <c r="AH128" s="144">
        <f>SUMIFS('март 2026'!$G$2:$G$2701,'март 2026'!$D$2:$D$2701,$B128,'март 2026'!$J$2:$J$2701,AH$1)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SUMIFS('март 2026'!$G$2:$G$2701,'март 2026'!$D$2:$D$2701,$B129,'март 2026'!$J$2:$J$2701,D$1)</f>
        <v>0</v>
      </c>
      <c r="E129" s="144">
        <f>SUMIFS('март 2026'!$G$2:$G$2701,'март 2026'!$D$2:$D$2701,$B129,'март 2026'!$J$2:$J$2701,E$1)</f>
        <v>0</v>
      </c>
      <c r="F129" s="144">
        <f>SUMIFS('март 2026'!$G$2:$G$2701,'март 2026'!$D$2:$D$2701,$B129,'март 2026'!$J$2:$J$2701,F$1)</f>
        <v>0</v>
      </c>
      <c r="G129" s="144">
        <f>SUMIFS('март 2026'!$G$2:$G$2701,'март 2026'!$D$2:$D$2701,$B129,'март 2026'!$J$2:$J$2701,G$1)</f>
        <v>0</v>
      </c>
      <c r="H129" s="144">
        <f>SUMIFS('март 2026'!$G$2:$G$2701,'март 2026'!$D$2:$D$2701,$B129,'март 2026'!$J$2:$J$2701,H$1)</f>
        <v>0</v>
      </c>
      <c r="I129" s="144">
        <f>SUMIFS('март 2026'!$G$2:$G$2701,'март 2026'!$D$2:$D$2701,$B129,'март 2026'!$J$2:$J$2701,I$1)</f>
        <v>0</v>
      </c>
      <c r="J129" s="144">
        <f>SUMIFS('март 2026'!$G$2:$G$2701,'март 2026'!$D$2:$D$2701,$B129,'март 2026'!$J$2:$J$2701,J$1)</f>
        <v>0</v>
      </c>
      <c r="K129" s="144">
        <f>SUMIFS('март 2026'!$G$2:$G$2701,'март 2026'!$D$2:$D$2701,$B129,'март 2026'!$J$2:$J$2701,K$1)</f>
        <v>0</v>
      </c>
      <c r="L129" s="144">
        <f>SUMIFS('март 2026'!$G$2:$G$2701,'март 2026'!$D$2:$D$2701,$B129,'март 2026'!$J$2:$J$2701,L$1)</f>
        <v>0</v>
      </c>
      <c r="M129" s="144">
        <f>SUMIFS('март 2026'!$G$2:$G$2701,'март 2026'!$D$2:$D$2701,$B129,'март 2026'!$J$2:$J$2701,M$1)</f>
        <v>0</v>
      </c>
      <c r="N129" s="144">
        <f>SUMIFS('март 2026'!$G$2:$G$2701,'март 2026'!$D$2:$D$2701,$B129,'март 2026'!$J$2:$J$2701,N$1)</f>
        <v>0</v>
      </c>
      <c r="O129" s="144">
        <f>SUMIFS('март 2026'!$G$2:$G$2701,'март 2026'!$D$2:$D$2701,$B129,'март 2026'!$J$2:$J$2701,O$1)</f>
        <v>0</v>
      </c>
      <c r="P129" s="144">
        <f>SUMIFS('март 2026'!$G$2:$G$2701,'март 2026'!$D$2:$D$2701,$B129,'март 2026'!$J$2:$J$2701,P$1)</f>
        <v>0</v>
      </c>
      <c r="Q129" s="144">
        <f>SUMIFS('март 2026'!$G$2:$G$2701,'март 2026'!$D$2:$D$2701,$B129,'март 2026'!$J$2:$J$2701,Q$1)</f>
        <v>0</v>
      </c>
      <c r="R129" s="144">
        <f>SUMIFS('март 2026'!$G$2:$G$2701,'март 2026'!$D$2:$D$2701,$B129,'март 2026'!$J$2:$J$2701,R$1)</f>
        <v>0</v>
      </c>
      <c r="S129" s="144">
        <f>SUMIFS('март 2026'!$G$2:$G$2701,'март 2026'!$D$2:$D$2701,$B129,'март 2026'!$J$2:$J$2701,S$1)</f>
        <v>0</v>
      </c>
      <c r="T129" s="144">
        <f>SUMIFS('март 2026'!$G$2:$G$2701,'март 2026'!$D$2:$D$2701,$B129,'март 2026'!$J$2:$J$2701,T$1)</f>
        <v>0</v>
      </c>
      <c r="U129" s="144">
        <f>SUMIFS('март 2026'!$G$2:$G$2701,'март 2026'!$D$2:$D$2701,$B129,'март 2026'!$J$2:$J$2701,U$1)</f>
        <v>0</v>
      </c>
      <c r="V129" s="144">
        <f>SUMIFS('март 2026'!$G$2:$G$2701,'март 2026'!$D$2:$D$2701,$B129,'март 2026'!$J$2:$J$2701,V$1)</f>
        <v>0</v>
      </c>
      <c r="W129" s="144">
        <f>SUMIFS('март 2026'!$G$2:$G$2701,'март 2026'!$D$2:$D$2701,$B129,'март 2026'!$J$2:$J$2701,W$1)</f>
        <v>0</v>
      </c>
      <c r="X129" s="144">
        <f>SUMIFS('март 2026'!$G$2:$G$2701,'март 2026'!$D$2:$D$2701,$B129,'март 2026'!$J$2:$J$2701,X$1)</f>
        <v>0</v>
      </c>
      <c r="Y129" s="144">
        <f>SUMIFS('март 2026'!$G$2:$G$2701,'март 2026'!$D$2:$D$2701,$B129,'март 2026'!$J$2:$J$2701,Y$1)</f>
        <v>0</v>
      </c>
      <c r="Z129" s="144">
        <f>SUMIFS('март 2026'!$G$2:$G$2701,'март 2026'!$D$2:$D$2701,$B129,'март 2026'!$J$2:$J$2701,Z$1)</f>
        <v>0</v>
      </c>
      <c r="AA129" s="144">
        <f>SUMIFS('март 2026'!$G$2:$G$2701,'март 2026'!$D$2:$D$2701,$B129,'март 2026'!$J$2:$J$2701,AA$1)</f>
        <v>0</v>
      </c>
      <c r="AB129" s="144">
        <f>SUMIFS('март 2026'!$G$2:$G$2701,'март 2026'!$D$2:$D$2701,$B129,'март 2026'!$J$2:$J$2701,AB$1)</f>
        <v>0</v>
      </c>
      <c r="AC129" s="144">
        <f>SUMIFS('март 2026'!$G$2:$G$2701,'март 2026'!$D$2:$D$2701,$B129,'март 2026'!$J$2:$J$2701,AC$1)</f>
        <v>0</v>
      </c>
      <c r="AD129" s="144">
        <f>SUMIFS('март 2026'!$G$2:$G$2701,'март 2026'!$D$2:$D$2701,$B129,'март 2026'!$J$2:$J$2701,AD$1)</f>
        <v>0</v>
      </c>
      <c r="AE129" s="144">
        <f>SUMIFS('март 2026'!$G$2:$G$2701,'март 2026'!$D$2:$D$2701,$B129,'март 2026'!$J$2:$J$2701,AE$1)</f>
        <v>0</v>
      </c>
      <c r="AF129" s="144">
        <f>SUMIFS('март 2026'!$G$2:$G$2701,'март 2026'!$D$2:$D$2701,$B129,'март 2026'!$J$2:$J$2701,AF$1)</f>
        <v>0</v>
      </c>
      <c r="AG129" s="144">
        <f>SUMIFS('март 2026'!$G$2:$G$2701,'март 2026'!$D$2:$D$2701,$B129,'март 2026'!$J$2:$J$2701,AG$1)</f>
        <v>0</v>
      </c>
      <c r="AH129" s="144">
        <f>SUMIFS('март 2026'!$G$2:$G$2701,'март 2026'!$D$2:$D$2701,$B129,'март 2026'!$J$2:$J$2701,AH$1)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SUMIFS('март 2026'!$G$2:$G$2701,'март 2026'!$D$2:$D$2701,$B130,'март 2026'!$J$2:$J$2701,D$1)</f>
        <v>0</v>
      </c>
      <c r="E130" s="144">
        <f>SUMIFS('март 2026'!$G$2:$G$2701,'март 2026'!$D$2:$D$2701,$B130,'март 2026'!$J$2:$J$2701,E$1)</f>
        <v>0</v>
      </c>
      <c r="F130" s="144">
        <f>SUMIFS('март 2026'!$G$2:$G$2701,'март 2026'!$D$2:$D$2701,$B130,'март 2026'!$J$2:$J$2701,F$1)</f>
        <v>0</v>
      </c>
      <c r="G130" s="144">
        <f>SUMIFS('март 2026'!$G$2:$G$2701,'март 2026'!$D$2:$D$2701,$B130,'март 2026'!$J$2:$J$2701,G$1)</f>
        <v>0</v>
      </c>
      <c r="H130" s="144">
        <f>SUMIFS('март 2026'!$G$2:$G$2701,'март 2026'!$D$2:$D$2701,$B130,'март 2026'!$J$2:$J$2701,H$1)</f>
        <v>0</v>
      </c>
      <c r="I130" s="144">
        <f>SUMIFS('март 2026'!$G$2:$G$2701,'март 2026'!$D$2:$D$2701,$B130,'март 2026'!$J$2:$J$2701,I$1)</f>
        <v>0</v>
      </c>
      <c r="J130" s="144">
        <f>SUMIFS('март 2026'!$G$2:$G$2701,'март 2026'!$D$2:$D$2701,$B130,'март 2026'!$J$2:$J$2701,J$1)</f>
        <v>0</v>
      </c>
      <c r="K130" s="144">
        <f>SUMIFS('март 2026'!$G$2:$G$2701,'март 2026'!$D$2:$D$2701,$B130,'март 2026'!$J$2:$J$2701,K$1)</f>
        <v>0</v>
      </c>
      <c r="L130" s="144">
        <f>SUMIFS('март 2026'!$G$2:$G$2701,'март 2026'!$D$2:$D$2701,$B130,'март 2026'!$J$2:$J$2701,L$1)</f>
        <v>0</v>
      </c>
      <c r="M130" s="144">
        <f>SUMIFS('март 2026'!$G$2:$G$2701,'март 2026'!$D$2:$D$2701,$B130,'март 2026'!$J$2:$J$2701,M$1)</f>
        <v>0</v>
      </c>
      <c r="N130" s="144">
        <f>SUMIFS('март 2026'!$G$2:$G$2701,'март 2026'!$D$2:$D$2701,$B130,'март 2026'!$J$2:$J$2701,N$1)</f>
        <v>0</v>
      </c>
      <c r="O130" s="144">
        <f>SUMIFS('март 2026'!$G$2:$G$2701,'март 2026'!$D$2:$D$2701,$B130,'март 2026'!$J$2:$J$2701,O$1)</f>
        <v>0</v>
      </c>
      <c r="P130" s="144">
        <f>SUMIFS('март 2026'!$G$2:$G$2701,'март 2026'!$D$2:$D$2701,$B130,'март 2026'!$J$2:$J$2701,P$1)</f>
        <v>0</v>
      </c>
      <c r="Q130" s="144">
        <f>SUMIFS('март 2026'!$G$2:$G$2701,'март 2026'!$D$2:$D$2701,$B130,'март 2026'!$J$2:$J$2701,Q$1)</f>
        <v>0</v>
      </c>
      <c r="R130" s="144">
        <f>SUMIFS('март 2026'!$G$2:$G$2701,'март 2026'!$D$2:$D$2701,$B130,'март 2026'!$J$2:$J$2701,R$1)</f>
        <v>0</v>
      </c>
      <c r="S130" s="144">
        <f>SUMIFS('март 2026'!$G$2:$G$2701,'март 2026'!$D$2:$D$2701,$B130,'март 2026'!$J$2:$J$2701,S$1)</f>
        <v>0</v>
      </c>
      <c r="T130" s="144">
        <f>SUMIFS('март 2026'!$G$2:$G$2701,'март 2026'!$D$2:$D$2701,$B130,'март 2026'!$J$2:$J$2701,T$1)</f>
        <v>0</v>
      </c>
      <c r="U130" s="144">
        <f>SUMIFS('март 2026'!$G$2:$G$2701,'март 2026'!$D$2:$D$2701,$B130,'март 2026'!$J$2:$J$2701,U$1)</f>
        <v>0</v>
      </c>
      <c r="V130" s="144">
        <f>SUMIFS('март 2026'!$G$2:$G$2701,'март 2026'!$D$2:$D$2701,$B130,'март 2026'!$J$2:$J$2701,V$1)</f>
        <v>0</v>
      </c>
      <c r="W130" s="144">
        <f>SUMIFS('март 2026'!$G$2:$G$2701,'март 2026'!$D$2:$D$2701,$B130,'март 2026'!$J$2:$J$2701,W$1)</f>
        <v>0</v>
      </c>
      <c r="X130" s="144">
        <f>SUMIFS('март 2026'!$G$2:$G$2701,'март 2026'!$D$2:$D$2701,$B130,'март 2026'!$J$2:$J$2701,X$1)</f>
        <v>0</v>
      </c>
      <c r="Y130" s="144">
        <f>SUMIFS('март 2026'!$G$2:$G$2701,'март 2026'!$D$2:$D$2701,$B130,'март 2026'!$J$2:$J$2701,Y$1)</f>
        <v>0</v>
      </c>
      <c r="Z130" s="144">
        <f>SUMIFS('март 2026'!$G$2:$G$2701,'март 2026'!$D$2:$D$2701,$B130,'март 2026'!$J$2:$J$2701,Z$1)</f>
        <v>0</v>
      </c>
      <c r="AA130" s="144">
        <f>SUMIFS('март 2026'!$G$2:$G$2701,'март 2026'!$D$2:$D$2701,$B130,'март 2026'!$J$2:$J$2701,AA$1)</f>
        <v>0</v>
      </c>
      <c r="AB130" s="144">
        <f>SUMIFS('март 2026'!$G$2:$G$2701,'март 2026'!$D$2:$D$2701,$B130,'март 2026'!$J$2:$J$2701,AB$1)</f>
        <v>0</v>
      </c>
      <c r="AC130" s="144">
        <f>SUMIFS('март 2026'!$G$2:$G$2701,'март 2026'!$D$2:$D$2701,$B130,'март 2026'!$J$2:$J$2701,AC$1)</f>
        <v>0</v>
      </c>
      <c r="AD130" s="144">
        <f>SUMIFS('март 2026'!$G$2:$G$2701,'март 2026'!$D$2:$D$2701,$B130,'март 2026'!$J$2:$J$2701,AD$1)</f>
        <v>0</v>
      </c>
      <c r="AE130" s="144">
        <f>SUMIFS('март 2026'!$G$2:$G$2701,'март 2026'!$D$2:$D$2701,$B130,'март 2026'!$J$2:$J$2701,AE$1)</f>
        <v>0</v>
      </c>
      <c r="AF130" s="144">
        <f>SUMIFS('март 2026'!$G$2:$G$2701,'март 2026'!$D$2:$D$2701,$B130,'март 2026'!$J$2:$J$2701,AF$1)</f>
        <v>0</v>
      </c>
      <c r="AG130" s="144">
        <f>SUMIFS('март 2026'!$G$2:$G$2701,'март 2026'!$D$2:$D$2701,$B130,'март 2026'!$J$2:$J$2701,AG$1)</f>
        <v>0</v>
      </c>
      <c r="AH130" s="144">
        <f>SUMIFS('март 2026'!$G$2:$G$2701,'март 2026'!$D$2:$D$2701,$B130,'март 2026'!$J$2:$J$2701,AH$1)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SUMIFS('март 2026'!$G$2:$G$2701,'март 2026'!$D$2:$D$2701,$B131,'март 2026'!$J$2:$J$2701,D$1)</f>
        <v>0</v>
      </c>
      <c r="E131" s="144">
        <f>SUMIFS('март 2026'!$G$2:$G$2701,'март 2026'!$D$2:$D$2701,$B131,'март 2026'!$J$2:$J$2701,E$1)</f>
        <v>0</v>
      </c>
      <c r="F131" s="144">
        <f>SUMIFS('март 2026'!$G$2:$G$2701,'март 2026'!$D$2:$D$2701,$B131,'март 2026'!$J$2:$J$2701,F$1)</f>
        <v>0</v>
      </c>
      <c r="G131" s="144">
        <f>SUMIFS('март 2026'!$G$2:$G$2701,'март 2026'!$D$2:$D$2701,$B131,'март 2026'!$J$2:$J$2701,G$1)</f>
        <v>0</v>
      </c>
      <c r="H131" s="144">
        <f>SUMIFS('март 2026'!$G$2:$G$2701,'март 2026'!$D$2:$D$2701,$B131,'март 2026'!$J$2:$J$2701,H$1)</f>
        <v>0</v>
      </c>
      <c r="I131" s="144">
        <f>SUMIFS('март 2026'!$G$2:$G$2701,'март 2026'!$D$2:$D$2701,$B131,'март 2026'!$J$2:$J$2701,I$1)</f>
        <v>0</v>
      </c>
      <c r="J131" s="144">
        <f>SUMIFS('март 2026'!$G$2:$G$2701,'март 2026'!$D$2:$D$2701,$B131,'март 2026'!$J$2:$J$2701,J$1)</f>
        <v>0</v>
      </c>
      <c r="K131" s="144">
        <f>SUMIFS('март 2026'!$G$2:$G$2701,'март 2026'!$D$2:$D$2701,$B131,'март 2026'!$J$2:$J$2701,K$1)</f>
        <v>0</v>
      </c>
      <c r="L131" s="144">
        <f>SUMIFS('март 2026'!$G$2:$G$2701,'март 2026'!$D$2:$D$2701,$B131,'март 2026'!$J$2:$J$2701,L$1)</f>
        <v>0</v>
      </c>
      <c r="M131" s="144">
        <f>SUMIFS('март 2026'!$G$2:$G$2701,'март 2026'!$D$2:$D$2701,$B131,'март 2026'!$J$2:$J$2701,M$1)</f>
        <v>88</v>
      </c>
      <c r="N131" s="144">
        <f>SUMIFS('март 2026'!$G$2:$G$2701,'март 2026'!$D$2:$D$2701,$B131,'март 2026'!$J$2:$J$2701,N$1)</f>
        <v>0</v>
      </c>
      <c r="O131" s="144">
        <f>SUMIFS('март 2026'!$G$2:$G$2701,'март 2026'!$D$2:$D$2701,$B131,'март 2026'!$J$2:$J$2701,O$1)</f>
        <v>0</v>
      </c>
      <c r="P131" s="144">
        <f>SUMIFS('март 2026'!$G$2:$G$2701,'март 2026'!$D$2:$D$2701,$B131,'март 2026'!$J$2:$J$2701,P$1)</f>
        <v>0</v>
      </c>
      <c r="Q131" s="144">
        <f>SUMIFS('март 2026'!$G$2:$G$2701,'март 2026'!$D$2:$D$2701,$B131,'март 2026'!$J$2:$J$2701,Q$1)</f>
        <v>0</v>
      </c>
      <c r="R131" s="144">
        <f>SUMIFS('март 2026'!$G$2:$G$2701,'март 2026'!$D$2:$D$2701,$B131,'март 2026'!$J$2:$J$2701,R$1)</f>
        <v>0</v>
      </c>
      <c r="S131" s="144">
        <f>SUMIFS('март 2026'!$G$2:$G$2701,'март 2026'!$D$2:$D$2701,$B131,'март 2026'!$J$2:$J$2701,S$1)</f>
        <v>0</v>
      </c>
      <c r="T131" s="144">
        <f>SUMIFS('март 2026'!$G$2:$G$2701,'март 2026'!$D$2:$D$2701,$B131,'март 2026'!$J$2:$J$2701,T$1)</f>
        <v>0</v>
      </c>
      <c r="U131" s="144">
        <f>SUMIFS('март 2026'!$G$2:$G$2701,'март 2026'!$D$2:$D$2701,$B131,'март 2026'!$J$2:$J$2701,U$1)</f>
        <v>0</v>
      </c>
      <c r="V131" s="144">
        <f>SUMIFS('март 2026'!$G$2:$G$2701,'март 2026'!$D$2:$D$2701,$B131,'март 2026'!$J$2:$J$2701,V$1)</f>
        <v>0</v>
      </c>
      <c r="W131" s="144">
        <f>SUMIFS('март 2026'!$G$2:$G$2701,'март 2026'!$D$2:$D$2701,$B131,'март 2026'!$J$2:$J$2701,W$1)</f>
        <v>0</v>
      </c>
      <c r="X131" s="144">
        <f>SUMIFS('март 2026'!$G$2:$G$2701,'март 2026'!$D$2:$D$2701,$B131,'март 2026'!$J$2:$J$2701,X$1)</f>
        <v>0</v>
      </c>
      <c r="Y131" s="144">
        <f>SUMIFS('март 2026'!$G$2:$G$2701,'март 2026'!$D$2:$D$2701,$B131,'март 2026'!$J$2:$J$2701,Y$1)</f>
        <v>0</v>
      </c>
      <c r="Z131" s="144">
        <f>SUMIFS('март 2026'!$G$2:$G$2701,'март 2026'!$D$2:$D$2701,$B131,'март 2026'!$J$2:$J$2701,Z$1)</f>
        <v>0</v>
      </c>
      <c r="AA131" s="144">
        <f>SUMIFS('март 2026'!$G$2:$G$2701,'март 2026'!$D$2:$D$2701,$B131,'март 2026'!$J$2:$J$2701,AA$1)</f>
        <v>0</v>
      </c>
      <c r="AB131" s="144">
        <f>SUMIFS('март 2026'!$G$2:$G$2701,'март 2026'!$D$2:$D$2701,$B131,'март 2026'!$J$2:$J$2701,AB$1)</f>
        <v>80</v>
      </c>
      <c r="AC131" s="144">
        <f>SUMIFS('март 2026'!$G$2:$G$2701,'март 2026'!$D$2:$D$2701,$B131,'март 2026'!$J$2:$J$2701,AC$1)</f>
        <v>0</v>
      </c>
      <c r="AD131" s="144">
        <f>SUMIFS('март 2026'!$G$2:$G$2701,'март 2026'!$D$2:$D$2701,$B131,'март 2026'!$J$2:$J$2701,AD$1)</f>
        <v>0</v>
      </c>
      <c r="AE131" s="144">
        <f>SUMIFS('март 2026'!$G$2:$G$2701,'март 2026'!$D$2:$D$2701,$B131,'март 2026'!$J$2:$J$2701,AE$1)</f>
        <v>0</v>
      </c>
      <c r="AF131" s="144">
        <f>SUMIFS('март 2026'!$G$2:$G$2701,'март 2026'!$D$2:$D$2701,$B131,'март 2026'!$J$2:$J$2701,AF$1)</f>
        <v>0</v>
      </c>
      <c r="AG131" s="144">
        <f>SUMIFS('март 2026'!$G$2:$G$2701,'март 2026'!$D$2:$D$2701,$B131,'март 2026'!$J$2:$J$2701,AG$1)</f>
        <v>0</v>
      </c>
      <c r="AH131" s="144">
        <f>SUMIFS('март 2026'!$G$2:$G$2701,'март 2026'!$D$2:$D$2701,$B131,'март 2026'!$J$2:$J$2701,AH$1)</f>
        <v>0</v>
      </c>
      <c r="AI131" s="20">
        <f t="shared" si="1"/>
        <v>168</v>
      </c>
    </row>
    <row r="132" spans="2:35" ht="15" customHeight="1" x14ac:dyDescent="0.25">
      <c r="B132" s="85" t="s">
        <v>297</v>
      </c>
      <c r="C132" s="83">
        <v>200</v>
      </c>
      <c r="D132" s="144">
        <f>SUMIFS('март 2026'!$G$2:$G$2701,'март 2026'!$D$2:$D$2701,$B132,'март 2026'!$J$2:$J$2701,D$1)</f>
        <v>0</v>
      </c>
      <c r="E132" s="144">
        <f>SUMIFS('март 2026'!$G$2:$G$2701,'март 2026'!$D$2:$D$2701,$B132,'март 2026'!$J$2:$J$2701,E$1)</f>
        <v>0</v>
      </c>
      <c r="F132" s="144">
        <f>SUMIFS('март 2026'!$G$2:$G$2701,'март 2026'!$D$2:$D$2701,$B132,'март 2026'!$J$2:$J$2701,F$1)</f>
        <v>0</v>
      </c>
      <c r="G132" s="144">
        <f>SUMIFS('март 2026'!$G$2:$G$2701,'март 2026'!$D$2:$D$2701,$B132,'март 2026'!$J$2:$J$2701,G$1)</f>
        <v>0</v>
      </c>
      <c r="H132" s="144">
        <f>SUMIFS('март 2026'!$G$2:$G$2701,'март 2026'!$D$2:$D$2701,$B132,'март 2026'!$J$2:$J$2701,H$1)</f>
        <v>0</v>
      </c>
      <c r="I132" s="144">
        <f>SUMIFS('март 2026'!$G$2:$G$2701,'март 2026'!$D$2:$D$2701,$B132,'март 2026'!$J$2:$J$2701,I$1)</f>
        <v>0</v>
      </c>
      <c r="J132" s="144">
        <f>SUMIFS('март 2026'!$G$2:$G$2701,'март 2026'!$D$2:$D$2701,$B132,'март 2026'!$J$2:$J$2701,J$1)</f>
        <v>0</v>
      </c>
      <c r="K132" s="144">
        <f>SUMIFS('март 2026'!$G$2:$G$2701,'март 2026'!$D$2:$D$2701,$B132,'март 2026'!$J$2:$J$2701,K$1)</f>
        <v>0</v>
      </c>
      <c r="L132" s="144">
        <f>SUMIFS('март 2026'!$G$2:$G$2701,'март 2026'!$D$2:$D$2701,$B132,'март 2026'!$J$2:$J$2701,L$1)</f>
        <v>0</v>
      </c>
      <c r="M132" s="144">
        <f>SUMIFS('март 2026'!$G$2:$G$2701,'март 2026'!$D$2:$D$2701,$B132,'март 2026'!$J$2:$J$2701,M$1)</f>
        <v>0</v>
      </c>
      <c r="N132" s="144">
        <f>SUMIFS('март 2026'!$G$2:$G$2701,'март 2026'!$D$2:$D$2701,$B132,'март 2026'!$J$2:$J$2701,N$1)</f>
        <v>0</v>
      </c>
      <c r="O132" s="144">
        <f>SUMIFS('март 2026'!$G$2:$G$2701,'март 2026'!$D$2:$D$2701,$B132,'март 2026'!$J$2:$J$2701,O$1)</f>
        <v>0</v>
      </c>
      <c r="P132" s="144">
        <f>SUMIFS('март 2026'!$G$2:$G$2701,'март 2026'!$D$2:$D$2701,$B132,'март 2026'!$J$2:$J$2701,P$1)</f>
        <v>0</v>
      </c>
      <c r="Q132" s="144">
        <f>SUMIFS('март 2026'!$G$2:$G$2701,'март 2026'!$D$2:$D$2701,$B132,'март 2026'!$J$2:$J$2701,Q$1)</f>
        <v>0</v>
      </c>
      <c r="R132" s="144">
        <f>SUMIFS('март 2026'!$G$2:$G$2701,'март 2026'!$D$2:$D$2701,$B132,'март 2026'!$J$2:$J$2701,R$1)</f>
        <v>0</v>
      </c>
      <c r="S132" s="144">
        <f>SUMIFS('март 2026'!$G$2:$G$2701,'март 2026'!$D$2:$D$2701,$B132,'март 2026'!$J$2:$J$2701,S$1)</f>
        <v>0</v>
      </c>
      <c r="T132" s="144">
        <f>SUMIFS('март 2026'!$G$2:$G$2701,'март 2026'!$D$2:$D$2701,$B132,'март 2026'!$J$2:$J$2701,T$1)</f>
        <v>0</v>
      </c>
      <c r="U132" s="144">
        <f>SUMIFS('март 2026'!$G$2:$G$2701,'март 2026'!$D$2:$D$2701,$B132,'март 2026'!$J$2:$J$2701,U$1)</f>
        <v>0</v>
      </c>
      <c r="V132" s="144">
        <f>SUMIFS('март 2026'!$G$2:$G$2701,'март 2026'!$D$2:$D$2701,$B132,'март 2026'!$J$2:$J$2701,V$1)</f>
        <v>0</v>
      </c>
      <c r="W132" s="144">
        <f>SUMIFS('март 2026'!$G$2:$G$2701,'март 2026'!$D$2:$D$2701,$B132,'март 2026'!$J$2:$J$2701,W$1)</f>
        <v>0</v>
      </c>
      <c r="X132" s="144">
        <f>SUMIFS('март 2026'!$G$2:$G$2701,'март 2026'!$D$2:$D$2701,$B132,'март 2026'!$J$2:$J$2701,X$1)</f>
        <v>0</v>
      </c>
      <c r="Y132" s="144">
        <f>SUMIFS('март 2026'!$G$2:$G$2701,'март 2026'!$D$2:$D$2701,$B132,'март 2026'!$J$2:$J$2701,Y$1)</f>
        <v>0</v>
      </c>
      <c r="Z132" s="144">
        <f>SUMIFS('март 2026'!$G$2:$G$2701,'март 2026'!$D$2:$D$2701,$B132,'март 2026'!$J$2:$J$2701,Z$1)</f>
        <v>0</v>
      </c>
      <c r="AA132" s="144">
        <f>SUMIFS('март 2026'!$G$2:$G$2701,'март 2026'!$D$2:$D$2701,$B132,'март 2026'!$J$2:$J$2701,AA$1)</f>
        <v>0</v>
      </c>
      <c r="AB132" s="144">
        <f>SUMIFS('март 2026'!$G$2:$G$2701,'март 2026'!$D$2:$D$2701,$B132,'март 2026'!$J$2:$J$2701,AB$1)</f>
        <v>0</v>
      </c>
      <c r="AC132" s="144">
        <f>SUMIFS('март 2026'!$G$2:$G$2701,'март 2026'!$D$2:$D$2701,$B132,'март 2026'!$J$2:$J$2701,AC$1)</f>
        <v>0</v>
      </c>
      <c r="AD132" s="144">
        <f>SUMIFS('март 2026'!$G$2:$G$2701,'март 2026'!$D$2:$D$2701,$B132,'март 2026'!$J$2:$J$2701,AD$1)</f>
        <v>0</v>
      </c>
      <c r="AE132" s="144">
        <f>SUMIFS('март 2026'!$G$2:$G$2701,'март 2026'!$D$2:$D$2701,$B132,'март 2026'!$J$2:$J$2701,AE$1)</f>
        <v>0</v>
      </c>
      <c r="AF132" s="144">
        <f>SUMIFS('март 2026'!$G$2:$G$2701,'март 2026'!$D$2:$D$2701,$B132,'март 2026'!$J$2:$J$2701,AF$1)</f>
        <v>0</v>
      </c>
      <c r="AG132" s="144">
        <f>SUMIFS('март 2026'!$G$2:$G$2701,'март 2026'!$D$2:$D$2701,$B132,'март 2026'!$J$2:$J$2701,AG$1)</f>
        <v>0</v>
      </c>
      <c r="AH132" s="144">
        <f>SUMIFS('март 2026'!$G$2:$G$2701,'март 2026'!$D$2:$D$2701,$B132,'март 2026'!$J$2:$J$2701,AH$1)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SUMIFS('март 2026'!$G$2:$G$2701,'март 2026'!$D$2:$D$2701,$B133,'март 2026'!$J$2:$J$2701,D$1)</f>
        <v>0</v>
      </c>
      <c r="E133" s="144">
        <f>SUMIFS('март 2026'!$G$2:$G$2701,'март 2026'!$D$2:$D$2701,$B133,'март 2026'!$J$2:$J$2701,E$1)</f>
        <v>0</v>
      </c>
      <c r="F133" s="144">
        <f>SUMIFS('март 2026'!$G$2:$G$2701,'март 2026'!$D$2:$D$2701,$B133,'март 2026'!$J$2:$J$2701,F$1)</f>
        <v>0</v>
      </c>
      <c r="G133" s="144">
        <f>SUMIFS('март 2026'!$G$2:$G$2701,'март 2026'!$D$2:$D$2701,$B133,'март 2026'!$J$2:$J$2701,G$1)</f>
        <v>0</v>
      </c>
      <c r="H133" s="144">
        <f>SUMIFS('март 2026'!$G$2:$G$2701,'март 2026'!$D$2:$D$2701,$B133,'март 2026'!$J$2:$J$2701,H$1)</f>
        <v>0</v>
      </c>
      <c r="I133" s="144">
        <f>SUMIFS('март 2026'!$G$2:$G$2701,'март 2026'!$D$2:$D$2701,$B133,'март 2026'!$J$2:$J$2701,I$1)</f>
        <v>0</v>
      </c>
      <c r="J133" s="144">
        <f>SUMIFS('март 2026'!$G$2:$G$2701,'март 2026'!$D$2:$D$2701,$B133,'март 2026'!$J$2:$J$2701,J$1)</f>
        <v>0</v>
      </c>
      <c r="K133" s="144">
        <f>SUMIFS('март 2026'!$G$2:$G$2701,'март 2026'!$D$2:$D$2701,$B133,'март 2026'!$J$2:$J$2701,K$1)</f>
        <v>0</v>
      </c>
      <c r="L133" s="144">
        <f>SUMIFS('март 2026'!$G$2:$G$2701,'март 2026'!$D$2:$D$2701,$B133,'март 2026'!$J$2:$J$2701,L$1)</f>
        <v>0</v>
      </c>
      <c r="M133" s="144">
        <f>SUMIFS('март 2026'!$G$2:$G$2701,'март 2026'!$D$2:$D$2701,$B133,'март 2026'!$J$2:$J$2701,M$1)</f>
        <v>0</v>
      </c>
      <c r="N133" s="144">
        <f>SUMIFS('март 2026'!$G$2:$G$2701,'март 2026'!$D$2:$D$2701,$B133,'март 2026'!$J$2:$J$2701,N$1)</f>
        <v>0</v>
      </c>
      <c r="O133" s="144">
        <f>SUMIFS('март 2026'!$G$2:$G$2701,'март 2026'!$D$2:$D$2701,$B133,'март 2026'!$J$2:$J$2701,O$1)</f>
        <v>0</v>
      </c>
      <c r="P133" s="144">
        <f>SUMIFS('март 2026'!$G$2:$G$2701,'март 2026'!$D$2:$D$2701,$B133,'март 2026'!$J$2:$J$2701,P$1)</f>
        <v>0</v>
      </c>
      <c r="Q133" s="144">
        <f>SUMIFS('март 2026'!$G$2:$G$2701,'март 2026'!$D$2:$D$2701,$B133,'март 2026'!$J$2:$J$2701,Q$1)</f>
        <v>0</v>
      </c>
      <c r="R133" s="144">
        <f>SUMIFS('март 2026'!$G$2:$G$2701,'март 2026'!$D$2:$D$2701,$B133,'март 2026'!$J$2:$J$2701,R$1)</f>
        <v>0</v>
      </c>
      <c r="S133" s="144">
        <f>SUMIFS('март 2026'!$G$2:$G$2701,'март 2026'!$D$2:$D$2701,$B133,'март 2026'!$J$2:$J$2701,S$1)</f>
        <v>0</v>
      </c>
      <c r="T133" s="144">
        <f>SUMIFS('март 2026'!$G$2:$G$2701,'март 2026'!$D$2:$D$2701,$B133,'март 2026'!$J$2:$J$2701,T$1)</f>
        <v>0</v>
      </c>
      <c r="U133" s="144">
        <f>SUMIFS('март 2026'!$G$2:$G$2701,'март 2026'!$D$2:$D$2701,$B133,'март 2026'!$J$2:$J$2701,U$1)</f>
        <v>0</v>
      </c>
      <c r="V133" s="144">
        <f>SUMIFS('март 2026'!$G$2:$G$2701,'март 2026'!$D$2:$D$2701,$B133,'март 2026'!$J$2:$J$2701,V$1)</f>
        <v>0</v>
      </c>
      <c r="W133" s="144">
        <f>SUMIFS('март 2026'!$G$2:$G$2701,'март 2026'!$D$2:$D$2701,$B133,'март 2026'!$J$2:$J$2701,W$1)</f>
        <v>0</v>
      </c>
      <c r="X133" s="144">
        <f>SUMIFS('март 2026'!$G$2:$G$2701,'март 2026'!$D$2:$D$2701,$B133,'март 2026'!$J$2:$J$2701,X$1)</f>
        <v>0</v>
      </c>
      <c r="Y133" s="144">
        <f>SUMIFS('март 2026'!$G$2:$G$2701,'март 2026'!$D$2:$D$2701,$B133,'март 2026'!$J$2:$J$2701,Y$1)</f>
        <v>0</v>
      </c>
      <c r="Z133" s="144">
        <f>SUMIFS('март 2026'!$G$2:$G$2701,'март 2026'!$D$2:$D$2701,$B133,'март 2026'!$J$2:$J$2701,Z$1)</f>
        <v>0</v>
      </c>
      <c r="AA133" s="144">
        <f>SUMIFS('март 2026'!$G$2:$G$2701,'март 2026'!$D$2:$D$2701,$B133,'март 2026'!$J$2:$J$2701,AA$1)</f>
        <v>0</v>
      </c>
      <c r="AB133" s="144">
        <f>SUMIFS('март 2026'!$G$2:$G$2701,'март 2026'!$D$2:$D$2701,$B133,'март 2026'!$J$2:$J$2701,AB$1)</f>
        <v>0</v>
      </c>
      <c r="AC133" s="144">
        <f>SUMIFS('март 2026'!$G$2:$G$2701,'март 2026'!$D$2:$D$2701,$B133,'март 2026'!$J$2:$J$2701,AC$1)</f>
        <v>0</v>
      </c>
      <c r="AD133" s="144">
        <f>SUMIFS('март 2026'!$G$2:$G$2701,'март 2026'!$D$2:$D$2701,$B133,'март 2026'!$J$2:$J$2701,AD$1)</f>
        <v>0</v>
      </c>
      <c r="AE133" s="144">
        <f>SUMIFS('март 2026'!$G$2:$G$2701,'март 2026'!$D$2:$D$2701,$B133,'март 2026'!$J$2:$J$2701,AE$1)</f>
        <v>0</v>
      </c>
      <c r="AF133" s="144">
        <f>SUMIFS('март 2026'!$G$2:$G$2701,'март 2026'!$D$2:$D$2701,$B133,'март 2026'!$J$2:$J$2701,AF$1)</f>
        <v>0</v>
      </c>
      <c r="AG133" s="144">
        <f>SUMIFS('март 2026'!$G$2:$G$2701,'март 2026'!$D$2:$D$2701,$B133,'март 2026'!$J$2:$J$2701,AG$1)</f>
        <v>0</v>
      </c>
      <c r="AH133" s="144">
        <f>SUMIFS('март 2026'!$G$2:$G$2701,'март 2026'!$D$2:$D$2701,$B133,'март 2026'!$J$2:$J$2701,AH$1)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SUMIFS('март 2026'!$G$2:$G$2701,'март 2026'!$D$2:$D$2701,$B134,'март 2026'!$J$2:$J$2701,D$1)</f>
        <v>0</v>
      </c>
      <c r="E134" s="144">
        <f>SUMIFS('март 2026'!$G$2:$G$2701,'март 2026'!$D$2:$D$2701,$B134,'март 2026'!$J$2:$J$2701,E$1)</f>
        <v>0</v>
      </c>
      <c r="F134" s="144">
        <f>SUMIFS('март 2026'!$G$2:$G$2701,'март 2026'!$D$2:$D$2701,$B134,'март 2026'!$J$2:$J$2701,F$1)</f>
        <v>0</v>
      </c>
      <c r="G134" s="144">
        <f>SUMIFS('март 2026'!$G$2:$G$2701,'март 2026'!$D$2:$D$2701,$B134,'март 2026'!$J$2:$J$2701,G$1)</f>
        <v>0</v>
      </c>
      <c r="H134" s="144">
        <f>SUMIFS('март 2026'!$G$2:$G$2701,'март 2026'!$D$2:$D$2701,$B134,'март 2026'!$J$2:$J$2701,H$1)</f>
        <v>0</v>
      </c>
      <c r="I134" s="144">
        <f>SUMIFS('март 2026'!$G$2:$G$2701,'март 2026'!$D$2:$D$2701,$B134,'март 2026'!$J$2:$J$2701,I$1)</f>
        <v>0</v>
      </c>
      <c r="J134" s="144">
        <f>SUMIFS('март 2026'!$G$2:$G$2701,'март 2026'!$D$2:$D$2701,$B134,'март 2026'!$J$2:$J$2701,J$1)</f>
        <v>0</v>
      </c>
      <c r="K134" s="144">
        <f>SUMIFS('март 2026'!$G$2:$G$2701,'март 2026'!$D$2:$D$2701,$B134,'март 2026'!$J$2:$J$2701,K$1)</f>
        <v>0</v>
      </c>
      <c r="L134" s="144">
        <f>SUMIFS('март 2026'!$G$2:$G$2701,'март 2026'!$D$2:$D$2701,$B134,'март 2026'!$J$2:$J$2701,L$1)</f>
        <v>0</v>
      </c>
      <c r="M134" s="144">
        <f>SUMIFS('март 2026'!$G$2:$G$2701,'март 2026'!$D$2:$D$2701,$B134,'март 2026'!$J$2:$J$2701,M$1)</f>
        <v>0</v>
      </c>
      <c r="N134" s="144">
        <f>SUMIFS('март 2026'!$G$2:$G$2701,'март 2026'!$D$2:$D$2701,$B134,'март 2026'!$J$2:$J$2701,N$1)</f>
        <v>0</v>
      </c>
      <c r="O134" s="144">
        <f>SUMIFS('март 2026'!$G$2:$G$2701,'март 2026'!$D$2:$D$2701,$B134,'март 2026'!$J$2:$J$2701,O$1)</f>
        <v>0</v>
      </c>
      <c r="P134" s="144">
        <f>SUMIFS('март 2026'!$G$2:$G$2701,'март 2026'!$D$2:$D$2701,$B134,'март 2026'!$J$2:$J$2701,P$1)</f>
        <v>0</v>
      </c>
      <c r="Q134" s="144">
        <f>SUMIFS('март 2026'!$G$2:$G$2701,'март 2026'!$D$2:$D$2701,$B134,'март 2026'!$J$2:$J$2701,Q$1)</f>
        <v>0</v>
      </c>
      <c r="R134" s="144">
        <f>SUMIFS('март 2026'!$G$2:$G$2701,'март 2026'!$D$2:$D$2701,$B134,'март 2026'!$J$2:$J$2701,R$1)</f>
        <v>0</v>
      </c>
      <c r="S134" s="144">
        <f>SUMIFS('март 2026'!$G$2:$G$2701,'март 2026'!$D$2:$D$2701,$B134,'март 2026'!$J$2:$J$2701,S$1)</f>
        <v>0</v>
      </c>
      <c r="T134" s="144">
        <f>SUMIFS('март 2026'!$G$2:$G$2701,'март 2026'!$D$2:$D$2701,$B134,'март 2026'!$J$2:$J$2701,T$1)</f>
        <v>0</v>
      </c>
      <c r="U134" s="144">
        <f>SUMIFS('март 2026'!$G$2:$G$2701,'март 2026'!$D$2:$D$2701,$B134,'март 2026'!$J$2:$J$2701,U$1)</f>
        <v>0</v>
      </c>
      <c r="V134" s="144">
        <f>SUMIFS('март 2026'!$G$2:$G$2701,'март 2026'!$D$2:$D$2701,$B134,'март 2026'!$J$2:$J$2701,V$1)</f>
        <v>0</v>
      </c>
      <c r="W134" s="144">
        <f>SUMIFS('март 2026'!$G$2:$G$2701,'март 2026'!$D$2:$D$2701,$B134,'март 2026'!$J$2:$J$2701,W$1)</f>
        <v>0</v>
      </c>
      <c r="X134" s="144">
        <f>SUMIFS('март 2026'!$G$2:$G$2701,'март 2026'!$D$2:$D$2701,$B134,'март 2026'!$J$2:$J$2701,X$1)</f>
        <v>0</v>
      </c>
      <c r="Y134" s="144">
        <f>SUMIFS('март 2026'!$G$2:$G$2701,'март 2026'!$D$2:$D$2701,$B134,'март 2026'!$J$2:$J$2701,Y$1)</f>
        <v>0</v>
      </c>
      <c r="Z134" s="144">
        <f>SUMIFS('март 2026'!$G$2:$G$2701,'март 2026'!$D$2:$D$2701,$B134,'март 2026'!$J$2:$J$2701,Z$1)</f>
        <v>0</v>
      </c>
      <c r="AA134" s="144">
        <f>SUMIFS('март 2026'!$G$2:$G$2701,'март 2026'!$D$2:$D$2701,$B134,'март 2026'!$J$2:$J$2701,AA$1)</f>
        <v>0</v>
      </c>
      <c r="AB134" s="144">
        <f>SUMIFS('март 2026'!$G$2:$G$2701,'март 2026'!$D$2:$D$2701,$B134,'март 2026'!$J$2:$J$2701,AB$1)</f>
        <v>0</v>
      </c>
      <c r="AC134" s="144">
        <f>SUMIFS('март 2026'!$G$2:$G$2701,'март 2026'!$D$2:$D$2701,$B134,'март 2026'!$J$2:$J$2701,AC$1)</f>
        <v>0</v>
      </c>
      <c r="AD134" s="144">
        <f>SUMIFS('март 2026'!$G$2:$G$2701,'март 2026'!$D$2:$D$2701,$B134,'март 2026'!$J$2:$J$2701,AD$1)</f>
        <v>0</v>
      </c>
      <c r="AE134" s="144">
        <f>SUMIFS('март 2026'!$G$2:$G$2701,'март 2026'!$D$2:$D$2701,$B134,'март 2026'!$J$2:$J$2701,AE$1)</f>
        <v>0</v>
      </c>
      <c r="AF134" s="144">
        <f>SUMIFS('март 2026'!$G$2:$G$2701,'март 2026'!$D$2:$D$2701,$B134,'март 2026'!$J$2:$J$2701,AF$1)</f>
        <v>0</v>
      </c>
      <c r="AG134" s="144">
        <f>SUMIFS('март 2026'!$G$2:$G$2701,'март 2026'!$D$2:$D$2701,$B134,'март 2026'!$J$2:$J$2701,AG$1)</f>
        <v>0</v>
      </c>
      <c r="AH134" s="144">
        <f>SUMIFS('март 2026'!$G$2:$G$2701,'март 2026'!$D$2:$D$2701,$B134,'март 2026'!$J$2:$J$2701,AH$1)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SUMIFS('март 2026'!$G$2:$G$2701,'март 2026'!$D$2:$D$2701,$B135,'март 2026'!$J$2:$J$2701,D$1)</f>
        <v>0</v>
      </c>
      <c r="E135" s="144">
        <f>SUMIFS('март 2026'!$G$2:$G$2701,'март 2026'!$D$2:$D$2701,$B135,'март 2026'!$J$2:$J$2701,E$1)</f>
        <v>0</v>
      </c>
      <c r="F135" s="144">
        <f>SUMIFS('март 2026'!$G$2:$G$2701,'март 2026'!$D$2:$D$2701,$B135,'март 2026'!$J$2:$J$2701,F$1)</f>
        <v>0</v>
      </c>
      <c r="G135" s="144">
        <f>SUMIFS('март 2026'!$G$2:$G$2701,'март 2026'!$D$2:$D$2701,$B135,'март 2026'!$J$2:$J$2701,G$1)</f>
        <v>0</v>
      </c>
      <c r="H135" s="144">
        <f>SUMIFS('март 2026'!$G$2:$G$2701,'март 2026'!$D$2:$D$2701,$B135,'март 2026'!$J$2:$J$2701,H$1)</f>
        <v>0</v>
      </c>
      <c r="I135" s="144">
        <f>SUMIFS('март 2026'!$G$2:$G$2701,'март 2026'!$D$2:$D$2701,$B135,'март 2026'!$J$2:$J$2701,I$1)</f>
        <v>0</v>
      </c>
      <c r="J135" s="144">
        <f>SUMIFS('март 2026'!$G$2:$G$2701,'март 2026'!$D$2:$D$2701,$B135,'март 2026'!$J$2:$J$2701,J$1)</f>
        <v>0</v>
      </c>
      <c r="K135" s="144">
        <f>SUMIFS('март 2026'!$G$2:$G$2701,'март 2026'!$D$2:$D$2701,$B135,'март 2026'!$J$2:$J$2701,K$1)</f>
        <v>0</v>
      </c>
      <c r="L135" s="144">
        <f>SUMIFS('март 2026'!$G$2:$G$2701,'март 2026'!$D$2:$D$2701,$B135,'март 2026'!$J$2:$J$2701,L$1)</f>
        <v>0</v>
      </c>
      <c r="M135" s="144">
        <f>SUMIFS('март 2026'!$G$2:$G$2701,'март 2026'!$D$2:$D$2701,$B135,'март 2026'!$J$2:$J$2701,M$1)</f>
        <v>0</v>
      </c>
      <c r="N135" s="144">
        <f>SUMIFS('март 2026'!$G$2:$G$2701,'март 2026'!$D$2:$D$2701,$B135,'март 2026'!$J$2:$J$2701,N$1)</f>
        <v>0</v>
      </c>
      <c r="O135" s="144">
        <f>SUMIFS('март 2026'!$G$2:$G$2701,'март 2026'!$D$2:$D$2701,$B135,'март 2026'!$J$2:$J$2701,O$1)</f>
        <v>0</v>
      </c>
      <c r="P135" s="144">
        <f>SUMIFS('март 2026'!$G$2:$G$2701,'март 2026'!$D$2:$D$2701,$B135,'март 2026'!$J$2:$J$2701,P$1)</f>
        <v>0</v>
      </c>
      <c r="Q135" s="144">
        <f>SUMIFS('март 2026'!$G$2:$G$2701,'март 2026'!$D$2:$D$2701,$B135,'март 2026'!$J$2:$J$2701,Q$1)</f>
        <v>0</v>
      </c>
      <c r="R135" s="144">
        <f>SUMIFS('март 2026'!$G$2:$G$2701,'март 2026'!$D$2:$D$2701,$B135,'март 2026'!$J$2:$J$2701,R$1)</f>
        <v>0</v>
      </c>
      <c r="S135" s="144">
        <f>SUMIFS('март 2026'!$G$2:$G$2701,'март 2026'!$D$2:$D$2701,$B135,'март 2026'!$J$2:$J$2701,S$1)</f>
        <v>0</v>
      </c>
      <c r="T135" s="144">
        <f>SUMIFS('март 2026'!$G$2:$G$2701,'март 2026'!$D$2:$D$2701,$B135,'март 2026'!$J$2:$J$2701,T$1)</f>
        <v>0</v>
      </c>
      <c r="U135" s="144">
        <f>SUMIFS('март 2026'!$G$2:$G$2701,'март 2026'!$D$2:$D$2701,$B135,'март 2026'!$J$2:$J$2701,U$1)</f>
        <v>0</v>
      </c>
      <c r="V135" s="144">
        <f>SUMIFS('март 2026'!$G$2:$G$2701,'март 2026'!$D$2:$D$2701,$B135,'март 2026'!$J$2:$J$2701,V$1)</f>
        <v>0</v>
      </c>
      <c r="W135" s="144">
        <f>SUMIFS('март 2026'!$G$2:$G$2701,'март 2026'!$D$2:$D$2701,$B135,'март 2026'!$J$2:$J$2701,W$1)</f>
        <v>0</v>
      </c>
      <c r="X135" s="144">
        <f>SUMIFS('март 2026'!$G$2:$G$2701,'март 2026'!$D$2:$D$2701,$B135,'март 2026'!$J$2:$J$2701,X$1)</f>
        <v>0</v>
      </c>
      <c r="Y135" s="144">
        <f>SUMIFS('март 2026'!$G$2:$G$2701,'март 2026'!$D$2:$D$2701,$B135,'март 2026'!$J$2:$J$2701,Y$1)</f>
        <v>0</v>
      </c>
      <c r="Z135" s="144">
        <f>SUMIFS('март 2026'!$G$2:$G$2701,'март 2026'!$D$2:$D$2701,$B135,'март 2026'!$J$2:$J$2701,Z$1)</f>
        <v>0</v>
      </c>
      <c r="AA135" s="144">
        <f>SUMIFS('март 2026'!$G$2:$G$2701,'март 2026'!$D$2:$D$2701,$B135,'март 2026'!$J$2:$J$2701,AA$1)</f>
        <v>0</v>
      </c>
      <c r="AB135" s="144">
        <f>SUMIFS('март 2026'!$G$2:$G$2701,'март 2026'!$D$2:$D$2701,$B135,'март 2026'!$J$2:$J$2701,AB$1)</f>
        <v>0</v>
      </c>
      <c r="AC135" s="144">
        <f>SUMIFS('март 2026'!$G$2:$G$2701,'март 2026'!$D$2:$D$2701,$B135,'март 2026'!$J$2:$J$2701,AC$1)</f>
        <v>0</v>
      </c>
      <c r="AD135" s="144">
        <f>SUMIFS('март 2026'!$G$2:$G$2701,'март 2026'!$D$2:$D$2701,$B135,'март 2026'!$J$2:$J$2701,AD$1)</f>
        <v>0</v>
      </c>
      <c r="AE135" s="144">
        <f>SUMIFS('март 2026'!$G$2:$G$2701,'март 2026'!$D$2:$D$2701,$B135,'март 2026'!$J$2:$J$2701,AE$1)</f>
        <v>0</v>
      </c>
      <c r="AF135" s="144">
        <f>SUMIFS('март 2026'!$G$2:$G$2701,'март 2026'!$D$2:$D$2701,$B135,'март 2026'!$J$2:$J$2701,AF$1)</f>
        <v>0</v>
      </c>
      <c r="AG135" s="144">
        <f>SUMIFS('март 2026'!$G$2:$G$2701,'март 2026'!$D$2:$D$2701,$B135,'март 2026'!$J$2:$J$2701,AG$1)</f>
        <v>0</v>
      </c>
      <c r="AH135" s="144">
        <f>SUMIFS('март 2026'!$G$2:$G$2701,'март 2026'!$D$2:$D$2701,$B135,'март 2026'!$J$2:$J$2701,AH$1)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SUMIFS('март 2026'!$G$2:$G$2701,'март 2026'!$D$2:$D$2701,$B136,'март 2026'!$J$2:$J$2701,D$1)</f>
        <v>0</v>
      </c>
      <c r="E136" s="144">
        <f>SUMIFS('март 2026'!$G$2:$G$2701,'март 2026'!$D$2:$D$2701,$B136,'март 2026'!$J$2:$J$2701,E$1)</f>
        <v>0</v>
      </c>
      <c r="F136" s="144">
        <f>SUMIFS('март 2026'!$G$2:$G$2701,'март 2026'!$D$2:$D$2701,$B136,'март 2026'!$J$2:$J$2701,F$1)</f>
        <v>0</v>
      </c>
      <c r="G136" s="144">
        <f>SUMIFS('март 2026'!$G$2:$G$2701,'март 2026'!$D$2:$D$2701,$B136,'март 2026'!$J$2:$J$2701,G$1)</f>
        <v>0</v>
      </c>
      <c r="H136" s="144">
        <f>SUMIFS('март 2026'!$G$2:$G$2701,'март 2026'!$D$2:$D$2701,$B136,'март 2026'!$J$2:$J$2701,H$1)</f>
        <v>0</v>
      </c>
      <c r="I136" s="144">
        <f>SUMIFS('март 2026'!$G$2:$G$2701,'март 2026'!$D$2:$D$2701,$B136,'март 2026'!$J$2:$J$2701,I$1)</f>
        <v>0</v>
      </c>
      <c r="J136" s="144">
        <f>SUMIFS('март 2026'!$G$2:$G$2701,'март 2026'!$D$2:$D$2701,$B136,'март 2026'!$J$2:$J$2701,J$1)</f>
        <v>0</v>
      </c>
      <c r="K136" s="144">
        <f>SUMIFS('март 2026'!$G$2:$G$2701,'март 2026'!$D$2:$D$2701,$B136,'март 2026'!$J$2:$J$2701,K$1)</f>
        <v>0</v>
      </c>
      <c r="L136" s="144">
        <f>SUMIFS('март 2026'!$G$2:$G$2701,'март 2026'!$D$2:$D$2701,$B136,'март 2026'!$J$2:$J$2701,L$1)</f>
        <v>0</v>
      </c>
      <c r="M136" s="144">
        <f>SUMIFS('март 2026'!$G$2:$G$2701,'март 2026'!$D$2:$D$2701,$B136,'март 2026'!$J$2:$J$2701,M$1)</f>
        <v>0</v>
      </c>
      <c r="N136" s="144">
        <f>SUMIFS('март 2026'!$G$2:$G$2701,'март 2026'!$D$2:$D$2701,$B136,'март 2026'!$J$2:$J$2701,N$1)</f>
        <v>0</v>
      </c>
      <c r="O136" s="144">
        <f>SUMIFS('март 2026'!$G$2:$G$2701,'март 2026'!$D$2:$D$2701,$B136,'март 2026'!$J$2:$J$2701,O$1)</f>
        <v>0</v>
      </c>
      <c r="P136" s="144">
        <f>SUMIFS('март 2026'!$G$2:$G$2701,'март 2026'!$D$2:$D$2701,$B136,'март 2026'!$J$2:$J$2701,P$1)</f>
        <v>0</v>
      </c>
      <c r="Q136" s="144">
        <f>SUMIFS('март 2026'!$G$2:$G$2701,'март 2026'!$D$2:$D$2701,$B136,'март 2026'!$J$2:$J$2701,Q$1)</f>
        <v>0</v>
      </c>
      <c r="R136" s="144">
        <f>SUMIFS('март 2026'!$G$2:$G$2701,'март 2026'!$D$2:$D$2701,$B136,'март 2026'!$J$2:$J$2701,R$1)</f>
        <v>0</v>
      </c>
      <c r="S136" s="144">
        <f>SUMIFS('март 2026'!$G$2:$G$2701,'март 2026'!$D$2:$D$2701,$B136,'март 2026'!$J$2:$J$2701,S$1)</f>
        <v>0</v>
      </c>
      <c r="T136" s="144">
        <f>SUMIFS('март 2026'!$G$2:$G$2701,'март 2026'!$D$2:$D$2701,$B136,'март 2026'!$J$2:$J$2701,T$1)</f>
        <v>0</v>
      </c>
      <c r="U136" s="144">
        <f>SUMIFS('март 2026'!$G$2:$G$2701,'март 2026'!$D$2:$D$2701,$B136,'март 2026'!$J$2:$J$2701,U$1)</f>
        <v>0</v>
      </c>
      <c r="V136" s="144">
        <f>SUMIFS('март 2026'!$G$2:$G$2701,'март 2026'!$D$2:$D$2701,$B136,'март 2026'!$J$2:$J$2701,V$1)</f>
        <v>0</v>
      </c>
      <c r="W136" s="144">
        <f>SUMIFS('март 2026'!$G$2:$G$2701,'март 2026'!$D$2:$D$2701,$B136,'март 2026'!$J$2:$J$2701,W$1)</f>
        <v>0</v>
      </c>
      <c r="X136" s="144">
        <f>SUMIFS('март 2026'!$G$2:$G$2701,'март 2026'!$D$2:$D$2701,$B136,'март 2026'!$J$2:$J$2701,X$1)</f>
        <v>0</v>
      </c>
      <c r="Y136" s="144">
        <f>SUMIFS('март 2026'!$G$2:$G$2701,'март 2026'!$D$2:$D$2701,$B136,'март 2026'!$J$2:$J$2701,Y$1)</f>
        <v>0</v>
      </c>
      <c r="Z136" s="144">
        <f>SUMIFS('март 2026'!$G$2:$G$2701,'март 2026'!$D$2:$D$2701,$B136,'март 2026'!$J$2:$J$2701,Z$1)</f>
        <v>0</v>
      </c>
      <c r="AA136" s="144">
        <f>SUMIFS('март 2026'!$G$2:$G$2701,'март 2026'!$D$2:$D$2701,$B136,'март 2026'!$J$2:$J$2701,AA$1)</f>
        <v>0</v>
      </c>
      <c r="AB136" s="144">
        <f>SUMIFS('март 2026'!$G$2:$G$2701,'март 2026'!$D$2:$D$2701,$B136,'март 2026'!$J$2:$J$2701,AB$1)</f>
        <v>0</v>
      </c>
      <c r="AC136" s="144">
        <f>SUMIFS('март 2026'!$G$2:$G$2701,'март 2026'!$D$2:$D$2701,$B136,'март 2026'!$J$2:$J$2701,AC$1)</f>
        <v>0</v>
      </c>
      <c r="AD136" s="144">
        <f>SUMIFS('март 2026'!$G$2:$G$2701,'март 2026'!$D$2:$D$2701,$B136,'март 2026'!$J$2:$J$2701,AD$1)</f>
        <v>0</v>
      </c>
      <c r="AE136" s="144">
        <f>SUMIFS('март 2026'!$G$2:$G$2701,'март 2026'!$D$2:$D$2701,$B136,'март 2026'!$J$2:$J$2701,AE$1)</f>
        <v>0</v>
      </c>
      <c r="AF136" s="144">
        <f>SUMIFS('март 2026'!$G$2:$G$2701,'март 2026'!$D$2:$D$2701,$B136,'март 2026'!$J$2:$J$2701,AF$1)</f>
        <v>0</v>
      </c>
      <c r="AG136" s="144">
        <f>SUMIFS('март 2026'!$G$2:$G$2701,'март 2026'!$D$2:$D$2701,$B136,'март 2026'!$J$2:$J$2701,AG$1)</f>
        <v>0</v>
      </c>
      <c r="AH136" s="144">
        <f>SUMIFS('март 2026'!$G$2:$G$2701,'март 2026'!$D$2:$D$2701,$B136,'март 2026'!$J$2:$J$2701,AH$1)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SUMIFS('март 2026'!$G$2:$G$2701,'март 2026'!$D$2:$D$2701,$B137,'март 2026'!$J$2:$J$2701,D$1)</f>
        <v>0</v>
      </c>
      <c r="E137" s="144">
        <f>SUMIFS('март 2026'!$G$2:$G$2701,'март 2026'!$D$2:$D$2701,$B137,'март 2026'!$J$2:$J$2701,E$1)</f>
        <v>0</v>
      </c>
      <c r="F137" s="144">
        <f>SUMIFS('март 2026'!$G$2:$G$2701,'март 2026'!$D$2:$D$2701,$B137,'март 2026'!$J$2:$J$2701,F$1)</f>
        <v>0</v>
      </c>
      <c r="G137" s="144">
        <f>SUMIFS('март 2026'!$G$2:$G$2701,'март 2026'!$D$2:$D$2701,$B137,'март 2026'!$J$2:$J$2701,G$1)</f>
        <v>0</v>
      </c>
      <c r="H137" s="144">
        <f>SUMIFS('март 2026'!$G$2:$G$2701,'март 2026'!$D$2:$D$2701,$B137,'март 2026'!$J$2:$J$2701,H$1)</f>
        <v>0</v>
      </c>
      <c r="I137" s="144">
        <f>SUMIFS('март 2026'!$G$2:$G$2701,'март 2026'!$D$2:$D$2701,$B137,'март 2026'!$J$2:$J$2701,I$1)</f>
        <v>0</v>
      </c>
      <c r="J137" s="144">
        <f>SUMIFS('март 2026'!$G$2:$G$2701,'март 2026'!$D$2:$D$2701,$B137,'март 2026'!$J$2:$J$2701,J$1)</f>
        <v>0</v>
      </c>
      <c r="K137" s="144">
        <f>SUMIFS('март 2026'!$G$2:$G$2701,'март 2026'!$D$2:$D$2701,$B137,'март 2026'!$J$2:$J$2701,K$1)</f>
        <v>0</v>
      </c>
      <c r="L137" s="144">
        <f>SUMIFS('март 2026'!$G$2:$G$2701,'март 2026'!$D$2:$D$2701,$B137,'март 2026'!$J$2:$J$2701,L$1)</f>
        <v>0</v>
      </c>
      <c r="M137" s="144">
        <f>SUMIFS('март 2026'!$G$2:$G$2701,'март 2026'!$D$2:$D$2701,$B137,'март 2026'!$J$2:$J$2701,M$1)</f>
        <v>0</v>
      </c>
      <c r="N137" s="144">
        <f>SUMIFS('март 2026'!$G$2:$G$2701,'март 2026'!$D$2:$D$2701,$B137,'март 2026'!$J$2:$J$2701,N$1)</f>
        <v>0</v>
      </c>
      <c r="O137" s="144">
        <f>SUMIFS('март 2026'!$G$2:$G$2701,'март 2026'!$D$2:$D$2701,$B137,'март 2026'!$J$2:$J$2701,O$1)</f>
        <v>0</v>
      </c>
      <c r="P137" s="144">
        <f>SUMIFS('март 2026'!$G$2:$G$2701,'март 2026'!$D$2:$D$2701,$B137,'март 2026'!$J$2:$J$2701,P$1)</f>
        <v>0</v>
      </c>
      <c r="Q137" s="144">
        <f>SUMIFS('март 2026'!$G$2:$G$2701,'март 2026'!$D$2:$D$2701,$B137,'март 2026'!$J$2:$J$2701,Q$1)</f>
        <v>0</v>
      </c>
      <c r="R137" s="144">
        <f>SUMIFS('март 2026'!$G$2:$G$2701,'март 2026'!$D$2:$D$2701,$B137,'март 2026'!$J$2:$J$2701,R$1)</f>
        <v>0</v>
      </c>
      <c r="S137" s="144">
        <f>SUMIFS('март 2026'!$G$2:$G$2701,'март 2026'!$D$2:$D$2701,$B137,'март 2026'!$J$2:$J$2701,S$1)</f>
        <v>0</v>
      </c>
      <c r="T137" s="144">
        <f>SUMIFS('март 2026'!$G$2:$G$2701,'март 2026'!$D$2:$D$2701,$B137,'март 2026'!$J$2:$J$2701,T$1)</f>
        <v>0</v>
      </c>
      <c r="U137" s="144">
        <f>SUMIFS('март 2026'!$G$2:$G$2701,'март 2026'!$D$2:$D$2701,$B137,'март 2026'!$J$2:$J$2701,U$1)</f>
        <v>0</v>
      </c>
      <c r="V137" s="144">
        <f>SUMIFS('март 2026'!$G$2:$G$2701,'март 2026'!$D$2:$D$2701,$B137,'март 2026'!$J$2:$J$2701,V$1)</f>
        <v>0</v>
      </c>
      <c r="W137" s="144">
        <f>SUMIFS('март 2026'!$G$2:$G$2701,'март 2026'!$D$2:$D$2701,$B137,'март 2026'!$J$2:$J$2701,W$1)</f>
        <v>0</v>
      </c>
      <c r="X137" s="144">
        <f>SUMIFS('март 2026'!$G$2:$G$2701,'март 2026'!$D$2:$D$2701,$B137,'март 2026'!$J$2:$J$2701,X$1)</f>
        <v>0</v>
      </c>
      <c r="Y137" s="144">
        <f>SUMIFS('март 2026'!$G$2:$G$2701,'март 2026'!$D$2:$D$2701,$B137,'март 2026'!$J$2:$J$2701,Y$1)</f>
        <v>0</v>
      </c>
      <c r="Z137" s="144">
        <f>SUMIFS('март 2026'!$G$2:$G$2701,'март 2026'!$D$2:$D$2701,$B137,'март 2026'!$J$2:$J$2701,Z$1)</f>
        <v>0</v>
      </c>
      <c r="AA137" s="144">
        <f>SUMIFS('март 2026'!$G$2:$G$2701,'март 2026'!$D$2:$D$2701,$B137,'март 2026'!$J$2:$J$2701,AA$1)</f>
        <v>0</v>
      </c>
      <c r="AB137" s="144">
        <f>SUMIFS('март 2026'!$G$2:$G$2701,'март 2026'!$D$2:$D$2701,$B137,'март 2026'!$J$2:$J$2701,AB$1)</f>
        <v>0</v>
      </c>
      <c r="AC137" s="144">
        <f>SUMIFS('март 2026'!$G$2:$G$2701,'март 2026'!$D$2:$D$2701,$B137,'март 2026'!$J$2:$J$2701,AC$1)</f>
        <v>0</v>
      </c>
      <c r="AD137" s="144">
        <f>SUMIFS('март 2026'!$G$2:$G$2701,'март 2026'!$D$2:$D$2701,$B137,'март 2026'!$J$2:$J$2701,AD$1)</f>
        <v>0</v>
      </c>
      <c r="AE137" s="144">
        <f>SUMIFS('март 2026'!$G$2:$G$2701,'март 2026'!$D$2:$D$2701,$B137,'март 2026'!$J$2:$J$2701,AE$1)</f>
        <v>0</v>
      </c>
      <c r="AF137" s="144">
        <f>SUMIFS('март 2026'!$G$2:$G$2701,'март 2026'!$D$2:$D$2701,$B137,'март 2026'!$J$2:$J$2701,AF$1)</f>
        <v>0</v>
      </c>
      <c r="AG137" s="144">
        <f>SUMIFS('март 2026'!$G$2:$G$2701,'март 2026'!$D$2:$D$2701,$B137,'март 2026'!$J$2:$J$2701,AG$1)</f>
        <v>0</v>
      </c>
      <c r="AH137" s="144">
        <f>SUMIFS('март 2026'!$G$2:$G$2701,'март 2026'!$D$2:$D$2701,$B137,'март 2026'!$J$2:$J$2701,AH$1)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SUMIFS('март 2026'!$G$2:$G$2701,'март 2026'!$D$2:$D$2701,$B138,'март 2026'!$J$2:$J$2701,D$1)</f>
        <v>0</v>
      </c>
      <c r="E138" s="144">
        <f>SUMIFS('март 2026'!$G$2:$G$2701,'март 2026'!$D$2:$D$2701,$B138,'март 2026'!$J$2:$J$2701,E$1)</f>
        <v>0</v>
      </c>
      <c r="F138" s="144">
        <f>SUMIFS('март 2026'!$G$2:$G$2701,'март 2026'!$D$2:$D$2701,$B138,'март 2026'!$J$2:$J$2701,F$1)</f>
        <v>0</v>
      </c>
      <c r="G138" s="144">
        <f>SUMIFS('март 2026'!$G$2:$G$2701,'март 2026'!$D$2:$D$2701,$B138,'март 2026'!$J$2:$J$2701,G$1)</f>
        <v>0</v>
      </c>
      <c r="H138" s="144">
        <f>SUMIFS('март 2026'!$G$2:$G$2701,'март 2026'!$D$2:$D$2701,$B138,'март 2026'!$J$2:$J$2701,H$1)</f>
        <v>0</v>
      </c>
      <c r="I138" s="144">
        <f>SUMIFS('март 2026'!$G$2:$G$2701,'март 2026'!$D$2:$D$2701,$B138,'март 2026'!$J$2:$J$2701,I$1)</f>
        <v>0</v>
      </c>
      <c r="J138" s="144">
        <f>SUMIFS('март 2026'!$G$2:$G$2701,'март 2026'!$D$2:$D$2701,$B138,'март 2026'!$J$2:$J$2701,J$1)</f>
        <v>0</v>
      </c>
      <c r="K138" s="144">
        <f>SUMIFS('март 2026'!$G$2:$G$2701,'март 2026'!$D$2:$D$2701,$B138,'март 2026'!$J$2:$J$2701,K$1)</f>
        <v>0</v>
      </c>
      <c r="L138" s="144">
        <f>SUMIFS('март 2026'!$G$2:$G$2701,'март 2026'!$D$2:$D$2701,$B138,'март 2026'!$J$2:$J$2701,L$1)</f>
        <v>0</v>
      </c>
      <c r="M138" s="144">
        <f>SUMIFS('март 2026'!$G$2:$G$2701,'март 2026'!$D$2:$D$2701,$B138,'март 2026'!$J$2:$J$2701,M$1)</f>
        <v>0</v>
      </c>
      <c r="N138" s="144">
        <f>SUMIFS('март 2026'!$G$2:$G$2701,'март 2026'!$D$2:$D$2701,$B138,'март 2026'!$J$2:$J$2701,N$1)</f>
        <v>0</v>
      </c>
      <c r="O138" s="144">
        <f>SUMIFS('март 2026'!$G$2:$G$2701,'март 2026'!$D$2:$D$2701,$B138,'март 2026'!$J$2:$J$2701,O$1)</f>
        <v>0</v>
      </c>
      <c r="P138" s="144">
        <f>SUMIFS('март 2026'!$G$2:$G$2701,'март 2026'!$D$2:$D$2701,$B138,'март 2026'!$J$2:$J$2701,P$1)</f>
        <v>0</v>
      </c>
      <c r="Q138" s="144">
        <f>SUMIFS('март 2026'!$G$2:$G$2701,'март 2026'!$D$2:$D$2701,$B138,'март 2026'!$J$2:$J$2701,Q$1)</f>
        <v>0</v>
      </c>
      <c r="R138" s="144">
        <f>SUMIFS('март 2026'!$G$2:$G$2701,'март 2026'!$D$2:$D$2701,$B138,'март 2026'!$J$2:$J$2701,R$1)</f>
        <v>0</v>
      </c>
      <c r="S138" s="144">
        <f>SUMIFS('март 2026'!$G$2:$G$2701,'март 2026'!$D$2:$D$2701,$B138,'март 2026'!$J$2:$J$2701,S$1)</f>
        <v>0</v>
      </c>
      <c r="T138" s="144">
        <f>SUMIFS('март 2026'!$G$2:$G$2701,'март 2026'!$D$2:$D$2701,$B138,'март 2026'!$J$2:$J$2701,T$1)</f>
        <v>0</v>
      </c>
      <c r="U138" s="144">
        <f>SUMIFS('март 2026'!$G$2:$G$2701,'март 2026'!$D$2:$D$2701,$B138,'март 2026'!$J$2:$J$2701,U$1)</f>
        <v>0</v>
      </c>
      <c r="V138" s="144">
        <f>SUMIFS('март 2026'!$G$2:$G$2701,'март 2026'!$D$2:$D$2701,$B138,'март 2026'!$J$2:$J$2701,V$1)</f>
        <v>0</v>
      </c>
      <c r="W138" s="144">
        <f>SUMIFS('март 2026'!$G$2:$G$2701,'март 2026'!$D$2:$D$2701,$B138,'март 2026'!$J$2:$J$2701,W$1)</f>
        <v>0</v>
      </c>
      <c r="X138" s="144">
        <f>SUMIFS('март 2026'!$G$2:$G$2701,'март 2026'!$D$2:$D$2701,$B138,'март 2026'!$J$2:$J$2701,X$1)</f>
        <v>0</v>
      </c>
      <c r="Y138" s="144">
        <f>SUMIFS('март 2026'!$G$2:$G$2701,'март 2026'!$D$2:$D$2701,$B138,'март 2026'!$J$2:$J$2701,Y$1)</f>
        <v>0</v>
      </c>
      <c r="Z138" s="144">
        <f>SUMIFS('март 2026'!$G$2:$G$2701,'март 2026'!$D$2:$D$2701,$B138,'март 2026'!$J$2:$J$2701,Z$1)</f>
        <v>0</v>
      </c>
      <c r="AA138" s="144">
        <f>SUMIFS('март 2026'!$G$2:$G$2701,'март 2026'!$D$2:$D$2701,$B138,'март 2026'!$J$2:$J$2701,AA$1)</f>
        <v>0</v>
      </c>
      <c r="AB138" s="144">
        <f>SUMIFS('март 2026'!$G$2:$G$2701,'март 2026'!$D$2:$D$2701,$B138,'март 2026'!$J$2:$J$2701,AB$1)</f>
        <v>0</v>
      </c>
      <c r="AC138" s="144">
        <f>SUMIFS('март 2026'!$G$2:$G$2701,'март 2026'!$D$2:$D$2701,$B138,'март 2026'!$J$2:$J$2701,AC$1)</f>
        <v>0</v>
      </c>
      <c r="AD138" s="144">
        <f>SUMIFS('март 2026'!$G$2:$G$2701,'март 2026'!$D$2:$D$2701,$B138,'март 2026'!$J$2:$J$2701,AD$1)</f>
        <v>0</v>
      </c>
      <c r="AE138" s="144">
        <f>SUMIFS('март 2026'!$G$2:$G$2701,'март 2026'!$D$2:$D$2701,$B138,'март 2026'!$J$2:$J$2701,AE$1)</f>
        <v>0</v>
      </c>
      <c r="AF138" s="144">
        <f>SUMIFS('март 2026'!$G$2:$G$2701,'март 2026'!$D$2:$D$2701,$B138,'март 2026'!$J$2:$J$2701,AF$1)</f>
        <v>0</v>
      </c>
      <c r="AG138" s="144">
        <f>SUMIFS('март 2026'!$G$2:$G$2701,'март 2026'!$D$2:$D$2701,$B138,'март 2026'!$J$2:$J$2701,AG$1)</f>
        <v>0</v>
      </c>
      <c r="AH138" s="144">
        <f>SUMIFS('март 2026'!$G$2:$G$2701,'март 2026'!$D$2:$D$2701,$B138,'март 2026'!$J$2:$J$2701,AH$1)</f>
        <v>0</v>
      </c>
      <c r="AI138" s="20">
        <f t="shared" si="1"/>
        <v>0</v>
      </c>
    </row>
    <row r="139" spans="2:35" ht="15" customHeight="1" x14ac:dyDescent="0.25">
      <c r="B139" s="85" t="s">
        <v>262</v>
      </c>
      <c r="C139" s="83">
        <v>180</v>
      </c>
      <c r="D139" s="144">
        <f>SUMIFS('март 2026'!$G$2:$G$2701,'март 2026'!$D$2:$D$2701,$B139,'март 2026'!$J$2:$J$2701,D$1)</f>
        <v>0</v>
      </c>
      <c r="E139" s="144">
        <f>SUMIFS('март 2026'!$G$2:$G$2701,'март 2026'!$D$2:$D$2701,$B139,'март 2026'!$J$2:$J$2701,E$1)</f>
        <v>0</v>
      </c>
      <c r="F139" s="144">
        <f>SUMIFS('март 2026'!$G$2:$G$2701,'март 2026'!$D$2:$D$2701,$B139,'март 2026'!$J$2:$J$2701,F$1)</f>
        <v>0</v>
      </c>
      <c r="G139" s="144">
        <f>SUMIFS('март 2026'!$G$2:$G$2701,'март 2026'!$D$2:$D$2701,$B139,'март 2026'!$J$2:$J$2701,G$1)</f>
        <v>0</v>
      </c>
      <c r="H139" s="144">
        <f>SUMIFS('март 2026'!$G$2:$G$2701,'март 2026'!$D$2:$D$2701,$B139,'март 2026'!$J$2:$J$2701,H$1)</f>
        <v>0</v>
      </c>
      <c r="I139" s="144">
        <f>SUMIFS('март 2026'!$G$2:$G$2701,'март 2026'!$D$2:$D$2701,$B139,'март 2026'!$J$2:$J$2701,I$1)</f>
        <v>0</v>
      </c>
      <c r="J139" s="144">
        <f>SUMIFS('март 2026'!$G$2:$G$2701,'март 2026'!$D$2:$D$2701,$B139,'март 2026'!$J$2:$J$2701,J$1)</f>
        <v>0</v>
      </c>
      <c r="K139" s="144">
        <f>SUMIFS('март 2026'!$G$2:$G$2701,'март 2026'!$D$2:$D$2701,$B139,'март 2026'!$J$2:$J$2701,K$1)</f>
        <v>0</v>
      </c>
      <c r="L139" s="144">
        <f>SUMIFS('март 2026'!$G$2:$G$2701,'март 2026'!$D$2:$D$2701,$B139,'март 2026'!$J$2:$J$2701,L$1)</f>
        <v>0</v>
      </c>
      <c r="M139" s="144">
        <f>SUMIFS('март 2026'!$G$2:$G$2701,'март 2026'!$D$2:$D$2701,$B139,'март 2026'!$J$2:$J$2701,M$1)</f>
        <v>0</v>
      </c>
      <c r="N139" s="144">
        <f>SUMIFS('март 2026'!$G$2:$G$2701,'март 2026'!$D$2:$D$2701,$B139,'март 2026'!$J$2:$J$2701,N$1)</f>
        <v>0</v>
      </c>
      <c r="O139" s="144">
        <f>SUMIFS('март 2026'!$G$2:$G$2701,'март 2026'!$D$2:$D$2701,$B139,'март 2026'!$J$2:$J$2701,O$1)</f>
        <v>0</v>
      </c>
      <c r="P139" s="144">
        <f>SUMIFS('март 2026'!$G$2:$G$2701,'март 2026'!$D$2:$D$2701,$B139,'март 2026'!$J$2:$J$2701,P$1)</f>
        <v>0</v>
      </c>
      <c r="Q139" s="144">
        <f>SUMIFS('март 2026'!$G$2:$G$2701,'март 2026'!$D$2:$D$2701,$B139,'март 2026'!$J$2:$J$2701,Q$1)</f>
        <v>0</v>
      </c>
      <c r="R139" s="144">
        <f>SUMIFS('март 2026'!$G$2:$G$2701,'март 2026'!$D$2:$D$2701,$B139,'март 2026'!$J$2:$J$2701,R$1)</f>
        <v>0</v>
      </c>
      <c r="S139" s="144">
        <f>SUMIFS('март 2026'!$G$2:$G$2701,'март 2026'!$D$2:$D$2701,$B139,'март 2026'!$J$2:$J$2701,S$1)</f>
        <v>0</v>
      </c>
      <c r="T139" s="144">
        <f>SUMIFS('март 2026'!$G$2:$G$2701,'март 2026'!$D$2:$D$2701,$B139,'март 2026'!$J$2:$J$2701,T$1)</f>
        <v>0</v>
      </c>
      <c r="U139" s="144">
        <f>SUMIFS('март 2026'!$G$2:$G$2701,'март 2026'!$D$2:$D$2701,$B139,'март 2026'!$J$2:$J$2701,U$1)</f>
        <v>0</v>
      </c>
      <c r="V139" s="144">
        <f>SUMIFS('март 2026'!$G$2:$G$2701,'март 2026'!$D$2:$D$2701,$B139,'март 2026'!$J$2:$J$2701,V$1)</f>
        <v>0</v>
      </c>
      <c r="W139" s="144">
        <f>SUMIFS('март 2026'!$G$2:$G$2701,'март 2026'!$D$2:$D$2701,$B139,'март 2026'!$J$2:$J$2701,W$1)</f>
        <v>0</v>
      </c>
      <c r="X139" s="144">
        <f>SUMIFS('март 2026'!$G$2:$G$2701,'март 2026'!$D$2:$D$2701,$B139,'март 2026'!$J$2:$J$2701,X$1)</f>
        <v>0</v>
      </c>
      <c r="Y139" s="144">
        <f>SUMIFS('март 2026'!$G$2:$G$2701,'март 2026'!$D$2:$D$2701,$B139,'март 2026'!$J$2:$J$2701,Y$1)</f>
        <v>0</v>
      </c>
      <c r="Z139" s="144">
        <f>SUMIFS('март 2026'!$G$2:$G$2701,'март 2026'!$D$2:$D$2701,$B139,'март 2026'!$J$2:$J$2701,Z$1)</f>
        <v>0</v>
      </c>
      <c r="AA139" s="144">
        <f>SUMIFS('март 2026'!$G$2:$G$2701,'март 2026'!$D$2:$D$2701,$B139,'март 2026'!$J$2:$J$2701,AA$1)</f>
        <v>0</v>
      </c>
      <c r="AB139" s="144">
        <f>SUMIFS('март 2026'!$G$2:$G$2701,'март 2026'!$D$2:$D$2701,$B139,'март 2026'!$J$2:$J$2701,AB$1)</f>
        <v>0</v>
      </c>
      <c r="AC139" s="144">
        <f>SUMIFS('март 2026'!$G$2:$G$2701,'март 2026'!$D$2:$D$2701,$B139,'март 2026'!$J$2:$J$2701,AC$1)</f>
        <v>0</v>
      </c>
      <c r="AD139" s="144">
        <f>SUMIFS('март 2026'!$G$2:$G$2701,'март 2026'!$D$2:$D$2701,$B139,'март 2026'!$J$2:$J$2701,AD$1)</f>
        <v>0</v>
      </c>
      <c r="AE139" s="144">
        <f>SUMIFS('март 2026'!$G$2:$G$2701,'март 2026'!$D$2:$D$2701,$B139,'март 2026'!$J$2:$J$2701,AE$1)</f>
        <v>0</v>
      </c>
      <c r="AF139" s="144">
        <f>SUMIFS('март 2026'!$G$2:$G$2701,'март 2026'!$D$2:$D$2701,$B139,'март 2026'!$J$2:$J$2701,AF$1)</f>
        <v>0</v>
      </c>
      <c r="AG139" s="144">
        <f>SUMIFS('март 2026'!$G$2:$G$2701,'март 2026'!$D$2:$D$2701,$B139,'март 2026'!$J$2:$J$2701,AG$1)</f>
        <v>0</v>
      </c>
      <c r="AH139" s="144">
        <f>SUMIFS('март 2026'!$G$2:$G$2701,'март 2026'!$D$2:$D$2701,$B139,'март 2026'!$J$2:$J$2701,AH$1)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SUMIFS('март 2026'!$G$2:$G$2701,'март 2026'!$D$2:$D$2701,$B140,'март 2026'!$J$2:$J$2701,D$1)</f>
        <v>0</v>
      </c>
      <c r="E140" s="144">
        <f>SUMIFS('март 2026'!$G$2:$G$2701,'март 2026'!$D$2:$D$2701,$B140,'март 2026'!$J$2:$J$2701,E$1)</f>
        <v>0</v>
      </c>
      <c r="F140" s="144">
        <f>SUMIFS('март 2026'!$G$2:$G$2701,'март 2026'!$D$2:$D$2701,$B140,'март 2026'!$J$2:$J$2701,F$1)</f>
        <v>88</v>
      </c>
      <c r="G140" s="144">
        <f>SUMIFS('март 2026'!$G$2:$G$2701,'март 2026'!$D$2:$D$2701,$B140,'март 2026'!$J$2:$J$2701,G$1)</f>
        <v>0</v>
      </c>
      <c r="H140" s="144">
        <f>SUMIFS('март 2026'!$G$2:$G$2701,'март 2026'!$D$2:$D$2701,$B140,'март 2026'!$J$2:$J$2701,H$1)</f>
        <v>0</v>
      </c>
      <c r="I140" s="144">
        <f>SUMIFS('март 2026'!$G$2:$G$2701,'март 2026'!$D$2:$D$2701,$B140,'март 2026'!$J$2:$J$2701,I$1)</f>
        <v>0</v>
      </c>
      <c r="J140" s="144">
        <f>SUMIFS('март 2026'!$G$2:$G$2701,'март 2026'!$D$2:$D$2701,$B140,'март 2026'!$J$2:$J$2701,J$1)</f>
        <v>0</v>
      </c>
      <c r="K140" s="144">
        <f>SUMIFS('март 2026'!$G$2:$G$2701,'март 2026'!$D$2:$D$2701,$B140,'март 2026'!$J$2:$J$2701,K$1)</f>
        <v>0</v>
      </c>
      <c r="L140" s="144">
        <f>SUMIFS('март 2026'!$G$2:$G$2701,'март 2026'!$D$2:$D$2701,$B140,'март 2026'!$J$2:$J$2701,L$1)</f>
        <v>0</v>
      </c>
      <c r="M140" s="144">
        <f>SUMIFS('март 2026'!$G$2:$G$2701,'март 2026'!$D$2:$D$2701,$B140,'март 2026'!$J$2:$J$2701,M$1)</f>
        <v>0</v>
      </c>
      <c r="N140" s="144">
        <f>SUMIFS('март 2026'!$G$2:$G$2701,'март 2026'!$D$2:$D$2701,$B140,'март 2026'!$J$2:$J$2701,N$1)</f>
        <v>0</v>
      </c>
      <c r="O140" s="144">
        <f>SUMIFS('март 2026'!$G$2:$G$2701,'март 2026'!$D$2:$D$2701,$B140,'март 2026'!$J$2:$J$2701,O$1)</f>
        <v>0</v>
      </c>
      <c r="P140" s="144">
        <f>SUMIFS('март 2026'!$G$2:$G$2701,'март 2026'!$D$2:$D$2701,$B140,'март 2026'!$J$2:$J$2701,P$1)</f>
        <v>0</v>
      </c>
      <c r="Q140" s="144">
        <f>SUMIFS('март 2026'!$G$2:$G$2701,'март 2026'!$D$2:$D$2701,$B140,'март 2026'!$J$2:$J$2701,Q$1)</f>
        <v>0</v>
      </c>
      <c r="R140" s="144">
        <f>SUMIFS('март 2026'!$G$2:$G$2701,'март 2026'!$D$2:$D$2701,$B140,'март 2026'!$J$2:$J$2701,R$1)</f>
        <v>0</v>
      </c>
      <c r="S140" s="144">
        <f>SUMIFS('март 2026'!$G$2:$G$2701,'март 2026'!$D$2:$D$2701,$B140,'март 2026'!$J$2:$J$2701,S$1)</f>
        <v>0</v>
      </c>
      <c r="T140" s="144">
        <f>SUMIFS('март 2026'!$G$2:$G$2701,'март 2026'!$D$2:$D$2701,$B140,'март 2026'!$J$2:$J$2701,T$1)</f>
        <v>0</v>
      </c>
      <c r="U140" s="144">
        <f>SUMIFS('март 2026'!$G$2:$G$2701,'март 2026'!$D$2:$D$2701,$B140,'март 2026'!$J$2:$J$2701,U$1)</f>
        <v>0</v>
      </c>
      <c r="V140" s="144">
        <f>SUMIFS('март 2026'!$G$2:$G$2701,'март 2026'!$D$2:$D$2701,$B140,'март 2026'!$J$2:$J$2701,V$1)</f>
        <v>0</v>
      </c>
      <c r="W140" s="144">
        <f>SUMIFS('март 2026'!$G$2:$G$2701,'март 2026'!$D$2:$D$2701,$B140,'март 2026'!$J$2:$J$2701,W$1)</f>
        <v>0</v>
      </c>
      <c r="X140" s="144">
        <f>SUMIFS('март 2026'!$G$2:$G$2701,'март 2026'!$D$2:$D$2701,$B140,'март 2026'!$J$2:$J$2701,X$1)</f>
        <v>0</v>
      </c>
      <c r="Y140" s="144">
        <f>SUMIFS('март 2026'!$G$2:$G$2701,'март 2026'!$D$2:$D$2701,$B140,'март 2026'!$J$2:$J$2701,Y$1)</f>
        <v>0</v>
      </c>
      <c r="Z140" s="144">
        <f>SUMIFS('март 2026'!$G$2:$G$2701,'март 2026'!$D$2:$D$2701,$B140,'март 2026'!$J$2:$J$2701,Z$1)</f>
        <v>0</v>
      </c>
      <c r="AA140" s="144">
        <f>SUMIFS('март 2026'!$G$2:$G$2701,'март 2026'!$D$2:$D$2701,$B140,'март 2026'!$J$2:$J$2701,AA$1)</f>
        <v>0</v>
      </c>
      <c r="AB140" s="144">
        <f>SUMIFS('март 2026'!$G$2:$G$2701,'март 2026'!$D$2:$D$2701,$B140,'март 2026'!$J$2:$J$2701,AB$1)</f>
        <v>0</v>
      </c>
      <c r="AC140" s="144">
        <f>SUMIFS('март 2026'!$G$2:$G$2701,'март 2026'!$D$2:$D$2701,$B140,'март 2026'!$J$2:$J$2701,AC$1)</f>
        <v>0</v>
      </c>
      <c r="AD140" s="144">
        <f>SUMIFS('март 2026'!$G$2:$G$2701,'март 2026'!$D$2:$D$2701,$B140,'март 2026'!$J$2:$J$2701,AD$1)</f>
        <v>0</v>
      </c>
      <c r="AE140" s="144">
        <f>SUMIFS('март 2026'!$G$2:$G$2701,'март 2026'!$D$2:$D$2701,$B140,'март 2026'!$J$2:$J$2701,AE$1)</f>
        <v>0</v>
      </c>
      <c r="AF140" s="144">
        <f>SUMIFS('март 2026'!$G$2:$G$2701,'март 2026'!$D$2:$D$2701,$B140,'март 2026'!$J$2:$J$2701,AF$1)</f>
        <v>0</v>
      </c>
      <c r="AG140" s="144">
        <f>SUMIFS('март 2026'!$G$2:$G$2701,'март 2026'!$D$2:$D$2701,$B140,'март 2026'!$J$2:$J$2701,AG$1)</f>
        <v>0</v>
      </c>
      <c r="AH140" s="144">
        <f>SUMIFS('март 2026'!$G$2:$G$2701,'март 2026'!$D$2:$D$2701,$B140,'март 2026'!$J$2:$J$2701,AH$1)</f>
        <v>0</v>
      </c>
      <c r="AI140" s="20">
        <f t="shared" si="1"/>
        <v>88</v>
      </c>
    </row>
    <row r="141" spans="2:35" ht="15" customHeight="1" x14ac:dyDescent="0.25">
      <c r="B141" s="82" t="s">
        <v>162</v>
      </c>
      <c r="C141" s="81">
        <v>950</v>
      </c>
      <c r="D141" s="144">
        <f>SUMIFS('март 2026'!$G$2:$G$2701,'март 2026'!$D$2:$D$2701,$B141,'март 2026'!$J$2:$J$2701,D$1)</f>
        <v>0</v>
      </c>
      <c r="E141" s="144">
        <f>SUMIFS('март 2026'!$G$2:$G$2701,'март 2026'!$D$2:$D$2701,$B141,'март 2026'!$J$2:$J$2701,E$1)</f>
        <v>0</v>
      </c>
      <c r="F141" s="144">
        <f>SUMIFS('март 2026'!$G$2:$G$2701,'март 2026'!$D$2:$D$2701,$B141,'март 2026'!$J$2:$J$2701,F$1)</f>
        <v>0</v>
      </c>
      <c r="G141" s="144">
        <f>SUMIFS('март 2026'!$G$2:$G$2701,'март 2026'!$D$2:$D$2701,$B141,'март 2026'!$J$2:$J$2701,G$1)</f>
        <v>0</v>
      </c>
      <c r="H141" s="144">
        <f>SUMIFS('март 2026'!$G$2:$G$2701,'март 2026'!$D$2:$D$2701,$B141,'март 2026'!$J$2:$J$2701,H$1)</f>
        <v>0</v>
      </c>
      <c r="I141" s="144">
        <f>SUMIFS('март 2026'!$G$2:$G$2701,'март 2026'!$D$2:$D$2701,$B141,'март 2026'!$J$2:$J$2701,I$1)</f>
        <v>0</v>
      </c>
      <c r="J141" s="144">
        <f>SUMIFS('март 2026'!$G$2:$G$2701,'март 2026'!$D$2:$D$2701,$B141,'март 2026'!$J$2:$J$2701,J$1)</f>
        <v>0</v>
      </c>
      <c r="K141" s="144">
        <f>SUMIFS('март 2026'!$G$2:$G$2701,'март 2026'!$D$2:$D$2701,$B141,'март 2026'!$J$2:$J$2701,K$1)</f>
        <v>0</v>
      </c>
      <c r="L141" s="144">
        <f>SUMIFS('март 2026'!$G$2:$G$2701,'март 2026'!$D$2:$D$2701,$B141,'март 2026'!$J$2:$J$2701,L$1)</f>
        <v>0</v>
      </c>
      <c r="M141" s="144">
        <f>SUMIFS('март 2026'!$G$2:$G$2701,'март 2026'!$D$2:$D$2701,$B141,'март 2026'!$J$2:$J$2701,M$1)</f>
        <v>0</v>
      </c>
      <c r="N141" s="144">
        <f>SUMIFS('март 2026'!$G$2:$G$2701,'март 2026'!$D$2:$D$2701,$B141,'март 2026'!$J$2:$J$2701,N$1)</f>
        <v>0</v>
      </c>
      <c r="O141" s="144">
        <f>SUMIFS('март 2026'!$G$2:$G$2701,'март 2026'!$D$2:$D$2701,$B141,'март 2026'!$J$2:$J$2701,O$1)</f>
        <v>0</v>
      </c>
      <c r="P141" s="144">
        <f>SUMIFS('март 2026'!$G$2:$G$2701,'март 2026'!$D$2:$D$2701,$B141,'март 2026'!$J$2:$J$2701,P$1)</f>
        <v>0</v>
      </c>
      <c r="Q141" s="144">
        <f>SUMIFS('март 2026'!$G$2:$G$2701,'март 2026'!$D$2:$D$2701,$B141,'март 2026'!$J$2:$J$2701,Q$1)</f>
        <v>0</v>
      </c>
      <c r="R141" s="144">
        <f>SUMIFS('март 2026'!$G$2:$G$2701,'март 2026'!$D$2:$D$2701,$B141,'март 2026'!$J$2:$J$2701,R$1)</f>
        <v>0</v>
      </c>
      <c r="S141" s="144">
        <f>SUMIFS('март 2026'!$G$2:$G$2701,'март 2026'!$D$2:$D$2701,$B141,'март 2026'!$J$2:$J$2701,S$1)</f>
        <v>0</v>
      </c>
      <c r="T141" s="144">
        <f>SUMIFS('март 2026'!$G$2:$G$2701,'март 2026'!$D$2:$D$2701,$B141,'март 2026'!$J$2:$J$2701,T$1)</f>
        <v>0</v>
      </c>
      <c r="U141" s="144">
        <f>SUMIFS('март 2026'!$G$2:$G$2701,'март 2026'!$D$2:$D$2701,$B141,'март 2026'!$J$2:$J$2701,U$1)</f>
        <v>0</v>
      </c>
      <c r="V141" s="144">
        <f>SUMIFS('март 2026'!$G$2:$G$2701,'март 2026'!$D$2:$D$2701,$B141,'март 2026'!$J$2:$J$2701,V$1)</f>
        <v>0</v>
      </c>
      <c r="W141" s="144">
        <f>SUMIFS('март 2026'!$G$2:$G$2701,'март 2026'!$D$2:$D$2701,$B141,'март 2026'!$J$2:$J$2701,W$1)</f>
        <v>0</v>
      </c>
      <c r="X141" s="144">
        <f>SUMIFS('март 2026'!$G$2:$G$2701,'март 2026'!$D$2:$D$2701,$B141,'март 2026'!$J$2:$J$2701,X$1)</f>
        <v>0</v>
      </c>
      <c r="Y141" s="144">
        <f>SUMIFS('март 2026'!$G$2:$G$2701,'март 2026'!$D$2:$D$2701,$B141,'март 2026'!$J$2:$J$2701,Y$1)</f>
        <v>0</v>
      </c>
      <c r="Z141" s="144">
        <f>SUMIFS('март 2026'!$G$2:$G$2701,'март 2026'!$D$2:$D$2701,$B141,'март 2026'!$J$2:$J$2701,Z$1)</f>
        <v>0</v>
      </c>
      <c r="AA141" s="144">
        <f>SUMIFS('март 2026'!$G$2:$G$2701,'март 2026'!$D$2:$D$2701,$B141,'март 2026'!$J$2:$J$2701,AA$1)</f>
        <v>0</v>
      </c>
      <c r="AB141" s="144">
        <f>SUMIFS('март 2026'!$G$2:$G$2701,'март 2026'!$D$2:$D$2701,$B141,'март 2026'!$J$2:$J$2701,AB$1)</f>
        <v>0</v>
      </c>
      <c r="AC141" s="144">
        <f>SUMIFS('март 2026'!$G$2:$G$2701,'март 2026'!$D$2:$D$2701,$B141,'март 2026'!$J$2:$J$2701,AC$1)</f>
        <v>0</v>
      </c>
      <c r="AD141" s="144">
        <f>SUMIFS('март 2026'!$G$2:$G$2701,'март 2026'!$D$2:$D$2701,$B141,'март 2026'!$J$2:$J$2701,AD$1)</f>
        <v>0</v>
      </c>
      <c r="AE141" s="144">
        <f>SUMIFS('март 2026'!$G$2:$G$2701,'март 2026'!$D$2:$D$2701,$B141,'март 2026'!$J$2:$J$2701,AE$1)</f>
        <v>0</v>
      </c>
      <c r="AF141" s="144">
        <f>SUMIFS('март 2026'!$G$2:$G$2701,'март 2026'!$D$2:$D$2701,$B141,'март 2026'!$J$2:$J$2701,AF$1)</f>
        <v>0</v>
      </c>
      <c r="AG141" s="144">
        <f>SUMIFS('март 2026'!$G$2:$G$2701,'март 2026'!$D$2:$D$2701,$B141,'март 2026'!$J$2:$J$2701,AG$1)</f>
        <v>0</v>
      </c>
      <c r="AH141" s="144">
        <f>SUMIFS('март 2026'!$G$2:$G$2701,'март 2026'!$D$2:$D$2701,$B141,'март 2026'!$J$2:$J$2701,AH$1)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SUMIFS('март 2026'!$G$2:$G$2701,'март 2026'!$D$2:$D$2701,$B142,'март 2026'!$J$2:$J$2701,D$1)</f>
        <v>0</v>
      </c>
      <c r="E142" s="144">
        <f>SUMIFS('март 2026'!$G$2:$G$2701,'март 2026'!$D$2:$D$2701,$B142,'март 2026'!$J$2:$J$2701,E$1)</f>
        <v>0</v>
      </c>
      <c r="F142" s="144">
        <f>SUMIFS('март 2026'!$G$2:$G$2701,'март 2026'!$D$2:$D$2701,$B142,'март 2026'!$J$2:$J$2701,F$1)</f>
        <v>0</v>
      </c>
      <c r="G142" s="144">
        <f>SUMIFS('март 2026'!$G$2:$G$2701,'март 2026'!$D$2:$D$2701,$B142,'март 2026'!$J$2:$J$2701,G$1)</f>
        <v>0</v>
      </c>
      <c r="H142" s="144">
        <f>SUMIFS('март 2026'!$G$2:$G$2701,'март 2026'!$D$2:$D$2701,$B142,'март 2026'!$J$2:$J$2701,H$1)</f>
        <v>0</v>
      </c>
      <c r="I142" s="144">
        <f>SUMIFS('март 2026'!$G$2:$G$2701,'март 2026'!$D$2:$D$2701,$B142,'март 2026'!$J$2:$J$2701,I$1)</f>
        <v>0</v>
      </c>
      <c r="J142" s="144">
        <f>SUMIFS('март 2026'!$G$2:$G$2701,'март 2026'!$D$2:$D$2701,$B142,'март 2026'!$J$2:$J$2701,J$1)</f>
        <v>0</v>
      </c>
      <c r="K142" s="144">
        <f>SUMIFS('март 2026'!$G$2:$G$2701,'март 2026'!$D$2:$D$2701,$B142,'март 2026'!$J$2:$J$2701,K$1)</f>
        <v>0</v>
      </c>
      <c r="L142" s="144">
        <f>SUMIFS('март 2026'!$G$2:$G$2701,'март 2026'!$D$2:$D$2701,$B142,'март 2026'!$J$2:$J$2701,L$1)</f>
        <v>0</v>
      </c>
      <c r="M142" s="144">
        <f>SUMIFS('март 2026'!$G$2:$G$2701,'март 2026'!$D$2:$D$2701,$B142,'март 2026'!$J$2:$J$2701,M$1)</f>
        <v>0</v>
      </c>
      <c r="N142" s="144">
        <f>SUMIFS('март 2026'!$G$2:$G$2701,'март 2026'!$D$2:$D$2701,$B142,'март 2026'!$J$2:$J$2701,N$1)</f>
        <v>0</v>
      </c>
      <c r="O142" s="144">
        <f>SUMIFS('март 2026'!$G$2:$G$2701,'март 2026'!$D$2:$D$2701,$B142,'март 2026'!$J$2:$J$2701,O$1)</f>
        <v>0</v>
      </c>
      <c r="P142" s="144">
        <f>SUMIFS('март 2026'!$G$2:$G$2701,'март 2026'!$D$2:$D$2701,$B142,'март 2026'!$J$2:$J$2701,P$1)</f>
        <v>0</v>
      </c>
      <c r="Q142" s="144">
        <f>SUMIFS('март 2026'!$G$2:$G$2701,'март 2026'!$D$2:$D$2701,$B142,'март 2026'!$J$2:$J$2701,Q$1)</f>
        <v>0</v>
      </c>
      <c r="R142" s="144">
        <f>SUMIFS('март 2026'!$G$2:$G$2701,'март 2026'!$D$2:$D$2701,$B142,'март 2026'!$J$2:$J$2701,R$1)</f>
        <v>0</v>
      </c>
      <c r="S142" s="144">
        <f>SUMIFS('март 2026'!$G$2:$G$2701,'март 2026'!$D$2:$D$2701,$B142,'март 2026'!$J$2:$J$2701,S$1)</f>
        <v>0</v>
      </c>
      <c r="T142" s="144">
        <f>SUMIFS('март 2026'!$G$2:$G$2701,'март 2026'!$D$2:$D$2701,$B142,'март 2026'!$J$2:$J$2701,T$1)</f>
        <v>0</v>
      </c>
      <c r="U142" s="144">
        <f>SUMIFS('март 2026'!$G$2:$G$2701,'март 2026'!$D$2:$D$2701,$B142,'март 2026'!$J$2:$J$2701,U$1)</f>
        <v>0</v>
      </c>
      <c r="V142" s="144">
        <f>SUMIFS('март 2026'!$G$2:$G$2701,'март 2026'!$D$2:$D$2701,$B142,'март 2026'!$J$2:$J$2701,V$1)</f>
        <v>0</v>
      </c>
      <c r="W142" s="144">
        <f>SUMIFS('март 2026'!$G$2:$G$2701,'март 2026'!$D$2:$D$2701,$B142,'март 2026'!$J$2:$J$2701,W$1)</f>
        <v>0</v>
      </c>
      <c r="X142" s="144">
        <f>SUMIFS('март 2026'!$G$2:$G$2701,'март 2026'!$D$2:$D$2701,$B142,'март 2026'!$J$2:$J$2701,X$1)</f>
        <v>0</v>
      </c>
      <c r="Y142" s="144">
        <f>SUMIFS('март 2026'!$G$2:$G$2701,'март 2026'!$D$2:$D$2701,$B142,'март 2026'!$J$2:$J$2701,Y$1)</f>
        <v>0</v>
      </c>
      <c r="Z142" s="144">
        <f>SUMIFS('март 2026'!$G$2:$G$2701,'март 2026'!$D$2:$D$2701,$B142,'март 2026'!$J$2:$J$2701,Z$1)</f>
        <v>0</v>
      </c>
      <c r="AA142" s="144">
        <f>SUMIFS('март 2026'!$G$2:$G$2701,'март 2026'!$D$2:$D$2701,$B142,'март 2026'!$J$2:$J$2701,AA$1)</f>
        <v>0</v>
      </c>
      <c r="AB142" s="144">
        <f>SUMIFS('март 2026'!$G$2:$G$2701,'март 2026'!$D$2:$D$2701,$B142,'март 2026'!$J$2:$J$2701,AB$1)</f>
        <v>0</v>
      </c>
      <c r="AC142" s="144">
        <f>SUMIFS('март 2026'!$G$2:$G$2701,'март 2026'!$D$2:$D$2701,$B142,'март 2026'!$J$2:$J$2701,AC$1)</f>
        <v>0</v>
      </c>
      <c r="AD142" s="144">
        <f>SUMIFS('март 2026'!$G$2:$G$2701,'март 2026'!$D$2:$D$2701,$B142,'март 2026'!$J$2:$J$2701,AD$1)</f>
        <v>0</v>
      </c>
      <c r="AE142" s="144">
        <f>SUMIFS('март 2026'!$G$2:$G$2701,'март 2026'!$D$2:$D$2701,$B142,'март 2026'!$J$2:$J$2701,AE$1)</f>
        <v>0</v>
      </c>
      <c r="AF142" s="144">
        <f>SUMIFS('март 2026'!$G$2:$G$2701,'март 2026'!$D$2:$D$2701,$B142,'март 2026'!$J$2:$J$2701,AF$1)</f>
        <v>0</v>
      </c>
      <c r="AG142" s="144">
        <f>SUMIFS('март 2026'!$G$2:$G$2701,'март 2026'!$D$2:$D$2701,$B142,'март 2026'!$J$2:$J$2701,AG$1)</f>
        <v>0</v>
      </c>
      <c r="AH142" s="144">
        <f>SUMIFS('март 2026'!$G$2:$G$2701,'март 2026'!$D$2:$D$2701,$B142,'март 2026'!$J$2:$J$2701,AH$1)</f>
        <v>0</v>
      </c>
      <c r="AI142" s="20">
        <f t="shared" si="1"/>
        <v>0</v>
      </c>
    </row>
    <row r="143" spans="2:35" ht="15" customHeight="1" x14ac:dyDescent="0.25">
      <c r="B143" s="82" t="s">
        <v>292</v>
      </c>
      <c r="C143" s="81">
        <v>180</v>
      </c>
      <c r="D143" s="144">
        <f>SUMIFS('март 2026'!$G$2:$G$2701,'март 2026'!$D$2:$D$2701,$B143,'март 2026'!$J$2:$J$2701,D$1)</f>
        <v>0</v>
      </c>
      <c r="E143" s="144">
        <f>SUMIFS('март 2026'!$G$2:$G$2701,'март 2026'!$D$2:$D$2701,$B143,'март 2026'!$J$2:$J$2701,E$1)</f>
        <v>0</v>
      </c>
      <c r="F143" s="144">
        <f>SUMIFS('март 2026'!$G$2:$G$2701,'март 2026'!$D$2:$D$2701,$B143,'март 2026'!$J$2:$J$2701,F$1)</f>
        <v>0</v>
      </c>
      <c r="G143" s="144">
        <f>SUMIFS('март 2026'!$G$2:$G$2701,'март 2026'!$D$2:$D$2701,$B143,'март 2026'!$J$2:$J$2701,G$1)</f>
        <v>0</v>
      </c>
      <c r="H143" s="144">
        <f>SUMIFS('март 2026'!$G$2:$G$2701,'март 2026'!$D$2:$D$2701,$B143,'март 2026'!$J$2:$J$2701,H$1)</f>
        <v>0</v>
      </c>
      <c r="I143" s="144">
        <f>SUMIFS('март 2026'!$G$2:$G$2701,'март 2026'!$D$2:$D$2701,$B143,'март 2026'!$J$2:$J$2701,I$1)</f>
        <v>0</v>
      </c>
      <c r="J143" s="144">
        <f>SUMIFS('март 2026'!$G$2:$G$2701,'март 2026'!$D$2:$D$2701,$B143,'март 2026'!$J$2:$J$2701,J$1)</f>
        <v>0</v>
      </c>
      <c r="K143" s="144">
        <f>SUMIFS('март 2026'!$G$2:$G$2701,'март 2026'!$D$2:$D$2701,$B143,'март 2026'!$J$2:$J$2701,K$1)</f>
        <v>0</v>
      </c>
      <c r="L143" s="144">
        <f>SUMIFS('март 2026'!$G$2:$G$2701,'март 2026'!$D$2:$D$2701,$B143,'март 2026'!$J$2:$J$2701,L$1)</f>
        <v>0</v>
      </c>
      <c r="M143" s="144">
        <f>SUMIFS('март 2026'!$G$2:$G$2701,'март 2026'!$D$2:$D$2701,$B143,'март 2026'!$J$2:$J$2701,M$1)</f>
        <v>0</v>
      </c>
      <c r="N143" s="144">
        <f>SUMIFS('март 2026'!$G$2:$G$2701,'март 2026'!$D$2:$D$2701,$B143,'март 2026'!$J$2:$J$2701,N$1)</f>
        <v>0</v>
      </c>
      <c r="O143" s="144">
        <f>SUMIFS('март 2026'!$G$2:$G$2701,'март 2026'!$D$2:$D$2701,$B143,'март 2026'!$J$2:$J$2701,O$1)</f>
        <v>0</v>
      </c>
      <c r="P143" s="144">
        <f>SUMIFS('март 2026'!$G$2:$G$2701,'март 2026'!$D$2:$D$2701,$B143,'март 2026'!$J$2:$J$2701,P$1)</f>
        <v>0</v>
      </c>
      <c r="Q143" s="144">
        <f>SUMIFS('март 2026'!$G$2:$G$2701,'март 2026'!$D$2:$D$2701,$B143,'март 2026'!$J$2:$J$2701,Q$1)</f>
        <v>0</v>
      </c>
      <c r="R143" s="144">
        <f>SUMIFS('март 2026'!$G$2:$G$2701,'март 2026'!$D$2:$D$2701,$B143,'март 2026'!$J$2:$J$2701,R$1)</f>
        <v>0</v>
      </c>
      <c r="S143" s="144">
        <f>SUMIFS('март 2026'!$G$2:$G$2701,'март 2026'!$D$2:$D$2701,$B143,'март 2026'!$J$2:$J$2701,S$1)</f>
        <v>0</v>
      </c>
      <c r="T143" s="144">
        <f>SUMIFS('март 2026'!$G$2:$G$2701,'март 2026'!$D$2:$D$2701,$B143,'март 2026'!$J$2:$J$2701,T$1)</f>
        <v>0</v>
      </c>
      <c r="U143" s="144">
        <f>SUMIFS('март 2026'!$G$2:$G$2701,'март 2026'!$D$2:$D$2701,$B143,'март 2026'!$J$2:$J$2701,U$1)</f>
        <v>0</v>
      </c>
      <c r="V143" s="144">
        <f>SUMIFS('март 2026'!$G$2:$G$2701,'март 2026'!$D$2:$D$2701,$B143,'март 2026'!$J$2:$J$2701,V$1)</f>
        <v>0</v>
      </c>
      <c r="W143" s="144">
        <f>SUMIFS('март 2026'!$G$2:$G$2701,'март 2026'!$D$2:$D$2701,$B143,'март 2026'!$J$2:$J$2701,W$1)</f>
        <v>0</v>
      </c>
      <c r="X143" s="144">
        <f>SUMIFS('март 2026'!$G$2:$G$2701,'март 2026'!$D$2:$D$2701,$B143,'март 2026'!$J$2:$J$2701,X$1)</f>
        <v>0</v>
      </c>
      <c r="Y143" s="144">
        <f>SUMIFS('март 2026'!$G$2:$G$2701,'март 2026'!$D$2:$D$2701,$B143,'март 2026'!$J$2:$J$2701,Y$1)</f>
        <v>0</v>
      </c>
      <c r="Z143" s="144">
        <f>SUMIFS('март 2026'!$G$2:$G$2701,'март 2026'!$D$2:$D$2701,$B143,'март 2026'!$J$2:$J$2701,Z$1)</f>
        <v>0</v>
      </c>
      <c r="AA143" s="144">
        <f>SUMIFS('март 2026'!$G$2:$G$2701,'март 2026'!$D$2:$D$2701,$B143,'март 2026'!$J$2:$J$2701,AA$1)</f>
        <v>0</v>
      </c>
      <c r="AB143" s="144">
        <f>SUMIFS('март 2026'!$G$2:$G$2701,'март 2026'!$D$2:$D$2701,$B143,'март 2026'!$J$2:$J$2701,AB$1)</f>
        <v>0</v>
      </c>
      <c r="AC143" s="144">
        <f>SUMIFS('март 2026'!$G$2:$G$2701,'март 2026'!$D$2:$D$2701,$B143,'март 2026'!$J$2:$J$2701,AC$1)</f>
        <v>0</v>
      </c>
      <c r="AD143" s="144">
        <f>SUMIFS('март 2026'!$G$2:$G$2701,'март 2026'!$D$2:$D$2701,$B143,'март 2026'!$J$2:$J$2701,AD$1)</f>
        <v>0</v>
      </c>
      <c r="AE143" s="144">
        <f>SUMIFS('март 2026'!$G$2:$G$2701,'март 2026'!$D$2:$D$2701,$B143,'март 2026'!$J$2:$J$2701,AE$1)</f>
        <v>0</v>
      </c>
      <c r="AF143" s="144">
        <f>SUMIFS('март 2026'!$G$2:$G$2701,'март 2026'!$D$2:$D$2701,$B143,'март 2026'!$J$2:$J$2701,AF$1)</f>
        <v>0</v>
      </c>
      <c r="AG143" s="144">
        <f>SUMIFS('март 2026'!$G$2:$G$2701,'март 2026'!$D$2:$D$2701,$B143,'март 2026'!$J$2:$J$2701,AG$1)</f>
        <v>0</v>
      </c>
      <c r="AH143" s="144">
        <f>SUMIFS('март 2026'!$G$2:$G$2701,'март 2026'!$D$2:$D$2701,$B143,'март 2026'!$J$2:$J$2701,AH$1)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SUMIFS('март 2026'!$G$2:$G$2701,'март 2026'!$D$2:$D$2701,$B144,'март 2026'!$J$2:$J$2701,D$1)</f>
        <v>0</v>
      </c>
      <c r="E144" s="144">
        <f>SUMIFS('март 2026'!$G$2:$G$2701,'март 2026'!$D$2:$D$2701,$B144,'март 2026'!$J$2:$J$2701,E$1)</f>
        <v>0</v>
      </c>
      <c r="F144" s="144">
        <f>SUMIFS('март 2026'!$G$2:$G$2701,'март 2026'!$D$2:$D$2701,$B144,'март 2026'!$J$2:$J$2701,F$1)</f>
        <v>0</v>
      </c>
      <c r="G144" s="144">
        <f>SUMIFS('март 2026'!$G$2:$G$2701,'март 2026'!$D$2:$D$2701,$B144,'март 2026'!$J$2:$J$2701,G$1)</f>
        <v>0</v>
      </c>
      <c r="H144" s="144">
        <f>SUMIFS('март 2026'!$G$2:$G$2701,'март 2026'!$D$2:$D$2701,$B144,'март 2026'!$J$2:$J$2701,H$1)</f>
        <v>0</v>
      </c>
      <c r="I144" s="144">
        <f>SUMIFS('март 2026'!$G$2:$G$2701,'март 2026'!$D$2:$D$2701,$B144,'март 2026'!$J$2:$J$2701,I$1)</f>
        <v>0</v>
      </c>
      <c r="J144" s="144">
        <f>SUMIFS('март 2026'!$G$2:$G$2701,'март 2026'!$D$2:$D$2701,$B144,'март 2026'!$J$2:$J$2701,J$1)</f>
        <v>0</v>
      </c>
      <c r="K144" s="144">
        <f>SUMIFS('март 2026'!$G$2:$G$2701,'март 2026'!$D$2:$D$2701,$B144,'март 2026'!$J$2:$J$2701,K$1)</f>
        <v>0</v>
      </c>
      <c r="L144" s="144">
        <f>SUMIFS('март 2026'!$G$2:$G$2701,'март 2026'!$D$2:$D$2701,$B144,'март 2026'!$J$2:$J$2701,L$1)</f>
        <v>0</v>
      </c>
      <c r="M144" s="144">
        <f>SUMIFS('март 2026'!$G$2:$G$2701,'март 2026'!$D$2:$D$2701,$B144,'март 2026'!$J$2:$J$2701,M$1)</f>
        <v>0</v>
      </c>
      <c r="N144" s="144">
        <f>SUMIFS('март 2026'!$G$2:$G$2701,'март 2026'!$D$2:$D$2701,$B144,'март 2026'!$J$2:$J$2701,N$1)</f>
        <v>0</v>
      </c>
      <c r="O144" s="144">
        <f>SUMIFS('март 2026'!$G$2:$G$2701,'март 2026'!$D$2:$D$2701,$B144,'март 2026'!$J$2:$J$2701,O$1)</f>
        <v>0</v>
      </c>
      <c r="P144" s="144">
        <f>SUMIFS('март 2026'!$G$2:$G$2701,'март 2026'!$D$2:$D$2701,$B144,'март 2026'!$J$2:$J$2701,P$1)</f>
        <v>0</v>
      </c>
      <c r="Q144" s="144">
        <f>SUMIFS('март 2026'!$G$2:$G$2701,'март 2026'!$D$2:$D$2701,$B144,'март 2026'!$J$2:$J$2701,Q$1)</f>
        <v>0</v>
      </c>
      <c r="R144" s="144">
        <f>SUMIFS('март 2026'!$G$2:$G$2701,'март 2026'!$D$2:$D$2701,$B144,'март 2026'!$J$2:$J$2701,R$1)</f>
        <v>0</v>
      </c>
      <c r="S144" s="144">
        <f>SUMIFS('март 2026'!$G$2:$G$2701,'март 2026'!$D$2:$D$2701,$B144,'март 2026'!$J$2:$J$2701,S$1)</f>
        <v>0</v>
      </c>
      <c r="T144" s="144">
        <f>SUMIFS('март 2026'!$G$2:$G$2701,'март 2026'!$D$2:$D$2701,$B144,'март 2026'!$J$2:$J$2701,T$1)</f>
        <v>0</v>
      </c>
      <c r="U144" s="144">
        <f>SUMIFS('март 2026'!$G$2:$G$2701,'март 2026'!$D$2:$D$2701,$B144,'март 2026'!$J$2:$J$2701,U$1)</f>
        <v>0</v>
      </c>
      <c r="V144" s="144">
        <f>SUMIFS('март 2026'!$G$2:$G$2701,'март 2026'!$D$2:$D$2701,$B144,'март 2026'!$J$2:$J$2701,V$1)</f>
        <v>0</v>
      </c>
      <c r="W144" s="144">
        <f>SUMIFS('март 2026'!$G$2:$G$2701,'март 2026'!$D$2:$D$2701,$B144,'март 2026'!$J$2:$J$2701,W$1)</f>
        <v>0</v>
      </c>
      <c r="X144" s="144">
        <f>SUMIFS('март 2026'!$G$2:$G$2701,'март 2026'!$D$2:$D$2701,$B144,'март 2026'!$J$2:$J$2701,X$1)</f>
        <v>0</v>
      </c>
      <c r="Y144" s="144">
        <f>SUMIFS('март 2026'!$G$2:$G$2701,'март 2026'!$D$2:$D$2701,$B144,'март 2026'!$J$2:$J$2701,Y$1)</f>
        <v>0</v>
      </c>
      <c r="Z144" s="144">
        <f>SUMIFS('март 2026'!$G$2:$G$2701,'март 2026'!$D$2:$D$2701,$B144,'март 2026'!$J$2:$J$2701,Z$1)</f>
        <v>0</v>
      </c>
      <c r="AA144" s="144">
        <f>SUMIFS('март 2026'!$G$2:$G$2701,'март 2026'!$D$2:$D$2701,$B144,'март 2026'!$J$2:$J$2701,AA$1)</f>
        <v>0</v>
      </c>
      <c r="AB144" s="144">
        <f>SUMIFS('март 2026'!$G$2:$G$2701,'март 2026'!$D$2:$D$2701,$B144,'март 2026'!$J$2:$J$2701,AB$1)</f>
        <v>0</v>
      </c>
      <c r="AC144" s="144">
        <f>SUMIFS('март 2026'!$G$2:$G$2701,'март 2026'!$D$2:$D$2701,$B144,'март 2026'!$J$2:$J$2701,AC$1)</f>
        <v>0</v>
      </c>
      <c r="AD144" s="144">
        <f>SUMIFS('март 2026'!$G$2:$G$2701,'март 2026'!$D$2:$D$2701,$B144,'март 2026'!$J$2:$J$2701,AD$1)</f>
        <v>0</v>
      </c>
      <c r="AE144" s="144">
        <f>SUMIFS('март 2026'!$G$2:$G$2701,'март 2026'!$D$2:$D$2701,$B144,'март 2026'!$J$2:$J$2701,AE$1)</f>
        <v>0</v>
      </c>
      <c r="AF144" s="144">
        <f>SUMIFS('март 2026'!$G$2:$G$2701,'март 2026'!$D$2:$D$2701,$B144,'март 2026'!$J$2:$J$2701,AF$1)</f>
        <v>0</v>
      </c>
      <c r="AG144" s="144">
        <f>SUMIFS('март 2026'!$G$2:$G$2701,'март 2026'!$D$2:$D$2701,$B144,'март 2026'!$J$2:$J$2701,AG$1)</f>
        <v>0</v>
      </c>
      <c r="AH144" s="144">
        <f>SUMIFS('март 2026'!$G$2:$G$2701,'март 2026'!$D$2:$D$2701,$B144,'март 2026'!$J$2:$J$2701,AH$1)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SUMIFS('март 2026'!$G$2:$G$2701,'март 2026'!$D$2:$D$2701,$B145,'март 2026'!$J$2:$J$2701,D$1)</f>
        <v>0</v>
      </c>
      <c r="E145" s="144">
        <f>SUMIFS('март 2026'!$G$2:$G$2701,'март 2026'!$D$2:$D$2701,$B145,'март 2026'!$J$2:$J$2701,E$1)</f>
        <v>0</v>
      </c>
      <c r="F145" s="144">
        <f>SUMIFS('март 2026'!$G$2:$G$2701,'март 2026'!$D$2:$D$2701,$B145,'март 2026'!$J$2:$J$2701,F$1)</f>
        <v>0</v>
      </c>
      <c r="G145" s="144">
        <f>SUMIFS('март 2026'!$G$2:$G$2701,'март 2026'!$D$2:$D$2701,$B145,'март 2026'!$J$2:$J$2701,G$1)</f>
        <v>0</v>
      </c>
      <c r="H145" s="144">
        <f>SUMIFS('март 2026'!$G$2:$G$2701,'март 2026'!$D$2:$D$2701,$B145,'март 2026'!$J$2:$J$2701,H$1)</f>
        <v>0</v>
      </c>
      <c r="I145" s="144">
        <f>SUMIFS('март 2026'!$G$2:$G$2701,'март 2026'!$D$2:$D$2701,$B145,'март 2026'!$J$2:$J$2701,I$1)</f>
        <v>8</v>
      </c>
      <c r="J145" s="144">
        <f>SUMIFS('март 2026'!$G$2:$G$2701,'март 2026'!$D$2:$D$2701,$B145,'март 2026'!$J$2:$J$2701,J$1)</f>
        <v>0</v>
      </c>
      <c r="K145" s="144">
        <f>SUMIFS('март 2026'!$G$2:$G$2701,'март 2026'!$D$2:$D$2701,$B145,'март 2026'!$J$2:$J$2701,K$1)</f>
        <v>0</v>
      </c>
      <c r="L145" s="144">
        <f>SUMIFS('март 2026'!$G$2:$G$2701,'март 2026'!$D$2:$D$2701,$B145,'март 2026'!$J$2:$J$2701,L$1)</f>
        <v>0</v>
      </c>
      <c r="M145" s="144">
        <f>SUMIFS('март 2026'!$G$2:$G$2701,'март 2026'!$D$2:$D$2701,$B145,'март 2026'!$J$2:$J$2701,M$1)</f>
        <v>0</v>
      </c>
      <c r="N145" s="144">
        <f>SUMIFS('март 2026'!$G$2:$G$2701,'март 2026'!$D$2:$D$2701,$B145,'март 2026'!$J$2:$J$2701,N$1)</f>
        <v>0</v>
      </c>
      <c r="O145" s="144">
        <f>SUMIFS('март 2026'!$G$2:$G$2701,'март 2026'!$D$2:$D$2701,$B145,'март 2026'!$J$2:$J$2701,O$1)</f>
        <v>0</v>
      </c>
      <c r="P145" s="144">
        <f>SUMIFS('март 2026'!$G$2:$G$2701,'март 2026'!$D$2:$D$2701,$B145,'март 2026'!$J$2:$J$2701,P$1)</f>
        <v>0</v>
      </c>
      <c r="Q145" s="144">
        <f>SUMIFS('март 2026'!$G$2:$G$2701,'март 2026'!$D$2:$D$2701,$B145,'март 2026'!$J$2:$J$2701,Q$1)</f>
        <v>0</v>
      </c>
      <c r="R145" s="144">
        <f>SUMIFS('март 2026'!$G$2:$G$2701,'март 2026'!$D$2:$D$2701,$B145,'март 2026'!$J$2:$J$2701,R$1)</f>
        <v>0</v>
      </c>
      <c r="S145" s="144">
        <f>SUMIFS('март 2026'!$G$2:$G$2701,'март 2026'!$D$2:$D$2701,$B145,'март 2026'!$J$2:$J$2701,S$1)</f>
        <v>0</v>
      </c>
      <c r="T145" s="144">
        <f>SUMIFS('март 2026'!$G$2:$G$2701,'март 2026'!$D$2:$D$2701,$B145,'март 2026'!$J$2:$J$2701,T$1)</f>
        <v>0</v>
      </c>
      <c r="U145" s="144">
        <f>SUMIFS('март 2026'!$G$2:$G$2701,'март 2026'!$D$2:$D$2701,$B145,'март 2026'!$J$2:$J$2701,U$1)</f>
        <v>0</v>
      </c>
      <c r="V145" s="144">
        <f>SUMIFS('март 2026'!$G$2:$G$2701,'март 2026'!$D$2:$D$2701,$B145,'март 2026'!$J$2:$J$2701,V$1)</f>
        <v>0</v>
      </c>
      <c r="W145" s="144">
        <f>SUMIFS('март 2026'!$G$2:$G$2701,'март 2026'!$D$2:$D$2701,$B145,'март 2026'!$J$2:$J$2701,W$1)</f>
        <v>0</v>
      </c>
      <c r="X145" s="144">
        <f>SUMIFS('март 2026'!$G$2:$G$2701,'март 2026'!$D$2:$D$2701,$B145,'март 2026'!$J$2:$J$2701,X$1)</f>
        <v>0</v>
      </c>
      <c r="Y145" s="144">
        <f>SUMIFS('март 2026'!$G$2:$G$2701,'март 2026'!$D$2:$D$2701,$B145,'март 2026'!$J$2:$J$2701,Y$1)</f>
        <v>0</v>
      </c>
      <c r="Z145" s="144">
        <f>SUMIFS('март 2026'!$G$2:$G$2701,'март 2026'!$D$2:$D$2701,$B145,'март 2026'!$J$2:$J$2701,Z$1)</f>
        <v>0</v>
      </c>
      <c r="AA145" s="144">
        <f>SUMIFS('март 2026'!$G$2:$G$2701,'март 2026'!$D$2:$D$2701,$B145,'март 2026'!$J$2:$J$2701,AA$1)</f>
        <v>0</v>
      </c>
      <c r="AB145" s="144">
        <f>SUMIFS('март 2026'!$G$2:$G$2701,'март 2026'!$D$2:$D$2701,$B145,'март 2026'!$J$2:$J$2701,AB$1)</f>
        <v>0</v>
      </c>
      <c r="AC145" s="144">
        <f>SUMIFS('март 2026'!$G$2:$G$2701,'март 2026'!$D$2:$D$2701,$B145,'март 2026'!$J$2:$J$2701,AC$1)</f>
        <v>0</v>
      </c>
      <c r="AD145" s="144">
        <f>SUMIFS('март 2026'!$G$2:$G$2701,'март 2026'!$D$2:$D$2701,$B145,'март 2026'!$J$2:$J$2701,AD$1)</f>
        <v>0</v>
      </c>
      <c r="AE145" s="144">
        <f>SUMIFS('март 2026'!$G$2:$G$2701,'март 2026'!$D$2:$D$2701,$B145,'март 2026'!$J$2:$J$2701,AE$1)</f>
        <v>0</v>
      </c>
      <c r="AF145" s="144">
        <f>SUMIFS('март 2026'!$G$2:$G$2701,'март 2026'!$D$2:$D$2701,$B145,'март 2026'!$J$2:$J$2701,AF$1)</f>
        <v>0</v>
      </c>
      <c r="AG145" s="144">
        <f>SUMIFS('март 2026'!$G$2:$G$2701,'март 2026'!$D$2:$D$2701,$B145,'март 2026'!$J$2:$J$2701,AG$1)</f>
        <v>0</v>
      </c>
      <c r="AH145" s="144">
        <f>SUMIFS('март 2026'!$G$2:$G$2701,'март 2026'!$D$2:$D$2701,$B145,'март 2026'!$J$2:$J$2701,AH$1)</f>
        <v>0</v>
      </c>
      <c r="AI145" s="20">
        <f t="shared" si="1"/>
        <v>8</v>
      </c>
    </row>
    <row r="146" spans="2:35" ht="15" customHeight="1" x14ac:dyDescent="0.25">
      <c r="B146" s="82" t="s">
        <v>172</v>
      </c>
      <c r="C146" s="81">
        <v>200</v>
      </c>
      <c r="D146" s="144">
        <f>SUMIFS('март 2026'!$G$2:$G$2701,'март 2026'!$D$2:$D$2701,$B146,'март 2026'!$J$2:$J$2701,D$1)</f>
        <v>0</v>
      </c>
      <c r="E146" s="144">
        <f>SUMIFS('март 2026'!$G$2:$G$2701,'март 2026'!$D$2:$D$2701,$B146,'март 2026'!$J$2:$J$2701,E$1)</f>
        <v>0</v>
      </c>
      <c r="F146" s="144">
        <f>SUMIFS('март 2026'!$G$2:$G$2701,'март 2026'!$D$2:$D$2701,$B146,'март 2026'!$J$2:$J$2701,F$1)</f>
        <v>0</v>
      </c>
      <c r="G146" s="144">
        <f>SUMIFS('март 2026'!$G$2:$G$2701,'март 2026'!$D$2:$D$2701,$B146,'март 2026'!$J$2:$J$2701,G$1)</f>
        <v>0</v>
      </c>
      <c r="H146" s="144">
        <f>SUMIFS('март 2026'!$G$2:$G$2701,'март 2026'!$D$2:$D$2701,$B146,'март 2026'!$J$2:$J$2701,H$1)</f>
        <v>0</v>
      </c>
      <c r="I146" s="144">
        <f>SUMIFS('март 2026'!$G$2:$G$2701,'март 2026'!$D$2:$D$2701,$B146,'март 2026'!$J$2:$J$2701,I$1)</f>
        <v>0</v>
      </c>
      <c r="J146" s="144">
        <f>SUMIFS('март 2026'!$G$2:$G$2701,'март 2026'!$D$2:$D$2701,$B146,'март 2026'!$J$2:$J$2701,J$1)</f>
        <v>0</v>
      </c>
      <c r="K146" s="144">
        <f>SUMIFS('март 2026'!$G$2:$G$2701,'март 2026'!$D$2:$D$2701,$B146,'март 2026'!$J$2:$J$2701,K$1)</f>
        <v>0</v>
      </c>
      <c r="L146" s="144">
        <f>SUMIFS('март 2026'!$G$2:$G$2701,'март 2026'!$D$2:$D$2701,$B146,'март 2026'!$J$2:$J$2701,L$1)</f>
        <v>0</v>
      </c>
      <c r="M146" s="144">
        <f>SUMIFS('март 2026'!$G$2:$G$2701,'март 2026'!$D$2:$D$2701,$B146,'март 2026'!$J$2:$J$2701,M$1)</f>
        <v>0</v>
      </c>
      <c r="N146" s="144">
        <f>SUMIFS('март 2026'!$G$2:$G$2701,'март 2026'!$D$2:$D$2701,$B146,'март 2026'!$J$2:$J$2701,N$1)</f>
        <v>0</v>
      </c>
      <c r="O146" s="144">
        <f>SUMIFS('март 2026'!$G$2:$G$2701,'март 2026'!$D$2:$D$2701,$B146,'март 2026'!$J$2:$J$2701,O$1)</f>
        <v>0</v>
      </c>
      <c r="P146" s="144">
        <f>SUMIFS('март 2026'!$G$2:$G$2701,'март 2026'!$D$2:$D$2701,$B146,'март 2026'!$J$2:$J$2701,P$1)</f>
        <v>0</v>
      </c>
      <c r="Q146" s="144">
        <f>SUMIFS('март 2026'!$G$2:$G$2701,'март 2026'!$D$2:$D$2701,$B146,'март 2026'!$J$2:$J$2701,Q$1)</f>
        <v>0</v>
      </c>
      <c r="R146" s="144">
        <f>SUMIFS('март 2026'!$G$2:$G$2701,'март 2026'!$D$2:$D$2701,$B146,'март 2026'!$J$2:$J$2701,R$1)</f>
        <v>0</v>
      </c>
      <c r="S146" s="144">
        <f>SUMIFS('март 2026'!$G$2:$G$2701,'март 2026'!$D$2:$D$2701,$B146,'март 2026'!$J$2:$J$2701,S$1)</f>
        <v>0</v>
      </c>
      <c r="T146" s="144">
        <f>SUMIFS('март 2026'!$G$2:$G$2701,'март 2026'!$D$2:$D$2701,$B146,'март 2026'!$J$2:$J$2701,T$1)</f>
        <v>0</v>
      </c>
      <c r="U146" s="144">
        <f>SUMIFS('март 2026'!$G$2:$G$2701,'март 2026'!$D$2:$D$2701,$B146,'март 2026'!$J$2:$J$2701,U$1)</f>
        <v>0</v>
      </c>
      <c r="V146" s="144">
        <f>SUMIFS('март 2026'!$G$2:$G$2701,'март 2026'!$D$2:$D$2701,$B146,'март 2026'!$J$2:$J$2701,V$1)</f>
        <v>0</v>
      </c>
      <c r="W146" s="144">
        <f>SUMIFS('март 2026'!$G$2:$G$2701,'март 2026'!$D$2:$D$2701,$B146,'март 2026'!$J$2:$J$2701,W$1)</f>
        <v>0</v>
      </c>
      <c r="X146" s="144">
        <f>SUMIFS('март 2026'!$G$2:$G$2701,'март 2026'!$D$2:$D$2701,$B146,'март 2026'!$J$2:$J$2701,X$1)</f>
        <v>0</v>
      </c>
      <c r="Y146" s="144">
        <f>SUMIFS('март 2026'!$G$2:$G$2701,'март 2026'!$D$2:$D$2701,$B146,'март 2026'!$J$2:$J$2701,Y$1)</f>
        <v>0</v>
      </c>
      <c r="Z146" s="144">
        <f>SUMIFS('март 2026'!$G$2:$G$2701,'март 2026'!$D$2:$D$2701,$B146,'март 2026'!$J$2:$J$2701,Z$1)</f>
        <v>0</v>
      </c>
      <c r="AA146" s="144">
        <f>SUMIFS('март 2026'!$G$2:$G$2701,'март 2026'!$D$2:$D$2701,$B146,'март 2026'!$J$2:$J$2701,AA$1)</f>
        <v>0</v>
      </c>
      <c r="AB146" s="144">
        <f>SUMIFS('март 2026'!$G$2:$G$2701,'март 2026'!$D$2:$D$2701,$B146,'март 2026'!$J$2:$J$2701,AB$1)</f>
        <v>0</v>
      </c>
      <c r="AC146" s="144">
        <f>SUMIFS('март 2026'!$G$2:$G$2701,'март 2026'!$D$2:$D$2701,$B146,'март 2026'!$J$2:$J$2701,AC$1)</f>
        <v>0</v>
      </c>
      <c r="AD146" s="144">
        <f>SUMIFS('март 2026'!$G$2:$G$2701,'март 2026'!$D$2:$D$2701,$B146,'март 2026'!$J$2:$J$2701,AD$1)</f>
        <v>0</v>
      </c>
      <c r="AE146" s="144">
        <f>SUMIFS('март 2026'!$G$2:$G$2701,'март 2026'!$D$2:$D$2701,$B146,'март 2026'!$J$2:$J$2701,AE$1)</f>
        <v>0</v>
      </c>
      <c r="AF146" s="144">
        <f>SUMIFS('март 2026'!$G$2:$G$2701,'март 2026'!$D$2:$D$2701,$B146,'март 2026'!$J$2:$J$2701,AF$1)</f>
        <v>0</v>
      </c>
      <c r="AG146" s="144">
        <f>SUMIFS('март 2026'!$G$2:$G$2701,'март 2026'!$D$2:$D$2701,$B146,'март 2026'!$J$2:$J$2701,AG$1)</f>
        <v>0</v>
      </c>
      <c r="AH146" s="144">
        <f>SUMIFS('март 2026'!$G$2:$G$2701,'март 2026'!$D$2:$D$2701,$B146,'март 2026'!$J$2:$J$2701,AH$1)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SUMIFS('март 2026'!$G$2:$G$2701,'март 2026'!$D$2:$D$2701,$B147,'март 2026'!$J$2:$J$2701,D$1)</f>
        <v>0</v>
      </c>
      <c r="E147" s="144">
        <f>SUMIFS('март 2026'!$G$2:$G$2701,'март 2026'!$D$2:$D$2701,$B147,'март 2026'!$J$2:$J$2701,E$1)</f>
        <v>0</v>
      </c>
      <c r="F147" s="144">
        <f>SUMIFS('март 2026'!$G$2:$G$2701,'март 2026'!$D$2:$D$2701,$B147,'март 2026'!$J$2:$J$2701,F$1)</f>
        <v>0</v>
      </c>
      <c r="G147" s="144">
        <f>SUMIFS('март 2026'!$G$2:$G$2701,'март 2026'!$D$2:$D$2701,$B147,'март 2026'!$J$2:$J$2701,G$1)</f>
        <v>0</v>
      </c>
      <c r="H147" s="144">
        <f>SUMIFS('март 2026'!$G$2:$G$2701,'март 2026'!$D$2:$D$2701,$B147,'март 2026'!$J$2:$J$2701,H$1)</f>
        <v>0</v>
      </c>
      <c r="I147" s="144">
        <f>SUMIFS('март 2026'!$G$2:$G$2701,'март 2026'!$D$2:$D$2701,$B147,'март 2026'!$J$2:$J$2701,I$1)</f>
        <v>0</v>
      </c>
      <c r="J147" s="144">
        <f>SUMIFS('март 2026'!$G$2:$G$2701,'март 2026'!$D$2:$D$2701,$B147,'март 2026'!$J$2:$J$2701,J$1)</f>
        <v>0</v>
      </c>
      <c r="K147" s="144">
        <f>SUMIFS('март 2026'!$G$2:$G$2701,'март 2026'!$D$2:$D$2701,$B147,'март 2026'!$J$2:$J$2701,K$1)</f>
        <v>0</v>
      </c>
      <c r="L147" s="144">
        <f>SUMIFS('март 2026'!$G$2:$G$2701,'март 2026'!$D$2:$D$2701,$B147,'март 2026'!$J$2:$J$2701,L$1)</f>
        <v>0</v>
      </c>
      <c r="M147" s="144">
        <f>SUMIFS('март 2026'!$G$2:$G$2701,'март 2026'!$D$2:$D$2701,$B147,'март 2026'!$J$2:$J$2701,M$1)</f>
        <v>0</v>
      </c>
      <c r="N147" s="144">
        <f>SUMIFS('март 2026'!$G$2:$G$2701,'март 2026'!$D$2:$D$2701,$B147,'март 2026'!$J$2:$J$2701,N$1)</f>
        <v>0</v>
      </c>
      <c r="O147" s="144">
        <f>SUMIFS('март 2026'!$G$2:$G$2701,'март 2026'!$D$2:$D$2701,$B147,'март 2026'!$J$2:$J$2701,O$1)</f>
        <v>0</v>
      </c>
      <c r="P147" s="144">
        <f>SUMIFS('март 2026'!$G$2:$G$2701,'март 2026'!$D$2:$D$2701,$B147,'март 2026'!$J$2:$J$2701,P$1)</f>
        <v>0</v>
      </c>
      <c r="Q147" s="144">
        <f>SUMIFS('март 2026'!$G$2:$G$2701,'март 2026'!$D$2:$D$2701,$B147,'март 2026'!$J$2:$J$2701,Q$1)</f>
        <v>0</v>
      </c>
      <c r="R147" s="144">
        <f>SUMIFS('март 2026'!$G$2:$G$2701,'март 2026'!$D$2:$D$2701,$B147,'март 2026'!$J$2:$J$2701,R$1)</f>
        <v>0</v>
      </c>
      <c r="S147" s="144">
        <f>SUMIFS('март 2026'!$G$2:$G$2701,'март 2026'!$D$2:$D$2701,$B147,'март 2026'!$J$2:$J$2701,S$1)</f>
        <v>0</v>
      </c>
      <c r="T147" s="144">
        <f>SUMIFS('март 2026'!$G$2:$G$2701,'март 2026'!$D$2:$D$2701,$B147,'март 2026'!$J$2:$J$2701,T$1)</f>
        <v>0</v>
      </c>
      <c r="U147" s="144">
        <f>SUMIFS('март 2026'!$G$2:$G$2701,'март 2026'!$D$2:$D$2701,$B147,'март 2026'!$J$2:$J$2701,U$1)</f>
        <v>0</v>
      </c>
      <c r="V147" s="144">
        <f>SUMIFS('март 2026'!$G$2:$G$2701,'март 2026'!$D$2:$D$2701,$B147,'март 2026'!$J$2:$J$2701,V$1)</f>
        <v>0</v>
      </c>
      <c r="W147" s="144">
        <f>SUMIFS('март 2026'!$G$2:$G$2701,'март 2026'!$D$2:$D$2701,$B147,'март 2026'!$J$2:$J$2701,W$1)</f>
        <v>0</v>
      </c>
      <c r="X147" s="144">
        <f>SUMIFS('март 2026'!$G$2:$G$2701,'март 2026'!$D$2:$D$2701,$B147,'март 2026'!$J$2:$J$2701,X$1)</f>
        <v>0</v>
      </c>
      <c r="Y147" s="144">
        <f>SUMIFS('март 2026'!$G$2:$G$2701,'март 2026'!$D$2:$D$2701,$B147,'март 2026'!$J$2:$J$2701,Y$1)</f>
        <v>0</v>
      </c>
      <c r="Z147" s="144">
        <f>SUMIFS('март 2026'!$G$2:$G$2701,'март 2026'!$D$2:$D$2701,$B147,'март 2026'!$J$2:$J$2701,Z$1)</f>
        <v>0</v>
      </c>
      <c r="AA147" s="144">
        <f>SUMIFS('март 2026'!$G$2:$G$2701,'март 2026'!$D$2:$D$2701,$B147,'март 2026'!$J$2:$J$2701,AA$1)</f>
        <v>0</v>
      </c>
      <c r="AB147" s="144">
        <f>SUMIFS('март 2026'!$G$2:$G$2701,'март 2026'!$D$2:$D$2701,$B147,'март 2026'!$J$2:$J$2701,AB$1)</f>
        <v>0</v>
      </c>
      <c r="AC147" s="144">
        <f>SUMIFS('март 2026'!$G$2:$G$2701,'март 2026'!$D$2:$D$2701,$B147,'март 2026'!$J$2:$J$2701,AC$1)</f>
        <v>0</v>
      </c>
      <c r="AD147" s="144">
        <f>SUMIFS('март 2026'!$G$2:$G$2701,'март 2026'!$D$2:$D$2701,$B147,'март 2026'!$J$2:$J$2701,AD$1)</f>
        <v>0</v>
      </c>
      <c r="AE147" s="144">
        <f>SUMIFS('март 2026'!$G$2:$G$2701,'март 2026'!$D$2:$D$2701,$B147,'март 2026'!$J$2:$J$2701,AE$1)</f>
        <v>0</v>
      </c>
      <c r="AF147" s="144">
        <f>SUMIFS('март 2026'!$G$2:$G$2701,'март 2026'!$D$2:$D$2701,$B147,'март 2026'!$J$2:$J$2701,AF$1)</f>
        <v>0</v>
      </c>
      <c r="AG147" s="144">
        <f>SUMIFS('март 2026'!$G$2:$G$2701,'март 2026'!$D$2:$D$2701,$B147,'март 2026'!$J$2:$J$2701,AG$1)</f>
        <v>0</v>
      </c>
      <c r="AH147" s="144">
        <f>SUMIFS('март 2026'!$G$2:$G$2701,'март 2026'!$D$2:$D$2701,$B147,'март 2026'!$J$2:$J$2701,AH$1)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SUMIFS('март 2026'!$G$2:$G$2701,'март 2026'!$D$2:$D$2701,$B148,'март 2026'!$J$2:$J$2701,D$1)</f>
        <v>0</v>
      </c>
      <c r="E148" s="144">
        <f>SUMIFS('март 2026'!$G$2:$G$2701,'март 2026'!$D$2:$D$2701,$B148,'март 2026'!$J$2:$J$2701,E$1)</f>
        <v>0</v>
      </c>
      <c r="F148" s="144">
        <f>SUMIFS('март 2026'!$G$2:$G$2701,'март 2026'!$D$2:$D$2701,$B148,'март 2026'!$J$2:$J$2701,F$1)</f>
        <v>0</v>
      </c>
      <c r="G148" s="144">
        <f>SUMIFS('март 2026'!$G$2:$G$2701,'март 2026'!$D$2:$D$2701,$B148,'март 2026'!$J$2:$J$2701,G$1)</f>
        <v>0</v>
      </c>
      <c r="H148" s="144">
        <f>SUMIFS('март 2026'!$G$2:$G$2701,'март 2026'!$D$2:$D$2701,$B148,'март 2026'!$J$2:$J$2701,H$1)</f>
        <v>0</v>
      </c>
      <c r="I148" s="144">
        <f>SUMIFS('март 2026'!$G$2:$G$2701,'март 2026'!$D$2:$D$2701,$B148,'март 2026'!$J$2:$J$2701,I$1)</f>
        <v>0</v>
      </c>
      <c r="J148" s="144">
        <f>SUMIFS('март 2026'!$G$2:$G$2701,'март 2026'!$D$2:$D$2701,$B148,'март 2026'!$J$2:$J$2701,J$1)</f>
        <v>0</v>
      </c>
      <c r="K148" s="144">
        <f>SUMIFS('март 2026'!$G$2:$G$2701,'март 2026'!$D$2:$D$2701,$B148,'март 2026'!$J$2:$J$2701,K$1)</f>
        <v>0</v>
      </c>
      <c r="L148" s="144">
        <f>SUMIFS('март 2026'!$G$2:$G$2701,'март 2026'!$D$2:$D$2701,$B148,'март 2026'!$J$2:$J$2701,L$1)</f>
        <v>0</v>
      </c>
      <c r="M148" s="144">
        <f>SUMIFS('март 2026'!$G$2:$G$2701,'март 2026'!$D$2:$D$2701,$B148,'март 2026'!$J$2:$J$2701,M$1)</f>
        <v>0</v>
      </c>
      <c r="N148" s="144">
        <f>SUMIFS('март 2026'!$G$2:$G$2701,'март 2026'!$D$2:$D$2701,$B148,'март 2026'!$J$2:$J$2701,N$1)</f>
        <v>0</v>
      </c>
      <c r="O148" s="144">
        <f>SUMIFS('март 2026'!$G$2:$G$2701,'март 2026'!$D$2:$D$2701,$B148,'март 2026'!$J$2:$J$2701,O$1)</f>
        <v>0</v>
      </c>
      <c r="P148" s="144">
        <f>SUMIFS('март 2026'!$G$2:$G$2701,'март 2026'!$D$2:$D$2701,$B148,'март 2026'!$J$2:$J$2701,P$1)</f>
        <v>0</v>
      </c>
      <c r="Q148" s="144">
        <f>SUMIFS('март 2026'!$G$2:$G$2701,'март 2026'!$D$2:$D$2701,$B148,'март 2026'!$J$2:$J$2701,Q$1)</f>
        <v>0</v>
      </c>
      <c r="R148" s="144">
        <f>SUMIFS('март 2026'!$G$2:$G$2701,'март 2026'!$D$2:$D$2701,$B148,'март 2026'!$J$2:$J$2701,R$1)</f>
        <v>0</v>
      </c>
      <c r="S148" s="144">
        <f>SUMIFS('март 2026'!$G$2:$G$2701,'март 2026'!$D$2:$D$2701,$B148,'март 2026'!$J$2:$J$2701,S$1)</f>
        <v>0</v>
      </c>
      <c r="T148" s="144">
        <f>SUMIFS('март 2026'!$G$2:$G$2701,'март 2026'!$D$2:$D$2701,$B148,'март 2026'!$J$2:$J$2701,T$1)</f>
        <v>0</v>
      </c>
      <c r="U148" s="144">
        <f>SUMIFS('март 2026'!$G$2:$G$2701,'март 2026'!$D$2:$D$2701,$B148,'март 2026'!$J$2:$J$2701,U$1)</f>
        <v>0</v>
      </c>
      <c r="V148" s="144">
        <f>SUMIFS('март 2026'!$G$2:$G$2701,'март 2026'!$D$2:$D$2701,$B148,'март 2026'!$J$2:$J$2701,V$1)</f>
        <v>0</v>
      </c>
      <c r="W148" s="144">
        <f>SUMIFS('март 2026'!$G$2:$G$2701,'март 2026'!$D$2:$D$2701,$B148,'март 2026'!$J$2:$J$2701,W$1)</f>
        <v>0</v>
      </c>
      <c r="X148" s="144">
        <f>SUMIFS('март 2026'!$G$2:$G$2701,'март 2026'!$D$2:$D$2701,$B148,'март 2026'!$J$2:$J$2701,X$1)</f>
        <v>0</v>
      </c>
      <c r="Y148" s="144">
        <f>SUMIFS('март 2026'!$G$2:$G$2701,'март 2026'!$D$2:$D$2701,$B148,'март 2026'!$J$2:$J$2701,Y$1)</f>
        <v>0</v>
      </c>
      <c r="Z148" s="144">
        <f>SUMIFS('март 2026'!$G$2:$G$2701,'март 2026'!$D$2:$D$2701,$B148,'март 2026'!$J$2:$J$2701,Z$1)</f>
        <v>0</v>
      </c>
      <c r="AA148" s="144">
        <f>SUMIFS('март 2026'!$G$2:$G$2701,'март 2026'!$D$2:$D$2701,$B148,'март 2026'!$J$2:$J$2701,AA$1)</f>
        <v>0</v>
      </c>
      <c r="AB148" s="144">
        <f>SUMIFS('март 2026'!$G$2:$G$2701,'март 2026'!$D$2:$D$2701,$B148,'март 2026'!$J$2:$J$2701,AB$1)</f>
        <v>0</v>
      </c>
      <c r="AC148" s="144">
        <f>SUMIFS('март 2026'!$G$2:$G$2701,'март 2026'!$D$2:$D$2701,$B148,'март 2026'!$J$2:$J$2701,AC$1)</f>
        <v>0</v>
      </c>
      <c r="AD148" s="144">
        <f>SUMIFS('март 2026'!$G$2:$G$2701,'март 2026'!$D$2:$D$2701,$B148,'март 2026'!$J$2:$J$2701,AD$1)</f>
        <v>0</v>
      </c>
      <c r="AE148" s="144">
        <f>SUMIFS('март 2026'!$G$2:$G$2701,'март 2026'!$D$2:$D$2701,$B148,'март 2026'!$J$2:$J$2701,AE$1)</f>
        <v>0</v>
      </c>
      <c r="AF148" s="144">
        <f>SUMIFS('март 2026'!$G$2:$G$2701,'март 2026'!$D$2:$D$2701,$B148,'март 2026'!$J$2:$J$2701,AF$1)</f>
        <v>0</v>
      </c>
      <c r="AG148" s="144">
        <f>SUMIFS('март 2026'!$G$2:$G$2701,'март 2026'!$D$2:$D$2701,$B148,'март 2026'!$J$2:$J$2701,AG$1)</f>
        <v>0</v>
      </c>
      <c r="AH148" s="144">
        <f>SUMIFS('март 2026'!$G$2:$G$2701,'март 2026'!$D$2:$D$2701,$B148,'март 2026'!$J$2:$J$2701,AH$1)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SUMIFS('март 2026'!$G$2:$G$2701,'март 2026'!$D$2:$D$2701,$B149,'март 2026'!$J$2:$J$2701,D$1)</f>
        <v>0</v>
      </c>
      <c r="E149" s="144">
        <f>SUMIFS('март 2026'!$G$2:$G$2701,'март 2026'!$D$2:$D$2701,$B149,'март 2026'!$J$2:$J$2701,E$1)</f>
        <v>0</v>
      </c>
      <c r="F149" s="144">
        <f>SUMIFS('март 2026'!$G$2:$G$2701,'март 2026'!$D$2:$D$2701,$B149,'март 2026'!$J$2:$J$2701,F$1)</f>
        <v>0</v>
      </c>
      <c r="G149" s="144">
        <f>SUMIFS('март 2026'!$G$2:$G$2701,'март 2026'!$D$2:$D$2701,$B149,'март 2026'!$J$2:$J$2701,G$1)</f>
        <v>0</v>
      </c>
      <c r="H149" s="144">
        <f>SUMIFS('март 2026'!$G$2:$G$2701,'март 2026'!$D$2:$D$2701,$B149,'март 2026'!$J$2:$J$2701,H$1)</f>
        <v>0</v>
      </c>
      <c r="I149" s="144">
        <f>SUMIFS('март 2026'!$G$2:$G$2701,'март 2026'!$D$2:$D$2701,$B149,'март 2026'!$J$2:$J$2701,I$1)</f>
        <v>0</v>
      </c>
      <c r="J149" s="144">
        <f>SUMIFS('март 2026'!$G$2:$G$2701,'март 2026'!$D$2:$D$2701,$B149,'март 2026'!$J$2:$J$2701,J$1)</f>
        <v>0</v>
      </c>
      <c r="K149" s="144">
        <f>SUMIFS('март 2026'!$G$2:$G$2701,'март 2026'!$D$2:$D$2701,$B149,'март 2026'!$J$2:$J$2701,K$1)</f>
        <v>0</v>
      </c>
      <c r="L149" s="144">
        <f>SUMIFS('март 2026'!$G$2:$G$2701,'март 2026'!$D$2:$D$2701,$B149,'март 2026'!$J$2:$J$2701,L$1)</f>
        <v>0</v>
      </c>
      <c r="M149" s="144">
        <f>SUMIFS('март 2026'!$G$2:$G$2701,'март 2026'!$D$2:$D$2701,$B149,'март 2026'!$J$2:$J$2701,M$1)</f>
        <v>0</v>
      </c>
      <c r="N149" s="144">
        <f>SUMIFS('март 2026'!$G$2:$G$2701,'март 2026'!$D$2:$D$2701,$B149,'март 2026'!$J$2:$J$2701,N$1)</f>
        <v>0</v>
      </c>
      <c r="O149" s="144">
        <f>SUMIFS('март 2026'!$G$2:$G$2701,'март 2026'!$D$2:$D$2701,$B149,'март 2026'!$J$2:$J$2701,O$1)</f>
        <v>0</v>
      </c>
      <c r="P149" s="144">
        <f>SUMIFS('март 2026'!$G$2:$G$2701,'март 2026'!$D$2:$D$2701,$B149,'март 2026'!$J$2:$J$2701,P$1)</f>
        <v>0</v>
      </c>
      <c r="Q149" s="144">
        <f>SUMIFS('март 2026'!$G$2:$G$2701,'март 2026'!$D$2:$D$2701,$B149,'март 2026'!$J$2:$J$2701,Q$1)</f>
        <v>0</v>
      </c>
      <c r="R149" s="144">
        <f>SUMIFS('март 2026'!$G$2:$G$2701,'март 2026'!$D$2:$D$2701,$B149,'март 2026'!$J$2:$J$2701,R$1)</f>
        <v>0</v>
      </c>
      <c r="S149" s="144">
        <f>SUMIFS('март 2026'!$G$2:$G$2701,'март 2026'!$D$2:$D$2701,$B149,'март 2026'!$J$2:$J$2701,S$1)</f>
        <v>0</v>
      </c>
      <c r="T149" s="144">
        <f>SUMIFS('март 2026'!$G$2:$G$2701,'март 2026'!$D$2:$D$2701,$B149,'март 2026'!$J$2:$J$2701,T$1)</f>
        <v>0</v>
      </c>
      <c r="U149" s="144">
        <f>SUMIFS('март 2026'!$G$2:$G$2701,'март 2026'!$D$2:$D$2701,$B149,'март 2026'!$J$2:$J$2701,U$1)</f>
        <v>0</v>
      </c>
      <c r="V149" s="144">
        <f>SUMIFS('март 2026'!$G$2:$G$2701,'март 2026'!$D$2:$D$2701,$B149,'март 2026'!$J$2:$J$2701,V$1)</f>
        <v>0</v>
      </c>
      <c r="W149" s="144">
        <f>SUMIFS('март 2026'!$G$2:$G$2701,'март 2026'!$D$2:$D$2701,$B149,'март 2026'!$J$2:$J$2701,W$1)</f>
        <v>0</v>
      </c>
      <c r="X149" s="144">
        <f>SUMIFS('март 2026'!$G$2:$G$2701,'март 2026'!$D$2:$D$2701,$B149,'март 2026'!$J$2:$J$2701,X$1)</f>
        <v>0</v>
      </c>
      <c r="Y149" s="144">
        <f>SUMIFS('март 2026'!$G$2:$G$2701,'март 2026'!$D$2:$D$2701,$B149,'март 2026'!$J$2:$J$2701,Y$1)</f>
        <v>0</v>
      </c>
      <c r="Z149" s="144">
        <f>SUMIFS('март 2026'!$G$2:$G$2701,'март 2026'!$D$2:$D$2701,$B149,'март 2026'!$J$2:$J$2701,Z$1)</f>
        <v>0</v>
      </c>
      <c r="AA149" s="144">
        <f>SUMIFS('март 2026'!$G$2:$G$2701,'март 2026'!$D$2:$D$2701,$B149,'март 2026'!$J$2:$J$2701,AA$1)</f>
        <v>0</v>
      </c>
      <c r="AB149" s="144">
        <f>SUMIFS('март 2026'!$G$2:$G$2701,'март 2026'!$D$2:$D$2701,$B149,'март 2026'!$J$2:$J$2701,AB$1)</f>
        <v>0</v>
      </c>
      <c r="AC149" s="144">
        <f>SUMIFS('март 2026'!$G$2:$G$2701,'март 2026'!$D$2:$D$2701,$B149,'март 2026'!$J$2:$J$2701,AC$1)</f>
        <v>0</v>
      </c>
      <c r="AD149" s="144">
        <f>SUMIFS('март 2026'!$G$2:$G$2701,'март 2026'!$D$2:$D$2701,$B149,'март 2026'!$J$2:$J$2701,AD$1)</f>
        <v>0</v>
      </c>
      <c r="AE149" s="144">
        <f>SUMIFS('март 2026'!$G$2:$G$2701,'март 2026'!$D$2:$D$2701,$B149,'март 2026'!$J$2:$J$2701,AE$1)</f>
        <v>0</v>
      </c>
      <c r="AF149" s="144">
        <f>SUMIFS('март 2026'!$G$2:$G$2701,'март 2026'!$D$2:$D$2701,$B149,'март 2026'!$J$2:$J$2701,AF$1)</f>
        <v>0</v>
      </c>
      <c r="AG149" s="144">
        <f>SUMIFS('март 2026'!$G$2:$G$2701,'март 2026'!$D$2:$D$2701,$B149,'март 2026'!$J$2:$J$2701,AG$1)</f>
        <v>0</v>
      </c>
      <c r="AH149" s="144">
        <f>SUMIFS('март 2026'!$G$2:$G$2701,'март 2026'!$D$2:$D$2701,$B149,'март 2026'!$J$2:$J$2701,AH$1)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SUMIFS('март 2026'!$G$2:$G$2701,'март 2026'!$D$2:$D$2701,$B150,'март 2026'!$J$2:$J$2701,D$1)</f>
        <v>0</v>
      </c>
      <c r="E150" s="144">
        <f>SUMIFS('март 2026'!$G$2:$G$2701,'март 2026'!$D$2:$D$2701,$B150,'март 2026'!$J$2:$J$2701,E$1)</f>
        <v>0</v>
      </c>
      <c r="F150" s="144">
        <f>SUMIFS('март 2026'!$G$2:$G$2701,'март 2026'!$D$2:$D$2701,$B150,'март 2026'!$J$2:$J$2701,F$1)</f>
        <v>0</v>
      </c>
      <c r="G150" s="144">
        <f>SUMIFS('март 2026'!$G$2:$G$2701,'март 2026'!$D$2:$D$2701,$B150,'март 2026'!$J$2:$J$2701,G$1)</f>
        <v>0</v>
      </c>
      <c r="H150" s="144">
        <f>SUMIFS('март 2026'!$G$2:$G$2701,'март 2026'!$D$2:$D$2701,$B150,'март 2026'!$J$2:$J$2701,H$1)</f>
        <v>0</v>
      </c>
      <c r="I150" s="144">
        <f>SUMIFS('март 2026'!$G$2:$G$2701,'март 2026'!$D$2:$D$2701,$B150,'март 2026'!$J$2:$J$2701,I$1)</f>
        <v>0</v>
      </c>
      <c r="J150" s="144">
        <f>SUMIFS('март 2026'!$G$2:$G$2701,'март 2026'!$D$2:$D$2701,$B150,'март 2026'!$J$2:$J$2701,J$1)</f>
        <v>0</v>
      </c>
      <c r="K150" s="144">
        <f>SUMIFS('март 2026'!$G$2:$G$2701,'март 2026'!$D$2:$D$2701,$B150,'март 2026'!$J$2:$J$2701,K$1)</f>
        <v>0</v>
      </c>
      <c r="L150" s="144">
        <f>SUMIFS('март 2026'!$G$2:$G$2701,'март 2026'!$D$2:$D$2701,$B150,'март 2026'!$J$2:$J$2701,L$1)</f>
        <v>0</v>
      </c>
      <c r="M150" s="144">
        <f>SUMIFS('март 2026'!$G$2:$G$2701,'март 2026'!$D$2:$D$2701,$B150,'март 2026'!$J$2:$J$2701,M$1)</f>
        <v>0</v>
      </c>
      <c r="N150" s="144">
        <f>SUMIFS('март 2026'!$G$2:$G$2701,'март 2026'!$D$2:$D$2701,$B150,'март 2026'!$J$2:$J$2701,N$1)</f>
        <v>0</v>
      </c>
      <c r="O150" s="144">
        <f>SUMIFS('март 2026'!$G$2:$G$2701,'март 2026'!$D$2:$D$2701,$B150,'март 2026'!$J$2:$J$2701,O$1)</f>
        <v>0</v>
      </c>
      <c r="P150" s="144">
        <f>SUMIFS('март 2026'!$G$2:$G$2701,'март 2026'!$D$2:$D$2701,$B150,'март 2026'!$J$2:$J$2701,P$1)</f>
        <v>0</v>
      </c>
      <c r="Q150" s="144">
        <f>SUMIFS('март 2026'!$G$2:$G$2701,'март 2026'!$D$2:$D$2701,$B150,'март 2026'!$J$2:$J$2701,Q$1)</f>
        <v>0</v>
      </c>
      <c r="R150" s="144">
        <f>SUMIFS('март 2026'!$G$2:$G$2701,'март 2026'!$D$2:$D$2701,$B150,'март 2026'!$J$2:$J$2701,R$1)</f>
        <v>0</v>
      </c>
      <c r="S150" s="144">
        <f>SUMIFS('март 2026'!$G$2:$G$2701,'март 2026'!$D$2:$D$2701,$B150,'март 2026'!$J$2:$J$2701,S$1)</f>
        <v>0</v>
      </c>
      <c r="T150" s="144">
        <f>SUMIFS('март 2026'!$G$2:$G$2701,'март 2026'!$D$2:$D$2701,$B150,'март 2026'!$J$2:$J$2701,T$1)</f>
        <v>0</v>
      </c>
      <c r="U150" s="144">
        <f>SUMIFS('март 2026'!$G$2:$G$2701,'март 2026'!$D$2:$D$2701,$B150,'март 2026'!$J$2:$J$2701,U$1)</f>
        <v>0</v>
      </c>
      <c r="V150" s="144">
        <f>SUMIFS('март 2026'!$G$2:$G$2701,'март 2026'!$D$2:$D$2701,$B150,'март 2026'!$J$2:$J$2701,V$1)</f>
        <v>0</v>
      </c>
      <c r="W150" s="144">
        <f>SUMIFS('март 2026'!$G$2:$G$2701,'март 2026'!$D$2:$D$2701,$B150,'март 2026'!$J$2:$J$2701,W$1)</f>
        <v>0</v>
      </c>
      <c r="X150" s="144">
        <f>SUMIFS('март 2026'!$G$2:$G$2701,'март 2026'!$D$2:$D$2701,$B150,'март 2026'!$J$2:$J$2701,X$1)</f>
        <v>0</v>
      </c>
      <c r="Y150" s="144">
        <f>SUMIFS('март 2026'!$G$2:$G$2701,'март 2026'!$D$2:$D$2701,$B150,'март 2026'!$J$2:$J$2701,Y$1)</f>
        <v>0</v>
      </c>
      <c r="Z150" s="144">
        <f>SUMIFS('март 2026'!$G$2:$G$2701,'март 2026'!$D$2:$D$2701,$B150,'март 2026'!$J$2:$J$2701,Z$1)</f>
        <v>0</v>
      </c>
      <c r="AA150" s="144">
        <f>SUMIFS('март 2026'!$G$2:$G$2701,'март 2026'!$D$2:$D$2701,$B150,'март 2026'!$J$2:$J$2701,AA$1)</f>
        <v>0</v>
      </c>
      <c r="AB150" s="144">
        <f>SUMIFS('март 2026'!$G$2:$G$2701,'март 2026'!$D$2:$D$2701,$B150,'март 2026'!$J$2:$J$2701,AB$1)</f>
        <v>0</v>
      </c>
      <c r="AC150" s="144">
        <f>SUMIFS('март 2026'!$G$2:$G$2701,'март 2026'!$D$2:$D$2701,$B150,'март 2026'!$J$2:$J$2701,AC$1)</f>
        <v>0</v>
      </c>
      <c r="AD150" s="144">
        <f>SUMIFS('март 2026'!$G$2:$G$2701,'март 2026'!$D$2:$D$2701,$B150,'март 2026'!$J$2:$J$2701,AD$1)</f>
        <v>0</v>
      </c>
      <c r="AE150" s="144">
        <f>SUMIFS('март 2026'!$G$2:$G$2701,'март 2026'!$D$2:$D$2701,$B150,'март 2026'!$J$2:$J$2701,AE$1)</f>
        <v>0</v>
      </c>
      <c r="AF150" s="144">
        <f>SUMIFS('март 2026'!$G$2:$G$2701,'март 2026'!$D$2:$D$2701,$B150,'март 2026'!$J$2:$J$2701,AF$1)</f>
        <v>0</v>
      </c>
      <c r="AG150" s="144">
        <f>SUMIFS('март 2026'!$G$2:$G$2701,'март 2026'!$D$2:$D$2701,$B150,'март 2026'!$J$2:$J$2701,AG$1)</f>
        <v>0</v>
      </c>
      <c r="AH150" s="144">
        <f>SUMIFS('март 2026'!$G$2:$G$2701,'март 2026'!$D$2:$D$2701,$B150,'март 2026'!$J$2:$J$2701,AH$1)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SUMIFS('март 2026'!$G$2:$G$2701,'март 2026'!$D$2:$D$2701,$B151,'март 2026'!$J$2:$J$2701,D$1)</f>
        <v>0</v>
      </c>
      <c r="E151" s="144">
        <f>SUMIFS('март 2026'!$G$2:$G$2701,'март 2026'!$D$2:$D$2701,$B151,'март 2026'!$J$2:$J$2701,E$1)</f>
        <v>0</v>
      </c>
      <c r="F151" s="144">
        <f>SUMIFS('март 2026'!$G$2:$G$2701,'март 2026'!$D$2:$D$2701,$B151,'март 2026'!$J$2:$J$2701,F$1)</f>
        <v>0</v>
      </c>
      <c r="G151" s="144">
        <f>SUMIFS('март 2026'!$G$2:$G$2701,'март 2026'!$D$2:$D$2701,$B151,'март 2026'!$J$2:$J$2701,G$1)</f>
        <v>0</v>
      </c>
      <c r="H151" s="144">
        <f>SUMIFS('март 2026'!$G$2:$G$2701,'март 2026'!$D$2:$D$2701,$B151,'март 2026'!$J$2:$J$2701,H$1)</f>
        <v>0</v>
      </c>
      <c r="I151" s="144">
        <f>SUMIFS('март 2026'!$G$2:$G$2701,'март 2026'!$D$2:$D$2701,$B151,'март 2026'!$J$2:$J$2701,I$1)</f>
        <v>0</v>
      </c>
      <c r="J151" s="144">
        <f>SUMIFS('март 2026'!$G$2:$G$2701,'март 2026'!$D$2:$D$2701,$B151,'март 2026'!$J$2:$J$2701,J$1)</f>
        <v>0</v>
      </c>
      <c r="K151" s="144">
        <f>SUMIFS('март 2026'!$G$2:$G$2701,'март 2026'!$D$2:$D$2701,$B151,'март 2026'!$J$2:$J$2701,K$1)</f>
        <v>0</v>
      </c>
      <c r="L151" s="144">
        <f>SUMIFS('март 2026'!$G$2:$G$2701,'март 2026'!$D$2:$D$2701,$B151,'март 2026'!$J$2:$J$2701,L$1)</f>
        <v>0</v>
      </c>
      <c r="M151" s="144">
        <f>SUMIFS('март 2026'!$G$2:$G$2701,'март 2026'!$D$2:$D$2701,$B151,'март 2026'!$J$2:$J$2701,M$1)</f>
        <v>0</v>
      </c>
      <c r="N151" s="144">
        <f>SUMIFS('март 2026'!$G$2:$G$2701,'март 2026'!$D$2:$D$2701,$B151,'март 2026'!$J$2:$J$2701,N$1)</f>
        <v>0</v>
      </c>
      <c r="O151" s="144">
        <f>SUMIFS('март 2026'!$G$2:$G$2701,'март 2026'!$D$2:$D$2701,$B151,'март 2026'!$J$2:$J$2701,O$1)</f>
        <v>0</v>
      </c>
      <c r="P151" s="144">
        <f>SUMIFS('март 2026'!$G$2:$G$2701,'март 2026'!$D$2:$D$2701,$B151,'март 2026'!$J$2:$J$2701,P$1)</f>
        <v>0</v>
      </c>
      <c r="Q151" s="144">
        <f>SUMIFS('март 2026'!$G$2:$G$2701,'март 2026'!$D$2:$D$2701,$B151,'март 2026'!$J$2:$J$2701,Q$1)</f>
        <v>0</v>
      </c>
      <c r="R151" s="144">
        <f>SUMIFS('март 2026'!$G$2:$G$2701,'март 2026'!$D$2:$D$2701,$B151,'март 2026'!$J$2:$J$2701,R$1)</f>
        <v>0</v>
      </c>
      <c r="S151" s="144">
        <f>SUMIFS('март 2026'!$G$2:$G$2701,'март 2026'!$D$2:$D$2701,$B151,'март 2026'!$J$2:$J$2701,S$1)</f>
        <v>0</v>
      </c>
      <c r="T151" s="144">
        <f>SUMIFS('март 2026'!$G$2:$G$2701,'март 2026'!$D$2:$D$2701,$B151,'март 2026'!$J$2:$J$2701,T$1)</f>
        <v>0</v>
      </c>
      <c r="U151" s="144">
        <f>SUMIFS('март 2026'!$G$2:$G$2701,'март 2026'!$D$2:$D$2701,$B151,'март 2026'!$J$2:$J$2701,U$1)</f>
        <v>0</v>
      </c>
      <c r="V151" s="144">
        <f>SUMIFS('март 2026'!$G$2:$G$2701,'март 2026'!$D$2:$D$2701,$B151,'март 2026'!$J$2:$J$2701,V$1)</f>
        <v>0</v>
      </c>
      <c r="W151" s="144">
        <f>SUMIFS('март 2026'!$G$2:$G$2701,'март 2026'!$D$2:$D$2701,$B151,'март 2026'!$J$2:$J$2701,W$1)</f>
        <v>0</v>
      </c>
      <c r="X151" s="144">
        <f>SUMIFS('март 2026'!$G$2:$G$2701,'март 2026'!$D$2:$D$2701,$B151,'март 2026'!$J$2:$J$2701,X$1)</f>
        <v>0</v>
      </c>
      <c r="Y151" s="144">
        <f>SUMIFS('март 2026'!$G$2:$G$2701,'март 2026'!$D$2:$D$2701,$B151,'март 2026'!$J$2:$J$2701,Y$1)</f>
        <v>0</v>
      </c>
      <c r="Z151" s="144">
        <f>SUMIFS('март 2026'!$G$2:$G$2701,'март 2026'!$D$2:$D$2701,$B151,'март 2026'!$J$2:$J$2701,Z$1)</f>
        <v>0</v>
      </c>
      <c r="AA151" s="144">
        <f>SUMIFS('март 2026'!$G$2:$G$2701,'март 2026'!$D$2:$D$2701,$B151,'март 2026'!$J$2:$J$2701,AA$1)</f>
        <v>0</v>
      </c>
      <c r="AB151" s="144">
        <f>SUMIFS('март 2026'!$G$2:$G$2701,'март 2026'!$D$2:$D$2701,$B151,'март 2026'!$J$2:$J$2701,AB$1)</f>
        <v>0</v>
      </c>
      <c r="AC151" s="144">
        <f>SUMIFS('март 2026'!$G$2:$G$2701,'март 2026'!$D$2:$D$2701,$B151,'март 2026'!$J$2:$J$2701,AC$1)</f>
        <v>0</v>
      </c>
      <c r="AD151" s="144">
        <f>SUMIFS('март 2026'!$G$2:$G$2701,'март 2026'!$D$2:$D$2701,$B151,'март 2026'!$J$2:$J$2701,AD$1)</f>
        <v>0</v>
      </c>
      <c r="AE151" s="144">
        <f>SUMIFS('март 2026'!$G$2:$G$2701,'март 2026'!$D$2:$D$2701,$B151,'март 2026'!$J$2:$J$2701,AE$1)</f>
        <v>0</v>
      </c>
      <c r="AF151" s="144">
        <f>SUMIFS('март 2026'!$G$2:$G$2701,'март 2026'!$D$2:$D$2701,$B151,'март 2026'!$J$2:$J$2701,AF$1)</f>
        <v>0</v>
      </c>
      <c r="AG151" s="144">
        <f>SUMIFS('март 2026'!$G$2:$G$2701,'март 2026'!$D$2:$D$2701,$B151,'март 2026'!$J$2:$J$2701,AG$1)</f>
        <v>0</v>
      </c>
      <c r="AH151" s="144">
        <f>SUMIFS('март 2026'!$G$2:$G$2701,'март 2026'!$D$2:$D$2701,$B151,'март 2026'!$J$2:$J$2701,AH$1)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SUMIFS('март 2026'!$G$2:$G$2701,'март 2026'!$D$2:$D$2701,$B152,'март 2026'!$J$2:$J$2701,D$1)</f>
        <v>0</v>
      </c>
      <c r="E152" s="144">
        <f>SUMIFS('март 2026'!$G$2:$G$2701,'март 2026'!$D$2:$D$2701,$B152,'март 2026'!$J$2:$J$2701,E$1)</f>
        <v>0</v>
      </c>
      <c r="F152" s="144">
        <f>SUMIFS('март 2026'!$G$2:$G$2701,'март 2026'!$D$2:$D$2701,$B152,'март 2026'!$J$2:$J$2701,F$1)</f>
        <v>0</v>
      </c>
      <c r="G152" s="144">
        <f>SUMIFS('март 2026'!$G$2:$G$2701,'март 2026'!$D$2:$D$2701,$B152,'март 2026'!$J$2:$J$2701,G$1)</f>
        <v>0</v>
      </c>
      <c r="H152" s="144">
        <f>SUMIFS('март 2026'!$G$2:$G$2701,'март 2026'!$D$2:$D$2701,$B152,'март 2026'!$J$2:$J$2701,H$1)</f>
        <v>0</v>
      </c>
      <c r="I152" s="144">
        <f>SUMIFS('март 2026'!$G$2:$G$2701,'март 2026'!$D$2:$D$2701,$B152,'март 2026'!$J$2:$J$2701,I$1)</f>
        <v>0</v>
      </c>
      <c r="J152" s="144">
        <f>SUMIFS('март 2026'!$G$2:$G$2701,'март 2026'!$D$2:$D$2701,$B152,'март 2026'!$J$2:$J$2701,J$1)</f>
        <v>0</v>
      </c>
      <c r="K152" s="144">
        <f>SUMIFS('март 2026'!$G$2:$G$2701,'март 2026'!$D$2:$D$2701,$B152,'март 2026'!$J$2:$J$2701,K$1)</f>
        <v>0</v>
      </c>
      <c r="L152" s="144">
        <f>SUMIFS('март 2026'!$G$2:$G$2701,'март 2026'!$D$2:$D$2701,$B152,'март 2026'!$J$2:$J$2701,L$1)</f>
        <v>0</v>
      </c>
      <c r="M152" s="144">
        <f>SUMIFS('март 2026'!$G$2:$G$2701,'март 2026'!$D$2:$D$2701,$B152,'март 2026'!$J$2:$J$2701,M$1)</f>
        <v>0</v>
      </c>
      <c r="N152" s="144">
        <f>SUMIFS('март 2026'!$G$2:$G$2701,'март 2026'!$D$2:$D$2701,$B152,'март 2026'!$J$2:$J$2701,N$1)</f>
        <v>0</v>
      </c>
      <c r="O152" s="144">
        <f>SUMIFS('март 2026'!$G$2:$G$2701,'март 2026'!$D$2:$D$2701,$B152,'март 2026'!$J$2:$J$2701,O$1)</f>
        <v>0</v>
      </c>
      <c r="P152" s="144">
        <f>SUMIFS('март 2026'!$G$2:$G$2701,'март 2026'!$D$2:$D$2701,$B152,'март 2026'!$J$2:$J$2701,P$1)</f>
        <v>0</v>
      </c>
      <c r="Q152" s="144">
        <f>SUMIFS('март 2026'!$G$2:$G$2701,'март 2026'!$D$2:$D$2701,$B152,'март 2026'!$J$2:$J$2701,Q$1)</f>
        <v>0</v>
      </c>
      <c r="R152" s="144">
        <f>SUMIFS('март 2026'!$G$2:$G$2701,'март 2026'!$D$2:$D$2701,$B152,'март 2026'!$J$2:$J$2701,R$1)</f>
        <v>0</v>
      </c>
      <c r="S152" s="144">
        <f>SUMIFS('март 2026'!$G$2:$G$2701,'март 2026'!$D$2:$D$2701,$B152,'март 2026'!$J$2:$J$2701,S$1)</f>
        <v>0</v>
      </c>
      <c r="T152" s="144">
        <f>SUMIFS('март 2026'!$G$2:$G$2701,'март 2026'!$D$2:$D$2701,$B152,'март 2026'!$J$2:$J$2701,T$1)</f>
        <v>0</v>
      </c>
      <c r="U152" s="144">
        <f>SUMIFS('март 2026'!$G$2:$G$2701,'март 2026'!$D$2:$D$2701,$B152,'март 2026'!$J$2:$J$2701,U$1)</f>
        <v>0</v>
      </c>
      <c r="V152" s="144">
        <f>SUMIFS('март 2026'!$G$2:$G$2701,'март 2026'!$D$2:$D$2701,$B152,'март 2026'!$J$2:$J$2701,V$1)</f>
        <v>0</v>
      </c>
      <c r="W152" s="144">
        <f>SUMIFS('март 2026'!$G$2:$G$2701,'март 2026'!$D$2:$D$2701,$B152,'март 2026'!$J$2:$J$2701,W$1)</f>
        <v>0</v>
      </c>
      <c r="X152" s="144">
        <f>SUMIFS('март 2026'!$G$2:$G$2701,'март 2026'!$D$2:$D$2701,$B152,'март 2026'!$J$2:$J$2701,X$1)</f>
        <v>0</v>
      </c>
      <c r="Y152" s="144">
        <f>SUMIFS('март 2026'!$G$2:$G$2701,'март 2026'!$D$2:$D$2701,$B152,'март 2026'!$J$2:$J$2701,Y$1)</f>
        <v>0</v>
      </c>
      <c r="Z152" s="144">
        <f>SUMIFS('март 2026'!$G$2:$G$2701,'март 2026'!$D$2:$D$2701,$B152,'март 2026'!$J$2:$J$2701,Z$1)</f>
        <v>0</v>
      </c>
      <c r="AA152" s="144">
        <f>SUMIFS('март 2026'!$G$2:$G$2701,'март 2026'!$D$2:$D$2701,$B152,'март 2026'!$J$2:$J$2701,AA$1)</f>
        <v>0</v>
      </c>
      <c r="AB152" s="144">
        <f>SUMIFS('март 2026'!$G$2:$G$2701,'март 2026'!$D$2:$D$2701,$B152,'март 2026'!$J$2:$J$2701,AB$1)</f>
        <v>0</v>
      </c>
      <c r="AC152" s="144">
        <f>SUMIFS('март 2026'!$G$2:$G$2701,'март 2026'!$D$2:$D$2701,$B152,'март 2026'!$J$2:$J$2701,AC$1)</f>
        <v>0</v>
      </c>
      <c r="AD152" s="144">
        <f>SUMIFS('март 2026'!$G$2:$G$2701,'март 2026'!$D$2:$D$2701,$B152,'март 2026'!$J$2:$J$2701,AD$1)</f>
        <v>0</v>
      </c>
      <c r="AE152" s="144">
        <f>SUMIFS('март 2026'!$G$2:$G$2701,'март 2026'!$D$2:$D$2701,$B152,'март 2026'!$J$2:$J$2701,AE$1)</f>
        <v>0</v>
      </c>
      <c r="AF152" s="144">
        <f>SUMIFS('март 2026'!$G$2:$G$2701,'март 2026'!$D$2:$D$2701,$B152,'март 2026'!$J$2:$J$2701,AF$1)</f>
        <v>0</v>
      </c>
      <c r="AG152" s="144">
        <f>SUMIFS('март 2026'!$G$2:$G$2701,'март 2026'!$D$2:$D$2701,$B152,'март 2026'!$J$2:$J$2701,AG$1)</f>
        <v>0</v>
      </c>
      <c r="AH152" s="144">
        <f>SUMIFS('март 2026'!$G$2:$G$2701,'март 2026'!$D$2:$D$2701,$B152,'март 2026'!$J$2:$J$2701,AH$1)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SUMIFS('март 2026'!$G$2:$G$2701,'март 2026'!$D$2:$D$2701,$B153,'март 2026'!$J$2:$J$2701,D$1)</f>
        <v>0</v>
      </c>
      <c r="E153" s="144">
        <f>SUMIFS('март 2026'!$G$2:$G$2701,'март 2026'!$D$2:$D$2701,$B153,'март 2026'!$J$2:$J$2701,E$1)</f>
        <v>0</v>
      </c>
      <c r="F153" s="144">
        <f>SUMIFS('март 2026'!$G$2:$G$2701,'март 2026'!$D$2:$D$2701,$B153,'март 2026'!$J$2:$J$2701,F$1)</f>
        <v>0</v>
      </c>
      <c r="G153" s="144">
        <f>SUMIFS('март 2026'!$G$2:$G$2701,'март 2026'!$D$2:$D$2701,$B153,'март 2026'!$J$2:$J$2701,G$1)</f>
        <v>0</v>
      </c>
      <c r="H153" s="144">
        <f>SUMIFS('март 2026'!$G$2:$G$2701,'март 2026'!$D$2:$D$2701,$B153,'март 2026'!$J$2:$J$2701,H$1)</f>
        <v>0</v>
      </c>
      <c r="I153" s="144">
        <f>SUMIFS('март 2026'!$G$2:$G$2701,'март 2026'!$D$2:$D$2701,$B153,'март 2026'!$J$2:$J$2701,I$1)</f>
        <v>0</v>
      </c>
      <c r="J153" s="144">
        <f>SUMIFS('март 2026'!$G$2:$G$2701,'март 2026'!$D$2:$D$2701,$B153,'март 2026'!$J$2:$J$2701,J$1)</f>
        <v>0</v>
      </c>
      <c r="K153" s="144">
        <f>SUMIFS('март 2026'!$G$2:$G$2701,'март 2026'!$D$2:$D$2701,$B153,'март 2026'!$J$2:$J$2701,K$1)</f>
        <v>0</v>
      </c>
      <c r="L153" s="144">
        <f>SUMIFS('март 2026'!$G$2:$G$2701,'март 2026'!$D$2:$D$2701,$B153,'март 2026'!$J$2:$J$2701,L$1)</f>
        <v>0</v>
      </c>
      <c r="M153" s="144">
        <f>SUMIFS('март 2026'!$G$2:$G$2701,'март 2026'!$D$2:$D$2701,$B153,'март 2026'!$J$2:$J$2701,M$1)</f>
        <v>0</v>
      </c>
      <c r="N153" s="144">
        <f>SUMIFS('март 2026'!$G$2:$G$2701,'март 2026'!$D$2:$D$2701,$B153,'март 2026'!$J$2:$J$2701,N$1)</f>
        <v>0</v>
      </c>
      <c r="O153" s="144">
        <f>SUMIFS('март 2026'!$G$2:$G$2701,'март 2026'!$D$2:$D$2701,$B153,'март 2026'!$J$2:$J$2701,O$1)</f>
        <v>0</v>
      </c>
      <c r="P153" s="144">
        <f>SUMIFS('март 2026'!$G$2:$G$2701,'март 2026'!$D$2:$D$2701,$B153,'март 2026'!$J$2:$J$2701,P$1)</f>
        <v>0</v>
      </c>
      <c r="Q153" s="144">
        <f>SUMIFS('март 2026'!$G$2:$G$2701,'март 2026'!$D$2:$D$2701,$B153,'март 2026'!$J$2:$J$2701,Q$1)</f>
        <v>0</v>
      </c>
      <c r="R153" s="144">
        <f>SUMIFS('март 2026'!$G$2:$G$2701,'март 2026'!$D$2:$D$2701,$B153,'март 2026'!$J$2:$J$2701,R$1)</f>
        <v>0</v>
      </c>
      <c r="S153" s="144">
        <f>SUMIFS('март 2026'!$G$2:$G$2701,'март 2026'!$D$2:$D$2701,$B153,'март 2026'!$J$2:$J$2701,S$1)</f>
        <v>0</v>
      </c>
      <c r="T153" s="144">
        <f>SUMIFS('март 2026'!$G$2:$G$2701,'март 2026'!$D$2:$D$2701,$B153,'март 2026'!$J$2:$J$2701,T$1)</f>
        <v>0</v>
      </c>
      <c r="U153" s="144">
        <f>SUMIFS('март 2026'!$G$2:$G$2701,'март 2026'!$D$2:$D$2701,$B153,'март 2026'!$J$2:$J$2701,U$1)</f>
        <v>0</v>
      </c>
      <c r="V153" s="144">
        <f>SUMIFS('март 2026'!$G$2:$G$2701,'март 2026'!$D$2:$D$2701,$B153,'март 2026'!$J$2:$J$2701,V$1)</f>
        <v>0</v>
      </c>
      <c r="W153" s="144">
        <f>SUMIFS('март 2026'!$G$2:$G$2701,'март 2026'!$D$2:$D$2701,$B153,'март 2026'!$J$2:$J$2701,W$1)</f>
        <v>0</v>
      </c>
      <c r="X153" s="144">
        <f>SUMIFS('март 2026'!$G$2:$G$2701,'март 2026'!$D$2:$D$2701,$B153,'март 2026'!$J$2:$J$2701,X$1)</f>
        <v>0</v>
      </c>
      <c r="Y153" s="144">
        <f>SUMIFS('март 2026'!$G$2:$G$2701,'март 2026'!$D$2:$D$2701,$B153,'март 2026'!$J$2:$J$2701,Y$1)</f>
        <v>0</v>
      </c>
      <c r="Z153" s="144">
        <f>SUMIFS('март 2026'!$G$2:$G$2701,'март 2026'!$D$2:$D$2701,$B153,'март 2026'!$J$2:$J$2701,Z$1)</f>
        <v>0</v>
      </c>
      <c r="AA153" s="144">
        <f>SUMIFS('март 2026'!$G$2:$G$2701,'март 2026'!$D$2:$D$2701,$B153,'март 2026'!$J$2:$J$2701,AA$1)</f>
        <v>0</v>
      </c>
      <c r="AB153" s="144">
        <f>SUMIFS('март 2026'!$G$2:$G$2701,'март 2026'!$D$2:$D$2701,$B153,'март 2026'!$J$2:$J$2701,AB$1)</f>
        <v>0</v>
      </c>
      <c r="AC153" s="144">
        <f>SUMIFS('март 2026'!$G$2:$G$2701,'март 2026'!$D$2:$D$2701,$B153,'март 2026'!$J$2:$J$2701,AC$1)</f>
        <v>0</v>
      </c>
      <c r="AD153" s="144">
        <f>SUMIFS('март 2026'!$G$2:$G$2701,'март 2026'!$D$2:$D$2701,$B153,'март 2026'!$J$2:$J$2701,AD$1)</f>
        <v>0</v>
      </c>
      <c r="AE153" s="144">
        <f>SUMIFS('март 2026'!$G$2:$G$2701,'март 2026'!$D$2:$D$2701,$B153,'март 2026'!$J$2:$J$2701,AE$1)</f>
        <v>0</v>
      </c>
      <c r="AF153" s="144">
        <f>SUMIFS('март 2026'!$G$2:$G$2701,'март 2026'!$D$2:$D$2701,$B153,'март 2026'!$J$2:$J$2701,AF$1)</f>
        <v>0</v>
      </c>
      <c r="AG153" s="144">
        <f>SUMIFS('март 2026'!$G$2:$G$2701,'март 2026'!$D$2:$D$2701,$B153,'март 2026'!$J$2:$J$2701,AG$1)</f>
        <v>0</v>
      </c>
      <c r="AH153" s="144">
        <f>SUMIFS('март 2026'!$G$2:$G$2701,'март 2026'!$D$2:$D$2701,$B153,'март 2026'!$J$2:$J$2701,AH$1)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SUMIFS('март 2026'!$G$2:$G$2701,'март 2026'!$D$2:$D$2701,$B154,'март 2026'!$J$2:$J$2701,D$1)</f>
        <v>0</v>
      </c>
      <c r="E154" s="144">
        <f>SUMIFS('март 2026'!$G$2:$G$2701,'март 2026'!$D$2:$D$2701,$B154,'март 2026'!$J$2:$J$2701,E$1)</f>
        <v>0</v>
      </c>
      <c r="F154" s="144">
        <f>SUMIFS('март 2026'!$G$2:$G$2701,'март 2026'!$D$2:$D$2701,$B154,'март 2026'!$J$2:$J$2701,F$1)</f>
        <v>0</v>
      </c>
      <c r="G154" s="144">
        <f>SUMIFS('март 2026'!$G$2:$G$2701,'март 2026'!$D$2:$D$2701,$B154,'март 2026'!$J$2:$J$2701,G$1)</f>
        <v>0</v>
      </c>
      <c r="H154" s="144">
        <f>SUMIFS('март 2026'!$G$2:$G$2701,'март 2026'!$D$2:$D$2701,$B154,'март 2026'!$J$2:$J$2701,H$1)</f>
        <v>0</v>
      </c>
      <c r="I154" s="144">
        <f>SUMIFS('март 2026'!$G$2:$G$2701,'март 2026'!$D$2:$D$2701,$B154,'март 2026'!$J$2:$J$2701,I$1)</f>
        <v>0</v>
      </c>
      <c r="J154" s="144">
        <f>SUMIFS('март 2026'!$G$2:$G$2701,'март 2026'!$D$2:$D$2701,$B154,'март 2026'!$J$2:$J$2701,J$1)</f>
        <v>0</v>
      </c>
      <c r="K154" s="144">
        <f>SUMIFS('март 2026'!$G$2:$G$2701,'март 2026'!$D$2:$D$2701,$B154,'март 2026'!$J$2:$J$2701,K$1)</f>
        <v>0</v>
      </c>
      <c r="L154" s="144">
        <f>SUMIFS('март 2026'!$G$2:$G$2701,'март 2026'!$D$2:$D$2701,$B154,'март 2026'!$J$2:$J$2701,L$1)</f>
        <v>0</v>
      </c>
      <c r="M154" s="144">
        <f>SUMIFS('март 2026'!$G$2:$G$2701,'март 2026'!$D$2:$D$2701,$B154,'март 2026'!$J$2:$J$2701,M$1)</f>
        <v>0</v>
      </c>
      <c r="N154" s="144">
        <f>SUMIFS('март 2026'!$G$2:$G$2701,'март 2026'!$D$2:$D$2701,$B154,'март 2026'!$J$2:$J$2701,N$1)</f>
        <v>0</v>
      </c>
      <c r="O154" s="144">
        <f>SUMIFS('март 2026'!$G$2:$G$2701,'март 2026'!$D$2:$D$2701,$B154,'март 2026'!$J$2:$J$2701,O$1)</f>
        <v>0</v>
      </c>
      <c r="P154" s="144">
        <f>SUMIFS('март 2026'!$G$2:$G$2701,'март 2026'!$D$2:$D$2701,$B154,'март 2026'!$J$2:$J$2701,P$1)</f>
        <v>0</v>
      </c>
      <c r="Q154" s="144">
        <f>SUMIFS('март 2026'!$G$2:$G$2701,'март 2026'!$D$2:$D$2701,$B154,'март 2026'!$J$2:$J$2701,Q$1)</f>
        <v>0</v>
      </c>
      <c r="R154" s="144">
        <f>SUMIFS('март 2026'!$G$2:$G$2701,'март 2026'!$D$2:$D$2701,$B154,'март 2026'!$J$2:$J$2701,R$1)</f>
        <v>0</v>
      </c>
      <c r="S154" s="144">
        <f>SUMIFS('март 2026'!$G$2:$G$2701,'март 2026'!$D$2:$D$2701,$B154,'март 2026'!$J$2:$J$2701,S$1)</f>
        <v>0</v>
      </c>
      <c r="T154" s="144">
        <f>SUMIFS('март 2026'!$G$2:$G$2701,'март 2026'!$D$2:$D$2701,$B154,'март 2026'!$J$2:$J$2701,T$1)</f>
        <v>0</v>
      </c>
      <c r="U154" s="144">
        <f>SUMIFS('март 2026'!$G$2:$G$2701,'март 2026'!$D$2:$D$2701,$B154,'март 2026'!$J$2:$J$2701,U$1)</f>
        <v>0</v>
      </c>
      <c r="V154" s="144">
        <f>SUMIFS('март 2026'!$G$2:$G$2701,'март 2026'!$D$2:$D$2701,$B154,'март 2026'!$J$2:$J$2701,V$1)</f>
        <v>0</v>
      </c>
      <c r="W154" s="144">
        <f>SUMIFS('март 2026'!$G$2:$G$2701,'март 2026'!$D$2:$D$2701,$B154,'март 2026'!$J$2:$J$2701,W$1)</f>
        <v>0</v>
      </c>
      <c r="X154" s="144">
        <f>SUMIFS('март 2026'!$G$2:$G$2701,'март 2026'!$D$2:$D$2701,$B154,'март 2026'!$J$2:$J$2701,X$1)</f>
        <v>0</v>
      </c>
      <c r="Y154" s="144">
        <f>SUMIFS('март 2026'!$G$2:$G$2701,'март 2026'!$D$2:$D$2701,$B154,'март 2026'!$J$2:$J$2701,Y$1)</f>
        <v>0</v>
      </c>
      <c r="Z154" s="144">
        <f>SUMIFS('март 2026'!$G$2:$G$2701,'март 2026'!$D$2:$D$2701,$B154,'март 2026'!$J$2:$J$2701,Z$1)</f>
        <v>0</v>
      </c>
      <c r="AA154" s="144">
        <f>SUMIFS('март 2026'!$G$2:$G$2701,'март 2026'!$D$2:$D$2701,$B154,'март 2026'!$J$2:$J$2701,AA$1)</f>
        <v>0</v>
      </c>
      <c r="AB154" s="144">
        <f>SUMIFS('март 2026'!$G$2:$G$2701,'март 2026'!$D$2:$D$2701,$B154,'март 2026'!$J$2:$J$2701,AB$1)</f>
        <v>0</v>
      </c>
      <c r="AC154" s="144">
        <f>SUMIFS('март 2026'!$G$2:$G$2701,'март 2026'!$D$2:$D$2701,$B154,'март 2026'!$J$2:$J$2701,AC$1)</f>
        <v>0</v>
      </c>
      <c r="AD154" s="144">
        <f>SUMIFS('март 2026'!$G$2:$G$2701,'март 2026'!$D$2:$D$2701,$B154,'март 2026'!$J$2:$J$2701,AD$1)</f>
        <v>0</v>
      </c>
      <c r="AE154" s="144">
        <f>SUMIFS('март 2026'!$G$2:$G$2701,'март 2026'!$D$2:$D$2701,$B154,'март 2026'!$J$2:$J$2701,AE$1)</f>
        <v>0</v>
      </c>
      <c r="AF154" s="144">
        <f>SUMIFS('март 2026'!$G$2:$G$2701,'март 2026'!$D$2:$D$2701,$B154,'март 2026'!$J$2:$J$2701,AF$1)</f>
        <v>0</v>
      </c>
      <c r="AG154" s="144">
        <f>SUMIFS('март 2026'!$G$2:$G$2701,'март 2026'!$D$2:$D$2701,$B154,'март 2026'!$J$2:$J$2701,AG$1)</f>
        <v>0</v>
      </c>
      <c r="AH154" s="144">
        <f>SUMIFS('март 2026'!$G$2:$G$2701,'март 2026'!$D$2:$D$2701,$B154,'март 2026'!$J$2:$J$2701,AH$1)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SUMIFS('март 2026'!$G$2:$G$2701,'март 2026'!$D$2:$D$2701,$B155,'март 2026'!$J$2:$J$2701,D$1)</f>
        <v>0</v>
      </c>
      <c r="E155" s="144">
        <f>SUMIFS('март 2026'!$G$2:$G$2701,'март 2026'!$D$2:$D$2701,$B155,'март 2026'!$J$2:$J$2701,E$1)</f>
        <v>0</v>
      </c>
      <c r="F155" s="144">
        <f>SUMIFS('март 2026'!$G$2:$G$2701,'март 2026'!$D$2:$D$2701,$B155,'март 2026'!$J$2:$J$2701,F$1)</f>
        <v>0</v>
      </c>
      <c r="G155" s="144">
        <f>SUMIFS('март 2026'!$G$2:$G$2701,'март 2026'!$D$2:$D$2701,$B155,'март 2026'!$J$2:$J$2701,G$1)</f>
        <v>0</v>
      </c>
      <c r="H155" s="144">
        <f>SUMIFS('март 2026'!$G$2:$G$2701,'март 2026'!$D$2:$D$2701,$B155,'март 2026'!$J$2:$J$2701,H$1)</f>
        <v>0</v>
      </c>
      <c r="I155" s="144">
        <f>SUMIFS('март 2026'!$G$2:$G$2701,'март 2026'!$D$2:$D$2701,$B155,'март 2026'!$J$2:$J$2701,I$1)</f>
        <v>0</v>
      </c>
      <c r="J155" s="144">
        <f>SUMIFS('март 2026'!$G$2:$G$2701,'март 2026'!$D$2:$D$2701,$B155,'март 2026'!$J$2:$J$2701,J$1)</f>
        <v>0</v>
      </c>
      <c r="K155" s="144">
        <f>SUMIFS('март 2026'!$G$2:$G$2701,'март 2026'!$D$2:$D$2701,$B155,'март 2026'!$J$2:$J$2701,K$1)</f>
        <v>0</v>
      </c>
      <c r="L155" s="144">
        <f>SUMIFS('март 2026'!$G$2:$G$2701,'март 2026'!$D$2:$D$2701,$B155,'март 2026'!$J$2:$J$2701,L$1)</f>
        <v>0</v>
      </c>
      <c r="M155" s="144">
        <f>SUMIFS('март 2026'!$G$2:$G$2701,'март 2026'!$D$2:$D$2701,$B155,'март 2026'!$J$2:$J$2701,M$1)</f>
        <v>0</v>
      </c>
      <c r="N155" s="144">
        <f>SUMIFS('март 2026'!$G$2:$G$2701,'март 2026'!$D$2:$D$2701,$B155,'март 2026'!$J$2:$J$2701,N$1)</f>
        <v>0</v>
      </c>
      <c r="O155" s="144">
        <f>SUMIFS('март 2026'!$G$2:$G$2701,'март 2026'!$D$2:$D$2701,$B155,'март 2026'!$J$2:$J$2701,O$1)</f>
        <v>0</v>
      </c>
      <c r="P155" s="144">
        <f>SUMIFS('март 2026'!$G$2:$G$2701,'март 2026'!$D$2:$D$2701,$B155,'март 2026'!$J$2:$J$2701,P$1)</f>
        <v>0</v>
      </c>
      <c r="Q155" s="144">
        <f>SUMIFS('март 2026'!$G$2:$G$2701,'март 2026'!$D$2:$D$2701,$B155,'март 2026'!$J$2:$J$2701,Q$1)</f>
        <v>0</v>
      </c>
      <c r="R155" s="144">
        <f>SUMIFS('март 2026'!$G$2:$G$2701,'март 2026'!$D$2:$D$2701,$B155,'март 2026'!$J$2:$J$2701,R$1)</f>
        <v>0</v>
      </c>
      <c r="S155" s="144">
        <f>SUMIFS('март 2026'!$G$2:$G$2701,'март 2026'!$D$2:$D$2701,$B155,'март 2026'!$J$2:$J$2701,S$1)</f>
        <v>0</v>
      </c>
      <c r="T155" s="144">
        <f>SUMIFS('март 2026'!$G$2:$G$2701,'март 2026'!$D$2:$D$2701,$B155,'март 2026'!$J$2:$J$2701,T$1)</f>
        <v>0</v>
      </c>
      <c r="U155" s="144">
        <f>SUMIFS('март 2026'!$G$2:$G$2701,'март 2026'!$D$2:$D$2701,$B155,'март 2026'!$J$2:$J$2701,U$1)</f>
        <v>0</v>
      </c>
      <c r="V155" s="144">
        <f>SUMIFS('март 2026'!$G$2:$G$2701,'март 2026'!$D$2:$D$2701,$B155,'март 2026'!$J$2:$J$2701,V$1)</f>
        <v>0</v>
      </c>
      <c r="W155" s="144">
        <f>SUMIFS('март 2026'!$G$2:$G$2701,'март 2026'!$D$2:$D$2701,$B155,'март 2026'!$J$2:$J$2701,W$1)</f>
        <v>0</v>
      </c>
      <c r="X155" s="144">
        <f>SUMIFS('март 2026'!$G$2:$G$2701,'март 2026'!$D$2:$D$2701,$B155,'март 2026'!$J$2:$J$2701,X$1)</f>
        <v>0</v>
      </c>
      <c r="Y155" s="144">
        <f>SUMIFS('март 2026'!$G$2:$G$2701,'март 2026'!$D$2:$D$2701,$B155,'март 2026'!$J$2:$J$2701,Y$1)</f>
        <v>0</v>
      </c>
      <c r="Z155" s="144">
        <f>SUMIFS('март 2026'!$G$2:$G$2701,'март 2026'!$D$2:$D$2701,$B155,'март 2026'!$J$2:$J$2701,Z$1)</f>
        <v>0</v>
      </c>
      <c r="AA155" s="144">
        <f>SUMIFS('март 2026'!$G$2:$G$2701,'март 2026'!$D$2:$D$2701,$B155,'март 2026'!$J$2:$J$2701,AA$1)</f>
        <v>0</v>
      </c>
      <c r="AB155" s="144">
        <f>SUMIFS('март 2026'!$G$2:$G$2701,'март 2026'!$D$2:$D$2701,$B155,'март 2026'!$J$2:$J$2701,AB$1)</f>
        <v>0</v>
      </c>
      <c r="AC155" s="144">
        <f>SUMIFS('март 2026'!$G$2:$G$2701,'март 2026'!$D$2:$D$2701,$B155,'март 2026'!$J$2:$J$2701,AC$1)</f>
        <v>0</v>
      </c>
      <c r="AD155" s="144">
        <f>SUMIFS('март 2026'!$G$2:$G$2701,'март 2026'!$D$2:$D$2701,$B155,'март 2026'!$J$2:$J$2701,AD$1)</f>
        <v>0</v>
      </c>
      <c r="AE155" s="144">
        <f>SUMIFS('март 2026'!$G$2:$G$2701,'март 2026'!$D$2:$D$2701,$B155,'март 2026'!$J$2:$J$2701,AE$1)</f>
        <v>0</v>
      </c>
      <c r="AF155" s="144">
        <f>SUMIFS('март 2026'!$G$2:$G$2701,'март 2026'!$D$2:$D$2701,$B155,'март 2026'!$J$2:$J$2701,AF$1)</f>
        <v>0</v>
      </c>
      <c r="AG155" s="144">
        <f>SUMIFS('март 2026'!$G$2:$G$2701,'март 2026'!$D$2:$D$2701,$B155,'март 2026'!$J$2:$J$2701,AG$1)</f>
        <v>0</v>
      </c>
      <c r="AH155" s="144">
        <f>SUMIFS('март 2026'!$G$2:$G$2701,'март 2026'!$D$2:$D$2701,$B155,'март 2026'!$J$2:$J$2701,AH$1)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SUMIFS('март 2026'!$G$2:$G$2701,'март 2026'!$D$2:$D$2701,$B156,'март 2026'!$J$2:$J$2701,D$1)</f>
        <v>0</v>
      </c>
      <c r="E156" s="144">
        <f>SUMIFS('март 2026'!$G$2:$G$2701,'март 2026'!$D$2:$D$2701,$B156,'март 2026'!$J$2:$J$2701,E$1)</f>
        <v>0</v>
      </c>
      <c r="F156" s="144">
        <f>SUMIFS('март 2026'!$G$2:$G$2701,'март 2026'!$D$2:$D$2701,$B156,'март 2026'!$J$2:$J$2701,F$1)</f>
        <v>0</v>
      </c>
      <c r="G156" s="144">
        <f>SUMIFS('март 2026'!$G$2:$G$2701,'март 2026'!$D$2:$D$2701,$B156,'март 2026'!$J$2:$J$2701,G$1)</f>
        <v>0</v>
      </c>
      <c r="H156" s="144">
        <f>SUMIFS('март 2026'!$G$2:$G$2701,'март 2026'!$D$2:$D$2701,$B156,'март 2026'!$J$2:$J$2701,H$1)</f>
        <v>0</v>
      </c>
      <c r="I156" s="144">
        <f>SUMIFS('март 2026'!$G$2:$G$2701,'март 2026'!$D$2:$D$2701,$B156,'март 2026'!$J$2:$J$2701,I$1)</f>
        <v>0</v>
      </c>
      <c r="J156" s="144">
        <f>SUMIFS('март 2026'!$G$2:$G$2701,'март 2026'!$D$2:$D$2701,$B156,'март 2026'!$J$2:$J$2701,J$1)</f>
        <v>0</v>
      </c>
      <c r="K156" s="144">
        <f>SUMIFS('март 2026'!$G$2:$G$2701,'март 2026'!$D$2:$D$2701,$B156,'март 2026'!$J$2:$J$2701,K$1)</f>
        <v>0</v>
      </c>
      <c r="L156" s="144">
        <f>SUMIFS('март 2026'!$G$2:$G$2701,'март 2026'!$D$2:$D$2701,$B156,'март 2026'!$J$2:$J$2701,L$1)</f>
        <v>0</v>
      </c>
      <c r="M156" s="144">
        <f>SUMIFS('март 2026'!$G$2:$G$2701,'март 2026'!$D$2:$D$2701,$B156,'март 2026'!$J$2:$J$2701,M$1)</f>
        <v>0</v>
      </c>
      <c r="N156" s="144">
        <f>SUMIFS('март 2026'!$G$2:$G$2701,'март 2026'!$D$2:$D$2701,$B156,'март 2026'!$J$2:$J$2701,N$1)</f>
        <v>0</v>
      </c>
      <c r="O156" s="144">
        <f>SUMIFS('март 2026'!$G$2:$G$2701,'март 2026'!$D$2:$D$2701,$B156,'март 2026'!$J$2:$J$2701,O$1)</f>
        <v>0</v>
      </c>
      <c r="P156" s="144">
        <f>SUMIFS('март 2026'!$G$2:$G$2701,'март 2026'!$D$2:$D$2701,$B156,'март 2026'!$J$2:$J$2701,P$1)</f>
        <v>0</v>
      </c>
      <c r="Q156" s="144">
        <f>SUMIFS('март 2026'!$G$2:$G$2701,'март 2026'!$D$2:$D$2701,$B156,'март 2026'!$J$2:$J$2701,Q$1)</f>
        <v>0</v>
      </c>
      <c r="R156" s="144">
        <f>SUMIFS('март 2026'!$G$2:$G$2701,'март 2026'!$D$2:$D$2701,$B156,'март 2026'!$J$2:$J$2701,R$1)</f>
        <v>0</v>
      </c>
      <c r="S156" s="144">
        <f>SUMIFS('март 2026'!$G$2:$G$2701,'март 2026'!$D$2:$D$2701,$B156,'март 2026'!$J$2:$J$2701,S$1)</f>
        <v>0</v>
      </c>
      <c r="T156" s="144">
        <f>SUMIFS('март 2026'!$G$2:$G$2701,'март 2026'!$D$2:$D$2701,$B156,'март 2026'!$J$2:$J$2701,T$1)</f>
        <v>0</v>
      </c>
      <c r="U156" s="144">
        <f>SUMIFS('март 2026'!$G$2:$G$2701,'март 2026'!$D$2:$D$2701,$B156,'март 2026'!$J$2:$J$2701,U$1)</f>
        <v>0</v>
      </c>
      <c r="V156" s="144">
        <f>SUMIFS('март 2026'!$G$2:$G$2701,'март 2026'!$D$2:$D$2701,$B156,'март 2026'!$J$2:$J$2701,V$1)</f>
        <v>0</v>
      </c>
      <c r="W156" s="144">
        <f>SUMIFS('март 2026'!$G$2:$G$2701,'март 2026'!$D$2:$D$2701,$B156,'март 2026'!$J$2:$J$2701,W$1)</f>
        <v>0</v>
      </c>
      <c r="X156" s="144">
        <f>SUMIFS('март 2026'!$G$2:$G$2701,'март 2026'!$D$2:$D$2701,$B156,'март 2026'!$J$2:$J$2701,X$1)</f>
        <v>0</v>
      </c>
      <c r="Y156" s="144">
        <f>SUMIFS('март 2026'!$G$2:$G$2701,'март 2026'!$D$2:$D$2701,$B156,'март 2026'!$J$2:$J$2701,Y$1)</f>
        <v>0</v>
      </c>
      <c r="Z156" s="144">
        <f>SUMIFS('март 2026'!$G$2:$G$2701,'март 2026'!$D$2:$D$2701,$B156,'март 2026'!$J$2:$J$2701,Z$1)</f>
        <v>0</v>
      </c>
      <c r="AA156" s="144">
        <f>SUMIFS('март 2026'!$G$2:$G$2701,'март 2026'!$D$2:$D$2701,$B156,'март 2026'!$J$2:$J$2701,AA$1)</f>
        <v>0</v>
      </c>
      <c r="AB156" s="144">
        <f>SUMIFS('март 2026'!$G$2:$G$2701,'март 2026'!$D$2:$D$2701,$B156,'март 2026'!$J$2:$J$2701,AB$1)</f>
        <v>0</v>
      </c>
      <c r="AC156" s="144">
        <f>SUMIFS('март 2026'!$G$2:$G$2701,'март 2026'!$D$2:$D$2701,$B156,'март 2026'!$J$2:$J$2701,AC$1)</f>
        <v>0</v>
      </c>
      <c r="AD156" s="144">
        <f>SUMIFS('март 2026'!$G$2:$G$2701,'март 2026'!$D$2:$D$2701,$B156,'март 2026'!$J$2:$J$2701,AD$1)</f>
        <v>0</v>
      </c>
      <c r="AE156" s="144">
        <f>SUMIFS('март 2026'!$G$2:$G$2701,'март 2026'!$D$2:$D$2701,$B156,'март 2026'!$J$2:$J$2701,AE$1)</f>
        <v>0</v>
      </c>
      <c r="AF156" s="144">
        <f>SUMIFS('март 2026'!$G$2:$G$2701,'март 2026'!$D$2:$D$2701,$B156,'март 2026'!$J$2:$J$2701,AF$1)</f>
        <v>0</v>
      </c>
      <c r="AG156" s="144">
        <f>SUMIFS('март 2026'!$G$2:$G$2701,'март 2026'!$D$2:$D$2701,$B156,'март 2026'!$J$2:$J$2701,AG$1)</f>
        <v>0</v>
      </c>
      <c r="AH156" s="144">
        <f>SUMIFS('март 2026'!$G$2:$G$2701,'март 2026'!$D$2:$D$2701,$B156,'март 2026'!$J$2:$J$2701,AH$1)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SUMIFS('март 2026'!$G$2:$G$2701,'март 2026'!$D$2:$D$2701,$B157,'март 2026'!$J$2:$J$2701,D$1)</f>
        <v>0</v>
      </c>
      <c r="E157" s="144">
        <f>SUMIFS('март 2026'!$G$2:$G$2701,'март 2026'!$D$2:$D$2701,$B157,'март 2026'!$J$2:$J$2701,E$1)</f>
        <v>0</v>
      </c>
      <c r="F157" s="144">
        <f>SUMIFS('март 2026'!$G$2:$G$2701,'март 2026'!$D$2:$D$2701,$B157,'март 2026'!$J$2:$J$2701,F$1)</f>
        <v>0</v>
      </c>
      <c r="G157" s="144">
        <f>SUMIFS('март 2026'!$G$2:$G$2701,'март 2026'!$D$2:$D$2701,$B157,'март 2026'!$J$2:$J$2701,G$1)</f>
        <v>0</v>
      </c>
      <c r="H157" s="144">
        <f>SUMIFS('март 2026'!$G$2:$G$2701,'март 2026'!$D$2:$D$2701,$B157,'март 2026'!$J$2:$J$2701,H$1)</f>
        <v>0</v>
      </c>
      <c r="I157" s="144">
        <f>SUMIFS('март 2026'!$G$2:$G$2701,'март 2026'!$D$2:$D$2701,$B157,'март 2026'!$J$2:$J$2701,I$1)</f>
        <v>0</v>
      </c>
      <c r="J157" s="144">
        <f>SUMIFS('март 2026'!$G$2:$G$2701,'март 2026'!$D$2:$D$2701,$B157,'март 2026'!$J$2:$J$2701,J$1)</f>
        <v>0</v>
      </c>
      <c r="K157" s="144">
        <f>SUMIFS('март 2026'!$G$2:$G$2701,'март 2026'!$D$2:$D$2701,$B157,'март 2026'!$J$2:$J$2701,K$1)</f>
        <v>0</v>
      </c>
      <c r="L157" s="144">
        <f>SUMIFS('март 2026'!$G$2:$G$2701,'март 2026'!$D$2:$D$2701,$B157,'март 2026'!$J$2:$J$2701,L$1)</f>
        <v>0</v>
      </c>
      <c r="M157" s="144">
        <f>SUMIFS('март 2026'!$G$2:$G$2701,'март 2026'!$D$2:$D$2701,$B157,'март 2026'!$J$2:$J$2701,M$1)</f>
        <v>0</v>
      </c>
      <c r="N157" s="144">
        <f>SUMIFS('март 2026'!$G$2:$G$2701,'март 2026'!$D$2:$D$2701,$B157,'март 2026'!$J$2:$J$2701,N$1)</f>
        <v>0</v>
      </c>
      <c r="O157" s="144">
        <f>SUMIFS('март 2026'!$G$2:$G$2701,'март 2026'!$D$2:$D$2701,$B157,'март 2026'!$J$2:$J$2701,O$1)</f>
        <v>0</v>
      </c>
      <c r="P157" s="144">
        <f>SUMIFS('март 2026'!$G$2:$G$2701,'март 2026'!$D$2:$D$2701,$B157,'март 2026'!$J$2:$J$2701,P$1)</f>
        <v>0</v>
      </c>
      <c r="Q157" s="144">
        <f>SUMIFS('март 2026'!$G$2:$G$2701,'март 2026'!$D$2:$D$2701,$B157,'март 2026'!$J$2:$J$2701,Q$1)</f>
        <v>0</v>
      </c>
      <c r="R157" s="144">
        <f>SUMIFS('март 2026'!$G$2:$G$2701,'март 2026'!$D$2:$D$2701,$B157,'март 2026'!$J$2:$J$2701,R$1)</f>
        <v>0</v>
      </c>
      <c r="S157" s="144">
        <f>SUMIFS('март 2026'!$G$2:$G$2701,'март 2026'!$D$2:$D$2701,$B157,'март 2026'!$J$2:$J$2701,S$1)</f>
        <v>0</v>
      </c>
      <c r="T157" s="144">
        <f>SUMIFS('март 2026'!$G$2:$G$2701,'март 2026'!$D$2:$D$2701,$B157,'март 2026'!$J$2:$J$2701,T$1)</f>
        <v>0</v>
      </c>
      <c r="U157" s="144">
        <f>SUMIFS('март 2026'!$G$2:$G$2701,'март 2026'!$D$2:$D$2701,$B157,'март 2026'!$J$2:$J$2701,U$1)</f>
        <v>0</v>
      </c>
      <c r="V157" s="144">
        <f>SUMIFS('март 2026'!$G$2:$G$2701,'март 2026'!$D$2:$D$2701,$B157,'март 2026'!$J$2:$J$2701,V$1)</f>
        <v>0</v>
      </c>
      <c r="W157" s="144">
        <f>SUMIFS('март 2026'!$G$2:$G$2701,'март 2026'!$D$2:$D$2701,$B157,'март 2026'!$J$2:$J$2701,W$1)</f>
        <v>0</v>
      </c>
      <c r="X157" s="144">
        <f>SUMIFS('март 2026'!$G$2:$G$2701,'март 2026'!$D$2:$D$2701,$B157,'март 2026'!$J$2:$J$2701,X$1)</f>
        <v>0</v>
      </c>
      <c r="Y157" s="144">
        <f>SUMIFS('март 2026'!$G$2:$G$2701,'март 2026'!$D$2:$D$2701,$B157,'март 2026'!$J$2:$J$2701,Y$1)</f>
        <v>0</v>
      </c>
      <c r="Z157" s="144">
        <f>SUMIFS('март 2026'!$G$2:$G$2701,'март 2026'!$D$2:$D$2701,$B157,'март 2026'!$J$2:$J$2701,Z$1)</f>
        <v>0</v>
      </c>
      <c r="AA157" s="144">
        <f>SUMIFS('март 2026'!$G$2:$G$2701,'март 2026'!$D$2:$D$2701,$B157,'март 2026'!$J$2:$J$2701,AA$1)</f>
        <v>0</v>
      </c>
      <c r="AB157" s="144">
        <f>SUMIFS('март 2026'!$G$2:$G$2701,'март 2026'!$D$2:$D$2701,$B157,'март 2026'!$J$2:$J$2701,AB$1)</f>
        <v>0</v>
      </c>
      <c r="AC157" s="144">
        <f>SUMIFS('март 2026'!$G$2:$G$2701,'март 2026'!$D$2:$D$2701,$B157,'март 2026'!$J$2:$J$2701,AC$1)</f>
        <v>0</v>
      </c>
      <c r="AD157" s="144">
        <f>SUMIFS('март 2026'!$G$2:$G$2701,'март 2026'!$D$2:$D$2701,$B157,'март 2026'!$J$2:$J$2701,AD$1)</f>
        <v>0</v>
      </c>
      <c r="AE157" s="144">
        <f>SUMIFS('март 2026'!$G$2:$G$2701,'март 2026'!$D$2:$D$2701,$B157,'март 2026'!$J$2:$J$2701,AE$1)</f>
        <v>0</v>
      </c>
      <c r="AF157" s="144">
        <f>SUMIFS('март 2026'!$G$2:$G$2701,'март 2026'!$D$2:$D$2701,$B157,'март 2026'!$J$2:$J$2701,AF$1)</f>
        <v>0</v>
      </c>
      <c r="AG157" s="144">
        <f>SUMIFS('март 2026'!$G$2:$G$2701,'март 2026'!$D$2:$D$2701,$B157,'март 2026'!$J$2:$J$2701,AG$1)</f>
        <v>0</v>
      </c>
      <c r="AH157" s="144">
        <f>SUMIFS('март 2026'!$G$2:$G$2701,'март 2026'!$D$2:$D$2701,$B157,'март 2026'!$J$2:$J$2701,AH$1)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SUMIFS('март 2026'!$G$2:$G$2701,'март 2026'!$D$2:$D$2701,$B158,'март 2026'!$J$2:$J$2701,D$1)</f>
        <v>0</v>
      </c>
      <c r="E158" s="144">
        <f>SUMIFS('март 2026'!$G$2:$G$2701,'март 2026'!$D$2:$D$2701,$B158,'март 2026'!$J$2:$J$2701,E$1)</f>
        <v>0</v>
      </c>
      <c r="F158" s="144">
        <f>SUMIFS('март 2026'!$G$2:$G$2701,'март 2026'!$D$2:$D$2701,$B158,'март 2026'!$J$2:$J$2701,F$1)</f>
        <v>0</v>
      </c>
      <c r="G158" s="144">
        <f>SUMIFS('март 2026'!$G$2:$G$2701,'март 2026'!$D$2:$D$2701,$B158,'март 2026'!$J$2:$J$2701,G$1)</f>
        <v>0</v>
      </c>
      <c r="H158" s="144">
        <f>SUMIFS('март 2026'!$G$2:$G$2701,'март 2026'!$D$2:$D$2701,$B158,'март 2026'!$J$2:$J$2701,H$1)</f>
        <v>0</v>
      </c>
      <c r="I158" s="144">
        <f>SUMIFS('март 2026'!$G$2:$G$2701,'март 2026'!$D$2:$D$2701,$B158,'март 2026'!$J$2:$J$2701,I$1)</f>
        <v>0</v>
      </c>
      <c r="J158" s="144">
        <f>SUMIFS('март 2026'!$G$2:$G$2701,'март 2026'!$D$2:$D$2701,$B158,'март 2026'!$J$2:$J$2701,J$1)</f>
        <v>0</v>
      </c>
      <c r="K158" s="144">
        <f>SUMIFS('март 2026'!$G$2:$G$2701,'март 2026'!$D$2:$D$2701,$B158,'март 2026'!$J$2:$J$2701,K$1)</f>
        <v>0</v>
      </c>
      <c r="L158" s="144">
        <f>SUMIFS('март 2026'!$G$2:$G$2701,'март 2026'!$D$2:$D$2701,$B158,'март 2026'!$J$2:$J$2701,L$1)</f>
        <v>0</v>
      </c>
      <c r="M158" s="144">
        <f>SUMIFS('март 2026'!$G$2:$G$2701,'март 2026'!$D$2:$D$2701,$B158,'март 2026'!$J$2:$J$2701,M$1)</f>
        <v>0</v>
      </c>
      <c r="N158" s="144">
        <f>SUMIFS('март 2026'!$G$2:$G$2701,'март 2026'!$D$2:$D$2701,$B158,'март 2026'!$J$2:$J$2701,N$1)</f>
        <v>0</v>
      </c>
      <c r="O158" s="144">
        <f>SUMIFS('март 2026'!$G$2:$G$2701,'март 2026'!$D$2:$D$2701,$B158,'март 2026'!$J$2:$J$2701,O$1)</f>
        <v>0</v>
      </c>
      <c r="P158" s="144">
        <f>SUMIFS('март 2026'!$G$2:$G$2701,'март 2026'!$D$2:$D$2701,$B158,'март 2026'!$J$2:$J$2701,P$1)</f>
        <v>0</v>
      </c>
      <c r="Q158" s="144">
        <f>SUMIFS('март 2026'!$G$2:$G$2701,'март 2026'!$D$2:$D$2701,$B158,'март 2026'!$J$2:$J$2701,Q$1)</f>
        <v>0</v>
      </c>
      <c r="R158" s="144">
        <f>SUMIFS('март 2026'!$G$2:$G$2701,'март 2026'!$D$2:$D$2701,$B158,'март 2026'!$J$2:$J$2701,R$1)</f>
        <v>0</v>
      </c>
      <c r="S158" s="144">
        <f>SUMIFS('март 2026'!$G$2:$G$2701,'март 2026'!$D$2:$D$2701,$B158,'март 2026'!$J$2:$J$2701,S$1)</f>
        <v>0</v>
      </c>
      <c r="T158" s="144">
        <f>SUMIFS('март 2026'!$G$2:$G$2701,'март 2026'!$D$2:$D$2701,$B158,'март 2026'!$J$2:$J$2701,T$1)</f>
        <v>0</v>
      </c>
      <c r="U158" s="144">
        <f>SUMIFS('март 2026'!$G$2:$G$2701,'март 2026'!$D$2:$D$2701,$B158,'март 2026'!$J$2:$J$2701,U$1)</f>
        <v>0</v>
      </c>
      <c r="V158" s="144">
        <f>SUMIFS('март 2026'!$G$2:$G$2701,'март 2026'!$D$2:$D$2701,$B158,'март 2026'!$J$2:$J$2701,V$1)</f>
        <v>0</v>
      </c>
      <c r="W158" s="144">
        <f>SUMIFS('март 2026'!$G$2:$G$2701,'март 2026'!$D$2:$D$2701,$B158,'март 2026'!$J$2:$J$2701,W$1)</f>
        <v>0</v>
      </c>
      <c r="X158" s="144">
        <f>SUMIFS('март 2026'!$G$2:$G$2701,'март 2026'!$D$2:$D$2701,$B158,'март 2026'!$J$2:$J$2701,X$1)</f>
        <v>0</v>
      </c>
      <c r="Y158" s="144">
        <f>SUMIFS('март 2026'!$G$2:$G$2701,'март 2026'!$D$2:$D$2701,$B158,'март 2026'!$J$2:$J$2701,Y$1)</f>
        <v>0</v>
      </c>
      <c r="Z158" s="144">
        <f>SUMIFS('март 2026'!$G$2:$G$2701,'март 2026'!$D$2:$D$2701,$B158,'март 2026'!$J$2:$J$2701,Z$1)</f>
        <v>20</v>
      </c>
      <c r="AA158" s="144">
        <f>SUMIFS('март 2026'!$G$2:$G$2701,'март 2026'!$D$2:$D$2701,$B158,'март 2026'!$J$2:$J$2701,AA$1)</f>
        <v>0</v>
      </c>
      <c r="AB158" s="144">
        <f>SUMIFS('март 2026'!$G$2:$G$2701,'март 2026'!$D$2:$D$2701,$B158,'март 2026'!$J$2:$J$2701,AB$1)</f>
        <v>0</v>
      </c>
      <c r="AC158" s="144">
        <f>SUMIFS('март 2026'!$G$2:$G$2701,'март 2026'!$D$2:$D$2701,$B158,'март 2026'!$J$2:$J$2701,AC$1)</f>
        <v>0</v>
      </c>
      <c r="AD158" s="144">
        <f>SUMIFS('март 2026'!$G$2:$G$2701,'март 2026'!$D$2:$D$2701,$B158,'март 2026'!$J$2:$J$2701,AD$1)</f>
        <v>0</v>
      </c>
      <c r="AE158" s="144">
        <f>SUMIFS('март 2026'!$G$2:$G$2701,'март 2026'!$D$2:$D$2701,$B158,'март 2026'!$J$2:$J$2701,AE$1)</f>
        <v>0</v>
      </c>
      <c r="AF158" s="144">
        <f>SUMIFS('март 2026'!$G$2:$G$2701,'март 2026'!$D$2:$D$2701,$B158,'март 2026'!$J$2:$J$2701,AF$1)</f>
        <v>0</v>
      </c>
      <c r="AG158" s="144">
        <f>SUMIFS('март 2026'!$G$2:$G$2701,'март 2026'!$D$2:$D$2701,$B158,'март 2026'!$J$2:$J$2701,AG$1)</f>
        <v>0</v>
      </c>
      <c r="AH158" s="144">
        <f>SUMIFS('март 2026'!$G$2:$G$2701,'март 2026'!$D$2:$D$2701,$B158,'март 2026'!$J$2:$J$2701,AH$1)</f>
        <v>0</v>
      </c>
      <c r="AI158" s="20">
        <f t="shared" si="1"/>
        <v>20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SUMIFS('март 2026'!$G$2:$G$2701,'март 2026'!$D$2:$D$2701,$B159,'март 2026'!$J$2:$J$2701,D$1)</f>
        <v>0</v>
      </c>
      <c r="E159" s="144">
        <f>SUMIFS('март 2026'!$G$2:$G$2701,'март 2026'!$D$2:$D$2701,$B159,'март 2026'!$J$2:$J$2701,E$1)</f>
        <v>0</v>
      </c>
      <c r="F159" s="144">
        <f>SUMIFS('март 2026'!$G$2:$G$2701,'март 2026'!$D$2:$D$2701,$B159,'март 2026'!$J$2:$J$2701,F$1)</f>
        <v>0</v>
      </c>
      <c r="G159" s="144">
        <f>SUMIFS('март 2026'!$G$2:$G$2701,'март 2026'!$D$2:$D$2701,$B159,'март 2026'!$J$2:$J$2701,G$1)</f>
        <v>0</v>
      </c>
      <c r="H159" s="144">
        <f>SUMIFS('март 2026'!$G$2:$G$2701,'март 2026'!$D$2:$D$2701,$B159,'март 2026'!$J$2:$J$2701,H$1)</f>
        <v>0</v>
      </c>
      <c r="I159" s="144">
        <f>SUMIFS('март 2026'!$G$2:$G$2701,'март 2026'!$D$2:$D$2701,$B159,'март 2026'!$J$2:$J$2701,I$1)</f>
        <v>0</v>
      </c>
      <c r="J159" s="144">
        <f>SUMIFS('март 2026'!$G$2:$G$2701,'март 2026'!$D$2:$D$2701,$B159,'март 2026'!$J$2:$J$2701,J$1)</f>
        <v>0</v>
      </c>
      <c r="K159" s="144">
        <f>SUMIFS('март 2026'!$G$2:$G$2701,'март 2026'!$D$2:$D$2701,$B159,'март 2026'!$J$2:$J$2701,K$1)</f>
        <v>0</v>
      </c>
      <c r="L159" s="144">
        <f>SUMIFS('март 2026'!$G$2:$G$2701,'март 2026'!$D$2:$D$2701,$B159,'март 2026'!$J$2:$J$2701,L$1)</f>
        <v>0</v>
      </c>
      <c r="M159" s="144">
        <f>SUMIFS('март 2026'!$G$2:$G$2701,'март 2026'!$D$2:$D$2701,$B159,'март 2026'!$J$2:$J$2701,M$1)</f>
        <v>0</v>
      </c>
      <c r="N159" s="144">
        <f>SUMIFS('март 2026'!$G$2:$G$2701,'март 2026'!$D$2:$D$2701,$B159,'март 2026'!$J$2:$J$2701,N$1)</f>
        <v>0</v>
      </c>
      <c r="O159" s="144">
        <f>SUMIFS('март 2026'!$G$2:$G$2701,'март 2026'!$D$2:$D$2701,$B159,'март 2026'!$J$2:$J$2701,O$1)</f>
        <v>0</v>
      </c>
      <c r="P159" s="144">
        <f>SUMIFS('март 2026'!$G$2:$G$2701,'март 2026'!$D$2:$D$2701,$B159,'март 2026'!$J$2:$J$2701,P$1)</f>
        <v>0</v>
      </c>
      <c r="Q159" s="144">
        <f>SUMIFS('март 2026'!$G$2:$G$2701,'март 2026'!$D$2:$D$2701,$B159,'март 2026'!$J$2:$J$2701,Q$1)</f>
        <v>0</v>
      </c>
      <c r="R159" s="144">
        <f>SUMIFS('март 2026'!$G$2:$G$2701,'март 2026'!$D$2:$D$2701,$B159,'март 2026'!$J$2:$J$2701,R$1)</f>
        <v>0</v>
      </c>
      <c r="S159" s="144">
        <f>SUMIFS('март 2026'!$G$2:$G$2701,'март 2026'!$D$2:$D$2701,$B159,'март 2026'!$J$2:$J$2701,S$1)</f>
        <v>0</v>
      </c>
      <c r="T159" s="144">
        <f>SUMIFS('март 2026'!$G$2:$G$2701,'март 2026'!$D$2:$D$2701,$B159,'март 2026'!$J$2:$J$2701,T$1)</f>
        <v>0</v>
      </c>
      <c r="U159" s="144">
        <f>SUMIFS('март 2026'!$G$2:$G$2701,'март 2026'!$D$2:$D$2701,$B159,'март 2026'!$J$2:$J$2701,U$1)</f>
        <v>0</v>
      </c>
      <c r="V159" s="144">
        <f>SUMIFS('март 2026'!$G$2:$G$2701,'март 2026'!$D$2:$D$2701,$B159,'март 2026'!$J$2:$J$2701,V$1)</f>
        <v>0</v>
      </c>
      <c r="W159" s="144">
        <f>SUMIFS('март 2026'!$G$2:$G$2701,'март 2026'!$D$2:$D$2701,$B159,'март 2026'!$J$2:$J$2701,W$1)</f>
        <v>0</v>
      </c>
      <c r="X159" s="144">
        <f>SUMIFS('март 2026'!$G$2:$G$2701,'март 2026'!$D$2:$D$2701,$B159,'март 2026'!$J$2:$J$2701,X$1)</f>
        <v>0</v>
      </c>
      <c r="Y159" s="144">
        <f>SUMIFS('март 2026'!$G$2:$G$2701,'март 2026'!$D$2:$D$2701,$B159,'март 2026'!$J$2:$J$2701,Y$1)</f>
        <v>0</v>
      </c>
      <c r="Z159" s="144">
        <f>SUMIFS('март 2026'!$G$2:$G$2701,'март 2026'!$D$2:$D$2701,$B159,'март 2026'!$J$2:$J$2701,Z$1)</f>
        <v>0</v>
      </c>
      <c r="AA159" s="144">
        <f>SUMIFS('март 2026'!$G$2:$G$2701,'март 2026'!$D$2:$D$2701,$B159,'март 2026'!$J$2:$J$2701,AA$1)</f>
        <v>0</v>
      </c>
      <c r="AB159" s="144">
        <f>SUMIFS('март 2026'!$G$2:$G$2701,'март 2026'!$D$2:$D$2701,$B159,'март 2026'!$J$2:$J$2701,AB$1)</f>
        <v>0</v>
      </c>
      <c r="AC159" s="144">
        <f>SUMIFS('март 2026'!$G$2:$G$2701,'март 2026'!$D$2:$D$2701,$B159,'март 2026'!$J$2:$J$2701,AC$1)</f>
        <v>0</v>
      </c>
      <c r="AD159" s="144">
        <f>SUMIFS('март 2026'!$G$2:$G$2701,'март 2026'!$D$2:$D$2701,$B159,'март 2026'!$J$2:$J$2701,AD$1)</f>
        <v>0</v>
      </c>
      <c r="AE159" s="144">
        <f>SUMIFS('март 2026'!$G$2:$G$2701,'март 2026'!$D$2:$D$2701,$B159,'март 2026'!$J$2:$J$2701,AE$1)</f>
        <v>0</v>
      </c>
      <c r="AF159" s="144">
        <f>SUMIFS('март 2026'!$G$2:$G$2701,'март 2026'!$D$2:$D$2701,$B159,'март 2026'!$J$2:$J$2701,AF$1)</f>
        <v>0</v>
      </c>
      <c r="AG159" s="144">
        <f>SUMIFS('март 2026'!$G$2:$G$2701,'март 2026'!$D$2:$D$2701,$B159,'март 2026'!$J$2:$J$2701,AG$1)</f>
        <v>0</v>
      </c>
      <c r="AH159" s="144">
        <f>SUMIFS('март 2026'!$G$2:$G$2701,'март 2026'!$D$2:$D$2701,$B159,'март 2026'!$J$2:$J$2701,AH$1)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SUMIFS('март 2026'!$G$2:$G$2701,'март 2026'!$D$2:$D$2701,$B160,'март 2026'!$J$2:$J$2701,D$1)</f>
        <v>0</v>
      </c>
      <c r="E160" s="144">
        <f>SUMIFS('март 2026'!$G$2:$G$2701,'март 2026'!$D$2:$D$2701,$B160,'март 2026'!$J$2:$J$2701,E$1)</f>
        <v>0</v>
      </c>
      <c r="F160" s="144">
        <f>SUMIFS('март 2026'!$G$2:$G$2701,'март 2026'!$D$2:$D$2701,$B160,'март 2026'!$J$2:$J$2701,F$1)</f>
        <v>0</v>
      </c>
      <c r="G160" s="144">
        <f>SUMIFS('март 2026'!$G$2:$G$2701,'март 2026'!$D$2:$D$2701,$B160,'март 2026'!$J$2:$J$2701,G$1)</f>
        <v>0</v>
      </c>
      <c r="H160" s="144">
        <f>SUMIFS('март 2026'!$G$2:$G$2701,'март 2026'!$D$2:$D$2701,$B160,'март 2026'!$J$2:$J$2701,H$1)</f>
        <v>0</v>
      </c>
      <c r="I160" s="144">
        <f>SUMIFS('март 2026'!$G$2:$G$2701,'март 2026'!$D$2:$D$2701,$B160,'март 2026'!$J$2:$J$2701,I$1)</f>
        <v>0</v>
      </c>
      <c r="J160" s="144">
        <f>SUMIFS('март 2026'!$G$2:$G$2701,'март 2026'!$D$2:$D$2701,$B160,'март 2026'!$J$2:$J$2701,J$1)</f>
        <v>0</v>
      </c>
      <c r="K160" s="144">
        <f>SUMIFS('март 2026'!$G$2:$G$2701,'март 2026'!$D$2:$D$2701,$B160,'март 2026'!$J$2:$J$2701,K$1)</f>
        <v>0</v>
      </c>
      <c r="L160" s="144">
        <f>SUMIFS('март 2026'!$G$2:$G$2701,'март 2026'!$D$2:$D$2701,$B160,'март 2026'!$J$2:$J$2701,L$1)</f>
        <v>0</v>
      </c>
      <c r="M160" s="144">
        <f>SUMIFS('март 2026'!$G$2:$G$2701,'март 2026'!$D$2:$D$2701,$B160,'март 2026'!$J$2:$J$2701,M$1)</f>
        <v>0</v>
      </c>
      <c r="N160" s="144">
        <f>SUMIFS('март 2026'!$G$2:$G$2701,'март 2026'!$D$2:$D$2701,$B160,'март 2026'!$J$2:$J$2701,N$1)</f>
        <v>0</v>
      </c>
      <c r="O160" s="144">
        <f>SUMIFS('март 2026'!$G$2:$G$2701,'март 2026'!$D$2:$D$2701,$B160,'март 2026'!$J$2:$J$2701,O$1)</f>
        <v>0</v>
      </c>
      <c r="P160" s="144">
        <f>SUMIFS('март 2026'!$G$2:$G$2701,'март 2026'!$D$2:$D$2701,$B160,'март 2026'!$J$2:$J$2701,P$1)</f>
        <v>0</v>
      </c>
      <c r="Q160" s="144">
        <f>SUMIFS('март 2026'!$G$2:$G$2701,'март 2026'!$D$2:$D$2701,$B160,'март 2026'!$J$2:$J$2701,Q$1)</f>
        <v>0</v>
      </c>
      <c r="R160" s="144">
        <f>SUMIFS('март 2026'!$G$2:$G$2701,'март 2026'!$D$2:$D$2701,$B160,'март 2026'!$J$2:$J$2701,R$1)</f>
        <v>0</v>
      </c>
      <c r="S160" s="144">
        <f>SUMIFS('март 2026'!$G$2:$G$2701,'март 2026'!$D$2:$D$2701,$B160,'март 2026'!$J$2:$J$2701,S$1)</f>
        <v>0</v>
      </c>
      <c r="T160" s="144">
        <f>SUMIFS('март 2026'!$G$2:$G$2701,'март 2026'!$D$2:$D$2701,$B160,'март 2026'!$J$2:$J$2701,T$1)</f>
        <v>0</v>
      </c>
      <c r="U160" s="144">
        <f>SUMIFS('март 2026'!$G$2:$G$2701,'март 2026'!$D$2:$D$2701,$B160,'март 2026'!$J$2:$J$2701,U$1)</f>
        <v>0</v>
      </c>
      <c r="V160" s="144">
        <f>SUMIFS('март 2026'!$G$2:$G$2701,'март 2026'!$D$2:$D$2701,$B160,'март 2026'!$J$2:$J$2701,V$1)</f>
        <v>0</v>
      </c>
      <c r="W160" s="144">
        <f>SUMIFS('март 2026'!$G$2:$G$2701,'март 2026'!$D$2:$D$2701,$B160,'март 2026'!$J$2:$J$2701,W$1)</f>
        <v>0</v>
      </c>
      <c r="X160" s="144">
        <f>SUMIFS('март 2026'!$G$2:$G$2701,'март 2026'!$D$2:$D$2701,$B160,'март 2026'!$J$2:$J$2701,X$1)</f>
        <v>0</v>
      </c>
      <c r="Y160" s="144">
        <f>SUMIFS('март 2026'!$G$2:$G$2701,'март 2026'!$D$2:$D$2701,$B160,'март 2026'!$J$2:$J$2701,Y$1)</f>
        <v>0</v>
      </c>
      <c r="Z160" s="144">
        <f>SUMIFS('март 2026'!$G$2:$G$2701,'март 2026'!$D$2:$D$2701,$B160,'март 2026'!$J$2:$J$2701,Z$1)</f>
        <v>0</v>
      </c>
      <c r="AA160" s="144">
        <f>SUMIFS('март 2026'!$G$2:$G$2701,'март 2026'!$D$2:$D$2701,$B160,'март 2026'!$J$2:$J$2701,AA$1)</f>
        <v>0</v>
      </c>
      <c r="AB160" s="144">
        <f>SUMIFS('март 2026'!$G$2:$G$2701,'март 2026'!$D$2:$D$2701,$B160,'март 2026'!$J$2:$J$2701,AB$1)</f>
        <v>0</v>
      </c>
      <c r="AC160" s="144">
        <f>SUMIFS('март 2026'!$G$2:$G$2701,'март 2026'!$D$2:$D$2701,$B160,'март 2026'!$J$2:$J$2701,AC$1)</f>
        <v>0</v>
      </c>
      <c r="AD160" s="144">
        <f>SUMIFS('март 2026'!$G$2:$G$2701,'март 2026'!$D$2:$D$2701,$B160,'март 2026'!$J$2:$J$2701,AD$1)</f>
        <v>0</v>
      </c>
      <c r="AE160" s="144">
        <f>SUMIFS('март 2026'!$G$2:$G$2701,'март 2026'!$D$2:$D$2701,$B160,'март 2026'!$J$2:$J$2701,AE$1)</f>
        <v>0</v>
      </c>
      <c r="AF160" s="144">
        <f>SUMIFS('март 2026'!$G$2:$G$2701,'март 2026'!$D$2:$D$2701,$B160,'март 2026'!$J$2:$J$2701,AF$1)</f>
        <v>0</v>
      </c>
      <c r="AG160" s="144">
        <f>SUMIFS('март 2026'!$G$2:$G$2701,'март 2026'!$D$2:$D$2701,$B160,'март 2026'!$J$2:$J$2701,AG$1)</f>
        <v>0</v>
      </c>
      <c r="AH160" s="144">
        <f>SUMIFS('март 2026'!$G$2:$G$2701,'март 2026'!$D$2:$D$2701,$B160,'март 2026'!$J$2:$J$2701,AH$1)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SUMIFS('март 2026'!$G$2:$G$2701,'март 2026'!$D$2:$D$2701,$B161,'март 2026'!$J$2:$J$2701,D$1)</f>
        <v>0</v>
      </c>
      <c r="E161" s="144">
        <f>SUMIFS('март 2026'!$G$2:$G$2701,'март 2026'!$D$2:$D$2701,$B161,'март 2026'!$J$2:$J$2701,E$1)</f>
        <v>0</v>
      </c>
      <c r="F161" s="144">
        <f>SUMIFS('март 2026'!$G$2:$G$2701,'март 2026'!$D$2:$D$2701,$B161,'март 2026'!$J$2:$J$2701,F$1)</f>
        <v>0</v>
      </c>
      <c r="G161" s="144">
        <f>SUMIFS('март 2026'!$G$2:$G$2701,'март 2026'!$D$2:$D$2701,$B161,'март 2026'!$J$2:$J$2701,G$1)</f>
        <v>0</v>
      </c>
      <c r="H161" s="144">
        <f>SUMIFS('март 2026'!$G$2:$G$2701,'март 2026'!$D$2:$D$2701,$B161,'март 2026'!$J$2:$J$2701,H$1)</f>
        <v>0</v>
      </c>
      <c r="I161" s="144">
        <f>SUMIFS('март 2026'!$G$2:$G$2701,'март 2026'!$D$2:$D$2701,$B161,'март 2026'!$J$2:$J$2701,I$1)</f>
        <v>0</v>
      </c>
      <c r="J161" s="144">
        <f>SUMIFS('март 2026'!$G$2:$G$2701,'март 2026'!$D$2:$D$2701,$B161,'март 2026'!$J$2:$J$2701,J$1)</f>
        <v>0</v>
      </c>
      <c r="K161" s="144">
        <f>SUMIFS('март 2026'!$G$2:$G$2701,'март 2026'!$D$2:$D$2701,$B161,'март 2026'!$J$2:$J$2701,K$1)</f>
        <v>0</v>
      </c>
      <c r="L161" s="144">
        <f>SUMIFS('март 2026'!$G$2:$G$2701,'март 2026'!$D$2:$D$2701,$B161,'март 2026'!$J$2:$J$2701,L$1)</f>
        <v>0</v>
      </c>
      <c r="M161" s="144">
        <f>SUMIFS('март 2026'!$G$2:$G$2701,'март 2026'!$D$2:$D$2701,$B161,'март 2026'!$J$2:$J$2701,M$1)</f>
        <v>0</v>
      </c>
      <c r="N161" s="144">
        <f>SUMIFS('март 2026'!$G$2:$G$2701,'март 2026'!$D$2:$D$2701,$B161,'март 2026'!$J$2:$J$2701,N$1)</f>
        <v>0</v>
      </c>
      <c r="O161" s="144">
        <f>SUMIFS('март 2026'!$G$2:$G$2701,'март 2026'!$D$2:$D$2701,$B161,'март 2026'!$J$2:$J$2701,O$1)</f>
        <v>0</v>
      </c>
      <c r="P161" s="144">
        <f>SUMIFS('март 2026'!$G$2:$G$2701,'март 2026'!$D$2:$D$2701,$B161,'март 2026'!$J$2:$J$2701,P$1)</f>
        <v>0</v>
      </c>
      <c r="Q161" s="144">
        <f>SUMIFS('март 2026'!$G$2:$G$2701,'март 2026'!$D$2:$D$2701,$B161,'март 2026'!$J$2:$J$2701,Q$1)</f>
        <v>0</v>
      </c>
      <c r="R161" s="144">
        <f>SUMIFS('март 2026'!$G$2:$G$2701,'март 2026'!$D$2:$D$2701,$B161,'март 2026'!$J$2:$J$2701,R$1)</f>
        <v>0</v>
      </c>
      <c r="S161" s="144">
        <f>SUMIFS('март 2026'!$G$2:$G$2701,'март 2026'!$D$2:$D$2701,$B161,'март 2026'!$J$2:$J$2701,S$1)</f>
        <v>0</v>
      </c>
      <c r="T161" s="144">
        <f>SUMIFS('март 2026'!$G$2:$G$2701,'март 2026'!$D$2:$D$2701,$B161,'март 2026'!$J$2:$J$2701,T$1)</f>
        <v>0</v>
      </c>
      <c r="U161" s="144">
        <f>SUMIFS('март 2026'!$G$2:$G$2701,'март 2026'!$D$2:$D$2701,$B161,'март 2026'!$J$2:$J$2701,U$1)</f>
        <v>0</v>
      </c>
      <c r="V161" s="144">
        <f>SUMIFS('март 2026'!$G$2:$G$2701,'март 2026'!$D$2:$D$2701,$B161,'март 2026'!$J$2:$J$2701,V$1)</f>
        <v>0</v>
      </c>
      <c r="W161" s="144">
        <f>SUMIFS('март 2026'!$G$2:$G$2701,'март 2026'!$D$2:$D$2701,$B161,'март 2026'!$J$2:$J$2701,W$1)</f>
        <v>0</v>
      </c>
      <c r="X161" s="144">
        <f>SUMIFS('март 2026'!$G$2:$G$2701,'март 2026'!$D$2:$D$2701,$B161,'март 2026'!$J$2:$J$2701,X$1)</f>
        <v>0</v>
      </c>
      <c r="Y161" s="144">
        <f>SUMIFS('март 2026'!$G$2:$G$2701,'март 2026'!$D$2:$D$2701,$B161,'март 2026'!$J$2:$J$2701,Y$1)</f>
        <v>0</v>
      </c>
      <c r="Z161" s="144">
        <f>SUMIFS('март 2026'!$G$2:$G$2701,'март 2026'!$D$2:$D$2701,$B161,'март 2026'!$J$2:$J$2701,Z$1)</f>
        <v>0</v>
      </c>
      <c r="AA161" s="144">
        <f>SUMIFS('март 2026'!$G$2:$G$2701,'март 2026'!$D$2:$D$2701,$B161,'март 2026'!$J$2:$J$2701,AA$1)</f>
        <v>0</v>
      </c>
      <c r="AB161" s="144">
        <f>SUMIFS('март 2026'!$G$2:$G$2701,'март 2026'!$D$2:$D$2701,$B161,'март 2026'!$J$2:$J$2701,AB$1)</f>
        <v>0</v>
      </c>
      <c r="AC161" s="144">
        <f>SUMIFS('март 2026'!$G$2:$G$2701,'март 2026'!$D$2:$D$2701,$B161,'март 2026'!$J$2:$J$2701,AC$1)</f>
        <v>0</v>
      </c>
      <c r="AD161" s="144">
        <f>SUMIFS('март 2026'!$G$2:$G$2701,'март 2026'!$D$2:$D$2701,$B161,'март 2026'!$J$2:$J$2701,AD$1)</f>
        <v>0</v>
      </c>
      <c r="AE161" s="144">
        <f>SUMIFS('март 2026'!$G$2:$G$2701,'март 2026'!$D$2:$D$2701,$B161,'март 2026'!$J$2:$J$2701,AE$1)</f>
        <v>0</v>
      </c>
      <c r="AF161" s="144">
        <f>SUMIFS('март 2026'!$G$2:$G$2701,'март 2026'!$D$2:$D$2701,$B161,'март 2026'!$J$2:$J$2701,AF$1)</f>
        <v>0</v>
      </c>
      <c r="AG161" s="144">
        <f>SUMIFS('март 2026'!$G$2:$G$2701,'март 2026'!$D$2:$D$2701,$B161,'март 2026'!$J$2:$J$2701,AG$1)</f>
        <v>0</v>
      </c>
      <c r="AH161" s="144">
        <f>SUMIFS('март 2026'!$G$2:$G$2701,'март 2026'!$D$2:$D$2701,$B161,'март 2026'!$J$2:$J$2701,AH$1)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SUMIFS('март 2026'!$G$2:$G$2701,'март 2026'!$D$2:$D$2701,$B162,'март 2026'!$J$2:$J$2701,D$1)</f>
        <v>0</v>
      </c>
      <c r="E162" s="144">
        <f>SUMIFS('март 2026'!$G$2:$G$2701,'март 2026'!$D$2:$D$2701,$B162,'март 2026'!$J$2:$J$2701,E$1)</f>
        <v>0</v>
      </c>
      <c r="F162" s="144">
        <f>SUMIFS('март 2026'!$G$2:$G$2701,'март 2026'!$D$2:$D$2701,$B162,'март 2026'!$J$2:$J$2701,F$1)</f>
        <v>0</v>
      </c>
      <c r="G162" s="144">
        <f>SUMIFS('март 2026'!$G$2:$G$2701,'март 2026'!$D$2:$D$2701,$B162,'март 2026'!$J$2:$J$2701,G$1)</f>
        <v>0</v>
      </c>
      <c r="H162" s="144">
        <f>SUMIFS('март 2026'!$G$2:$G$2701,'март 2026'!$D$2:$D$2701,$B162,'март 2026'!$J$2:$J$2701,H$1)</f>
        <v>0</v>
      </c>
      <c r="I162" s="144">
        <f>SUMIFS('март 2026'!$G$2:$G$2701,'март 2026'!$D$2:$D$2701,$B162,'март 2026'!$J$2:$J$2701,I$1)</f>
        <v>0</v>
      </c>
      <c r="J162" s="144">
        <f>SUMIFS('март 2026'!$G$2:$G$2701,'март 2026'!$D$2:$D$2701,$B162,'март 2026'!$J$2:$J$2701,J$1)</f>
        <v>0</v>
      </c>
      <c r="K162" s="144">
        <f>SUMIFS('март 2026'!$G$2:$G$2701,'март 2026'!$D$2:$D$2701,$B162,'март 2026'!$J$2:$J$2701,K$1)</f>
        <v>0</v>
      </c>
      <c r="L162" s="144">
        <f>SUMIFS('март 2026'!$G$2:$G$2701,'март 2026'!$D$2:$D$2701,$B162,'март 2026'!$J$2:$J$2701,L$1)</f>
        <v>0</v>
      </c>
      <c r="M162" s="144">
        <f>SUMIFS('март 2026'!$G$2:$G$2701,'март 2026'!$D$2:$D$2701,$B162,'март 2026'!$J$2:$J$2701,M$1)</f>
        <v>0</v>
      </c>
      <c r="N162" s="144">
        <f>SUMIFS('март 2026'!$G$2:$G$2701,'март 2026'!$D$2:$D$2701,$B162,'март 2026'!$J$2:$J$2701,N$1)</f>
        <v>0</v>
      </c>
      <c r="O162" s="144">
        <f>SUMIFS('март 2026'!$G$2:$G$2701,'март 2026'!$D$2:$D$2701,$B162,'март 2026'!$J$2:$J$2701,O$1)</f>
        <v>0</v>
      </c>
      <c r="P162" s="144">
        <f>SUMIFS('март 2026'!$G$2:$G$2701,'март 2026'!$D$2:$D$2701,$B162,'март 2026'!$J$2:$J$2701,P$1)</f>
        <v>0</v>
      </c>
      <c r="Q162" s="144">
        <f>SUMIFS('март 2026'!$G$2:$G$2701,'март 2026'!$D$2:$D$2701,$B162,'март 2026'!$J$2:$J$2701,Q$1)</f>
        <v>0</v>
      </c>
      <c r="R162" s="144">
        <f>SUMIFS('март 2026'!$G$2:$G$2701,'март 2026'!$D$2:$D$2701,$B162,'март 2026'!$J$2:$J$2701,R$1)</f>
        <v>0</v>
      </c>
      <c r="S162" s="144">
        <f>SUMIFS('март 2026'!$G$2:$G$2701,'март 2026'!$D$2:$D$2701,$B162,'март 2026'!$J$2:$J$2701,S$1)</f>
        <v>0</v>
      </c>
      <c r="T162" s="144">
        <f>SUMIFS('март 2026'!$G$2:$G$2701,'март 2026'!$D$2:$D$2701,$B162,'март 2026'!$J$2:$J$2701,T$1)</f>
        <v>0</v>
      </c>
      <c r="U162" s="144">
        <f>SUMIFS('март 2026'!$G$2:$G$2701,'март 2026'!$D$2:$D$2701,$B162,'март 2026'!$J$2:$J$2701,U$1)</f>
        <v>0</v>
      </c>
      <c r="V162" s="144">
        <f>SUMIFS('март 2026'!$G$2:$G$2701,'март 2026'!$D$2:$D$2701,$B162,'март 2026'!$J$2:$J$2701,V$1)</f>
        <v>0</v>
      </c>
      <c r="W162" s="144">
        <f>SUMIFS('март 2026'!$G$2:$G$2701,'март 2026'!$D$2:$D$2701,$B162,'март 2026'!$J$2:$J$2701,W$1)</f>
        <v>0</v>
      </c>
      <c r="X162" s="144">
        <f>SUMIFS('март 2026'!$G$2:$G$2701,'март 2026'!$D$2:$D$2701,$B162,'март 2026'!$J$2:$J$2701,X$1)</f>
        <v>0</v>
      </c>
      <c r="Y162" s="144">
        <f>SUMIFS('март 2026'!$G$2:$G$2701,'март 2026'!$D$2:$D$2701,$B162,'март 2026'!$J$2:$J$2701,Y$1)</f>
        <v>0</v>
      </c>
      <c r="Z162" s="144">
        <f>SUMIFS('март 2026'!$G$2:$G$2701,'март 2026'!$D$2:$D$2701,$B162,'март 2026'!$J$2:$J$2701,Z$1)</f>
        <v>0</v>
      </c>
      <c r="AA162" s="144">
        <f>SUMIFS('март 2026'!$G$2:$G$2701,'март 2026'!$D$2:$D$2701,$B162,'март 2026'!$J$2:$J$2701,AA$1)</f>
        <v>0</v>
      </c>
      <c r="AB162" s="144">
        <f>SUMIFS('март 2026'!$G$2:$G$2701,'март 2026'!$D$2:$D$2701,$B162,'март 2026'!$J$2:$J$2701,AB$1)</f>
        <v>0</v>
      </c>
      <c r="AC162" s="144">
        <f>SUMIFS('март 2026'!$G$2:$G$2701,'март 2026'!$D$2:$D$2701,$B162,'март 2026'!$J$2:$J$2701,AC$1)</f>
        <v>0</v>
      </c>
      <c r="AD162" s="144">
        <f>SUMIFS('март 2026'!$G$2:$G$2701,'март 2026'!$D$2:$D$2701,$B162,'март 2026'!$J$2:$J$2701,AD$1)</f>
        <v>0</v>
      </c>
      <c r="AE162" s="144">
        <f>SUMIFS('март 2026'!$G$2:$G$2701,'март 2026'!$D$2:$D$2701,$B162,'март 2026'!$J$2:$J$2701,AE$1)</f>
        <v>0</v>
      </c>
      <c r="AF162" s="144">
        <f>SUMIFS('март 2026'!$G$2:$G$2701,'март 2026'!$D$2:$D$2701,$B162,'март 2026'!$J$2:$J$2701,AF$1)</f>
        <v>0</v>
      </c>
      <c r="AG162" s="144">
        <f>SUMIFS('март 2026'!$G$2:$G$2701,'март 2026'!$D$2:$D$2701,$B162,'март 2026'!$J$2:$J$2701,AG$1)</f>
        <v>0</v>
      </c>
      <c r="AH162" s="144">
        <f>SUMIFS('март 2026'!$G$2:$G$2701,'март 2026'!$D$2:$D$2701,$B162,'март 2026'!$J$2:$J$2701,AH$1)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SUMIFS('март 2026'!$G$2:$G$2701,'март 2026'!$D$2:$D$2701,$B163,'март 2026'!$J$2:$J$2701,D$1)</f>
        <v>0</v>
      </c>
      <c r="E163" s="144">
        <f>SUMIFS('март 2026'!$G$2:$G$2701,'март 2026'!$D$2:$D$2701,$B163,'март 2026'!$J$2:$J$2701,E$1)</f>
        <v>0</v>
      </c>
      <c r="F163" s="144">
        <f>SUMIFS('март 2026'!$G$2:$G$2701,'март 2026'!$D$2:$D$2701,$B163,'март 2026'!$J$2:$J$2701,F$1)</f>
        <v>0</v>
      </c>
      <c r="G163" s="144">
        <f>SUMIFS('март 2026'!$G$2:$G$2701,'март 2026'!$D$2:$D$2701,$B163,'март 2026'!$J$2:$J$2701,G$1)</f>
        <v>0</v>
      </c>
      <c r="H163" s="144">
        <f>SUMIFS('март 2026'!$G$2:$G$2701,'март 2026'!$D$2:$D$2701,$B163,'март 2026'!$J$2:$J$2701,H$1)</f>
        <v>0</v>
      </c>
      <c r="I163" s="144">
        <f>SUMIFS('март 2026'!$G$2:$G$2701,'март 2026'!$D$2:$D$2701,$B163,'март 2026'!$J$2:$J$2701,I$1)</f>
        <v>0</v>
      </c>
      <c r="J163" s="144">
        <f>SUMIFS('март 2026'!$G$2:$G$2701,'март 2026'!$D$2:$D$2701,$B163,'март 2026'!$J$2:$J$2701,J$1)</f>
        <v>0</v>
      </c>
      <c r="K163" s="144">
        <f>SUMIFS('март 2026'!$G$2:$G$2701,'март 2026'!$D$2:$D$2701,$B163,'март 2026'!$J$2:$J$2701,K$1)</f>
        <v>0</v>
      </c>
      <c r="L163" s="144">
        <f>SUMIFS('март 2026'!$G$2:$G$2701,'март 2026'!$D$2:$D$2701,$B163,'март 2026'!$J$2:$J$2701,L$1)</f>
        <v>0</v>
      </c>
      <c r="M163" s="144">
        <f>SUMIFS('март 2026'!$G$2:$G$2701,'март 2026'!$D$2:$D$2701,$B163,'март 2026'!$J$2:$J$2701,M$1)</f>
        <v>0</v>
      </c>
      <c r="N163" s="144">
        <f>SUMIFS('март 2026'!$G$2:$G$2701,'март 2026'!$D$2:$D$2701,$B163,'март 2026'!$J$2:$J$2701,N$1)</f>
        <v>0</v>
      </c>
      <c r="O163" s="144">
        <f>SUMIFS('март 2026'!$G$2:$G$2701,'март 2026'!$D$2:$D$2701,$B163,'март 2026'!$J$2:$J$2701,O$1)</f>
        <v>0</v>
      </c>
      <c r="P163" s="144">
        <f>SUMIFS('март 2026'!$G$2:$G$2701,'март 2026'!$D$2:$D$2701,$B163,'март 2026'!$J$2:$J$2701,P$1)</f>
        <v>0</v>
      </c>
      <c r="Q163" s="144">
        <f>SUMIFS('март 2026'!$G$2:$G$2701,'март 2026'!$D$2:$D$2701,$B163,'март 2026'!$J$2:$J$2701,Q$1)</f>
        <v>0</v>
      </c>
      <c r="R163" s="144">
        <f>SUMIFS('март 2026'!$G$2:$G$2701,'март 2026'!$D$2:$D$2701,$B163,'март 2026'!$J$2:$J$2701,R$1)</f>
        <v>0</v>
      </c>
      <c r="S163" s="144">
        <f>SUMIFS('март 2026'!$G$2:$G$2701,'март 2026'!$D$2:$D$2701,$B163,'март 2026'!$J$2:$J$2701,S$1)</f>
        <v>0</v>
      </c>
      <c r="T163" s="144">
        <f>SUMIFS('март 2026'!$G$2:$G$2701,'март 2026'!$D$2:$D$2701,$B163,'март 2026'!$J$2:$J$2701,T$1)</f>
        <v>0</v>
      </c>
      <c r="U163" s="144">
        <f>SUMIFS('март 2026'!$G$2:$G$2701,'март 2026'!$D$2:$D$2701,$B163,'март 2026'!$J$2:$J$2701,U$1)</f>
        <v>0</v>
      </c>
      <c r="V163" s="144">
        <f>SUMIFS('март 2026'!$G$2:$G$2701,'март 2026'!$D$2:$D$2701,$B163,'март 2026'!$J$2:$J$2701,V$1)</f>
        <v>0</v>
      </c>
      <c r="W163" s="144">
        <f>SUMIFS('март 2026'!$G$2:$G$2701,'март 2026'!$D$2:$D$2701,$B163,'март 2026'!$J$2:$J$2701,W$1)</f>
        <v>0</v>
      </c>
      <c r="X163" s="144">
        <f>SUMIFS('март 2026'!$G$2:$G$2701,'март 2026'!$D$2:$D$2701,$B163,'март 2026'!$J$2:$J$2701,X$1)</f>
        <v>0</v>
      </c>
      <c r="Y163" s="144">
        <f>SUMIFS('март 2026'!$G$2:$G$2701,'март 2026'!$D$2:$D$2701,$B163,'март 2026'!$J$2:$J$2701,Y$1)</f>
        <v>0</v>
      </c>
      <c r="Z163" s="144">
        <f>SUMIFS('март 2026'!$G$2:$G$2701,'март 2026'!$D$2:$D$2701,$B163,'март 2026'!$J$2:$J$2701,Z$1)</f>
        <v>0</v>
      </c>
      <c r="AA163" s="144">
        <f>SUMIFS('март 2026'!$G$2:$G$2701,'март 2026'!$D$2:$D$2701,$B163,'март 2026'!$J$2:$J$2701,AA$1)</f>
        <v>0</v>
      </c>
      <c r="AB163" s="144">
        <f>SUMIFS('март 2026'!$G$2:$G$2701,'март 2026'!$D$2:$D$2701,$B163,'март 2026'!$J$2:$J$2701,AB$1)</f>
        <v>0</v>
      </c>
      <c r="AC163" s="144">
        <f>SUMIFS('март 2026'!$G$2:$G$2701,'март 2026'!$D$2:$D$2701,$B163,'март 2026'!$J$2:$J$2701,AC$1)</f>
        <v>0</v>
      </c>
      <c r="AD163" s="144">
        <f>SUMIFS('март 2026'!$G$2:$G$2701,'март 2026'!$D$2:$D$2701,$B163,'март 2026'!$J$2:$J$2701,AD$1)</f>
        <v>0</v>
      </c>
      <c r="AE163" s="144">
        <f>SUMIFS('март 2026'!$G$2:$G$2701,'март 2026'!$D$2:$D$2701,$B163,'март 2026'!$J$2:$J$2701,AE$1)</f>
        <v>0</v>
      </c>
      <c r="AF163" s="144">
        <f>SUMIFS('март 2026'!$G$2:$G$2701,'март 2026'!$D$2:$D$2701,$B163,'март 2026'!$J$2:$J$2701,AF$1)</f>
        <v>0</v>
      </c>
      <c r="AG163" s="144">
        <f>SUMIFS('март 2026'!$G$2:$G$2701,'март 2026'!$D$2:$D$2701,$B163,'март 2026'!$J$2:$J$2701,AG$1)</f>
        <v>0</v>
      </c>
      <c r="AH163" s="144">
        <f>SUMIFS('март 2026'!$G$2:$G$2701,'март 2026'!$D$2:$D$2701,$B163,'март 2026'!$J$2:$J$2701,AH$1)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SUMIFS('март 2026'!$G$2:$G$2701,'март 2026'!$D$2:$D$2701,$B164,'март 2026'!$J$2:$J$2701,D$1)</f>
        <v>0</v>
      </c>
      <c r="E164" s="144">
        <f>SUMIFS('март 2026'!$G$2:$G$2701,'март 2026'!$D$2:$D$2701,$B164,'март 2026'!$J$2:$J$2701,E$1)</f>
        <v>0</v>
      </c>
      <c r="F164" s="144">
        <f>SUMIFS('март 2026'!$G$2:$G$2701,'март 2026'!$D$2:$D$2701,$B164,'март 2026'!$J$2:$J$2701,F$1)</f>
        <v>0</v>
      </c>
      <c r="G164" s="144">
        <f>SUMIFS('март 2026'!$G$2:$G$2701,'март 2026'!$D$2:$D$2701,$B164,'март 2026'!$J$2:$J$2701,G$1)</f>
        <v>0</v>
      </c>
      <c r="H164" s="144">
        <f>SUMIFS('март 2026'!$G$2:$G$2701,'март 2026'!$D$2:$D$2701,$B164,'март 2026'!$J$2:$J$2701,H$1)</f>
        <v>0</v>
      </c>
      <c r="I164" s="144">
        <f>SUMIFS('март 2026'!$G$2:$G$2701,'март 2026'!$D$2:$D$2701,$B164,'март 2026'!$J$2:$J$2701,I$1)</f>
        <v>0</v>
      </c>
      <c r="J164" s="144">
        <f>SUMIFS('март 2026'!$G$2:$G$2701,'март 2026'!$D$2:$D$2701,$B164,'март 2026'!$J$2:$J$2701,J$1)</f>
        <v>0</v>
      </c>
      <c r="K164" s="144">
        <f>SUMIFS('март 2026'!$G$2:$G$2701,'март 2026'!$D$2:$D$2701,$B164,'март 2026'!$J$2:$J$2701,K$1)</f>
        <v>0</v>
      </c>
      <c r="L164" s="144">
        <f>SUMIFS('март 2026'!$G$2:$G$2701,'март 2026'!$D$2:$D$2701,$B164,'март 2026'!$J$2:$J$2701,L$1)</f>
        <v>0</v>
      </c>
      <c r="M164" s="144">
        <f>SUMIFS('март 2026'!$G$2:$G$2701,'март 2026'!$D$2:$D$2701,$B164,'март 2026'!$J$2:$J$2701,M$1)</f>
        <v>0</v>
      </c>
      <c r="N164" s="144">
        <f>SUMIFS('март 2026'!$G$2:$G$2701,'март 2026'!$D$2:$D$2701,$B164,'март 2026'!$J$2:$J$2701,N$1)</f>
        <v>0</v>
      </c>
      <c r="O164" s="144">
        <f>SUMIFS('март 2026'!$G$2:$G$2701,'март 2026'!$D$2:$D$2701,$B164,'март 2026'!$J$2:$J$2701,O$1)</f>
        <v>0</v>
      </c>
      <c r="P164" s="144">
        <f>SUMIFS('март 2026'!$G$2:$G$2701,'март 2026'!$D$2:$D$2701,$B164,'март 2026'!$J$2:$J$2701,P$1)</f>
        <v>0</v>
      </c>
      <c r="Q164" s="144">
        <f>SUMIFS('март 2026'!$G$2:$G$2701,'март 2026'!$D$2:$D$2701,$B164,'март 2026'!$J$2:$J$2701,Q$1)</f>
        <v>0</v>
      </c>
      <c r="R164" s="144">
        <f>SUMIFS('март 2026'!$G$2:$G$2701,'март 2026'!$D$2:$D$2701,$B164,'март 2026'!$J$2:$J$2701,R$1)</f>
        <v>0</v>
      </c>
      <c r="S164" s="144">
        <f>SUMIFS('март 2026'!$G$2:$G$2701,'март 2026'!$D$2:$D$2701,$B164,'март 2026'!$J$2:$J$2701,S$1)</f>
        <v>0</v>
      </c>
      <c r="T164" s="144">
        <f>SUMIFS('март 2026'!$G$2:$G$2701,'март 2026'!$D$2:$D$2701,$B164,'март 2026'!$J$2:$J$2701,T$1)</f>
        <v>0</v>
      </c>
      <c r="U164" s="144">
        <f>SUMIFS('март 2026'!$G$2:$G$2701,'март 2026'!$D$2:$D$2701,$B164,'март 2026'!$J$2:$J$2701,U$1)</f>
        <v>0</v>
      </c>
      <c r="V164" s="144">
        <f>SUMIFS('март 2026'!$G$2:$G$2701,'март 2026'!$D$2:$D$2701,$B164,'март 2026'!$J$2:$J$2701,V$1)</f>
        <v>0</v>
      </c>
      <c r="W164" s="144">
        <f>SUMIFS('март 2026'!$G$2:$G$2701,'март 2026'!$D$2:$D$2701,$B164,'март 2026'!$J$2:$J$2701,W$1)</f>
        <v>0</v>
      </c>
      <c r="X164" s="144">
        <f>SUMIFS('март 2026'!$G$2:$G$2701,'март 2026'!$D$2:$D$2701,$B164,'март 2026'!$J$2:$J$2701,X$1)</f>
        <v>0</v>
      </c>
      <c r="Y164" s="144">
        <f>SUMIFS('март 2026'!$G$2:$G$2701,'март 2026'!$D$2:$D$2701,$B164,'март 2026'!$J$2:$J$2701,Y$1)</f>
        <v>0</v>
      </c>
      <c r="Z164" s="144">
        <f>SUMIFS('март 2026'!$G$2:$G$2701,'март 2026'!$D$2:$D$2701,$B164,'март 2026'!$J$2:$J$2701,Z$1)</f>
        <v>0</v>
      </c>
      <c r="AA164" s="144">
        <f>SUMIFS('март 2026'!$G$2:$G$2701,'март 2026'!$D$2:$D$2701,$B164,'март 2026'!$J$2:$J$2701,AA$1)</f>
        <v>0</v>
      </c>
      <c r="AB164" s="144">
        <f>SUMIFS('март 2026'!$G$2:$G$2701,'март 2026'!$D$2:$D$2701,$B164,'март 2026'!$J$2:$J$2701,AB$1)</f>
        <v>0</v>
      </c>
      <c r="AC164" s="144">
        <f>SUMIFS('март 2026'!$G$2:$G$2701,'март 2026'!$D$2:$D$2701,$B164,'март 2026'!$J$2:$J$2701,AC$1)</f>
        <v>0</v>
      </c>
      <c r="AD164" s="144">
        <f>SUMIFS('март 2026'!$G$2:$G$2701,'март 2026'!$D$2:$D$2701,$B164,'март 2026'!$J$2:$J$2701,AD$1)</f>
        <v>0</v>
      </c>
      <c r="AE164" s="144">
        <f>SUMIFS('март 2026'!$G$2:$G$2701,'март 2026'!$D$2:$D$2701,$B164,'март 2026'!$J$2:$J$2701,AE$1)</f>
        <v>0</v>
      </c>
      <c r="AF164" s="144">
        <f>SUMIFS('март 2026'!$G$2:$G$2701,'март 2026'!$D$2:$D$2701,$B164,'март 2026'!$J$2:$J$2701,AF$1)</f>
        <v>0</v>
      </c>
      <c r="AG164" s="144">
        <f>SUMIFS('март 2026'!$G$2:$G$2701,'март 2026'!$D$2:$D$2701,$B164,'март 2026'!$J$2:$J$2701,AG$1)</f>
        <v>0</v>
      </c>
      <c r="AH164" s="144">
        <f>SUMIFS('март 2026'!$G$2:$G$2701,'март 2026'!$D$2:$D$2701,$B164,'март 2026'!$J$2:$J$2701,AH$1)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SUMIFS('март 2026'!$G$2:$G$2701,'март 2026'!$D$2:$D$2701,$B165,'март 2026'!$J$2:$J$2701,D$1)</f>
        <v>0</v>
      </c>
      <c r="E165" s="144">
        <f>SUMIFS('март 2026'!$G$2:$G$2701,'март 2026'!$D$2:$D$2701,$B165,'март 2026'!$J$2:$J$2701,E$1)</f>
        <v>0</v>
      </c>
      <c r="F165" s="144">
        <f>SUMIFS('март 2026'!$G$2:$G$2701,'март 2026'!$D$2:$D$2701,$B165,'март 2026'!$J$2:$J$2701,F$1)</f>
        <v>0</v>
      </c>
      <c r="G165" s="144">
        <f>SUMIFS('март 2026'!$G$2:$G$2701,'март 2026'!$D$2:$D$2701,$B165,'март 2026'!$J$2:$J$2701,G$1)</f>
        <v>0</v>
      </c>
      <c r="H165" s="144">
        <f>SUMIFS('март 2026'!$G$2:$G$2701,'март 2026'!$D$2:$D$2701,$B165,'март 2026'!$J$2:$J$2701,H$1)</f>
        <v>0</v>
      </c>
      <c r="I165" s="144">
        <f>SUMIFS('март 2026'!$G$2:$G$2701,'март 2026'!$D$2:$D$2701,$B165,'март 2026'!$J$2:$J$2701,I$1)</f>
        <v>0</v>
      </c>
      <c r="J165" s="144">
        <f>SUMIFS('март 2026'!$G$2:$G$2701,'март 2026'!$D$2:$D$2701,$B165,'март 2026'!$J$2:$J$2701,J$1)</f>
        <v>0</v>
      </c>
      <c r="K165" s="144">
        <f>SUMIFS('март 2026'!$G$2:$G$2701,'март 2026'!$D$2:$D$2701,$B165,'март 2026'!$J$2:$J$2701,K$1)</f>
        <v>0</v>
      </c>
      <c r="L165" s="144">
        <f>SUMIFS('март 2026'!$G$2:$G$2701,'март 2026'!$D$2:$D$2701,$B165,'март 2026'!$J$2:$J$2701,L$1)</f>
        <v>0</v>
      </c>
      <c r="M165" s="144">
        <f>SUMIFS('март 2026'!$G$2:$G$2701,'март 2026'!$D$2:$D$2701,$B165,'март 2026'!$J$2:$J$2701,M$1)</f>
        <v>0</v>
      </c>
      <c r="N165" s="144">
        <f>SUMIFS('март 2026'!$G$2:$G$2701,'март 2026'!$D$2:$D$2701,$B165,'март 2026'!$J$2:$J$2701,N$1)</f>
        <v>0</v>
      </c>
      <c r="O165" s="144">
        <f>SUMIFS('март 2026'!$G$2:$G$2701,'март 2026'!$D$2:$D$2701,$B165,'март 2026'!$J$2:$J$2701,O$1)</f>
        <v>0</v>
      </c>
      <c r="P165" s="144">
        <f>SUMIFS('март 2026'!$G$2:$G$2701,'март 2026'!$D$2:$D$2701,$B165,'март 2026'!$J$2:$J$2701,P$1)</f>
        <v>0</v>
      </c>
      <c r="Q165" s="144">
        <f>SUMIFS('март 2026'!$G$2:$G$2701,'март 2026'!$D$2:$D$2701,$B165,'март 2026'!$J$2:$J$2701,Q$1)</f>
        <v>0</v>
      </c>
      <c r="R165" s="144">
        <f>SUMIFS('март 2026'!$G$2:$G$2701,'март 2026'!$D$2:$D$2701,$B165,'март 2026'!$J$2:$J$2701,R$1)</f>
        <v>0</v>
      </c>
      <c r="S165" s="144">
        <f>SUMIFS('март 2026'!$G$2:$G$2701,'март 2026'!$D$2:$D$2701,$B165,'март 2026'!$J$2:$J$2701,S$1)</f>
        <v>0</v>
      </c>
      <c r="T165" s="144">
        <f>SUMIFS('март 2026'!$G$2:$G$2701,'март 2026'!$D$2:$D$2701,$B165,'март 2026'!$J$2:$J$2701,T$1)</f>
        <v>0</v>
      </c>
      <c r="U165" s="144">
        <f>SUMIFS('март 2026'!$G$2:$G$2701,'март 2026'!$D$2:$D$2701,$B165,'март 2026'!$J$2:$J$2701,U$1)</f>
        <v>0</v>
      </c>
      <c r="V165" s="144">
        <f>SUMIFS('март 2026'!$G$2:$G$2701,'март 2026'!$D$2:$D$2701,$B165,'март 2026'!$J$2:$J$2701,V$1)</f>
        <v>0</v>
      </c>
      <c r="W165" s="144">
        <f>SUMIFS('март 2026'!$G$2:$G$2701,'март 2026'!$D$2:$D$2701,$B165,'март 2026'!$J$2:$J$2701,W$1)</f>
        <v>0</v>
      </c>
      <c r="X165" s="144">
        <f>SUMIFS('март 2026'!$G$2:$G$2701,'март 2026'!$D$2:$D$2701,$B165,'март 2026'!$J$2:$J$2701,X$1)</f>
        <v>0</v>
      </c>
      <c r="Y165" s="144">
        <f>SUMIFS('март 2026'!$G$2:$G$2701,'март 2026'!$D$2:$D$2701,$B165,'март 2026'!$J$2:$J$2701,Y$1)</f>
        <v>0</v>
      </c>
      <c r="Z165" s="144">
        <f>SUMIFS('март 2026'!$G$2:$G$2701,'март 2026'!$D$2:$D$2701,$B165,'март 2026'!$J$2:$J$2701,Z$1)</f>
        <v>0</v>
      </c>
      <c r="AA165" s="144">
        <f>SUMIFS('март 2026'!$G$2:$G$2701,'март 2026'!$D$2:$D$2701,$B165,'март 2026'!$J$2:$J$2701,AA$1)</f>
        <v>0</v>
      </c>
      <c r="AB165" s="144">
        <f>SUMIFS('март 2026'!$G$2:$G$2701,'март 2026'!$D$2:$D$2701,$B165,'март 2026'!$J$2:$J$2701,AB$1)</f>
        <v>0</v>
      </c>
      <c r="AC165" s="144">
        <f>SUMIFS('март 2026'!$G$2:$G$2701,'март 2026'!$D$2:$D$2701,$B165,'март 2026'!$J$2:$J$2701,AC$1)</f>
        <v>0</v>
      </c>
      <c r="AD165" s="144">
        <f>SUMIFS('март 2026'!$G$2:$G$2701,'март 2026'!$D$2:$D$2701,$B165,'март 2026'!$J$2:$J$2701,AD$1)</f>
        <v>0</v>
      </c>
      <c r="AE165" s="144">
        <f>SUMIFS('март 2026'!$G$2:$G$2701,'март 2026'!$D$2:$D$2701,$B165,'март 2026'!$J$2:$J$2701,AE$1)</f>
        <v>0</v>
      </c>
      <c r="AF165" s="144">
        <f>SUMIFS('март 2026'!$G$2:$G$2701,'март 2026'!$D$2:$D$2701,$B165,'март 2026'!$J$2:$J$2701,AF$1)</f>
        <v>0</v>
      </c>
      <c r="AG165" s="144">
        <f>SUMIFS('март 2026'!$G$2:$G$2701,'март 2026'!$D$2:$D$2701,$B165,'март 2026'!$J$2:$J$2701,AG$1)</f>
        <v>0</v>
      </c>
      <c r="AH165" s="144">
        <f>SUMIFS('март 2026'!$G$2:$G$2701,'март 2026'!$D$2:$D$2701,$B165,'март 2026'!$J$2:$J$2701,AH$1)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SUMIFS('март 2026'!$G$2:$G$2701,'март 2026'!$D$2:$D$2701,$B166,'март 2026'!$J$2:$J$2701,D$1)</f>
        <v>0</v>
      </c>
      <c r="E166" s="144">
        <f>SUMIFS('март 2026'!$G$2:$G$2701,'март 2026'!$D$2:$D$2701,$B166,'март 2026'!$J$2:$J$2701,E$1)</f>
        <v>0</v>
      </c>
      <c r="F166" s="144">
        <f>SUMIFS('март 2026'!$G$2:$G$2701,'март 2026'!$D$2:$D$2701,$B166,'март 2026'!$J$2:$J$2701,F$1)</f>
        <v>0</v>
      </c>
      <c r="G166" s="144">
        <f>SUMIFS('март 2026'!$G$2:$G$2701,'март 2026'!$D$2:$D$2701,$B166,'март 2026'!$J$2:$J$2701,G$1)</f>
        <v>0</v>
      </c>
      <c r="H166" s="144">
        <f>SUMIFS('март 2026'!$G$2:$G$2701,'март 2026'!$D$2:$D$2701,$B166,'март 2026'!$J$2:$J$2701,H$1)</f>
        <v>0</v>
      </c>
      <c r="I166" s="144">
        <f>SUMIFS('март 2026'!$G$2:$G$2701,'март 2026'!$D$2:$D$2701,$B166,'март 2026'!$J$2:$J$2701,I$1)</f>
        <v>0</v>
      </c>
      <c r="J166" s="144">
        <f>SUMIFS('март 2026'!$G$2:$G$2701,'март 2026'!$D$2:$D$2701,$B166,'март 2026'!$J$2:$J$2701,J$1)</f>
        <v>0</v>
      </c>
      <c r="K166" s="144">
        <f>SUMIFS('март 2026'!$G$2:$G$2701,'март 2026'!$D$2:$D$2701,$B166,'март 2026'!$J$2:$J$2701,K$1)</f>
        <v>0</v>
      </c>
      <c r="L166" s="144">
        <f>SUMIFS('март 2026'!$G$2:$G$2701,'март 2026'!$D$2:$D$2701,$B166,'март 2026'!$J$2:$J$2701,L$1)</f>
        <v>0</v>
      </c>
      <c r="M166" s="144">
        <f>SUMIFS('март 2026'!$G$2:$G$2701,'март 2026'!$D$2:$D$2701,$B166,'март 2026'!$J$2:$J$2701,M$1)</f>
        <v>0</v>
      </c>
      <c r="N166" s="144">
        <f>SUMIFS('март 2026'!$G$2:$G$2701,'март 2026'!$D$2:$D$2701,$B166,'март 2026'!$J$2:$J$2701,N$1)</f>
        <v>0</v>
      </c>
      <c r="O166" s="144">
        <f>SUMIFS('март 2026'!$G$2:$G$2701,'март 2026'!$D$2:$D$2701,$B166,'март 2026'!$J$2:$J$2701,O$1)</f>
        <v>0</v>
      </c>
      <c r="P166" s="144">
        <f>SUMIFS('март 2026'!$G$2:$G$2701,'март 2026'!$D$2:$D$2701,$B166,'март 2026'!$J$2:$J$2701,P$1)</f>
        <v>0</v>
      </c>
      <c r="Q166" s="144">
        <f>SUMIFS('март 2026'!$G$2:$G$2701,'март 2026'!$D$2:$D$2701,$B166,'март 2026'!$J$2:$J$2701,Q$1)</f>
        <v>0</v>
      </c>
      <c r="R166" s="144">
        <f>SUMIFS('март 2026'!$G$2:$G$2701,'март 2026'!$D$2:$D$2701,$B166,'март 2026'!$J$2:$J$2701,R$1)</f>
        <v>0</v>
      </c>
      <c r="S166" s="144">
        <f>SUMIFS('март 2026'!$G$2:$G$2701,'март 2026'!$D$2:$D$2701,$B166,'март 2026'!$J$2:$J$2701,S$1)</f>
        <v>0</v>
      </c>
      <c r="T166" s="144">
        <f>SUMIFS('март 2026'!$G$2:$G$2701,'март 2026'!$D$2:$D$2701,$B166,'март 2026'!$J$2:$J$2701,T$1)</f>
        <v>0</v>
      </c>
      <c r="U166" s="144">
        <f>SUMIFS('март 2026'!$G$2:$G$2701,'март 2026'!$D$2:$D$2701,$B166,'март 2026'!$J$2:$J$2701,U$1)</f>
        <v>0</v>
      </c>
      <c r="V166" s="144">
        <f>SUMIFS('март 2026'!$G$2:$G$2701,'март 2026'!$D$2:$D$2701,$B166,'март 2026'!$J$2:$J$2701,V$1)</f>
        <v>0</v>
      </c>
      <c r="W166" s="144">
        <f>SUMIFS('март 2026'!$G$2:$G$2701,'март 2026'!$D$2:$D$2701,$B166,'март 2026'!$J$2:$J$2701,W$1)</f>
        <v>0</v>
      </c>
      <c r="X166" s="144">
        <f>SUMIFS('март 2026'!$G$2:$G$2701,'март 2026'!$D$2:$D$2701,$B166,'март 2026'!$J$2:$J$2701,X$1)</f>
        <v>0</v>
      </c>
      <c r="Y166" s="144">
        <f>SUMIFS('март 2026'!$G$2:$G$2701,'март 2026'!$D$2:$D$2701,$B166,'март 2026'!$J$2:$J$2701,Y$1)</f>
        <v>0</v>
      </c>
      <c r="Z166" s="144">
        <f>SUMIFS('март 2026'!$G$2:$G$2701,'март 2026'!$D$2:$D$2701,$B166,'март 2026'!$J$2:$J$2701,Z$1)</f>
        <v>0</v>
      </c>
      <c r="AA166" s="144">
        <f>SUMIFS('март 2026'!$G$2:$G$2701,'март 2026'!$D$2:$D$2701,$B166,'март 2026'!$J$2:$J$2701,AA$1)</f>
        <v>0</v>
      </c>
      <c r="AB166" s="144">
        <f>SUMIFS('март 2026'!$G$2:$G$2701,'март 2026'!$D$2:$D$2701,$B166,'март 2026'!$J$2:$J$2701,AB$1)</f>
        <v>0</v>
      </c>
      <c r="AC166" s="144">
        <f>SUMIFS('март 2026'!$G$2:$G$2701,'март 2026'!$D$2:$D$2701,$B166,'март 2026'!$J$2:$J$2701,AC$1)</f>
        <v>0</v>
      </c>
      <c r="AD166" s="144">
        <f>SUMIFS('март 2026'!$G$2:$G$2701,'март 2026'!$D$2:$D$2701,$B166,'март 2026'!$J$2:$J$2701,AD$1)</f>
        <v>0</v>
      </c>
      <c r="AE166" s="144">
        <f>SUMIFS('март 2026'!$G$2:$G$2701,'март 2026'!$D$2:$D$2701,$B166,'март 2026'!$J$2:$J$2701,AE$1)</f>
        <v>0</v>
      </c>
      <c r="AF166" s="144">
        <f>SUMIFS('март 2026'!$G$2:$G$2701,'март 2026'!$D$2:$D$2701,$B166,'март 2026'!$J$2:$J$2701,AF$1)</f>
        <v>0</v>
      </c>
      <c r="AG166" s="144">
        <f>SUMIFS('март 2026'!$G$2:$G$2701,'март 2026'!$D$2:$D$2701,$B166,'март 2026'!$J$2:$J$2701,AG$1)</f>
        <v>0</v>
      </c>
      <c r="AH166" s="144">
        <f>SUMIFS('март 2026'!$G$2:$G$2701,'март 2026'!$D$2:$D$2701,$B166,'март 2026'!$J$2:$J$2701,AH$1)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SUMIFS('март 2026'!$G$2:$G$2701,'март 2026'!$D$2:$D$2701,$B167,'март 2026'!$J$2:$J$2701,D$1)</f>
        <v>0</v>
      </c>
      <c r="E167" s="144">
        <f>SUMIFS('март 2026'!$G$2:$G$2701,'март 2026'!$D$2:$D$2701,$B167,'март 2026'!$J$2:$J$2701,E$1)</f>
        <v>0</v>
      </c>
      <c r="F167" s="144">
        <f>SUMIFS('март 2026'!$G$2:$G$2701,'март 2026'!$D$2:$D$2701,$B167,'март 2026'!$J$2:$J$2701,F$1)</f>
        <v>0</v>
      </c>
      <c r="G167" s="144">
        <f>SUMIFS('март 2026'!$G$2:$G$2701,'март 2026'!$D$2:$D$2701,$B167,'март 2026'!$J$2:$J$2701,G$1)</f>
        <v>0</v>
      </c>
      <c r="H167" s="144">
        <f>SUMIFS('март 2026'!$G$2:$G$2701,'март 2026'!$D$2:$D$2701,$B167,'март 2026'!$J$2:$J$2701,H$1)</f>
        <v>0</v>
      </c>
      <c r="I167" s="144">
        <f>SUMIFS('март 2026'!$G$2:$G$2701,'март 2026'!$D$2:$D$2701,$B167,'март 2026'!$J$2:$J$2701,I$1)</f>
        <v>0</v>
      </c>
      <c r="J167" s="144">
        <f>SUMIFS('март 2026'!$G$2:$G$2701,'март 2026'!$D$2:$D$2701,$B167,'март 2026'!$J$2:$J$2701,J$1)</f>
        <v>0</v>
      </c>
      <c r="K167" s="144">
        <f>SUMIFS('март 2026'!$G$2:$G$2701,'март 2026'!$D$2:$D$2701,$B167,'март 2026'!$J$2:$J$2701,K$1)</f>
        <v>0</v>
      </c>
      <c r="L167" s="144">
        <f>SUMIFS('март 2026'!$G$2:$G$2701,'март 2026'!$D$2:$D$2701,$B167,'март 2026'!$J$2:$J$2701,L$1)</f>
        <v>0</v>
      </c>
      <c r="M167" s="144">
        <f>SUMIFS('март 2026'!$G$2:$G$2701,'март 2026'!$D$2:$D$2701,$B167,'март 2026'!$J$2:$J$2701,M$1)</f>
        <v>0</v>
      </c>
      <c r="N167" s="144">
        <f>SUMIFS('март 2026'!$G$2:$G$2701,'март 2026'!$D$2:$D$2701,$B167,'март 2026'!$J$2:$J$2701,N$1)</f>
        <v>0</v>
      </c>
      <c r="O167" s="144">
        <f>SUMIFS('март 2026'!$G$2:$G$2701,'март 2026'!$D$2:$D$2701,$B167,'март 2026'!$J$2:$J$2701,O$1)</f>
        <v>0</v>
      </c>
      <c r="P167" s="144">
        <f>SUMIFS('март 2026'!$G$2:$G$2701,'март 2026'!$D$2:$D$2701,$B167,'март 2026'!$J$2:$J$2701,P$1)</f>
        <v>0</v>
      </c>
      <c r="Q167" s="144">
        <f>SUMIFS('март 2026'!$G$2:$G$2701,'март 2026'!$D$2:$D$2701,$B167,'март 2026'!$J$2:$J$2701,Q$1)</f>
        <v>0</v>
      </c>
      <c r="R167" s="144">
        <f>SUMIFS('март 2026'!$G$2:$G$2701,'март 2026'!$D$2:$D$2701,$B167,'март 2026'!$J$2:$J$2701,R$1)</f>
        <v>0</v>
      </c>
      <c r="S167" s="144">
        <f>SUMIFS('март 2026'!$G$2:$G$2701,'март 2026'!$D$2:$D$2701,$B167,'март 2026'!$J$2:$J$2701,S$1)</f>
        <v>0</v>
      </c>
      <c r="T167" s="144">
        <f>SUMIFS('март 2026'!$G$2:$G$2701,'март 2026'!$D$2:$D$2701,$B167,'март 2026'!$J$2:$J$2701,T$1)</f>
        <v>0</v>
      </c>
      <c r="U167" s="144">
        <f>SUMIFS('март 2026'!$G$2:$G$2701,'март 2026'!$D$2:$D$2701,$B167,'март 2026'!$J$2:$J$2701,U$1)</f>
        <v>0</v>
      </c>
      <c r="V167" s="144">
        <f>SUMIFS('март 2026'!$G$2:$G$2701,'март 2026'!$D$2:$D$2701,$B167,'март 2026'!$J$2:$J$2701,V$1)</f>
        <v>0</v>
      </c>
      <c r="W167" s="144">
        <f>SUMIFS('март 2026'!$G$2:$G$2701,'март 2026'!$D$2:$D$2701,$B167,'март 2026'!$J$2:$J$2701,W$1)</f>
        <v>0</v>
      </c>
      <c r="X167" s="144">
        <f>SUMIFS('март 2026'!$G$2:$G$2701,'март 2026'!$D$2:$D$2701,$B167,'март 2026'!$J$2:$J$2701,X$1)</f>
        <v>0</v>
      </c>
      <c r="Y167" s="144">
        <f>SUMIFS('март 2026'!$G$2:$G$2701,'март 2026'!$D$2:$D$2701,$B167,'март 2026'!$J$2:$J$2701,Y$1)</f>
        <v>0</v>
      </c>
      <c r="Z167" s="144">
        <f>SUMIFS('март 2026'!$G$2:$G$2701,'март 2026'!$D$2:$D$2701,$B167,'март 2026'!$J$2:$J$2701,Z$1)</f>
        <v>20</v>
      </c>
      <c r="AA167" s="144">
        <f>SUMIFS('март 2026'!$G$2:$G$2701,'март 2026'!$D$2:$D$2701,$B167,'март 2026'!$J$2:$J$2701,AA$1)</f>
        <v>0</v>
      </c>
      <c r="AB167" s="144">
        <f>SUMIFS('март 2026'!$G$2:$G$2701,'март 2026'!$D$2:$D$2701,$B167,'март 2026'!$J$2:$J$2701,AB$1)</f>
        <v>0</v>
      </c>
      <c r="AC167" s="144">
        <f>SUMIFS('март 2026'!$G$2:$G$2701,'март 2026'!$D$2:$D$2701,$B167,'март 2026'!$J$2:$J$2701,AC$1)</f>
        <v>0</v>
      </c>
      <c r="AD167" s="144">
        <f>SUMIFS('март 2026'!$G$2:$G$2701,'март 2026'!$D$2:$D$2701,$B167,'март 2026'!$J$2:$J$2701,AD$1)</f>
        <v>0</v>
      </c>
      <c r="AE167" s="144">
        <f>SUMIFS('март 2026'!$G$2:$G$2701,'март 2026'!$D$2:$D$2701,$B167,'март 2026'!$J$2:$J$2701,AE$1)</f>
        <v>0</v>
      </c>
      <c r="AF167" s="144">
        <f>SUMIFS('март 2026'!$G$2:$G$2701,'март 2026'!$D$2:$D$2701,$B167,'март 2026'!$J$2:$J$2701,AF$1)</f>
        <v>0</v>
      </c>
      <c r="AG167" s="144">
        <f>SUMIFS('март 2026'!$G$2:$G$2701,'март 2026'!$D$2:$D$2701,$B167,'март 2026'!$J$2:$J$2701,AG$1)</f>
        <v>0</v>
      </c>
      <c r="AH167" s="144">
        <f>SUMIFS('март 2026'!$G$2:$G$2701,'март 2026'!$D$2:$D$2701,$B167,'март 2026'!$J$2:$J$2701,AH$1)</f>
        <v>0</v>
      </c>
      <c r="AI167" s="20">
        <f t="shared" si="1"/>
        <v>20</v>
      </c>
    </row>
    <row r="168" spans="2:35" ht="15" customHeight="1" x14ac:dyDescent="0.25">
      <c r="B168" s="85" t="s">
        <v>175</v>
      </c>
      <c r="C168" s="83">
        <v>25</v>
      </c>
      <c r="D168" s="144">
        <f>SUMIFS('март 2026'!$G$2:$G$2701,'март 2026'!$D$2:$D$2701,$B168,'март 2026'!$J$2:$J$2701,D$1)</f>
        <v>0</v>
      </c>
      <c r="E168" s="144">
        <f>SUMIFS('март 2026'!$G$2:$G$2701,'март 2026'!$D$2:$D$2701,$B168,'март 2026'!$J$2:$J$2701,E$1)</f>
        <v>0</v>
      </c>
      <c r="F168" s="144">
        <f>SUMIFS('март 2026'!$G$2:$G$2701,'март 2026'!$D$2:$D$2701,$B168,'март 2026'!$J$2:$J$2701,F$1)</f>
        <v>0</v>
      </c>
      <c r="G168" s="144">
        <f>SUMIFS('март 2026'!$G$2:$G$2701,'март 2026'!$D$2:$D$2701,$B168,'март 2026'!$J$2:$J$2701,G$1)</f>
        <v>0</v>
      </c>
      <c r="H168" s="144">
        <f>SUMIFS('март 2026'!$G$2:$G$2701,'март 2026'!$D$2:$D$2701,$B168,'март 2026'!$J$2:$J$2701,H$1)</f>
        <v>0</v>
      </c>
      <c r="I168" s="144">
        <f>SUMIFS('март 2026'!$G$2:$G$2701,'март 2026'!$D$2:$D$2701,$B168,'март 2026'!$J$2:$J$2701,I$1)</f>
        <v>0</v>
      </c>
      <c r="J168" s="144">
        <f>SUMIFS('март 2026'!$G$2:$G$2701,'март 2026'!$D$2:$D$2701,$B168,'март 2026'!$J$2:$J$2701,J$1)</f>
        <v>0</v>
      </c>
      <c r="K168" s="144">
        <f>SUMIFS('март 2026'!$G$2:$G$2701,'март 2026'!$D$2:$D$2701,$B168,'март 2026'!$J$2:$J$2701,K$1)</f>
        <v>0</v>
      </c>
      <c r="L168" s="144">
        <f>SUMIFS('март 2026'!$G$2:$G$2701,'март 2026'!$D$2:$D$2701,$B168,'март 2026'!$J$2:$J$2701,L$1)</f>
        <v>0</v>
      </c>
      <c r="M168" s="144">
        <f>SUMIFS('март 2026'!$G$2:$G$2701,'март 2026'!$D$2:$D$2701,$B168,'март 2026'!$J$2:$J$2701,M$1)</f>
        <v>0</v>
      </c>
      <c r="N168" s="144">
        <f>SUMIFS('март 2026'!$G$2:$G$2701,'март 2026'!$D$2:$D$2701,$B168,'март 2026'!$J$2:$J$2701,N$1)</f>
        <v>0</v>
      </c>
      <c r="O168" s="144">
        <f>SUMIFS('март 2026'!$G$2:$G$2701,'март 2026'!$D$2:$D$2701,$B168,'март 2026'!$J$2:$J$2701,O$1)</f>
        <v>0</v>
      </c>
      <c r="P168" s="144">
        <f>SUMIFS('март 2026'!$G$2:$G$2701,'март 2026'!$D$2:$D$2701,$B168,'март 2026'!$J$2:$J$2701,P$1)</f>
        <v>0</v>
      </c>
      <c r="Q168" s="144">
        <f>SUMIFS('март 2026'!$G$2:$G$2701,'март 2026'!$D$2:$D$2701,$B168,'март 2026'!$J$2:$J$2701,Q$1)</f>
        <v>0</v>
      </c>
      <c r="R168" s="144">
        <f>SUMIFS('март 2026'!$G$2:$G$2701,'март 2026'!$D$2:$D$2701,$B168,'март 2026'!$J$2:$J$2701,R$1)</f>
        <v>0</v>
      </c>
      <c r="S168" s="144">
        <f>SUMIFS('март 2026'!$G$2:$G$2701,'март 2026'!$D$2:$D$2701,$B168,'март 2026'!$J$2:$J$2701,S$1)</f>
        <v>0</v>
      </c>
      <c r="T168" s="144">
        <f>SUMIFS('март 2026'!$G$2:$G$2701,'март 2026'!$D$2:$D$2701,$B168,'март 2026'!$J$2:$J$2701,T$1)</f>
        <v>0</v>
      </c>
      <c r="U168" s="144">
        <f>SUMIFS('март 2026'!$G$2:$G$2701,'март 2026'!$D$2:$D$2701,$B168,'март 2026'!$J$2:$J$2701,U$1)</f>
        <v>0</v>
      </c>
      <c r="V168" s="144">
        <f>SUMIFS('март 2026'!$G$2:$G$2701,'март 2026'!$D$2:$D$2701,$B168,'март 2026'!$J$2:$J$2701,V$1)</f>
        <v>0</v>
      </c>
      <c r="W168" s="144">
        <f>SUMIFS('март 2026'!$G$2:$G$2701,'март 2026'!$D$2:$D$2701,$B168,'март 2026'!$J$2:$J$2701,W$1)</f>
        <v>0</v>
      </c>
      <c r="X168" s="144">
        <f>SUMIFS('март 2026'!$G$2:$G$2701,'март 2026'!$D$2:$D$2701,$B168,'март 2026'!$J$2:$J$2701,X$1)</f>
        <v>0</v>
      </c>
      <c r="Y168" s="144">
        <f>SUMIFS('март 2026'!$G$2:$G$2701,'март 2026'!$D$2:$D$2701,$B168,'март 2026'!$J$2:$J$2701,Y$1)</f>
        <v>0</v>
      </c>
      <c r="Z168" s="144">
        <f>SUMIFS('март 2026'!$G$2:$G$2701,'март 2026'!$D$2:$D$2701,$B168,'март 2026'!$J$2:$J$2701,Z$1)</f>
        <v>0</v>
      </c>
      <c r="AA168" s="144">
        <f>SUMIFS('март 2026'!$G$2:$G$2701,'март 2026'!$D$2:$D$2701,$B168,'март 2026'!$J$2:$J$2701,AA$1)</f>
        <v>0</v>
      </c>
      <c r="AB168" s="144">
        <f>SUMIFS('март 2026'!$G$2:$G$2701,'март 2026'!$D$2:$D$2701,$B168,'март 2026'!$J$2:$J$2701,AB$1)</f>
        <v>0</v>
      </c>
      <c r="AC168" s="144">
        <f>SUMIFS('март 2026'!$G$2:$G$2701,'март 2026'!$D$2:$D$2701,$B168,'март 2026'!$J$2:$J$2701,AC$1)</f>
        <v>0</v>
      </c>
      <c r="AD168" s="144">
        <f>SUMIFS('март 2026'!$G$2:$G$2701,'март 2026'!$D$2:$D$2701,$B168,'март 2026'!$J$2:$J$2701,AD$1)</f>
        <v>0</v>
      </c>
      <c r="AE168" s="144">
        <f>SUMIFS('март 2026'!$G$2:$G$2701,'март 2026'!$D$2:$D$2701,$B168,'март 2026'!$J$2:$J$2701,AE$1)</f>
        <v>0</v>
      </c>
      <c r="AF168" s="144">
        <f>SUMIFS('март 2026'!$G$2:$G$2701,'март 2026'!$D$2:$D$2701,$B168,'март 2026'!$J$2:$J$2701,AF$1)</f>
        <v>0</v>
      </c>
      <c r="AG168" s="144">
        <f>SUMIFS('март 2026'!$G$2:$G$2701,'март 2026'!$D$2:$D$2701,$B168,'март 2026'!$J$2:$J$2701,AG$1)</f>
        <v>0</v>
      </c>
      <c r="AH168" s="144">
        <f>SUMIFS('март 2026'!$G$2:$G$2701,'март 2026'!$D$2:$D$2701,$B168,'март 2026'!$J$2:$J$2701,AH$1)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SUMIFS('март 2026'!$G$2:$G$2701,'март 2026'!$D$2:$D$2701,$B169,'март 2026'!$J$2:$J$2701,D$1)</f>
        <v>0</v>
      </c>
      <c r="E169" s="144">
        <f>SUMIFS('март 2026'!$G$2:$G$2701,'март 2026'!$D$2:$D$2701,$B169,'март 2026'!$J$2:$J$2701,E$1)</f>
        <v>0</v>
      </c>
      <c r="F169" s="144">
        <f>SUMIFS('март 2026'!$G$2:$G$2701,'март 2026'!$D$2:$D$2701,$B169,'март 2026'!$J$2:$J$2701,F$1)</f>
        <v>0</v>
      </c>
      <c r="G169" s="144">
        <f>SUMIFS('март 2026'!$G$2:$G$2701,'март 2026'!$D$2:$D$2701,$B169,'март 2026'!$J$2:$J$2701,G$1)</f>
        <v>0</v>
      </c>
      <c r="H169" s="144">
        <f>SUMIFS('март 2026'!$G$2:$G$2701,'март 2026'!$D$2:$D$2701,$B169,'март 2026'!$J$2:$J$2701,H$1)</f>
        <v>0</v>
      </c>
      <c r="I169" s="144">
        <f>SUMIFS('март 2026'!$G$2:$G$2701,'март 2026'!$D$2:$D$2701,$B169,'март 2026'!$J$2:$J$2701,I$1)</f>
        <v>0</v>
      </c>
      <c r="J169" s="144">
        <f>SUMIFS('март 2026'!$G$2:$G$2701,'март 2026'!$D$2:$D$2701,$B169,'март 2026'!$J$2:$J$2701,J$1)</f>
        <v>0</v>
      </c>
      <c r="K169" s="144">
        <f>SUMIFS('март 2026'!$G$2:$G$2701,'март 2026'!$D$2:$D$2701,$B169,'март 2026'!$J$2:$J$2701,K$1)</f>
        <v>0</v>
      </c>
      <c r="L169" s="144">
        <f>SUMIFS('март 2026'!$G$2:$G$2701,'март 2026'!$D$2:$D$2701,$B169,'март 2026'!$J$2:$J$2701,L$1)</f>
        <v>0</v>
      </c>
      <c r="M169" s="144">
        <f>SUMIFS('март 2026'!$G$2:$G$2701,'март 2026'!$D$2:$D$2701,$B169,'март 2026'!$J$2:$J$2701,M$1)</f>
        <v>0</v>
      </c>
      <c r="N169" s="144">
        <f>SUMIFS('март 2026'!$G$2:$G$2701,'март 2026'!$D$2:$D$2701,$B169,'март 2026'!$J$2:$J$2701,N$1)</f>
        <v>0</v>
      </c>
      <c r="O169" s="144">
        <f>SUMIFS('март 2026'!$G$2:$G$2701,'март 2026'!$D$2:$D$2701,$B169,'март 2026'!$J$2:$J$2701,O$1)</f>
        <v>0</v>
      </c>
      <c r="P169" s="144">
        <f>SUMIFS('март 2026'!$G$2:$G$2701,'март 2026'!$D$2:$D$2701,$B169,'март 2026'!$J$2:$J$2701,P$1)</f>
        <v>0</v>
      </c>
      <c r="Q169" s="144">
        <f>SUMIFS('март 2026'!$G$2:$G$2701,'март 2026'!$D$2:$D$2701,$B169,'март 2026'!$J$2:$J$2701,Q$1)</f>
        <v>0</v>
      </c>
      <c r="R169" s="144">
        <f>SUMIFS('март 2026'!$G$2:$G$2701,'март 2026'!$D$2:$D$2701,$B169,'март 2026'!$J$2:$J$2701,R$1)</f>
        <v>0</v>
      </c>
      <c r="S169" s="144">
        <f>SUMIFS('март 2026'!$G$2:$G$2701,'март 2026'!$D$2:$D$2701,$B169,'март 2026'!$J$2:$J$2701,S$1)</f>
        <v>0</v>
      </c>
      <c r="T169" s="144">
        <f>SUMIFS('март 2026'!$G$2:$G$2701,'март 2026'!$D$2:$D$2701,$B169,'март 2026'!$J$2:$J$2701,T$1)</f>
        <v>0</v>
      </c>
      <c r="U169" s="144">
        <f>SUMIFS('март 2026'!$G$2:$G$2701,'март 2026'!$D$2:$D$2701,$B169,'март 2026'!$J$2:$J$2701,U$1)</f>
        <v>0</v>
      </c>
      <c r="V169" s="144">
        <f>SUMIFS('март 2026'!$G$2:$G$2701,'март 2026'!$D$2:$D$2701,$B169,'март 2026'!$J$2:$J$2701,V$1)</f>
        <v>0</v>
      </c>
      <c r="W169" s="144">
        <f>SUMIFS('март 2026'!$G$2:$G$2701,'март 2026'!$D$2:$D$2701,$B169,'март 2026'!$J$2:$J$2701,W$1)</f>
        <v>0</v>
      </c>
      <c r="X169" s="144">
        <f>SUMIFS('март 2026'!$G$2:$G$2701,'март 2026'!$D$2:$D$2701,$B169,'март 2026'!$J$2:$J$2701,X$1)</f>
        <v>0</v>
      </c>
      <c r="Y169" s="144">
        <f>SUMIFS('март 2026'!$G$2:$G$2701,'март 2026'!$D$2:$D$2701,$B169,'март 2026'!$J$2:$J$2701,Y$1)</f>
        <v>0</v>
      </c>
      <c r="Z169" s="144">
        <f>SUMIFS('март 2026'!$G$2:$G$2701,'март 2026'!$D$2:$D$2701,$B169,'март 2026'!$J$2:$J$2701,Z$1)</f>
        <v>0</v>
      </c>
      <c r="AA169" s="144">
        <f>SUMIFS('март 2026'!$G$2:$G$2701,'март 2026'!$D$2:$D$2701,$B169,'март 2026'!$J$2:$J$2701,AA$1)</f>
        <v>0</v>
      </c>
      <c r="AB169" s="144">
        <f>SUMIFS('март 2026'!$G$2:$G$2701,'март 2026'!$D$2:$D$2701,$B169,'март 2026'!$J$2:$J$2701,AB$1)</f>
        <v>0</v>
      </c>
      <c r="AC169" s="144">
        <f>SUMIFS('март 2026'!$G$2:$G$2701,'март 2026'!$D$2:$D$2701,$B169,'март 2026'!$J$2:$J$2701,AC$1)</f>
        <v>0</v>
      </c>
      <c r="AD169" s="144">
        <f>SUMIFS('март 2026'!$G$2:$G$2701,'март 2026'!$D$2:$D$2701,$B169,'март 2026'!$J$2:$J$2701,AD$1)</f>
        <v>0</v>
      </c>
      <c r="AE169" s="144">
        <f>SUMIFS('март 2026'!$G$2:$G$2701,'март 2026'!$D$2:$D$2701,$B169,'март 2026'!$J$2:$J$2701,AE$1)</f>
        <v>0</v>
      </c>
      <c r="AF169" s="144">
        <f>SUMIFS('март 2026'!$G$2:$G$2701,'март 2026'!$D$2:$D$2701,$B169,'март 2026'!$J$2:$J$2701,AF$1)</f>
        <v>0</v>
      </c>
      <c r="AG169" s="144">
        <f>SUMIFS('март 2026'!$G$2:$G$2701,'март 2026'!$D$2:$D$2701,$B169,'март 2026'!$J$2:$J$2701,AG$1)</f>
        <v>0</v>
      </c>
      <c r="AH169" s="144">
        <f>SUMIFS('март 2026'!$G$2:$G$2701,'март 2026'!$D$2:$D$2701,$B169,'март 2026'!$J$2:$J$2701,AH$1)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SUMIFS('март 2026'!$G$2:$G$2701,'март 2026'!$D$2:$D$2701,$B170,'март 2026'!$J$2:$J$2701,D$1)</f>
        <v>0</v>
      </c>
      <c r="E170" s="144">
        <f>SUMIFS('март 2026'!$G$2:$G$2701,'март 2026'!$D$2:$D$2701,$B170,'март 2026'!$J$2:$J$2701,E$1)</f>
        <v>0</v>
      </c>
      <c r="F170" s="144">
        <f>SUMIFS('март 2026'!$G$2:$G$2701,'март 2026'!$D$2:$D$2701,$B170,'март 2026'!$J$2:$J$2701,F$1)</f>
        <v>0</v>
      </c>
      <c r="G170" s="144">
        <f>SUMIFS('март 2026'!$G$2:$G$2701,'март 2026'!$D$2:$D$2701,$B170,'март 2026'!$J$2:$J$2701,G$1)</f>
        <v>0</v>
      </c>
      <c r="H170" s="144">
        <f>SUMIFS('март 2026'!$G$2:$G$2701,'март 2026'!$D$2:$D$2701,$B170,'март 2026'!$J$2:$J$2701,H$1)</f>
        <v>0</v>
      </c>
      <c r="I170" s="144">
        <f>SUMIFS('март 2026'!$G$2:$G$2701,'март 2026'!$D$2:$D$2701,$B170,'март 2026'!$J$2:$J$2701,I$1)</f>
        <v>0</v>
      </c>
      <c r="J170" s="144">
        <f>SUMIFS('март 2026'!$G$2:$G$2701,'март 2026'!$D$2:$D$2701,$B170,'март 2026'!$J$2:$J$2701,J$1)</f>
        <v>0</v>
      </c>
      <c r="K170" s="144">
        <f>SUMIFS('март 2026'!$G$2:$G$2701,'март 2026'!$D$2:$D$2701,$B170,'март 2026'!$J$2:$J$2701,K$1)</f>
        <v>0</v>
      </c>
      <c r="L170" s="144">
        <f>SUMIFS('март 2026'!$G$2:$G$2701,'март 2026'!$D$2:$D$2701,$B170,'март 2026'!$J$2:$J$2701,L$1)</f>
        <v>0</v>
      </c>
      <c r="M170" s="144">
        <f>SUMIFS('март 2026'!$G$2:$G$2701,'март 2026'!$D$2:$D$2701,$B170,'март 2026'!$J$2:$J$2701,M$1)</f>
        <v>0</v>
      </c>
      <c r="N170" s="144">
        <f>SUMIFS('март 2026'!$G$2:$G$2701,'март 2026'!$D$2:$D$2701,$B170,'март 2026'!$J$2:$J$2701,N$1)</f>
        <v>0</v>
      </c>
      <c r="O170" s="144">
        <f>SUMIFS('март 2026'!$G$2:$G$2701,'март 2026'!$D$2:$D$2701,$B170,'март 2026'!$J$2:$J$2701,O$1)</f>
        <v>0</v>
      </c>
      <c r="P170" s="144">
        <f>SUMIFS('март 2026'!$G$2:$G$2701,'март 2026'!$D$2:$D$2701,$B170,'март 2026'!$J$2:$J$2701,P$1)</f>
        <v>0</v>
      </c>
      <c r="Q170" s="144">
        <f>SUMIFS('март 2026'!$G$2:$G$2701,'март 2026'!$D$2:$D$2701,$B170,'март 2026'!$J$2:$J$2701,Q$1)</f>
        <v>0</v>
      </c>
      <c r="R170" s="144">
        <f>SUMIFS('март 2026'!$G$2:$G$2701,'март 2026'!$D$2:$D$2701,$B170,'март 2026'!$J$2:$J$2701,R$1)</f>
        <v>0</v>
      </c>
      <c r="S170" s="144">
        <f>SUMIFS('март 2026'!$G$2:$G$2701,'март 2026'!$D$2:$D$2701,$B170,'март 2026'!$J$2:$J$2701,S$1)</f>
        <v>0</v>
      </c>
      <c r="T170" s="144">
        <f>SUMIFS('март 2026'!$G$2:$G$2701,'март 2026'!$D$2:$D$2701,$B170,'март 2026'!$J$2:$J$2701,T$1)</f>
        <v>0</v>
      </c>
      <c r="U170" s="144">
        <f>SUMIFS('март 2026'!$G$2:$G$2701,'март 2026'!$D$2:$D$2701,$B170,'март 2026'!$J$2:$J$2701,U$1)</f>
        <v>0</v>
      </c>
      <c r="V170" s="144">
        <f>SUMIFS('март 2026'!$G$2:$G$2701,'март 2026'!$D$2:$D$2701,$B170,'март 2026'!$J$2:$J$2701,V$1)</f>
        <v>0</v>
      </c>
      <c r="W170" s="144">
        <f>SUMIFS('март 2026'!$G$2:$G$2701,'март 2026'!$D$2:$D$2701,$B170,'март 2026'!$J$2:$J$2701,W$1)</f>
        <v>0</v>
      </c>
      <c r="X170" s="144">
        <f>SUMIFS('март 2026'!$G$2:$G$2701,'март 2026'!$D$2:$D$2701,$B170,'март 2026'!$J$2:$J$2701,X$1)</f>
        <v>0</v>
      </c>
      <c r="Y170" s="144">
        <f>SUMIFS('март 2026'!$G$2:$G$2701,'март 2026'!$D$2:$D$2701,$B170,'март 2026'!$J$2:$J$2701,Y$1)</f>
        <v>0</v>
      </c>
      <c r="Z170" s="144">
        <f>SUMIFS('март 2026'!$G$2:$G$2701,'март 2026'!$D$2:$D$2701,$B170,'март 2026'!$J$2:$J$2701,Z$1)</f>
        <v>0</v>
      </c>
      <c r="AA170" s="144">
        <f>SUMIFS('март 2026'!$G$2:$G$2701,'март 2026'!$D$2:$D$2701,$B170,'март 2026'!$J$2:$J$2701,AA$1)</f>
        <v>0</v>
      </c>
      <c r="AB170" s="144">
        <f>SUMIFS('март 2026'!$G$2:$G$2701,'март 2026'!$D$2:$D$2701,$B170,'март 2026'!$J$2:$J$2701,AB$1)</f>
        <v>0</v>
      </c>
      <c r="AC170" s="144">
        <f>SUMIFS('март 2026'!$G$2:$G$2701,'март 2026'!$D$2:$D$2701,$B170,'март 2026'!$J$2:$J$2701,AC$1)</f>
        <v>0</v>
      </c>
      <c r="AD170" s="144">
        <f>SUMIFS('март 2026'!$G$2:$G$2701,'март 2026'!$D$2:$D$2701,$B170,'март 2026'!$J$2:$J$2701,AD$1)</f>
        <v>0</v>
      </c>
      <c r="AE170" s="144">
        <f>SUMIFS('март 2026'!$G$2:$G$2701,'март 2026'!$D$2:$D$2701,$B170,'март 2026'!$J$2:$J$2701,AE$1)</f>
        <v>0</v>
      </c>
      <c r="AF170" s="144">
        <f>SUMIFS('март 2026'!$G$2:$G$2701,'март 2026'!$D$2:$D$2701,$B170,'март 2026'!$J$2:$J$2701,AF$1)</f>
        <v>0</v>
      </c>
      <c r="AG170" s="144">
        <f>SUMIFS('март 2026'!$G$2:$G$2701,'март 2026'!$D$2:$D$2701,$B170,'март 2026'!$J$2:$J$2701,AG$1)</f>
        <v>0</v>
      </c>
      <c r="AH170" s="144">
        <f>SUMIFS('март 2026'!$G$2:$G$2701,'март 2026'!$D$2:$D$2701,$B170,'март 2026'!$J$2:$J$2701,AH$1)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SUMIFS('март 2026'!$G$2:$G$2701,'март 2026'!$D$2:$D$2701,$B171,'март 2026'!$J$2:$J$2701,D$1)</f>
        <v>0</v>
      </c>
      <c r="E171" s="144">
        <f>SUMIFS('март 2026'!$G$2:$G$2701,'март 2026'!$D$2:$D$2701,$B171,'март 2026'!$J$2:$J$2701,E$1)</f>
        <v>0</v>
      </c>
      <c r="F171" s="144">
        <f>SUMIFS('март 2026'!$G$2:$G$2701,'март 2026'!$D$2:$D$2701,$B171,'март 2026'!$J$2:$J$2701,F$1)</f>
        <v>0</v>
      </c>
      <c r="G171" s="144">
        <f>SUMIFS('март 2026'!$G$2:$G$2701,'март 2026'!$D$2:$D$2701,$B171,'март 2026'!$J$2:$J$2701,G$1)</f>
        <v>0</v>
      </c>
      <c r="H171" s="144">
        <f>SUMIFS('март 2026'!$G$2:$G$2701,'март 2026'!$D$2:$D$2701,$B171,'март 2026'!$J$2:$J$2701,H$1)</f>
        <v>0</v>
      </c>
      <c r="I171" s="144">
        <f>SUMIFS('март 2026'!$G$2:$G$2701,'март 2026'!$D$2:$D$2701,$B171,'март 2026'!$J$2:$J$2701,I$1)</f>
        <v>0</v>
      </c>
      <c r="J171" s="144">
        <f>SUMIFS('март 2026'!$G$2:$G$2701,'март 2026'!$D$2:$D$2701,$B171,'март 2026'!$J$2:$J$2701,J$1)</f>
        <v>0</v>
      </c>
      <c r="K171" s="144">
        <f>SUMIFS('март 2026'!$G$2:$G$2701,'март 2026'!$D$2:$D$2701,$B171,'март 2026'!$J$2:$J$2701,K$1)</f>
        <v>0</v>
      </c>
      <c r="L171" s="144">
        <f>SUMIFS('март 2026'!$G$2:$G$2701,'март 2026'!$D$2:$D$2701,$B171,'март 2026'!$J$2:$J$2701,L$1)</f>
        <v>0</v>
      </c>
      <c r="M171" s="144">
        <f>SUMIFS('март 2026'!$G$2:$G$2701,'март 2026'!$D$2:$D$2701,$B171,'март 2026'!$J$2:$J$2701,M$1)</f>
        <v>0</v>
      </c>
      <c r="N171" s="144">
        <f>SUMIFS('март 2026'!$G$2:$G$2701,'март 2026'!$D$2:$D$2701,$B171,'март 2026'!$J$2:$J$2701,N$1)</f>
        <v>0</v>
      </c>
      <c r="O171" s="144">
        <f>SUMIFS('март 2026'!$G$2:$G$2701,'март 2026'!$D$2:$D$2701,$B171,'март 2026'!$J$2:$J$2701,O$1)</f>
        <v>0</v>
      </c>
      <c r="P171" s="144">
        <f>SUMIFS('март 2026'!$G$2:$G$2701,'март 2026'!$D$2:$D$2701,$B171,'март 2026'!$J$2:$J$2701,P$1)</f>
        <v>0</v>
      </c>
      <c r="Q171" s="144">
        <f>SUMIFS('март 2026'!$G$2:$G$2701,'март 2026'!$D$2:$D$2701,$B171,'март 2026'!$J$2:$J$2701,Q$1)</f>
        <v>0</v>
      </c>
      <c r="R171" s="144">
        <f>SUMIFS('март 2026'!$G$2:$G$2701,'март 2026'!$D$2:$D$2701,$B171,'март 2026'!$J$2:$J$2701,R$1)</f>
        <v>0</v>
      </c>
      <c r="S171" s="144">
        <f>SUMIFS('март 2026'!$G$2:$G$2701,'март 2026'!$D$2:$D$2701,$B171,'март 2026'!$J$2:$J$2701,S$1)</f>
        <v>0</v>
      </c>
      <c r="T171" s="144">
        <f>SUMIFS('март 2026'!$G$2:$G$2701,'март 2026'!$D$2:$D$2701,$B171,'март 2026'!$J$2:$J$2701,T$1)</f>
        <v>0</v>
      </c>
      <c r="U171" s="144">
        <f>SUMIFS('март 2026'!$G$2:$G$2701,'март 2026'!$D$2:$D$2701,$B171,'март 2026'!$J$2:$J$2701,U$1)</f>
        <v>0</v>
      </c>
      <c r="V171" s="144">
        <f>SUMIFS('март 2026'!$G$2:$G$2701,'март 2026'!$D$2:$D$2701,$B171,'март 2026'!$J$2:$J$2701,V$1)</f>
        <v>0</v>
      </c>
      <c r="W171" s="144">
        <f>SUMIFS('март 2026'!$G$2:$G$2701,'март 2026'!$D$2:$D$2701,$B171,'март 2026'!$J$2:$J$2701,W$1)</f>
        <v>0</v>
      </c>
      <c r="X171" s="144">
        <f>SUMIFS('март 2026'!$G$2:$G$2701,'март 2026'!$D$2:$D$2701,$B171,'март 2026'!$J$2:$J$2701,X$1)</f>
        <v>0</v>
      </c>
      <c r="Y171" s="144">
        <f>SUMIFS('март 2026'!$G$2:$G$2701,'март 2026'!$D$2:$D$2701,$B171,'март 2026'!$J$2:$J$2701,Y$1)</f>
        <v>0</v>
      </c>
      <c r="Z171" s="144">
        <f>SUMIFS('март 2026'!$G$2:$G$2701,'март 2026'!$D$2:$D$2701,$B171,'март 2026'!$J$2:$J$2701,Z$1)</f>
        <v>0</v>
      </c>
      <c r="AA171" s="144">
        <f>SUMIFS('март 2026'!$G$2:$G$2701,'март 2026'!$D$2:$D$2701,$B171,'март 2026'!$J$2:$J$2701,AA$1)</f>
        <v>0</v>
      </c>
      <c r="AB171" s="144">
        <f>SUMIFS('март 2026'!$G$2:$G$2701,'март 2026'!$D$2:$D$2701,$B171,'март 2026'!$J$2:$J$2701,AB$1)</f>
        <v>0</v>
      </c>
      <c r="AC171" s="144">
        <f>SUMIFS('март 2026'!$G$2:$G$2701,'март 2026'!$D$2:$D$2701,$B171,'март 2026'!$J$2:$J$2701,AC$1)</f>
        <v>0</v>
      </c>
      <c r="AD171" s="144">
        <f>SUMIFS('март 2026'!$G$2:$G$2701,'март 2026'!$D$2:$D$2701,$B171,'март 2026'!$J$2:$J$2701,AD$1)</f>
        <v>0</v>
      </c>
      <c r="AE171" s="144">
        <f>SUMIFS('март 2026'!$G$2:$G$2701,'март 2026'!$D$2:$D$2701,$B171,'март 2026'!$J$2:$J$2701,AE$1)</f>
        <v>0</v>
      </c>
      <c r="AF171" s="144">
        <f>SUMIFS('март 2026'!$G$2:$G$2701,'март 2026'!$D$2:$D$2701,$B171,'март 2026'!$J$2:$J$2701,AF$1)</f>
        <v>0</v>
      </c>
      <c r="AG171" s="144">
        <f>SUMIFS('март 2026'!$G$2:$G$2701,'март 2026'!$D$2:$D$2701,$B171,'март 2026'!$J$2:$J$2701,AG$1)</f>
        <v>0</v>
      </c>
      <c r="AH171" s="144">
        <f>SUMIFS('март 2026'!$G$2:$G$2701,'март 2026'!$D$2:$D$2701,$B171,'март 2026'!$J$2:$J$2701,AH$1)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SUMIFS('март 2026'!$G$2:$G$2701,'март 2026'!$D$2:$D$2701,$B172,'март 2026'!$J$2:$J$2701,D$1)</f>
        <v>0</v>
      </c>
      <c r="E172" s="144">
        <f>SUMIFS('март 2026'!$G$2:$G$2701,'март 2026'!$D$2:$D$2701,$B172,'март 2026'!$J$2:$J$2701,E$1)</f>
        <v>0</v>
      </c>
      <c r="F172" s="144">
        <f>SUMIFS('март 2026'!$G$2:$G$2701,'март 2026'!$D$2:$D$2701,$B172,'март 2026'!$J$2:$J$2701,F$1)</f>
        <v>0</v>
      </c>
      <c r="G172" s="144">
        <f>SUMIFS('март 2026'!$G$2:$G$2701,'март 2026'!$D$2:$D$2701,$B172,'март 2026'!$J$2:$J$2701,G$1)</f>
        <v>0</v>
      </c>
      <c r="H172" s="144">
        <f>SUMIFS('март 2026'!$G$2:$G$2701,'март 2026'!$D$2:$D$2701,$B172,'март 2026'!$J$2:$J$2701,H$1)</f>
        <v>0</v>
      </c>
      <c r="I172" s="144">
        <f>SUMIFS('март 2026'!$G$2:$G$2701,'март 2026'!$D$2:$D$2701,$B172,'март 2026'!$J$2:$J$2701,I$1)</f>
        <v>0</v>
      </c>
      <c r="J172" s="144">
        <f>SUMIFS('март 2026'!$G$2:$G$2701,'март 2026'!$D$2:$D$2701,$B172,'март 2026'!$J$2:$J$2701,J$1)</f>
        <v>0</v>
      </c>
      <c r="K172" s="144">
        <f>SUMIFS('март 2026'!$G$2:$G$2701,'март 2026'!$D$2:$D$2701,$B172,'март 2026'!$J$2:$J$2701,K$1)</f>
        <v>0</v>
      </c>
      <c r="L172" s="144">
        <f>SUMIFS('март 2026'!$G$2:$G$2701,'март 2026'!$D$2:$D$2701,$B172,'март 2026'!$J$2:$J$2701,L$1)</f>
        <v>0</v>
      </c>
      <c r="M172" s="144">
        <f>SUMIFS('март 2026'!$G$2:$G$2701,'март 2026'!$D$2:$D$2701,$B172,'март 2026'!$J$2:$J$2701,M$1)</f>
        <v>0</v>
      </c>
      <c r="N172" s="144">
        <f>SUMIFS('март 2026'!$G$2:$G$2701,'март 2026'!$D$2:$D$2701,$B172,'март 2026'!$J$2:$J$2701,N$1)</f>
        <v>0</v>
      </c>
      <c r="O172" s="144">
        <f>SUMIFS('март 2026'!$G$2:$G$2701,'март 2026'!$D$2:$D$2701,$B172,'март 2026'!$J$2:$J$2701,O$1)</f>
        <v>0</v>
      </c>
      <c r="P172" s="144">
        <f>SUMIFS('март 2026'!$G$2:$G$2701,'март 2026'!$D$2:$D$2701,$B172,'март 2026'!$J$2:$J$2701,P$1)</f>
        <v>0</v>
      </c>
      <c r="Q172" s="144">
        <f>SUMIFS('март 2026'!$G$2:$G$2701,'март 2026'!$D$2:$D$2701,$B172,'март 2026'!$J$2:$J$2701,Q$1)</f>
        <v>0</v>
      </c>
      <c r="R172" s="144">
        <f>SUMIFS('март 2026'!$G$2:$G$2701,'март 2026'!$D$2:$D$2701,$B172,'март 2026'!$J$2:$J$2701,R$1)</f>
        <v>0</v>
      </c>
      <c r="S172" s="144">
        <f>SUMIFS('март 2026'!$G$2:$G$2701,'март 2026'!$D$2:$D$2701,$B172,'март 2026'!$J$2:$J$2701,S$1)</f>
        <v>0</v>
      </c>
      <c r="T172" s="144">
        <f>SUMIFS('март 2026'!$G$2:$G$2701,'март 2026'!$D$2:$D$2701,$B172,'март 2026'!$J$2:$J$2701,T$1)</f>
        <v>0</v>
      </c>
      <c r="U172" s="144">
        <f>SUMIFS('март 2026'!$G$2:$G$2701,'март 2026'!$D$2:$D$2701,$B172,'март 2026'!$J$2:$J$2701,U$1)</f>
        <v>0</v>
      </c>
      <c r="V172" s="144">
        <f>SUMIFS('март 2026'!$G$2:$G$2701,'март 2026'!$D$2:$D$2701,$B172,'март 2026'!$J$2:$J$2701,V$1)</f>
        <v>0</v>
      </c>
      <c r="W172" s="144">
        <f>SUMIFS('март 2026'!$G$2:$G$2701,'март 2026'!$D$2:$D$2701,$B172,'март 2026'!$J$2:$J$2701,W$1)</f>
        <v>0</v>
      </c>
      <c r="X172" s="144">
        <f>SUMIFS('март 2026'!$G$2:$G$2701,'март 2026'!$D$2:$D$2701,$B172,'март 2026'!$J$2:$J$2701,X$1)</f>
        <v>0</v>
      </c>
      <c r="Y172" s="144">
        <f>SUMIFS('март 2026'!$G$2:$G$2701,'март 2026'!$D$2:$D$2701,$B172,'март 2026'!$J$2:$J$2701,Y$1)</f>
        <v>0</v>
      </c>
      <c r="Z172" s="144">
        <f>SUMIFS('март 2026'!$G$2:$G$2701,'март 2026'!$D$2:$D$2701,$B172,'март 2026'!$J$2:$J$2701,Z$1)</f>
        <v>0</v>
      </c>
      <c r="AA172" s="144">
        <f>SUMIFS('март 2026'!$G$2:$G$2701,'март 2026'!$D$2:$D$2701,$B172,'март 2026'!$J$2:$J$2701,AA$1)</f>
        <v>0</v>
      </c>
      <c r="AB172" s="144">
        <f>SUMIFS('март 2026'!$G$2:$G$2701,'март 2026'!$D$2:$D$2701,$B172,'март 2026'!$J$2:$J$2701,AB$1)</f>
        <v>0</v>
      </c>
      <c r="AC172" s="144">
        <f>SUMIFS('март 2026'!$G$2:$G$2701,'март 2026'!$D$2:$D$2701,$B172,'март 2026'!$J$2:$J$2701,AC$1)</f>
        <v>0</v>
      </c>
      <c r="AD172" s="144">
        <f>SUMIFS('март 2026'!$G$2:$G$2701,'март 2026'!$D$2:$D$2701,$B172,'март 2026'!$J$2:$J$2701,AD$1)</f>
        <v>0</v>
      </c>
      <c r="AE172" s="144">
        <f>SUMIFS('март 2026'!$G$2:$G$2701,'март 2026'!$D$2:$D$2701,$B172,'март 2026'!$J$2:$J$2701,AE$1)</f>
        <v>0</v>
      </c>
      <c r="AF172" s="144">
        <f>SUMIFS('март 2026'!$G$2:$G$2701,'март 2026'!$D$2:$D$2701,$B172,'март 2026'!$J$2:$J$2701,AF$1)</f>
        <v>0</v>
      </c>
      <c r="AG172" s="144">
        <f>SUMIFS('март 2026'!$G$2:$G$2701,'март 2026'!$D$2:$D$2701,$B172,'март 2026'!$J$2:$J$2701,AG$1)</f>
        <v>0</v>
      </c>
      <c r="AH172" s="144">
        <f>SUMIFS('март 2026'!$G$2:$G$2701,'март 2026'!$D$2:$D$2701,$B172,'март 2026'!$J$2:$J$2701,AH$1)</f>
        <v>0</v>
      </c>
      <c r="AI172" s="20">
        <f t="shared" ref="AI172:AI179" si="3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SUMIFS('март 2026'!$G$2:$G$2701,'март 2026'!$D$2:$D$2701,$B173,'март 2026'!$J$2:$J$2701,D$1)</f>
        <v>0</v>
      </c>
      <c r="E173" s="144">
        <f>SUMIFS('март 2026'!$G$2:$G$2701,'март 2026'!$D$2:$D$2701,$B173,'март 2026'!$J$2:$J$2701,E$1)</f>
        <v>0</v>
      </c>
      <c r="F173" s="144">
        <f>SUMIFS('март 2026'!$G$2:$G$2701,'март 2026'!$D$2:$D$2701,$B173,'март 2026'!$J$2:$J$2701,F$1)</f>
        <v>0</v>
      </c>
      <c r="G173" s="144">
        <f>SUMIFS('март 2026'!$G$2:$G$2701,'март 2026'!$D$2:$D$2701,$B173,'март 2026'!$J$2:$J$2701,G$1)</f>
        <v>0</v>
      </c>
      <c r="H173" s="144">
        <f>SUMIFS('март 2026'!$G$2:$G$2701,'март 2026'!$D$2:$D$2701,$B173,'март 2026'!$J$2:$J$2701,H$1)</f>
        <v>0</v>
      </c>
      <c r="I173" s="144">
        <f>SUMIFS('март 2026'!$G$2:$G$2701,'март 2026'!$D$2:$D$2701,$B173,'март 2026'!$J$2:$J$2701,I$1)</f>
        <v>0</v>
      </c>
      <c r="J173" s="144">
        <f>SUMIFS('март 2026'!$G$2:$G$2701,'март 2026'!$D$2:$D$2701,$B173,'март 2026'!$J$2:$J$2701,J$1)</f>
        <v>0</v>
      </c>
      <c r="K173" s="144">
        <f>SUMIFS('март 2026'!$G$2:$G$2701,'март 2026'!$D$2:$D$2701,$B173,'март 2026'!$J$2:$J$2701,K$1)</f>
        <v>0</v>
      </c>
      <c r="L173" s="144">
        <f>SUMIFS('март 2026'!$G$2:$G$2701,'март 2026'!$D$2:$D$2701,$B173,'март 2026'!$J$2:$J$2701,L$1)</f>
        <v>0</v>
      </c>
      <c r="M173" s="144">
        <f>SUMIFS('март 2026'!$G$2:$G$2701,'март 2026'!$D$2:$D$2701,$B173,'март 2026'!$J$2:$J$2701,M$1)</f>
        <v>0</v>
      </c>
      <c r="N173" s="144">
        <f>SUMIFS('март 2026'!$G$2:$G$2701,'март 2026'!$D$2:$D$2701,$B173,'март 2026'!$J$2:$J$2701,N$1)</f>
        <v>0</v>
      </c>
      <c r="O173" s="144">
        <f>SUMIFS('март 2026'!$G$2:$G$2701,'март 2026'!$D$2:$D$2701,$B173,'март 2026'!$J$2:$J$2701,O$1)</f>
        <v>0</v>
      </c>
      <c r="P173" s="144">
        <f>SUMIFS('март 2026'!$G$2:$G$2701,'март 2026'!$D$2:$D$2701,$B173,'март 2026'!$J$2:$J$2701,P$1)</f>
        <v>0</v>
      </c>
      <c r="Q173" s="144">
        <f>SUMIFS('март 2026'!$G$2:$G$2701,'март 2026'!$D$2:$D$2701,$B173,'март 2026'!$J$2:$J$2701,Q$1)</f>
        <v>0</v>
      </c>
      <c r="R173" s="144">
        <f>SUMIFS('март 2026'!$G$2:$G$2701,'март 2026'!$D$2:$D$2701,$B173,'март 2026'!$J$2:$J$2701,R$1)</f>
        <v>0</v>
      </c>
      <c r="S173" s="144">
        <f>SUMIFS('март 2026'!$G$2:$G$2701,'март 2026'!$D$2:$D$2701,$B173,'март 2026'!$J$2:$J$2701,S$1)</f>
        <v>0</v>
      </c>
      <c r="T173" s="144">
        <f>SUMIFS('март 2026'!$G$2:$G$2701,'март 2026'!$D$2:$D$2701,$B173,'март 2026'!$J$2:$J$2701,T$1)</f>
        <v>0</v>
      </c>
      <c r="U173" s="144">
        <f>SUMIFS('март 2026'!$G$2:$G$2701,'март 2026'!$D$2:$D$2701,$B173,'март 2026'!$J$2:$J$2701,U$1)</f>
        <v>0</v>
      </c>
      <c r="V173" s="144">
        <f>SUMIFS('март 2026'!$G$2:$G$2701,'март 2026'!$D$2:$D$2701,$B173,'март 2026'!$J$2:$J$2701,V$1)</f>
        <v>0</v>
      </c>
      <c r="W173" s="144">
        <f>SUMIFS('март 2026'!$G$2:$G$2701,'март 2026'!$D$2:$D$2701,$B173,'март 2026'!$J$2:$J$2701,W$1)</f>
        <v>0</v>
      </c>
      <c r="X173" s="144">
        <f>SUMIFS('март 2026'!$G$2:$G$2701,'март 2026'!$D$2:$D$2701,$B173,'март 2026'!$J$2:$J$2701,X$1)</f>
        <v>0</v>
      </c>
      <c r="Y173" s="144">
        <f>SUMIFS('март 2026'!$G$2:$G$2701,'март 2026'!$D$2:$D$2701,$B173,'март 2026'!$J$2:$J$2701,Y$1)</f>
        <v>0</v>
      </c>
      <c r="Z173" s="144">
        <f>SUMIFS('март 2026'!$G$2:$G$2701,'март 2026'!$D$2:$D$2701,$B173,'март 2026'!$J$2:$J$2701,Z$1)</f>
        <v>0</v>
      </c>
      <c r="AA173" s="144">
        <f>SUMIFS('март 2026'!$G$2:$G$2701,'март 2026'!$D$2:$D$2701,$B173,'март 2026'!$J$2:$J$2701,AA$1)</f>
        <v>0</v>
      </c>
      <c r="AB173" s="144">
        <f>SUMIFS('март 2026'!$G$2:$G$2701,'март 2026'!$D$2:$D$2701,$B173,'март 2026'!$J$2:$J$2701,AB$1)</f>
        <v>0</v>
      </c>
      <c r="AC173" s="144">
        <f>SUMIFS('март 2026'!$G$2:$G$2701,'март 2026'!$D$2:$D$2701,$B173,'март 2026'!$J$2:$J$2701,AC$1)</f>
        <v>0</v>
      </c>
      <c r="AD173" s="144">
        <f>SUMIFS('март 2026'!$G$2:$G$2701,'март 2026'!$D$2:$D$2701,$B173,'март 2026'!$J$2:$J$2701,AD$1)</f>
        <v>0</v>
      </c>
      <c r="AE173" s="144">
        <f>SUMIFS('март 2026'!$G$2:$G$2701,'март 2026'!$D$2:$D$2701,$B173,'март 2026'!$J$2:$J$2701,AE$1)</f>
        <v>0</v>
      </c>
      <c r="AF173" s="144">
        <f>SUMIFS('март 2026'!$G$2:$G$2701,'март 2026'!$D$2:$D$2701,$B173,'март 2026'!$J$2:$J$2701,AF$1)</f>
        <v>0</v>
      </c>
      <c r="AG173" s="144">
        <f>SUMIFS('март 2026'!$G$2:$G$2701,'март 2026'!$D$2:$D$2701,$B173,'март 2026'!$J$2:$J$2701,AG$1)</f>
        <v>0</v>
      </c>
      <c r="AH173" s="144">
        <f>SUMIFS('март 2026'!$G$2:$G$2701,'март 2026'!$D$2:$D$2701,$B173,'март 2026'!$J$2:$J$2701,AH$1)</f>
        <v>0</v>
      </c>
      <c r="AI173" s="20">
        <f t="shared" si="3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SUMIFS('март 2026'!$G$2:$G$2701,'март 2026'!$D$2:$D$2701,$B174,'март 2026'!$J$2:$J$2701,D$1)</f>
        <v>0</v>
      </c>
      <c r="E174" s="144">
        <f>SUMIFS('март 2026'!$G$2:$G$2701,'март 2026'!$D$2:$D$2701,$B174,'март 2026'!$J$2:$J$2701,E$1)</f>
        <v>0</v>
      </c>
      <c r="F174" s="144">
        <f>SUMIFS('март 2026'!$G$2:$G$2701,'март 2026'!$D$2:$D$2701,$B174,'март 2026'!$J$2:$J$2701,F$1)</f>
        <v>0</v>
      </c>
      <c r="G174" s="144">
        <f>SUMIFS('март 2026'!$G$2:$G$2701,'март 2026'!$D$2:$D$2701,$B174,'март 2026'!$J$2:$J$2701,G$1)</f>
        <v>0</v>
      </c>
      <c r="H174" s="144">
        <f>SUMIFS('март 2026'!$G$2:$G$2701,'март 2026'!$D$2:$D$2701,$B174,'март 2026'!$J$2:$J$2701,H$1)</f>
        <v>0</v>
      </c>
      <c r="I174" s="144">
        <f>SUMIFS('март 2026'!$G$2:$G$2701,'март 2026'!$D$2:$D$2701,$B174,'март 2026'!$J$2:$J$2701,I$1)</f>
        <v>0</v>
      </c>
      <c r="J174" s="144">
        <f>SUMIFS('март 2026'!$G$2:$G$2701,'март 2026'!$D$2:$D$2701,$B174,'март 2026'!$J$2:$J$2701,J$1)</f>
        <v>0</v>
      </c>
      <c r="K174" s="144">
        <f>SUMIFS('март 2026'!$G$2:$G$2701,'март 2026'!$D$2:$D$2701,$B174,'март 2026'!$J$2:$J$2701,K$1)</f>
        <v>0</v>
      </c>
      <c r="L174" s="144">
        <f>SUMIFS('март 2026'!$G$2:$G$2701,'март 2026'!$D$2:$D$2701,$B174,'март 2026'!$J$2:$J$2701,L$1)</f>
        <v>0</v>
      </c>
      <c r="M174" s="144">
        <f>SUMIFS('март 2026'!$G$2:$G$2701,'март 2026'!$D$2:$D$2701,$B174,'март 2026'!$J$2:$J$2701,M$1)</f>
        <v>0</v>
      </c>
      <c r="N174" s="144">
        <f>SUMIFS('март 2026'!$G$2:$G$2701,'март 2026'!$D$2:$D$2701,$B174,'март 2026'!$J$2:$J$2701,N$1)</f>
        <v>0</v>
      </c>
      <c r="O174" s="144">
        <f>SUMIFS('март 2026'!$G$2:$G$2701,'март 2026'!$D$2:$D$2701,$B174,'март 2026'!$J$2:$J$2701,O$1)</f>
        <v>0</v>
      </c>
      <c r="P174" s="144">
        <f>SUMIFS('март 2026'!$G$2:$G$2701,'март 2026'!$D$2:$D$2701,$B174,'март 2026'!$J$2:$J$2701,P$1)</f>
        <v>0</v>
      </c>
      <c r="Q174" s="144">
        <f>SUMIFS('март 2026'!$G$2:$G$2701,'март 2026'!$D$2:$D$2701,$B174,'март 2026'!$J$2:$J$2701,Q$1)</f>
        <v>0</v>
      </c>
      <c r="R174" s="144">
        <f>SUMIFS('март 2026'!$G$2:$G$2701,'март 2026'!$D$2:$D$2701,$B174,'март 2026'!$J$2:$J$2701,R$1)</f>
        <v>0</v>
      </c>
      <c r="S174" s="144">
        <f>SUMIFS('март 2026'!$G$2:$G$2701,'март 2026'!$D$2:$D$2701,$B174,'март 2026'!$J$2:$J$2701,S$1)</f>
        <v>0</v>
      </c>
      <c r="T174" s="144">
        <f>SUMIFS('март 2026'!$G$2:$G$2701,'март 2026'!$D$2:$D$2701,$B174,'март 2026'!$J$2:$J$2701,T$1)</f>
        <v>0</v>
      </c>
      <c r="U174" s="144">
        <f>SUMIFS('март 2026'!$G$2:$G$2701,'март 2026'!$D$2:$D$2701,$B174,'март 2026'!$J$2:$J$2701,U$1)</f>
        <v>0</v>
      </c>
      <c r="V174" s="144">
        <f>SUMIFS('март 2026'!$G$2:$G$2701,'март 2026'!$D$2:$D$2701,$B174,'март 2026'!$J$2:$J$2701,V$1)</f>
        <v>0</v>
      </c>
      <c r="W174" s="144">
        <f>SUMIFS('март 2026'!$G$2:$G$2701,'март 2026'!$D$2:$D$2701,$B174,'март 2026'!$J$2:$J$2701,W$1)</f>
        <v>0</v>
      </c>
      <c r="X174" s="144">
        <f>SUMIFS('март 2026'!$G$2:$G$2701,'март 2026'!$D$2:$D$2701,$B174,'март 2026'!$J$2:$J$2701,X$1)</f>
        <v>0</v>
      </c>
      <c r="Y174" s="144">
        <f>SUMIFS('март 2026'!$G$2:$G$2701,'март 2026'!$D$2:$D$2701,$B174,'март 2026'!$J$2:$J$2701,Y$1)</f>
        <v>0</v>
      </c>
      <c r="Z174" s="144">
        <f>SUMIFS('март 2026'!$G$2:$G$2701,'март 2026'!$D$2:$D$2701,$B174,'март 2026'!$J$2:$J$2701,Z$1)</f>
        <v>0</v>
      </c>
      <c r="AA174" s="144">
        <f>SUMIFS('март 2026'!$G$2:$G$2701,'март 2026'!$D$2:$D$2701,$B174,'март 2026'!$J$2:$J$2701,AA$1)</f>
        <v>0</v>
      </c>
      <c r="AB174" s="144">
        <f>SUMIFS('март 2026'!$G$2:$G$2701,'март 2026'!$D$2:$D$2701,$B174,'март 2026'!$J$2:$J$2701,AB$1)</f>
        <v>0</v>
      </c>
      <c r="AC174" s="144">
        <f>SUMIFS('март 2026'!$G$2:$G$2701,'март 2026'!$D$2:$D$2701,$B174,'март 2026'!$J$2:$J$2701,AC$1)</f>
        <v>0</v>
      </c>
      <c r="AD174" s="144">
        <f>SUMIFS('март 2026'!$G$2:$G$2701,'март 2026'!$D$2:$D$2701,$B174,'март 2026'!$J$2:$J$2701,AD$1)</f>
        <v>0</v>
      </c>
      <c r="AE174" s="144">
        <f>SUMIFS('март 2026'!$G$2:$G$2701,'март 2026'!$D$2:$D$2701,$B174,'март 2026'!$J$2:$J$2701,AE$1)</f>
        <v>0</v>
      </c>
      <c r="AF174" s="144">
        <f>SUMIFS('март 2026'!$G$2:$G$2701,'март 2026'!$D$2:$D$2701,$B174,'март 2026'!$J$2:$J$2701,AF$1)</f>
        <v>0</v>
      </c>
      <c r="AG174" s="144">
        <f>SUMIFS('март 2026'!$G$2:$G$2701,'март 2026'!$D$2:$D$2701,$B174,'март 2026'!$J$2:$J$2701,AG$1)</f>
        <v>0</v>
      </c>
      <c r="AH174" s="144">
        <f>SUMIFS('март 2026'!$G$2:$G$2701,'март 2026'!$D$2:$D$2701,$B174,'март 2026'!$J$2:$J$2701,AH$1)</f>
        <v>0</v>
      </c>
      <c r="AI174" s="20">
        <f t="shared" si="3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SUMIFS('март 2026'!$G$2:$G$2701,'март 2026'!$D$2:$D$2701,$B175,'март 2026'!$J$2:$J$2701,D$1)</f>
        <v>0</v>
      </c>
      <c r="E175" s="144">
        <f>SUMIFS('март 2026'!$G$2:$G$2701,'март 2026'!$D$2:$D$2701,$B175,'март 2026'!$J$2:$J$2701,E$1)</f>
        <v>0</v>
      </c>
      <c r="F175" s="144">
        <f>SUMIFS('март 2026'!$G$2:$G$2701,'март 2026'!$D$2:$D$2701,$B175,'март 2026'!$J$2:$J$2701,F$1)</f>
        <v>0</v>
      </c>
      <c r="G175" s="144">
        <f>SUMIFS('март 2026'!$G$2:$G$2701,'март 2026'!$D$2:$D$2701,$B175,'март 2026'!$J$2:$J$2701,G$1)</f>
        <v>0</v>
      </c>
      <c r="H175" s="144">
        <f>SUMIFS('март 2026'!$G$2:$G$2701,'март 2026'!$D$2:$D$2701,$B175,'март 2026'!$J$2:$J$2701,H$1)</f>
        <v>0</v>
      </c>
      <c r="I175" s="144">
        <f>SUMIFS('март 2026'!$G$2:$G$2701,'март 2026'!$D$2:$D$2701,$B175,'март 2026'!$J$2:$J$2701,I$1)</f>
        <v>0</v>
      </c>
      <c r="J175" s="144">
        <f>SUMIFS('март 2026'!$G$2:$G$2701,'март 2026'!$D$2:$D$2701,$B175,'март 2026'!$J$2:$J$2701,J$1)</f>
        <v>0</v>
      </c>
      <c r="K175" s="144">
        <f>SUMIFS('март 2026'!$G$2:$G$2701,'март 2026'!$D$2:$D$2701,$B175,'март 2026'!$J$2:$J$2701,K$1)</f>
        <v>0</v>
      </c>
      <c r="L175" s="144">
        <f>SUMIFS('март 2026'!$G$2:$G$2701,'март 2026'!$D$2:$D$2701,$B175,'март 2026'!$J$2:$J$2701,L$1)</f>
        <v>0</v>
      </c>
      <c r="M175" s="144">
        <f>SUMIFS('март 2026'!$G$2:$G$2701,'март 2026'!$D$2:$D$2701,$B175,'март 2026'!$J$2:$J$2701,M$1)</f>
        <v>0</v>
      </c>
      <c r="N175" s="144">
        <f>SUMIFS('март 2026'!$G$2:$G$2701,'март 2026'!$D$2:$D$2701,$B175,'март 2026'!$J$2:$J$2701,N$1)</f>
        <v>0</v>
      </c>
      <c r="O175" s="144">
        <f>SUMIFS('март 2026'!$G$2:$G$2701,'март 2026'!$D$2:$D$2701,$B175,'март 2026'!$J$2:$J$2701,O$1)</f>
        <v>0</v>
      </c>
      <c r="P175" s="144">
        <f>SUMIFS('март 2026'!$G$2:$G$2701,'март 2026'!$D$2:$D$2701,$B175,'март 2026'!$J$2:$J$2701,P$1)</f>
        <v>0</v>
      </c>
      <c r="Q175" s="144">
        <f>SUMIFS('март 2026'!$G$2:$G$2701,'март 2026'!$D$2:$D$2701,$B175,'март 2026'!$J$2:$J$2701,Q$1)</f>
        <v>0</v>
      </c>
      <c r="R175" s="144">
        <f>SUMIFS('март 2026'!$G$2:$G$2701,'март 2026'!$D$2:$D$2701,$B175,'март 2026'!$J$2:$J$2701,R$1)</f>
        <v>0</v>
      </c>
      <c r="S175" s="144">
        <f>SUMIFS('март 2026'!$G$2:$G$2701,'март 2026'!$D$2:$D$2701,$B175,'март 2026'!$J$2:$J$2701,S$1)</f>
        <v>0</v>
      </c>
      <c r="T175" s="144">
        <f>SUMIFS('март 2026'!$G$2:$G$2701,'март 2026'!$D$2:$D$2701,$B175,'март 2026'!$J$2:$J$2701,T$1)</f>
        <v>0</v>
      </c>
      <c r="U175" s="144">
        <f>SUMIFS('март 2026'!$G$2:$G$2701,'март 2026'!$D$2:$D$2701,$B175,'март 2026'!$J$2:$J$2701,U$1)</f>
        <v>0</v>
      </c>
      <c r="V175" s="144">
        <f>SUMIFS('март 2026'!$G$2:$G$2701,'март 2026'!$D$2:$D$2701,$B175,'март 2026'!$J$2:$J$2701,V$1)</f>
        <v>0</v>
      </c>
      <c r="W175" s="144">
        <f>SUMIFS('март 2026'!$G$2:$G$2701,'март 2026'!$D$2:$D$2701,$B175,'март 2026'!$J$2:$J$2701,W$1)</f>
        <v>0</v>
      </c>
      <c r="X175" s="144">
        <f>SUMIFS('март 2026'!$G$2:$G$2701,'март 2026'!$D$2:$D$2701,$B175,'март 2026'!$J$2:$J$2701,X$1)</f>
        <v>0</v>
      </c>
      <c r="Y175" s="144">
        <f>SUMIFS('март 2026'!$G$2:$G$2701,'март 2026'!$D$2:$D$2701,$B175,'март 2026'!$J$2:$J$2701,Y$1)</f>
        <v>0</v>
      </c>
      <c r="Z175" s="144">
        <f>SUMIFS('март 2026'!$G$2:$G$2701,'март 2026'!$D$2:$D$2701,$B175,'март 2026'!$J$2:$J$2701,Z$1)</f>
        <v>0</v>
      </c>
      <c r="AA175" s="144">
        <f>SUMIFS('март 2026'!$G$2:$G$2701,'март 2026'!$D$2:$D$2701,$B175,'март 2026'!$J$2:$J$2701,AA$1)</f>
        <v>0</v>
      </c>
      <c r="AB175" s="144">
        <f>SUMIFS('март 2026'!$G$2:$G$2701,'март 2026'!$D$2:$D$2701,$B175,'март 2026'!$J$2:$J$2701,AB$1)</f>
        <v>0</v>
      </c>
      <c r="AC175" s="144">
        <f>SUMIFS('март 2026'!$G$2:$G$2701,'март 2026'!$D$2:$D$2701,$B175,'март 2026'!$J$2:$J$2701,AC$1)</f>
        <v>0</v>
      </c>
      <c r="AD175" s="144">
        <f>SUMIFS('март 2026'!$G$2:$G$2701,'март 2026'!$D$2:$D$2701,$B175,'март 2026'!$J$2:$J$2701,AD$1)</f>
        <v>0</v>
      </c>
      <c r="AE175" s="144">
        <f>SUMIFS('март 2026'!$G$2:$G$2701,'март 2026'!$D$2:$D$2701,$B175,'март 2026'!$J$2:$J$2701,AE$1)</f>
        <v>0</v>
      </c>
      <c r="AF175" s="144">
        <f>SUMIFS('март 2026'!$G$2:$G$2701,'март 2026'!$D$2:$D$2701,$B175,'март 2026'!$J$2:$J$2701,AF$1)</f>
        <v>0</v>
      </c>
      <c r="AG175" s="144">
        <f>SUMIFS('март 2026'!$G$2:$G$2701,'март 2026'!$D$2:$D$2701,$B175,'март 2026'!$J$2:$J$2701,AG$1)</f>
        <v>0</v>
      </c>
      <c r="AH175" s="144">
        <f>SUMIFS('март 2026'!$G$2:$G$2701,'март 2026'!$D$2:$D$2701,$B175,'март 2026'!$J$2:$J$2701,AH$1)</f>
        <v>0</v>
      </c>
      <c r="AI175" s="20">
        <f t="shared" si="3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SUMIFS('март 2026'!$G$2:$G$2701,'март 2026'!$D$2:$D$2701,$B176,'март 2026'!$J$2:$J$2701,D$1)</f>
        <v>0</v>
      </c>
      <c r="E176" s="144">
        <f>SUMIFS('март 2026'!$G$2:$G$2701,'март 2026'!$D$2:$D$2701,$B176,'март 2026'!$J$2:$J$2701,E$1)</f>
        <v>0</v>
      </c>
      <c r="F176" s="144">
        <f>SUMIFS('март 2026'!$G$2:$G$2701,'март 2026'!$D$2:$D$2701,$B176,'март 2026'!$J$2:$J$2701,F$1)</f>
        <v>0</v>
      </c>
      <c r="G176" s="144">
        <f>SUMIFS('март 2026'!$G$2:$G$2701,'март 2026'!$D$2:$D$2701,$B176,'март 2026'!$J$2:$J$2701,G$1)</f>
        <v>0</v>
      </c>
      <c r="H176" s="144">
        <f>SUMIFS('март 2026'!$G$2:$G$2701,'март 2026'!$D$2:$D$2701,$B176,'март 2026'!$J$2:$J$2701,H$1)</f>
        <v>0</v>
      </c>
      <c r="I176" s="144">
        <f>SUMIFS('март 2026'!$G$2:$G$2701,'март 2026'!$D$2:$D$2701,$B176,'март 2026'!$J$2:$J$2701,I$1)</f>
        <v>0</v>
      </c>
      <c r="J176" s="144">
        <f>SUMIFS('март 2026'!$G$2:$G$2701,'март 2026'!$D$2:$D$2701,$B176,'март 2026'!$J$2:$J$2701,J$1)</f>
        <v>0</v>
      </c>
      <c r="K176" s="144">
        <f>SUMIFS('март 2026'!$G$2:$G$2701,'март 2026'!$D$2:$D$2701,$B176,'март 2026'!$J$2:$J$2701,K$1)</f>
        <v>0</v>
      </c>
      <c r="L176" s="144">
        <f>SUMIFS('март 2026'!$G$2:$G$2701,'март 2026'!$D$2:$D$2701,$B176,'март 2026'!$J$2:$J$2701,L$1)</f>
        <v>0</v>
      </c>
      <c r="M176" s="144">
        <f>SUMIFS('март 2026'!$G$2:$G$2701,'март 2026'!$D$2:$D$2701,$B176,'март 2026'!$J$2:$J$2701,M$1)</f>
        <v>0</v>
      </c>
      <c r="N176" s="144">
        <f>SUMIFS('март 2026'!$G$2:$G$2701,'март 2026'!$D$2:$D$2701,$B176,'март 2026'!$J$2:$J$2701,N$1)</f>
        <v>0</v>
      </c>
      <c r="O176" s="144">
        <f>SUMIFS('март 2026'!$G$2:$G$2701,'март 2026'!$D$2:$D$2701,$B176,'март 2026'!$J$2:$J$2701,O$1)</f>
        <v>0</v>
      </c>
      <c r="P176" s="144">
        <f>SUMIFS('март 2026'!$G$2:$G$2701,'март 2026'!$D$2:$D$2701,$B176,'март 2026'!$J$2:$J$2701,P$1)</f>
        <v>0</v>
      </c>
      <c r="Q176" s="144">
        <f>SUMIFS('март 2026'!$G$2:$G$2701,'март 2026'!$D$2:$D$2701,$B176,'март 2026'!$J$2:$J$2701,Q$1)</f>
        <v>0</v>
      </c>
      <c r="R176" s="144">
        <f>SUMIFS('март 2026'!$G$2:$G$2701,'март 2026'!$D$2:$D$2701,$B176,'март 2026'!$J$2:$J$2701,R$1)</f>
        <v>0</v>
      </c>
      <c r="S176" s="144">
        <f>SUMIFS('март 2026'!$G$2:$G$2701,'март 2026'!$D$2:$D$2701,$B176,'март 2026'!$J$2:$J$2701,S$1)</f>
        <v>0</v>
      </c>
      <c r="T176" s="144">
        <f>SUMIFS('март 2026'!$G$2:$G$2701,'март 2026'!$D$2:$D$2701,$B176,'март 2026'!$J$2:$J$2701,T$1)</f>
        <v>0</v>
      </c>
      <c r="U176" s="144">
        <f>SUMIFS('март 2026'!$G$2:$G$2701,'март 2026'!$D$2:$D$2701,$B176,'март 2026'!$J$2:$J$2701,U$1)</f>
        <v>0</v>
      </c>
      <c r="V176" s="144">
        <f>SUMIFS('март 2026'!$G$2:$G$2701,'март 2026'!$D$2:$D$2701,$B176,'март 2026'!$J$2:$J$2701,V$1)</f>
        <v>0</v>
      </c>
      <c r="W176" s="144">
        <f>SUMIFS('март 2026'!$G$2:$G$2701,'март 2026'!$D$2:$D$2701,$B176,'март 2026'!$J$2:$J$2701,W$1)</f>
        <v>0</v>
      </c>
      <c r="X176" s="144">
        <f>SUMIFS('март 2026'!$G$2:$G$2701,'март 2026'!$D$2:$D$2701,$B176,'март 2026'!$J$2:$J$2701,X$1)</f>
        <v>0</v>
      </c>
      <c r="Y176" s="144">
        <f>SUMIFS('март 2026'!$G$2:$G$2701,'март 2026'!$D$2:$D$2701,$B176,'март 2026'!$J$2:$J$2701,Y$1)</f>
        <v>0</v>
      </c>
      <c r="Z176" s="144">
        <f>SUMIFS('март 2026'!$G$2:$G$2701,'март 2026'!$D$2:$D$2701,$B176,'март 2026'!$J$2:$J$2701,Z$1)</f>
        <v>0</v>
      </c>
      <c r="AA176" s="144">
        <f>SUMIFS('март 2026'!$G$2:$G$2701,'март 2026'!$D$2:$D$2701,$B176,'март 2026'!$J$2:$J$2701,AA$1)</f>
        <v>0</v>
      </c>
      <c r="AB176" s="144">
        <f>SUMIFS('март 2026'!$G$2:$G$2701,'март 2026'!$D$2:$D$2701,$B176,'март 2026'!$J$2:$J$2701,AB$1)</f>
        <v>0</v>
      </c>
      <c r="AC176" s="144">
        <f>SUMIFS('март 2026'!$G$2:$G$2701,'март 2026'!$D$2:$D$2701,$B176,'март 2026'!$J$2:$J$2701,AC$1)</f>
        <v>0</v>
      </c>
      <c r="AD176" s="144">
        <f>SUMIFS('март 2026'!$G$2:$G$2701,'март 2026'!$D$2:$D$2701,$B176,'март 2026'!$J$2:$J$2701,AD$1)</f>
        <v>0</v>
      </c>
      <c r="AE176" s="144">
        <f>SUMIFS('март 2026'!$G$2:$G$2701,'март 2026'!$D$2:$D$2701,$B176,'март 2026'!$J$2:$J$2701,AE$1)</f>
        <v>0</v>
      </c>
      <c r="AF176" s="144">
        <f>SUMIFS('март 2026'!$G$2:$G$2701,'март 2026'!$D$2:$D$2701,$B176,'март 2026'!$J$2:$J$2701,AF$1)</f>
        <v>0</v>
      </c>
      <c r="AG176" s="144">
        <f>SUMIFS('март 2026'!$G$2:$G$2701,'март 2026'!$D$2:$D$2701,$B176,'март 2026'!$J$2:$J$2701,AG$1)</f>
        <v>0</v>
      </c>
      <c r="AH176" s="144">
        <f>SUMIFS('март 2026'!$G$2:$G$2701,'март 2026'!$D$2:$D$2701,$B176,'март 2026'!$J$2:$J$2701,AH$1)</f>
        <v>0</v>
      </c>
      <c r="AI176" s="20">
        <f t="shared" si="3"/>
        <v>0</v>
      </c>
    </row>
    <row r="177" spans="2:35" ht="15" customHeight="1" x14ac:dyDescent="0.25">
      <c r="B177" s="82" t="s">
        <v>330</v>
      </c>
      <c r="C177" s="81">
        <v>200</v>
      </c>
      <c r="D177" s="144">
        <f>SUMIFS('март 2026'!$G$2:$G$2701,'март 2026'!$D$2:$D$2701,$B177,'март 2026'!$J$2:$J$2701,D$1)</f>
        <v>0</v>
      </c>
      <c r="E177" s="144">
        <f>SUMIFS('март 2026'!$G$2:$G$2701,'март 2026'!$D$2:$D$2701,$B177,'март 2026'!$J$2:$J$2701,E$1)</f>
        <v>0</v>
      </c>
      <c r="F177" s="144">
        <f>SUMIFS('март 2026'!$G$2:$G$2701,'март 2026'!$D$2:$D$2701,$B177,'март 2026'!$J$2:$J$2701,F$1)</f>
        <v>0</v>
      </c>
      <c r="G177" s="144">
        <f>SUMIFS('март 2026'!$G$2:$G$2701,'март 2026'!$D$2:$D$2701,$B177,'март 2026'!$J$2:$J$2701,G$1)</f>
        <v>0</v>
      </c>
      <c r="H177" s="144">
        <f>SUMIFS('март 2026'!$G$2:$G$2701,'март 2026'!$D$2:$D$2701,$B177,'март 2026'!$J$2:$J$2701,H$1)</f>
        <v>0</v>
      </c>
      <c r="I177" s="144">
        <f>SUMIFS('март 2026'!$G$2:$G$2701,'март 2026'!$D$2:$D$2701,$B177,'март 2026'!$J$2:$J$2701,I$1)</f>
        <v>0</v>
      </c>
      <c r="J177" s="144">
        <f>SUMIFS('март 2026'!$G$2:$G$2701,'март 2026'!$D$2:$D$2701,$B177,'март 2026'!$J$2:$J$2701,J$1)</f>
        <v>0</v>
      </c>
      <c r="K177" s="144">
        <f>SUMIFS('март 2026'!$G$2:$G$2701,'март 2026'!$D$2:$D$2701,$B177,'март 2026'!$J$2:$J$2701,K$1)</f>
        <v>0</v>
      </c>
      <c r="L177" s="144">
        <f>SUMIFS('март 2026'!$G$2:$G$2701,'март 2026'!$D$2:$D$2701,$B177,'март 2026'!$J$2:$J$2701,L$1)</f>
        <v>0</v>
      </c>
      <c r="M177" s="144">
        <f>SUMIFS('март 2026'!$G$2:$G$2701,'март 2026'!$D$2:$D$2701,$B177,'март 2026'!$J$2:$J$2701,M$1)</f>
        <v>0</v>
      </c>
      <c r="N177" s="144">
        <f>SUMIFS('март 2026'!$G$2:$G$2701,'март 2026'!$D$2:$D$2701,$B177,'март 2026'!$J$2:$J$2701,N$1)</f>
        <v>0</v>
      </c>
      <c r="O177" s="144">
        <f>SUMIFS('март 2026'!$G$2:$G$2701,'март 2026'!$D$2:$D$2701,$B177,'март 2026'!$J$2:$J$2701,O$1)</f>
        <v>0</v>
      </c>
      <c r="P177" s="144">
        <f>SUMIFS('март 2026'!$G$2:$G$2701,'март 2026'!$D$2:$D$2701,$B177,'март 2026'!$J$2:$J$2701,P$1)</f>
        <v>3</v>
      </c>
      <c r="Q177" s="144">
        <f>SUMIFS('март 2026'!$G$2:$G$2701,'март 2026'!$D$2:$D$2701,$B177,'март 2026'!$J$2:$J$2701,Q$1)</f>
        <v>0</v>
      </c>
      <c r="R177" s="144">
        <f>SUMIFS('март 2026'!$G$2:$G$2701,'март 2026'!$D$2:$D$2701,$B177,'март 2026'!$J$2:$J$2701,R$1)</f>
        <v>0</v>
      </c>
      <c r="S177" s="144">
        <f>SUMIFS('март 2026'!$G$2:$G$2701,'март 2026'!$D$2:$D$2701,$B177,'март 2026'!$J$2:$J$2701,S$1)</f>
        <v>0</v>
      </c>
      <c r="T177" s="144">
        <f>SUMIFS('март 2026'!$G$2:$G$2701,'март 2026'!$D$2:$D$2701,$B177,'март 2026'!$J$2:$J$2701,T$1)</f>
        <v>0</v>
      </c>
      <c r="U177" s="144">
        <f>SUMIFS('март 2026'!$G$2:$G$2701,'март 2026'!$D$2:$D$2701,$B177,'март 2026'!$J$2:$J$2701,U$1)</f>
        <v>0</v>
      </c>
      <c r="V177" s="144">
        <f>SUMIFS('март 2026'!$G$2:$G$2701,'март 2026'!$D$2:$D$2701,$B177,'март 2026'!$J$2:$J$2701,V$1)</f>
        <v>0</v>
      </c>
      <c r="W177" s="144">
        <f>SUMIFS('март 2026'!$G$2:$G$2701,'март 2026'!$D$2:$D$2701,$B177,'март 2026'!$J$2:$J$2701,W$1)</f>
        <v>0</v>
      </c>
      <c r="X177" s="144">
        <f>SUMIFS('март 2026'!$G$2:$G$2701,'март 2026'!$D$2:$D$2701,$B177,'март 2026'!$J$2:$J$2701,X$1)</f>
        <v>0</v>
      </c>
      <c r="Y177" s="144">
        <f>SUMIFS('март 2026'!$G$2:$G$2701,'март 2026'!$D$2:$D$2701,$B177,'март 2026'!$J$2:$J$2701,Y$1)</f>
        <v>0</v>
      </c>
      <c r="Z177" s="144">
        <f>SUMIFS('март 2026'!$G$2:$G$2701,'март 2026'!$D$2:$D$2701,$B177,'март 2026'!$J$2:$J$2701,Z$1)</f>
        <v>0</v>
      </c>
      <c r="AA177" s="144">
        <f>SUMIFS('март 2026'!$G$2:$G$2701,'март 2026'!$D$2:$D$2701,$B177,'март 2026'!$J$2:$J$2701,AA$1)</f>
        <v>0</v>
      </c>
      <c r="AB177" s="144">
        <f>SUMIFS('март 2026'!$G$2:$G$2701,'март 2026'!$D$2:$D$2701,$B177,'март 2026'!$J$2:$J$2701,AB$1)</f>
        <v>0</v>
      </c>
      <c r="AC177" s="144">
        <f>SUMIFS('март 2026'!$G$2:$G$2701,'март 2026'!$D$2:$D$2701,$B177,'март 2026'!$J$2:$J$2701,AC$1)</f>
        <v>0</v>
      </c>
      <c r="AD177" s="144">
        <f>SUMIFS('март 2026'!$G$2:$G$2701,'март 2026'!$D$2:$D$2701,$B177,'март 2026'!$J$2:$J$2701,AD$1)</f>
        <v>0</v>
      </c>
      <c r="AE177" s="144">
        <f>SUMIFS('март 2026'!$G$2:$G$2701,'март 2026'!$D$2:$D$2701,$B177,'март 2026'!$J$2:$J$2701,AE$1)</f>
        <v>0</v>
      </c>
      <c r="AF177" s="144">
        <f>SUMIFS('март 2026'!$G$2:$G$2701,'март 2026'!$D$2:$D$2701,$B177,'март 2026'!$J$2:$J$2701,AF$1)</f>
        <v>0</v>
      </c>
      <c r="AG177" s="144">
        <f>SUMIFS('март 2026'!$G$2:$G$2701,'март 2026'!$D$2:$D$2701,$B177,'март 2026'!$J$2:$J$2701,AG$1)</f>
        <v>0</v>
      </c>
      <c r="AH177" s="144">
        <f>SUMIFS('март 2026'!$G$2:$G$2701,'март 2026'!$D$2:$D$2701,$B177,'март 2026'!$J$2:$J$2701,AH$1)</f>
        <v>0</v>
      </c>
      <c r="AI177" s="20">
        <f t="shared" si="3"/>
        <v>3</v>
      </c>
    </row>
    <row r="178" spans="2:35" ht="15" customHeight="1" x14ac:dyDescent="0.25">
      <c r="B178" s="82" t="s">
        <v>362</v>
      </c>
      <c r="C178" s="81">
        <v>30</v>
      </c>
      <c r="D178" s="144">
        <f>SUMIFS('март 2026'!$G$2:$G$2701,'март 2026'!$D$2:$D$2701,$B178,'март 2026'!$J$2:$J$2701,D$1)</f>
        <v>0</v>
      </c>
      <c r="E178" s="144">
        <f>SUMIFS('март 2026'!$G$2:$G$2701,'март 2026'!$D$2:$D$2701,$B178,'март 2026'!$J$2:$J$2701,E$1)</f>
        <v>0</v>
      </c>
      <c r="F178" s="144">
        <f>SUMIFS('март 2026'!$G$2:$G$2701,'март 2026'!$D$2:$D$2701,$B178,'март 2026'!$J$2:$J$2701,F$1)</f>
        <v>0</v>
      </c>
      <c r="G178" s="144">
        <f>SUMIFS('март 2026'!$G$2:$G$2701,'март 2026'!$D$2:$D$2701,$B178,'март 2026'!$J$2:$J$2701,G$1)</f>
        <v>0</v>
      </c>
      <c r="H178" s="144">
        <f>SUMIFS('март 2026'!$G$2:$G$2701,'март 2026'!$D$2:$D$2701,$B178,'март 2026'!$J$2:$J$2701,H$1)</f>
        <v>0</v>
      </c>
      <c r="I178" s="144">
        <f>SUMIFS('март 2026'!$G$2:$G$2701,'март 2026'!$D$2:$D$2701,$B178,'март 2026'!$J$2:$J$2701,I$1)</f>
        <v>0</v>
      </c>
      <c r="J178" s="144">
        <f>SUMIFS('март 2026'!$G$2:$G$2701,'март 2026'!$D$2:$D$2701,$B178,'март 2026'!$J$2:$J$2701,J$1)</f>
        <v>0</v>
      </c>
      <c r="K178" s="144">
        <f>SUMIFS('март 2026'!$G$2:$G$2701,'март 2026'!$D$2:$D$2701,$B178,'март 2026'!$J$2:$J$2701,K$1)</f>
        <v>0</v>
      </c>
      <c r="L178" s="144">
        <f>SUMIFS('март 2026'!$G$2:$G$2701,'март 2026'!$D$2:$D$2701,$B178,'март 2026'!$J$2:$J$2701,L$1)</f>
        <v>0</v>
      </c>
      <c r="M178" s="144">
        <f>SUMIFS('март 2026'!$G$2:$G$2701,'март 2026'!$D$2:$D$2701,$B178,'март 2026'!$J$2:$J$2701,M$1)</f>
        <v>0</v>
      </c>
      <c r="N178" s="144">
        <f>SUMIFS('март 2026'!$G$2:$G$2701,'март 2026'!$D$2:$D$2701,$B178,'март 2026'!$J$2:$J$2701,N$1)</f>
        <v>0</v>
      </c>
      <c r="O178" s="144">
        <f>SUMIFS('март 2026'!$G$2:$G$2701,'март 2026'!$D$2:$D$2701,$B178,'март 2026'!$J$2:$J$2701,O$1)</f>
        <v>0</v>
      </c>
      <c r="P178" s="144">
        <f>SUMIFS('март 2026'!$G$2:$G$2701,'март 2026'!$D$2:$D$2701,$B178,'март 2026'!$J$2:$J$2701,P$1)</f>
        <v>0</v>
      </c>
      <c r="Q178" s="144">
        <f>SUMIFS('март 2026'!$G$2:$G$2701,'март 2026'!$D$2:$D$2701,$B178,'март 2026'!$J$2:$J$2701,Q$1)</f>
        <v>0</v>
      </c>
      <c r="R178" s="144">
        <f>SUMIFS('март 2026'!$G$2:$G$2701,'март 2026'!$D$2:$D$2701,$B178,'март 2026'!$J$2:$J$2701,R$1)</f>
        <v>0</v>
      </c>
      <c r="S178" s="144">
        <f>SUMIFS('март 2026'!$G$2:$G$2701,'март 2026'!$D$2:$D$2701,$B178,'март 2026'!$J$2:$J$2701,S$1)</f>
        <v>0</v>
      </c>
      <c r="T178" s="144">
        <f>SUMIFS('март 2026'!$G$2:$G$2701,'март 2026'!$D$2:$D$2701,$B178,'март 2026'!$J$2:$J$2701,T$1)</f>
        <v>0</v>
      </c>
      <c r="U178" s="144">
        <f>SUMIFS('март 2026'!$G$2:$G$2701,'март 2026'!$D$2:$D$2701,$B178,'март 2026'!$J$2:$J$2701,U$1)</f>
        <v>0</v>
      </c>
      <c r="V178" s="144">
        <f>SUMIFS('март 2026'!$G$2:$G$2701,'март 2026'!$D$2:$D$2701,$B178,'март 2026'!$J$2:$J$2701,V$1)</f>
        <v>0</v>
      </c>
      <c r="W178" s="144">
        <f>SUMIFS('март 2026'!$G$2:$G$2701,'март 2026'!$D$2:$D$2701,$B178,'март 2026'!$J$2:$J$2701,W$1)</f>
        <v>0</v>
      </c>
      <c r="X178" s="144">
        <f>SUMIFS('март 2026'!$G$2:$G$2701,'март 2026'!$D$2:$D$2701,$B178,'март 2026'!$J$2:$J$2701,X$1)</f>
        <v>0</v>
      </c>
      <c r="Y178" s="144">
        <f>SUMIFS('март 2026'!$G$2:$G$2701,'март 2026'!$D$2:$D$2701,$B178,'март 2026'!$J$2:$J$2701,Y$1)</f>
        <v>0</v>
      </c>
      <c r="Z178" s="144">
        <f>SUMIFS('март 2026'!$G$2:$G$2701,'март 2026'!$D$2:$D$2701,$B178,'март 2026'!$J$2:$J$2701,Z$1)</f>
        <v>0</v>
      </c>
      <c r="AA178" s="144">
        <f>SUMIFS('март 2026'!$G$2:$G$2701,'март 2026'!$D$2:$D$2701,$B178,'март 2026'!$J$2:$J$2701,AA$1)</f>
        <v>0</v>
      </c>
      <c r="AB178" s="144">
        <f>SUMIFS('март 2026'!$G$2:$G$2701,'март 2026'!$D$2:$D$2701,$B178,'март 2026'!$J$2:$J$2701,AB$1)</f>
        <v>0</v>
      </c>
      <c r="AC178" s="144">
        <f>SUMIFS('март 2026'!$G$2:$G$2701,'март 2026'!$D$2:$D$2701,$B178,'март 2026'!$J$2:$J$2701,AC$1)</f>
        <v>0</v>
      </c>
      <c r="AD178" s="144">
        <f>SUMIFS('март 2026'!$G$2:$G$2701,'март 2026'!$D$2:$D$2701,$B178,'март 2026'!$J$2:$J$2701,AD$1)</f>
        <v>0</v>
      </c>
      <c r="AE178" s="144">
        <f>SUMIFS('март 2026'!$G$2:$G$2701,'март 2026'!$D$2:$D$2701,$B178,'март 2026'!$J$2:$J$2701,AE$1)</f>
        <v>0</v>
      </c>
      <c r="AF178" s="144">
        <f>SUMIFS('март 2026'!$G$2:$G$2701,'март 2026'!$D$2:$D$2701,$B178,'март 2026'!$J$2:$J$2701,AF$1)</f>
        <v>0</v>
      </c>
      <c r="AG178" s="144">
        <f>SUMIFS('март 2026'!$G$2:$G$2701,'март 2026'!$D$2:$D$2701,$B178,'март 2026'!$J$2:$J$2701,AG$1)</f>
        <v>0</v>
      </c>
      <c r="AH178" s="144">
        <f>SUMIFS('март 2026'!$G$2:$G$2701,'март 2026'!$D$2:$D$2701,$B178,'март 2026'!$J$2:$J$2701,AH$1)</f>
        <v>0</v>
      </c>
      <c r="AI178" s="20">
        <f t="shared" si="3"/>
        <v>0</v>
      </c>
    </row>
    <row r="179" spans="2:35" ht="15" customHeight="1" x14ac:dyDescent="0.25">
      <c r="B179" s="82" t="s">
        <v>376</v>
      </c>
      <c r="C179" s="81">
        <v>30</v>
      </c>
      <c r="D179" s="144">
        <f>SUMIFS('март 2026'!$G$2:$G$2701,'март 2026'!$D$2:$D$2701,$B179,'март 2026'!$J$2:$J$2701,D$1)</f>
        <v>0</v>
      </c>
      <c r="E179" s="144">
        <f>SUMIFS('март 2026'!$G$2:$G$2701,'март 2026'!$D$2:$D$2701,$B179,'март 2026'!$J$2:$J$2701,E$1)</f>
        <v>0</v>
      </c>
      <c r="F179" s="144">
        <f>SUMIFS('март 2026'!$G$2:$G$2701,'март 2026'!$D$2:$D$2701,$B179,'март 2026'!$J$2:$J$2701,F$1)</f>
        <v>0</v>
      </c>
      <c r="G179" s="144">
        <f>SUMIFS('март 2026'!$G$2:$G$2701,'март 2026'!$D$2:$D$2701,$B179,'март 2026'!$J$2:$J$2701,G$1)</f>
        <v>0</v>
      </c>
      <c r="H179" s="144">
        <f>SUMIFS('март 2026'!$G$2:$G$2701,'март 2026'!$D$2:$D$2701,$B179,'март 2026'!$J$2:$J$2701,H$1)</f>
        <v>0</v>
      </c>
      <c r="I179" s="144">
        <f>SUMIFS('март 2026'!$G$2:$G$2701,'март 2026'!$D$2:$D$2701,$B179,'март 2026'!$J$2:$J$2701,I$1)</f>
        <v>0</v>
      </c>
      <c r="J179" s="144">
        <f>SUMIFS('март 2026'!$G$2:$G$2701,'март 2026'!$D$2:$D$2701,$B179,'март 2026'!$J$2:$J$2701,J$1)</f>
        <v>0</v>
      </c>
      <c r="K179" s="144">
        <f>SUMIFS('март 2026'!$G$2:$G$2701,'март 2026'!$D$2:$D$2701,$B179,'март 2026'!$J$2:$J$2701,K$1)</f>
        <v>0</v>
      </c>
      <c r="L179" s="144">
        <f>SUMIFS('март 2026'!$G$2:$G$2701,'март 2026'!$D$2:$D$2701,$B179,'март 2026'!$J$2:$J$2701,L$1)</f>
        <v>0</v>
      </c>
      <c r="M179" s="144">
        <f>SUMIFS('март 2026'!$G$2:$G$2701,'март 2026'!$D$2:$D$2701,$B179,'март 2026'!$J$2:$J$2701,M$1)</f>
        <v>0</v>
      </c>
      <c r="N179" s="144">
        <f>SUMIFS('март 2026'!$G$2:$G$2701,'март 2026'!$D$2:$D$2701,$B179,'март 2026'!$J$2:$J$2701,N$1)</f>
        <v>0</v>
      </c>
      <c r="O179" s="144">
        <f>SUMIFS('март 2026'!$G$2:$G$2701,'март 2026'!$D$2:$D$2701,$B179,'март 2026'!$J$2:$J$2701,O$1)</f>
        <v>0</v>
      </c>
      <c r="P179" s="144">
        <f>SUMIFS('март 2026'!$G$2:$G$2701,'март 2026'!$D$2:$D$2701,$B179,'март 2026'!$J$2:$J$2701,P$1)</f>
        <v>0</v>
      </c>
      <c r="Q179" s="144">
        <f>SUMIFS('март 2026'!$G$2:$G$2701,'март 2026'!$D$2:$D$2701,$B179,'март 2026'!$J$2:$J$2701,Q$1)</f>
        <v>0</v>
      </c>
      <c r="R179" s="144">
        <f>SUMIFS('март 2026'!$G$2:$G$2701,'март 2026'!$D$2:$D$2701,$B179,'март 2026'!$J$2:$J$2701,R$1)</f>
        <v>0</v>
      </c>
      <c r="S179" s="144">
        <f>SUMIFS('март 2026'!$G$2:$G$2701,'март 2026'!$D$2:$D$2701,$B179,'март 2026'!$J$2:$J$2701,S$1)</f>
        <v>0</v>
      </c>
      <c r="T179" s="144">
        <f>SUMIFS('март 2026'!$G$2:$G$2701,'март 2026'!$D$2:$D$2701,$B179,'март 2026'!$J$2:$J$2701,T$1)</f>
        <v>0</v>
      </c>
      <c r="U179" s="144">
        <f>SUMIFS('март 2026'!$G$2:$G$2701,'март 2026'!$D$2:$D$2701,$B179,'март 2026'!$J$2:$J$2701,U$1)</f>
        <v>0</v>
      </c>
      <c r="V179" s="144">
        <f>SUMIFS('март 2026'!$G$2:$G$2701,'март 2026'!$D$2:$D$2701,$B179,'март 2026'!$J$2:$J$2701,V$1)</f>
        <v>0</v>
      </c>
      <c r="W179" s="144">
        <f>SUMIFS('март 2026'!$G$2:$G$2701,'март 2026'!$D$2:$D$2701,$B179,'март 2026'!$J$2:$J$2701,W$1)</f>
        <v>0</v>
      </c>
      <c r="X179" s="144">
        <f>SUMIFS('март 2026'!$G$2:$G$2701,'март 2026'!$D$2:$D$2701,$B179,'март 2026'!$J$2:$J$2701,X$1)</f>
        <v>0</v>
      </c>
      <c r="Y179" s="144">
        <f>SUMIFS('март 2026'!$G$2:$G$2701,'март 2026'!$D$2:$D$2701,$B179,'март 2026'!$J$2:$J$2701,Y$1)</f>
        <v>0</v>
      </c>
      <c r="Z179" s="144">
        <f>SUMIFS('март 2026'!$G$2:$G$2701,'март 2026'!$D$2:$D$2701,$B179,'март 2026'!$J$2:$J$2701,Z$1)</f>
        <v>0</v>
      </c>
      <c r="AA179" s="144">
        <f>SUMIFS('март 2026'!$G$2:$G$2701,'март 2026'!$D$2:$D$2701,$B179,'март 2026'!$J$2:$J$2701,AA$1)</f>
        <v>0</v>
      </c>
      <c r="AB179" s="144">
        <f>SUMIFS('март 2026'!$G$2:$G$2701,'март 2026'!$D$2:$D$2701,$B179,'март 2026'!$J$2:$J$2701,AB$1)</f>
        <v>0</v>
      </c>
      <c r="AC179" s="144">
        <f>SUMIFS('март 2026'!$G$2:$G$2701,'март 2026'!$D$2:$D$2701,$B179,'март 2026'!$J$2:$J$2701,AC$1)</f>
        <v>0</v>
      </c>
      <c r="AD179" s="144">
        <f>SUMIFS('март 2026'!$G$2:$G$2701,'март 2026'!$D$2:$D$2701,$B179,'март 2026'!$J$2:$J$2701,AD$1)</f>
        <v>0</v>
      </c>
      <c r="AE179" s="144">
        <f>SUMIFS('март 2026'!$G$2:$G$2701,'март 2026'!$D$2:$D$2701,$B179,'март 2026'!$J$2:$J$2701,AE$1)</f>
        <v>0</v>
      </c>
      <c r="AF179" s="144">
        <f>SUMIFS('март 2026'!$G$2:$G$2701,'март 2026'!$D$2:$D$2701,$B179,'март 2026'!$J$2:$J$2701,AF$1)</f>
        <v>0</v>
      </c>
      <c r="AG179" s="144">
        <f>SUMIFS('март 2026'!$G$2:$G$2701,'март 2026'!$D$2:$D$2701,$B179,'март 2026'!$J$2:$J$2701,AG$1)</f>
        <v>0</v>
      </c>
      <c r="AH179" s="144">
        <f>SUMIFS('март 2026'!$G$2:$G$2701,'март 2026'!$D$2:$D$2701,$B179,'март 2026'!$J$2:$J$2701,AH$1)</f>
        <v>0</v>
      </c>
      <c r="AI179" s="20">
        <f t="shared" si="3"/>
        <v>0</v>
      </c>
    </row>
    <row r="180" spans="2:35" ht="15" customHeight="1" x14ac:dyDescent="0.25">
      <c r="B180" s="82"/>
      <c r="C180" s="81"/>
      <c r="D180" s="144">
        <f>SUMIFS('февраль 2026'!$G$2:$G$2649,'февраль 2026'!$D$2:$D$2649,$B180,'февраль 2026'!$J$2:$J$2649,D$1)</f>
        <v>0</v>
      </c>
      <c r="E180" s="144">
        <f>SUMIFS('февраль 2026'!$G$2:$G$2649,'февраль 2026'!$D$2:$D$2649,$B180,'февраль 2026'!$J$2:$J$2649,E$1)</f>
        <v>0</v>
      </c>
      <c r="F180" s="144">
        <f>SUMIFS('февраль 2026'!$G$2:$G$2649,'февраль 2026'!$D$2:$D$2649,$B180,'февраль 2026'!$J$2:$J$2649,F$1)</f>
        <v>0</v>
      </c>
      <c r="G180" s="144">
        <f>SUMIFS('февраль 2026'!$G$2:$G$2649,'февраль 2026'!$D$2:$D$2649,$B180,'февраль 2026'!$J$2:$J$2649,G$1)</f>
        <v>0</v>
      </c>
      <c r="H180" s="144">
        <f>SUMIFS('февраль 2026'!$G$2:$G$2649,'февраль 2026'!$D$2:$D$2649,$B180,'февраль 2026'!$J$2:$J$2649,H$1)</f>
        <v>0</v>
      </c>
      <c r="I180" s="144">
        <f>SUMIFS('февраль 2026'!$G$2:$G$2649,'февраль 2026'!$D$2:$D$2649,$B180,'февраль 2026'!$J$2:$J$2649,I$1)</f>
        <v>0</v>
      </c>
      <c r="J180" s="144">
        <f>SUMIFS('февраль 2026'!$G$2:$G$2649,'февраль 2026'!$D$2:$D$2649,$B180,'февраль 2026'!$J$2:$J$2649,J$1)</f>
        <v>0</v>
      </c>
      <c r="K180" s="144">
        <f>SUMIFS('февраль 2026'!$G$2:$G$2649,'февраль 2026'!$D$2:$D$2649,$B180,'февраль 2026'!$J$2:$J$2649,K$1)</f>
        <v>0</v>
      </c>
      <c r="L180" s="144">
        <f>SUMIFS('февраль 2026'!$G$2:$G$2649,'февраль 2026'!$D$2:$D$2649,$B180,'февраль 2026'!$J$2:$J$2649,L$1)</f>
        <v>0</v>
      </c>
      <c r="M180" s="144">
        <f>SUMIFS('февраль 2026'!$G$2:$G$2649,'февраль 2026'!$D$2:$D$2649,$B180,'февраль 2026'!$J$2:$J$2649,M$1)</f>
        <v>0</v>
      </c>
      <c r="N180" s="144">
        <f>SUMIFS('февраль 2026'!$G$2:$G$2649,'февраль 2026'!$D$2:$D$2649,$B180,'февраль 2026'!$J$2:$J$2649,N$1)</f>
        <v>0</v>
      </c>
      <c r="O180" s="144">
        <f>SUMIFS('февраль 2026'!$G$2:$G$2649,'февраль 2026'!$D$2:$D$2649,$B180,'февраль 2026'!$J$2:$J$2649,O$1)</f>
        <v>0</v>
      </c>
      <c r="P180" s="144">
        <f>SUMIFS('февраль 2026'!$G$2:$G$2649,'февраль 2026'!$D$2:$D$2649,$B180,'февраль 2026'!$J$2:$J$2649,P$1)</f>
        <v>0</v>
      </c>
      <c r="Q180" s="144">
        <f>SUMIFS('февраль 2026'!$G$2:$G$2649,'февраль 2026'!$D$2:$D$2649,$B180,'февраль 2026'!$J$2:$J$2649,Q$1)</f>
        <v>0</v>
      </c>
      <c r="R180" s="144">
        <f>SUMIFS('февраль 2026'!$G$2:$G$2649,'февраль 2026'!$D$2:$D$2649,$B180,'февраль 2026'!$J$2:$J$2649,R$1)</f>
        <v>0</v>
      </c>
      <c r="S180" s="144">
        <f>SUMIFS('февраль 2026'!$G$2:$G$2649,'февраль 2026'!$D$2:$D$2649,$B180,'февраль 2026'!$J$2:$J$2649,S$1)</f>
        <v>0</v>
      </c>
      <c r="T180" s="144">
        <f>SUMIFS('февраль 2026'!$G$2:$G$2649,'февраль 2026'!$D$2:$D$2649,$B180,'февраль 2026'!$J$2:$J$2649,T$1)</f>
        <v>0</v>
      </c>
      <c r="U180" s="144">
        <f>SUMIFS('февраль 2026'!$G$2:$G$2649,'февраль 2026'!$D$2:$D$2649,$B180,'февраль 2026'!$J$2:$J$2649,U$1)</f>
        <v>0</v>
      </c>
      <c r="V180" s="144">
        <f>SUMIFS('февраль 2026'!$G$2:$G$2649,'февраль 2026'!$D$2:$D$2649,$B180,'февраль 2026'!$J$2:$J$2649,V$1)</f>
        <v>0</v>
      </c>
      <c r="W180" s="144">
        <f>SUMIFS('февраль 2026'!$G$2:$G$2649,'февраль 2026'!$D$2:$D$2649,$B180,'февраль 2026'!$J$2:$J$2649,W$1)</f>
        <v>0</v>
      </c>
      <c r="X180" s="144">
        <f>SUMIFS('февраль 2026'!$G$2:$G$2649,'февраль 2026'!$D$2:$D$2649,$B180,'февраль 2026'!$J$2:$J$2649,X$1)</f>
        <v>0</v>
      </c>
      <c r="Y180" s="144">
        <f>SUMIFS('февраль 2026'!$G$2:$G$2649,'февраль 2026'!$D$2:$D$2649,$B180,'февраль 2026'!$J$2:$J$2649,Y$1)</f>
        <v>0</v>
      </c>
      <c r="Z180" s="144">
        <f>SUMIFS('февраль 2026'!$G$2:$G$2649,'февраль 2026'!$D$2:$D$2649,$B180,'февраль 2026'!$J$2:$J$2649,Z$1)</f>
        <v>0</v>
      </c>
      <c r="AA180" s="144">
        <f>SUMIFS('февраль 2026'!$G$2:$G$2649,'февраль 2026'!$D$2:$D$2649,$B180,'февраль 2026'!$J$2:$J$2649,AA$1)</f>
        <v>0</v>
      </c>
      <c r="AB180" s="144">
        <f>SUMIFS('февраль 2026'!$G$2:$G$2649,'февраль 2026'!$D$2:$D$2649,$B180,'февраль 2026'!$J$2:$J$2649,AB$1)</f>
        <v>0</v>
      </c>
      <c r="AC180" s="144">
        <f>SUMIFS('февраль 2026'!$G$2:$G$2649,'февраль 2026'!$D$2:$D$2649,$B180,'февраль 2026'!$J$2:$J$2649,AC$1)</f>
        <v>0</v>
      </c>
      <c r="AD180" s="144">
        <f>SUMIFS('февраль 2026'!$G$2:$G$2649,'февраль 2026'!$D$2:$D$2649,$B180,'февраль 2026'!$J$2:$J$2649,AD$1)</f>
        <v>0</v>
      </c>
      <c r="AE180" s="144">
        <f>SUMIFS('февраль 2026'!$G$2:$G$2649,'февраль 2026'!$D$2:$D$2649,$B180,'февраль 2026'!$J$2:$J$2649,AE$1)</f>
        <v>0</v>
      </c>
      <c r="AF180" s="144">
        <f>SUMIFS('февраль 2026'!$G$2:$G$2649,'февраль 2026'!$D$2:$D$2649,$B180,'февраль 2026'!$J$2:$J$2649,AF$1)</f>
        <v>0</v>
      </c>
      <c r="AG180" s="144">
        <f>SUMIFS('февраль 2026'!$G$2:$G$2649,'февраль 2026'!$D$2:$D$2649,$B180,'февраль 2026'!$J$2:$J$2649,AG$1)</f>
        <v>0</v>
      </c>
      <c r="AH180" s="144">
        <f>SUMIFS('февраль 2026'!$G$2:$G$2649,'февраль 2026'!$D$2:$D$2649,$B180,'февраль 2026'!$J$2:$J$2649,AH$1)</f>
        <v>0</v>
      </c>
      <c r="AI180" s="20"/>
    </row>
    <row r="181" spans="2:35" ht="15" customHeight="1" x14ac:dyDescent="0.25">
      <c r="B181" s="82"/>
      <c r="C181" s="81"/>
      <c r="D181" s="144">
        <f>SUMIFS('февраль 2026'!$G$2:$G$2649,'февраль 2026'!$D$2:$D$2649,$B181,'февраль 2026'!$J$2:$J$2649,D$1)</f>
        <v>0</v>
      </c>
      <c r="E181" s="144">
        <f>SUMIFS('февраль 2026'!$G$2:$G$2649,'февраль 2026'!$D$2:$D$2649,$B181,'февраль 2026'!$J$2:$J$2649,E$1)</f>
        <v>0</v>
      </c>
      <c r="F181" s="144">
        <f>SUMIFS('февраль 2026'!$G$2:$G$2649,'февраль 2026'!$D$2:$D$2649,$B181,'февраль 2026'!$J$2:$J$2649,F$1)</f>
        <v>0</v>
      </c>
      <c r="G181" s="144">
        <f>SUMIFS('февраль 2026'!$G$2:$G$2649,'февраль 2026'!$D$2:$D$2649,$B181,'февраль 2026'!$J$2:$J$2649,G$1)</f>
        <v>0</v>
      </c>
      <c r="H181" s="144">
        <f>SUMIFS('февраль 2026'!$G$2:$G$2649,'февраль 2026'!$D$2:$D$2649,$B181,'февраль 2026'!$J$2:$J$2649,H$1)</f>
        <v>0</v>
      </c>
      <c r="I181" s="144">
        <f>SUMIFS('февраль 2026'!$G$2:$G$2649,'февраль 2026'!$D$2:$D$2649,$B181,'февраль 2026'!$J$2:$J$2649,I$1)</f>
        <v>0</v>
      </c>
      <c r="J181" s="144">
        <f>SUMIFS('февраль 2026'!$G$2:$G$2649,'февраль 2026'!$D$2:$D$2649,$B181,'февраль 2026'!$J$2:$J$2649,J$1)</f>
        <v>0</v>
      </c>
      <c r="K181" s="144">
        <f>SUMIFS('февраль 2026'!$G$2:$G$2649,'февраль 2026'!$D$2:$D$2649,$B181,'февраль 2026'!$J$2:$J$2649,K$1)</f>
        <v>0</v>
      </c>
      <c r="L181" s="144">
        <f>SUMIFS('февраль 2026'!$G$2:$G$2649,'февраль 2026'!$D$2:$D$2649,$B181,'февраль 2026'!$J$2:$J$2649,L$1)</f>
        <v>0</v>
      </c>
      <c r="M181" s="144">
        <f>SUMIFS('февраль 2026'!$G$2:$G$2649,'февраль 2026'!$D$2:$D$2649,$B181,'февраль 2026'!$J$2:$J$2649,M$1)</f>
        <v>0</v>
      </c>
      <c r="N181" s="144">
        <f>SUMIFS('февраль 2026'!$G$2:$G$2649,'февраль 2026'!$D$2:$D$2649,$B181,'февраль 2026'!$J$2:$J$2649,N$1)</f>
        <v>0</v>
      </c>
      <c r="O181" s="144">
        <f>SUMIFS('февраль 2026'!$G$2:$G$2649,'февраль 2026'!$D$2:$D$2649,$B181,'февраль 2026'!$J$2:$J$2649,O$1)</f>
        <v>0</v>
      </c>
      <c r="P181" s="144">
        <f>SUMIFS('февраль 2026'!$G$2:$G$2649,'февраль 2026'!$D$2:$D$2649,$B181,'февраль 2026'!$J$2:$J$2649,P$1)</f>
        <v>0</v>
      </c>
      <c r="Q181" s="144">
        <f>SUMIFS('февраль 2026'!$G$2:$G$2649,'февраль 2026'!$D$2:$D$2649,$B181,'февраль 2026'!$J$2:$J$2649,Q$1)</f>
        <v>0</v>
      </c>
      <c r="R181" s="144">
        <f>SUMIFS('февраль 2026'!$G$2:$G$2649,'февраль 2026'!$D$2:$D$2649,$B181,'февраль 2026'!$J$2:$J$2649,R$1)</f>
        <v>0</v>
      </c>
      <c r="S181" s="144">
        <f>SUMIFS('февраль 2026'!$G$2:$G$2649,'февраль 2026'!$D$2:$D$2649,$B181,'февраль 2026'!$J$2:$J$2649,S$1)</f>
        <v>0</v>
      </c>
      <c r="T181" s="144">
        <f>SUMIFS('февраль 2026'!$G$2:$G$2649,'февраль 2026'!$D$2:$D$2649,$B181,'февраль 2026'!$J$2:$J$2649,T$1)</f>
        <v>0</v>
      </c>
      <c r="U181" s="144">
        <f>SUMIFS('февраль 2026'!$G$2:$G$2649,'февраль 2026'!$D$2:$D$2649,$B181,'февраль 2026'!$J$2:$J$2649,U$1)</f>
        <v>0</v>
      </c>
      <c r="V181" s="144">
        <f>SUMIFS('февраль 2026'!$G$2:$G$2649,'февраль 2026'!$D$2:$D$2649,$B181,'февраль 2026'!$J$2:$J$2649,V$1)</f>
        <v>0</v>
      </c>
      <c r="W181" s="144">
        <f>SUMIFS('февраль 2026'!$G$2:$G$2649,'февраль 2026'!$D$2:$D$2649,$B181,'февраль 2026'!$J$2:$J$2649,W$1)</f>
        <v>0</v>
      </c>
      <c r="X181" s="144">
        <f>SUMIFS('февраль 2026'!$G$2:$G$2649,'февраль 2026'!$D$2:$D$2649,$B181,'февраль 2026'!$J$2:$J$2649,X$1)</f>
        <v>0</v>
      </c>
      <c r="Y181" s="144">
        <f>SUMIFS('февраль 2026'!$G$2:$G$2649,'февраль 2026'!$D$2:$D$2649,$B181,'февраль 2026'!$J$2:$J$2649,Y$1)</f>
        <v>0</v>
      </c>
      <c r="Z181" s="144">
        <f>SUMIFS('февраль 2026'!$G$2:$G$2649,'февраль 2026'!$D$2:$D$2649,$B181,'февраль 2026'!$J$2:$J$2649,Z$1)</f>
        <v>0</v>
      </c>
      <c r="AA181" s="144">
        <f>SUMIFS('февраль 2026'!$G$2:$G$2649,'февраль 2026'!$D$2:$D$2649,$B181,'февраль 2026'!$J$2:$J$2649,AA$1)</f>
        <v>0</v>
      </c>
      <c r="AB181" s="144">
        <f>SUMIFS('февраль 2026'!$G$2:$G$2649,'февраль 2026'!$D$2:$D$2649,$B181,'февраль 2026'!$J$2:$J$2649,AB$1)</f>
        <v>0</v>
      </c>
      <c r="AC181" s="144">
        <f>SUMIFS('февраль 2026'!$G$2:$G$2649,'февраль 2026'!$D$2:$D$2649,$B181,'февраль 2026'!$J$2:$J$2649,AC$1)</f>
        <v>0</v>
      </c>
      <c r="AD181" s="144">
        <f>SUMIFS('февраль 2026'!$G$2:$G$2649,'февраль 2026'!$D$2:$D$2649,$B181,'февраль 2026'!$J$2:$J$2649,AD$1)</f>
        <v>0</v>
      </c>
      <c r="AE181" s="144">
        <f>SUMIFS('февраль 2026'!$G$2:$G$2649,'февраль 2026'!$D$2:$D$2649,$B181,'февраль 2026'!$J$2:$J$2649,AE$1)</f>
        <v>0</v>
      </c>
      <c r="AF181" s="144">
        <f>SUMIFS('февраль 2026'!$G$2:$G$2649,'февраль 2026'!$D$2:$D$2649,$B181,'февраль 2026'!$J$2:$J$2649,AF$1)</f>
        <v>0</v>
      </c>
      <c r="AG181" s="144">
        <f>SUMIFS('февраль 2026'!$G$2:$G$2649,'февраль 2026'!$D$2:$D$2649,$B181,'февраль 2026'!$J$2:$J$2649,AG$1)</f>
        <v>0</v>
      </c>
      <c r="AH181" s="144">
        <f>SUMIFS('февраль 2026'!$G$2:$G$2649,'февраль 2026'!$D$2:$D$2649,$B181,'февраль 2026'!$J$2:$J$2649,AH$1)</f>
        <v>0</v>
      </c>
      <c r="AI181" s="20"/>
    </row>
    <row r="182" spans="2:35" ht="15" customHeight="1" x14ac:dyDescent="0.25">
      <c r="B182" s="82"/>
      <c r="C182" s="81"/>
      <c r="D182" s="144">
        <f>SUMIFS('февраль 2026'!$G$2:$G$2649,'февраль 2026'!$D$2:$D$2649,$B182,'февраль 2026'!$J$2:$J$2649,D$1)</f>
        <v>0</v>
      </c>
      <c r="E182" s="144">
        <f>SUMIFS('февраль 2026'!$G$2:$G$2649,'февраль 2026'!$D$2:$D$2649,$B182,'февраль 2026'!$J$2:$J$2649,E$1)</f>
        <v>0</v>
      </c>
      <c r="F182" s="144">
        <f>SUMIFS('февраль 2026'!$G$2:$G$2649,'февраль 2026'!$D$2:$D$2649,$B182,'февраль 2026'!$J$2:$J$2649,F$1)</f>
        <v>0</v>
      </c>
      <c r="G182" s="144">
        <f>SUMIFS('февраль 2026'!$G$2:$G$2649,'февраль 2026'!$D$2:$D$2649,$B182,'февраль 2026'!$J$2:$J$2649,G$1)</f>
        <v>0</v>
      </c>
      <c r="H182" s="144">
        <f>SUMIFS('февраль 2026'!$G$2:$G$2649,'февраль 2026'!$D$2:$D$2649,$B182,'февраль 2026'!$J$2:$J$2649,H$1)</f>
        <v>0</v>
      </c>
      <c r="I182" s="144">
        <f>SUMIFS('февраль 2026'!$G$2:$G$2649,'февраль 2026'!$D$2:$D$2649,$B182,'февраль 2026'!$J$2:$J$2649,I$1)</f>
        <v>0</v>
      </c>
      <c r="J182" s="144">
        <f>SUMIFS('февраль 2026'!$G$2:$G$2649,'февраль 2026'!$D$2:$D$2649,$B182,'февраль 2026'!$J$2:$J$2649,J$1)</f>
        <v>0</v>
      </c>
      <c r="K182" s="144">
        <f>SUMIFS('февраль 2026'!$G$2:$G$2649,'февраль 2026'!$D$2:$D$2649,$B182,'февраль 2026'!$J$2:$J$2649,K$1)</f>
        <v>0</v>
      </c>
      <c r="L182" s="144">
        <f>SUMIFS('февраль 2026'!$G$2:$G$2649,'февраль 2026'!$D$2:$D$2649,$B182,'февраль 2026'!$J$2:$J$2649,L$1)</f>
        <v>0</v>
      </c>
      <c r="M182" s="144">
        <f>SUMIFS('февраль 2026'!$G$2:$G$2649,'февраль 2026'!$D$2:$D$2649,$B182,'февраль 2026'!$J$2:$J$2649,M$1)</f>
        <v>0</v>
      </c>
      <c r="N182" s="144">
        <f>SUMIFS('февраль 2026'!$G$2:$G$2649,'февраль 2026'!$D$2:$D$2649,$B182,'февраль 2026'!$J$2:$J$2649,N$1)</f>
        <v>0</v>
      </c>
      <c r="O182" s="144">
        <f>SUMIFS('февраль 2026'!$G$2:$G$2649,'февраль 2026'!$D$2:$D$2649,$B182,'февраль 2026'!$J$2:$J$2649,O$1)</f>
        <v>0</v>
      </c>
      <c r="P182" s="144">
        <f>SUMIFS('февраль 2026'!$G$2:$G$2649,'февраль 2026'!$D$2:$D$2649,$B182,'февраль 2026'!$J$2:$J$2649,P$1)</f>
        <v>0</v>
      </c>
      <c r="Q182" s="144">
        <f>SUMIFS('февраль 2026'!$G$2:$G$2649,'февраль 2026'!$D$2:$D$2649,$B182,'февраль 2026'!$J$2:$J$2649,Q$1)</f>
        <v>0</v>
      </c>
      <c r="R182" s="144">
        <f>SUMIFS('февраль 2026'!$G$2:$G$2649,'февраль 2026'!$D$2:$D$2649,$B182,'февраль 2026'!$J$2:$J$2649,R$1)</f>
        <v>0</v>
      </c>
      <c r="S182" s="144">
        <f>SUMIFS('февраль 2026'!$G$2:$G$2649,'февраль 2026'!$D$2:$D$2649,$B182,'февраль 2026'!$J$2:$J$2649,S$1)</f>
        <v>0</v>
      </c>
      <c r="T182" s="144">
        <f>SUMIFS('февраль 2026'!$G$2:$G$2649,'февраль 2026'!$D$2:$D$2649,$B182,'февраль 2026'!$J$2:$J$2649,T$1)</f>
        <v>0</v>
      </c>
      <c r="U182" s="144">
        <f>SUMIFS('февраль 2026'!$G$2:$G$2649,'февраль 2026'!$D$2:$D$2649,$B182,'февраль 2026'!$J$2:$J$2649,U$1)</f>
        <v>0</v>
      </c>
      <c r="V182" s="144">
        <f>SUMIFS('февраль 2026'!$G$2:$G$2649,'февраль 2026'!$D$2:$D$2649,$B182,'февраль 2026'!$J$2:$J$2649,V$1)</f>
        <v>0</v>
      </c>
      <c r="W182" s="144">
        <f>SUMIFS('февраль 2026'!$G$2:$G$2649,'февраль 2026'!$D$2:$D$2649,$B182,'февраль 2026'!$J$2:$J$2649,W$1)</f>
        <v>0</v>
      </c>
      <c r="X182" s="144">
        <f>SUMIFS('февраль 2026'!$G$2:$G$2649,'февраль 2026'!$D$2:$D$2649,$B182,'февраль 2026'!$J$2:$J$2649,X$1)</f>
        <v>0</v>
      </c>
      <c r="Y182" s="144">
        <f>SUMIFS('февраль 2026'!$G$2:$G$2649,'февраль 2026'!$D$2:$D$2649,$B182,'февраль 2026'!$J$2:$J$2649,Y$1)</f>
        <v>0</v>
      </c>
      <c r="Z182" s="144">
        <f>SUMIFS('февраль 2026'!$G$2:$G$2649,'февраль 2026'!$D$2:$D$2649,$B182,'февраль 2026'!$J$2:$J$2649,Z$1)</f>
        <v>0</v>
      </c>
      <c r="AA182" s="144">
        <f>SUMIFS('февраль 2026'!$G$2:$G$2649,'февраль 2026'!$D$2:$D$2649,$B182,'февраль 2026'!$J$2:$J$2649,AA$1)</f>
        <v>0</v>
      </c>
      <c r="AB182" s="144">
        <f>SUMIFS('февраль 2026'!$G$2:$G$2649,'февраль 2026'!$D$2:$D$2649,$B182,'февраль 2026'!$J$2:$J$2649,AB$1)</f>
        <v>0</v>
      </c>
      <c r="AC182" s="144">
        <f>SUMIFS('февраль 2026'!$G$2:$G$2649,'февраль 2026'!$D$2:$D$2649,$B182,'февраль 2026'!$J$2:$J$2649,AC$1)</f>
        <v>0</v>
      </c>
      <c r="AD182" s="144">
        <f>SUMIFS('февраль 2026'!$G$2:$G$2649,'февраль 2026'!$D$2:$D$2649,$B182,'февраль 2026'!$J$2:$J$2649,AD$1)</f>
        <v>0</v>
      </c>
      <c r="AE182" s="144">
        <f>SUMIFS('февраль 2026'!$G$2:$G$2649,'февраль 2026'!$D$2:$D$2649,$B182,'февраль 2026'!$J$2:$J$2649,AE$1)</f>
        <v>0</v>
      </c>
      <c r="AF182" s="144">
        <f>SUMIFS('февраль 2026'!$G$2:$G$2649,'февраль 2026'!$D$2:$D$2649,$B182,'февраль 2026'!$J$2:$J$2649,AF$1)</f>
        <v>0</v>
      </c>
      <c r="AG182" s="144">
        <f>SUMIFS('февраль 2026'!$G$2:$G$2649,'февраль 2026'!$D$2:$D$2649,$B182,'февраль 2026'!$J$2:$J$2649,AG$1)</f>
        <v>0</v>
      </c>
      <c r="AH182" s="144">
        <f>SUMIFS('февраль 2026'!$G$2:$G$2649,'февраль 2026'!$D$2:$D$2649,$B182,'февраль 2026'!$J$2:$J$2649,AH$1)</f>
        <v>0</v>
      </c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I242"/>
  <sheetViews>
    <sheetView showZeros="0" topLeftCell="A18" zoomScale="70" zoomScaleNormal="70" workbookViewId="0">
      <selection activeCell="B48" sqref="B48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46054</v>
      </c>
      <c r="C1" s="67"/>
      <c r="D1" s="68">
        <f>B1</f>
        <v>46054</v>
      </c>
      <c r="E1" s="68">
        <f>D1+1</f>
        <v>46055</v>
      </c>
      <c r="F1" s="68">
        <f t="shared" ref="F1:AH1" si="0">E1+1</f>
        <v>46056</v>
      </c>
      <c r="G1" s="68">
        <f t="shared" si="0"/>
        <v>46057</v>
      </c>
      <c r="H1" s="68">
        <f t="shared" si="0"/>
        <v>46058</v>
      </c>
      <c r="I1" s="68">
        <f t="shared" si="0"/>
        <v>46059</v>
      </c>
      <c r="J1" s="68">
        <f t="shared" si="0"/>
        <v>46060</v>
      </c>
      <c r="K1" s="68">
        <f t="shared" si="0"/>
        <v>46061</v>
      </c>
      <c r="L1" s="68">
        <f t="shared" si="0"/>
        <v>46062</v>
      </c>
      <c r="M1" s="68">
        <f t="shared" si="0"/>
        <v>46063</v>
      </c>
      <c r="N1" s="68">
        <f t="shared" si="0"/>
        <v>46064</v>
      </c>
      <c r="O1" s="68">
        <f t="shared" si="0"/>
        <v>46065</v>
      </c>
      <c r="P1" s="68">
        <f t="shared" si="0"/>
        <v>46066</v>
      </c>
      <c r="Q1" s="68">
        <f t="shared" si="0"/>
        <v>46067</v>
      </c>
      <c r="R1" s="68">
        <f t="shared" si="0"/>
        <v>46068</v>
      </c>
      <c r="S1" s="68">
        <f t="shared" si="0"/>
        <v>46069</v>
      </c>
      <c r="T1" s="68">
        <f t="shared" si="0"/>
        <v>46070</v>
      </c>
      <c r="U1" s="68">
        <f t="shared" si="0"/>
        <v>46071</v>
      </c>
      <c r="V1" s="68">
        <f t="shared" si="0"/>
        <v>46072</v>
      </c>
      <c r="W1" s="68">
        <f t="shared" si="0"/>
        <v>46073</v>
      </c>
      <c r="X1" s="68">
        <f t="shared" si="0"/>
        <v>46074</v>
      </c>
      <c r="Y1" s="68">
        <f t="shared" si="0"/>
        <v>46075</v>
      </c>
      <c r="Z1" s="68">
        <f t="shared" si="0"/>
        <v>46076</v>
      </c>
      <c r="AA1" s="68">
        <f t="shared" si="0"/>
        <v>46077</v>
      </c>
      <c r="AB1" s="68">
        <f t="shared" si="0"/>
        <v>46078</v>
      </c>
      <c r="AC1" s="68">
        <f t="shared" si="0"/>
        <v>46079</v>
      </c>
      <c r="AD1" s="68">
        <f t="shared" si="0"/>
        <v>46080</v>
      </c>
      <c r="AE1" s="68">
        <f t="shared" si="0"/>
        <v>46081</v>
      </c>
      <c r="AF1" s="68">
        <f t="shared" si="0"/>
        <v>46082</v>
      </c>
      <c r="AG1" s="68">
        <f t="shared" si="0"/>
        <v>46083</v>
      </c>
      <c r="AH1" s="68">
        <f t="shared" si="0"/>
        <v>46084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SUMIFS('февраль 2026'!$G$2:$G$2649,'февраль 2026'!$D$2:$D$2649,$B3,'февраль 2026'!$J$2:$J$2649,D$1)</f>
        <v>0</v>
      </c>
      <c r="E3" s="75">
        <f>SUMIFS('февраль 2026'!$G$2:$G$2649,'февраль 2026'!$D$2:$D$2649,$B3,'февраль 2026'!$J$2:$J$2649,E$1)</f>
        <v>0</v>
      </c>
      <c r="F3" s="75">
        <f>SUMIFS('февраль 2026'!$G$2:$G$2649,'февраль 2026'!$D$2:$D$2649,$B3,'февраль 2026'!$J$2:$J$2649,F$1)</f>
        <v>0</v>
      </c>
      <c r="G3" s="75">
        <f>SUMIFS('февраль 2026'!$G$2:$G$2649,'февраль 2026'!$D$2:$D$2649,$B3,'февраль 2026'!$J$2:$J$2649,G$1)</f>
        <v>0</v>
      </c>
      <c r="H3" s="75">
        <f>SUMIFS('февраль 2026'!$G$2:$G$2649,'февраль 2026'!$D$2:$D$2649,$B3,'февраль 2026'!$J$2:$J$2649,H$1)</f>
        <v>0</v>
      </c>
      <c r="I3" s="75">
        <f>SUMIFS('февраль 2026'!$G$2:$G$2649,'февраль 2026'!$D$2:$D$2649,$B3,'февраль 2026'!$J$2:$J$2649,I$1)</f>
        <v>0</v>
      </c>
      <c r="J3" s="75">
        <f>SUMIFS('февраль 2026'!$G$2:$G$2649,'февраль 2026'!$D$2:$D$2649,$B3,'февраль 2026'!$J$2:$J$2649,J$1)</f>
        <v>0</v>
      </c>
      <c r="K3" s="75">
        <f>SUMIFS('февраль 2026'!$G$2:$G$2649,'февраль 2026'!$D$2:$D$2649,$B3,'февраль 2026'!$J$2:$J$2649,K$1)</f>
        <v>0</v>
      </c>
      <c r="L3" s="75">
        <f>SUMIFS('февраль 2026'!$G$2:$G$2649,'февраль 2026'!$D$2:$D$2649,$B3,'февраль 2026'!$J$2:$J$2649,L$1)</f>
        <v>0</v>
      </c>
      <c r="M3" s="75">
        <f>SUMIFS('февраль 2026'!$G$2:$G$2649,'февраль 2026'!$D$2:$D$2649,$B3,'февраль 2026'!$J$2:$J$2649,M$1)</f>
        <v>0</v>
      </c>
      <c r="N3" s="75">
        <f>SUMIFS('февраль 2026'!$G$2:$G$2649,'февраль 2026'!$D$2:$D$2649,$B3,'февраль 2026'!$J$2:$J$2649,N$1)</f>
        <v>0</v>
      </c>
      <c r="O3" s="75">
        <f>SUMIFS('февраль 2026'!$G$2:$G$2649,'февраль 2026'!$D$2:$D$2649,$B3,'февраль 2026'!$J$2:$J$2649,O$1)</f>
        <v>0</v>
      </c>
      <c r="P3" s="75">
        <f>SUMIFS('февраль 2026'!$G$2:$G$2649,'февраль 2026'!$D$2:$D$2649,$B3,'февраль 2026'!$J$2:$J$2649,P$1)</f>
        <v>0</v>
      </c>
      <c r="Q3" s="75">
        <f>SUMIFS('февраль 2026'!$G$2:$G$2649,'февраль 2026'!$D$2:$D$2649,$B3,'февраль 2026'!$J$2:$J$2649,Q$1)</f>
        <v>0</v>
      </c>
      <c r="R3" s="75">
        <f>SUMIFS('февраль 2026'!$G$2:$G$2649,'февраль 2026'!$D$2:$D$2649,$B3,'февраль 2026'!$J$2:$J$2649,R$1)</f>
        <v>0</v>
      </c>
      <c r="S3" s="75">
        <f>SUMIFS('февраль 2026'!$G$2:$G$2649,'февраль 2026'!$D$2:$D$2649,$B3,'февраль 2026'!$J$2:$J$2649,S$1)</f>
        <v>0</v>
      </c>
      <c r="T3" s="75">
        <f>SUMIFS('февраль 2026'!$G$2:$G$2649,'февраль 2026'!$D$2:$D$2649,$B3,'февраль 2026'!$J$2:$J$2649,T$1)</f>
        <v>0</v>
      </c>
      <c r="U3" s="75">
        <f>SUMIFS('февраль 2026'!$G$2:$G$2649,'февраль 2026'!$D$2:$D$2649,$B3,'февраль 2026'!$J$2:$J$2649,U$1)</f>
        <v>0</v>
      </c>
      <c r="V3" s="75">
        <f>SUMIFS('февраль 2026'!$G$2:$G$2649,'февраль 2026'!$D$2:$D$2649,$B3,'февраль 2026'!$J$2:$J$2649,V$1)</f>
        <v>0</v>
      </c>
      <c r="W3" s="75">
        <f>SUMIFS('февраль 2026'!$G$2:$G$2649,'февраль 2026'!$D$2:$D$2649,$B3,'февраль 2026'!$J$2:$J$2649,W$1)</f>
        <v>0</v>
      </c>
      <c r="X3" s="75">
        <f>SUMIFS('февраль 2026'!$G$2:$G$2649,'февраль 2026'!$D$2:$D$2649,$B3,'февраль 2026'!$J$2:$J$2649,X$1)</f>
        <v>0</v>
      </c>
      <c r="Y3" s="75">
        <f>SUMIFS('февраль 2026'!$G$2:$G$2649,'февраль 2026'!$D$2:$D$2649,$B3,'февраль 2026'!$J$2:$J$2649,Y$1)</f>
        <v>0</v>
      </c>
      <c r="Z3" s="75">
        <f>SUMIFS('февраль 2026'!$G$2:$G$2649,'февраль 2026'!$D$2:$D$2649,$B3,'февраль 2026'!$J$2:$J$2649,Z$1)</f>
        <v>0</v>
      </c>
      <c r="AA3" s="75">
        <f>SUMIFS('февраль 2026'!$G$2:$G$2649,'февраль 2026'!$D$2:$D$2649,$B3,'февраль 2026'!$J$2:$J$2649,AA$1)</f>
        <v>0</v>
      </c>
      <c r="AB3" s="75">
        <f>SUMIFS('февраль 2026'!$G$2:$G$2649,'февраль 2026'!$D$2:$D$2649,$B3,'февраль 2026'!$J$2:$J$2649,AB$1)</f>
        <v>0</v>
      </c>
      <c r="AC3" s="75">
        <f>SUMIFS('февраль 2026'!$G$2:$G$2649,'февраль 2026'!$D$2:$D$2649,$B3,'февраль 2026'!$J$2:$J$2649,AC$1)</f>
        <v>0</v>
      </c>
      <c r="AD3" s="75">
        <f>SUMIFS('февраль 2026'!$G$2:$G$2649,'февраль 2026'!$D$2:$D$2649,$B3,'февраль 2026'!$J$2:$J$2649,AD$1)</f>
        <v>0</v>
      </c>
      <c r="AE3" s="75">
        <f>SUMIFS('февраль 2026'!$G$2:$G$2649,'февраль 2026'!$D$2:$D$2649,$B3,'февраль 2026'!$J$2:$J$2649,AE$1)</f>
        <v>0</v>
      </c>
      <c r="AF3" s="75">
        <f>SUMIFS('февраль 2026'!$G$2:$G$2649,'февраль 2026'!$D$2:$D$2649,$B3,'февраль 2026'!$J$2:$J$2649,AF$1)</f>
        <v>0</v>
      </c>
      <c r="AG3" s="75">
        <f>SUMIFS('февраль 2026'!$G$2:$G$2649,'февраль 2026'!$D$2:$D$2649,$B3,'февраль 2026'!$J$2:$J$2649,AG$1)</f>
        <v>0</v>
      </c>
      <c r="AH3" s="75">
        <f>SUMIFS('февраль 2026'!$G$2:$G$2649,'февраль 2026'!$D$2:$D$2649,$B3,'февраль 2026'!$J$2:$J$2649,AH$1)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SUMIFS('февраль 2026'!$G$2:$G$2649,'февраль 2026'!$D$2:$D$2649,$B4,'февраль 2026'!$J$2:$J$2649,D$1)</f>
        <v>0</v>
      </c>
      <c r="E4" s="75">
        <f>SUMIFS('февраль 2026'!$G$2:$G$2649,'февраль 2026'!$D$2:$D$2649,$B4,'февраль 2026'!$J$2:$J$2649,E$1)</f>
        <v>0</v>
      </c>
      <c r="F4" s="75">
        <f>SUMIFS('февраль 2026'!$G$2:$G$2649,'февраль 2026'!$D$2:$D$2649,$B4,'февраль 2026'!$J$2:$J$2649,F$1)</f>
        <v>800</v>
      </c>
      <c r="G4" s="75">
        <f>SUMIFS('февраль 2026'!$G$2:$G$2649,'февраль 2026'!$D$2:$D$2649,$B4,'февраль 2026'!$J$2:$J$2649,G$1)</f>
        <v>800</v>
      </c>
      <c r="H4" s="75">
        <f>SUMIFS('февраль 2026'!$G$2:$G$2649,'февраль 2026'!$D$2:$D$2649,$B4,'февраль 2026'!$J$2:$J$2649,H$1)</f>
        <v>800</v>
      </c>
      <c r="I4" s="75">
        <f>SUMIFS('февраль 2026'!$G$2:$G$2649,'февраль 2026'!$D$2:$D$2649,$B4,'февраль 2026'!$J$2:$J$2649,I$1)</f>
        <v>0</v>
      </c>
      <c r="J4" s="75">
        <f>SUMIFS('февраль 2026'!$G$2:$G$2649,'февраль 2026'!$D$2:$D$2649,$B4,'февраль 2026'!$J$2:$J$2649,J$1)</f>
        <v>0</v>
      </c>
      <c r="K4" s="75">
        <f>SUMIFS('февраль 2026'!$G$2:$G$2649,'февраль 2026'!$D$2:$D$2649,$B4,'февраль 2026'!$J$2:$J$2649,K$1)</f>
        <v>0</v>
      </c>
      <c r="L4" s="75">
        <f>SUMIFS('февраль 2026'!$G$2:$G$2649,'февраль 2026'!$D$2:$D$2649,$B4,'февраль 2026'!$J$2:$J$2649,L$1)</f>
        <v>0</v>
      </c>
      <c r="M4" s="75">
        <f>SUMIFS('февраль 2026'!$G$2:$G$2649,'февраль 2026'!$D$2:$D$2649,$B4,'февраль 2026'!$J$2:$J$2649,M$1)</f>
        <v>0</v>
      </c>
      <c r="N4" s="75">
        <f>SUMIFS('февраль 2026'!$G$2:$G$2649,'февраль 2026'!$D$2:$D$2649,$B4,'февраль 2026'!$J$2:$J$2649,N$1)</f>
        <v>0</v>
      </c>
      <c r="O4" s="75">
        <f>SUMIFS('февраль 2026'!$G$2:$G$2649,'февраль 2026'!$D$2:$D$2649,$B4,'февраль 2026'!$J$2:$J$2649,O$1)</f>
        <v>800</v>
      </c>
      <c r="P4" s="75">
        <f>SUMIFS('февраль 2026'!$G$2:$G$2649,'февраль 2026'!$D$2:$D$2649,$B4,'февраль 2026'!$J$2:$J$2649,P$1)</f>
        <v>0</v>
      </c>
      <c r="Q4" s="75">
        <f>SUMIFS('февраль 2026'!$G$2:$G$2649,'февраль 2026'!$D$2:$D$2649,$B4,'февраль 2026'!$J$2:$J$2649,Q$1)</f>
        <v>0</v>
      </c>
      <c r="R4" s="75">
        <f>SUMIFS('февраль 2026'!$G$2:$G$2649,'февраль 2026'!$D$2:$D$2649,$B4,'февраль 2026'!$J$2:$J$2649,R$1)</f>
        <v>0</v>
      </c>
      <c r="S4" s="75">
        <f>SUMIFS('февраль 2026'!$G$2:$G$2649,'февраль 2026'!$D$2:$D$2649,$B4,'февраль 2026'!$J$2:$J$2649,S$1)</f>
        <v>1600</v>
      </c>
      <c r="T4" s="75">
        <f>SUMIFS('февраль 2026'!$G$2:$G$2649,'февраль 2026'!$D$2:$D$2649,$B4,'февраль 2026'!$J$2:$J$2649,T$1)</f>
        <v>1600</v>
      </c>
      <c r="U4" s="75">
        <f>SUMIFS('февраль 2026'!$G$2:$G$2649,'февраль 2026'!$D$2:$D$2649,$B4,'февраль 2026'!$J$2:$J$2649,U$1)</f>
        <v>800</v>
      </c>
      <c r="V4" s="75">
        <f>SUMIFS('февраль 2026'!$G$2:$G$2649,'февраль 2026'!$D$2:$D$2649,$B4,'февраль 2026'!$J$2:$J$2649,V$1)</f>
        <v>0</v>
      </c>
      <c r="W4" s="75">
        <f>SUMIFS('февраль 2026'!$G$2:$G$2649,'февраль 2026'!$D$2:$D$2649,$B4,'февраль 2026'!$J$2:$J$2649,W$1)</f>
        <v>0</v>
      </c>
      <c r="X4" s="75">
        <f>SUMIFS('февраль 2026'!$G$2:$G$2649,'февраль 2026'!$D$2:$D$2649,$B4,'февраль 2026'!$J$2:$J$2649,X$1)</f>
        <v>0</v>
      </c>
      <c r="Y4" s="75">
        <f>SUMIFS('февраль 2026'!$G$2:$G$2649,'февраль 2026'!$D$2:$D$2649,$B4,'февраль 2026'!$J$2:$J$2649,Y$1)</f>
        <v>0</v>
      </c>
      <c r="Z4" s="75">
        <f>SUMIFS('февраль 2026'!$G$2:$G$2649,'февраль 2026'!$D$2:$D$2649,$B4,'февраль 2026'!$J$2:$J$2649,Z$1)</f>
        <v>0</v>
      </c>
      <c r="AA4" s="75">
        <f>SUMIFS('февраль 2026'!$G$2:$G$2649,'февраль 2026'!$D$2:$D$2649,$B4,'февраль 2026'!$J$2:$J$2649,AA$1)</f>
        <v>0</v>
      </c>
      <c r="AB4" s="75">
        <f>SUMIFS('февраль 2026'!$G$2:$G$2649,'февраль 2026'!$D$2:$D$2649,$B4,'февраль 2026'!$J$2:$J$2649,AB$1)</f>
        <v>0</v>
      </c>
      <c r="AC4" s="75">
        <f>SUMIFS('февраль 2026'!$G$2:$G$2649,'февраль 2026'!$D$2:$D$2649,$B4,'февраль 2026'!$J$2:$J$2649,AC$1)</f>
        <v>0</v>
      </c>
      <c r="AD4" s="75">
        <f>SUMIFS('февраль 2026'!$G$2:$G$2649,'февраль 2026'!$D$2:$D$2649,$B4,'февраль 2026'!$J$2:$J$2649,AD$1)</f>
        <v>0</v>
      </c>
      <c r="AE4" s="75">
        <f>SUMIFS('февраль 2026'!$G$2:$G$2649,'февраль 2026'!$D$2:$D$2649,$B4,'февраль 2026'!$J$2:$J$2649,AE$1)</f>
        <v>0</v>
      </c>
      <c r="AF4" s="75">
        <f>SUMIFS('февраль 2026'!$G$2:$G$2649,'февраль 2026'!$D$2:$D$2649,$B4,'февраль 2026'!$J$2:$J$2649,AF$1)</f>
        <v>0</v>
      </c>
      <c r="AG4" s="75">
        <f>SUMIFS('февраль 2026'!$G$2:$G$2649,'февраль 2026'!$D$2:$D$2649,$B4,'февраль 2026'!$J$2:$J$2649,AG$1)</f>
        <v>0</v>
      </c>
      <c r="AH4" s="75">
        <f>SUMIFS('февраль 2026'!$G$2:$G$2649,'февраль 2026'!$D$2:$D$2649,$B4,'февраль 2026'!$J$2:$J$2649,AH$1)</f>
        <v>0</v>
      </c>
      <c r="AI4" s="164">
        <f t="shared" si="1"/>
        <v>7200</v>
      </c>
    </row>
    <row r="5" spans="2:35" ht="15" customHeight="1" x14ac:dyDescent="0.25">
      <c r="B5" s="76" t="s">
        <v>210</v>
      </c>
      <c r="C5" s="77">
        <v>25</v>
      </c>
      <c r="D5" s="75">
        <f>SUMIFS('февраль 2026'!$G$2:$G$2649,'февраль 2026'!$D$2:$D$2649,$B5,'февраль 2026'!$J$2:$J$2649,D$1)</f>
        <v>0</v>
      </c>
      <c r="E5" s="75">
        <f>SUMIFS('февраль 2026'!$G$2:$G$2649,'февраль 2026'!$D$2:$D$2649,$B5,'февраль 2026'!$J$2:$J$2649,E$1)</f>
        <v>0</v>
      </c>
      <c r="F5" s="75">
        <f>SUMIFS('февраль 2026'!$G$2:$G$2649,'февраль 2026'!$D$2:$D$2649,$B5,'февраль 2026'!$J$2:$J$2649,F$1)</f>
        <v>0</v>
      </c>
      <c r="G5" s="75">
        <f>SUMIFS('февраль 2026'!$G$2:$G$2649,'февраль 2026'!$D$2:$D$2649,$B5,'февраль 2026'!$J$2:$J$2649,G$1)</f>
        <v>0</v>
      </c>
      <c r="H5" s="75">
        <f>SUMIFS('февраль 2026'!$G$2:$G$2649,'февраль 2026'!$D$2:$D$2649,$B5,'февраль 2026'!$J$2:$J$2649,H$1)</f>
        <v>0</v>
      </c>
      <c r="I5" s="75">
        <f>SUMIFS('февраль 2026'!$G$2:$G$2649,'февраль 2026'!$D$2:$D$2649,$B5,'февраль 2026'!$J$2:$J$2649,I$1)</f>
        <v>0</v>
      </c>
      <c r="J5" s="75">
        <f>SUMIFS('февраль 2026'!$G$2:$G$2649,'февраль 2026'!$D$2:$D$2649,$B5,'февраль 2026'!$J$2:$J$2649,J$1)</f>
        <v>0</v>
      </c>
      <c r="K5" s="75">
        <f>SUMIFS('февраль 2026'!$G$2:$G$2649,'февраль 2026'!$D$2:$D$2649,$B5,'февраль 2026'!$J$2:$J$2649,K$1)</f>
        <v>0</v>
      </c>
      <c r="L5" s="75">
        <f>SUMIFS('февраль 2026'!$G$2:$G$2649,'февраль 2026'!$D$2:$D$2649,$B5,'февраль 2026'!$J$2:$J$2649,L$1)</f>
        <v>0</v>
      </c>
      <c r="M5" s="75">
        <f>SUMIFS('февраль 2026'!$G$2:$G$2649,'февраль 2026'!$D$2:$D$2649,$B5,'февраль 2026'!$J$2:$J$2649,M$1)</f>
        <v>0</v>
      </c>
      <c r="N5" s="75">
        <f>SUMIFS('февраль 2026'!$G$2:$G$2649,'февраль 2026'!$D$2:$D$2649,$B5,'февраль 2026'!$J$2:$J$2649,N$1)</f>
        <v>0</v>
      </c>
      <c r="O5" s="75">
        <f>SUMIFS('февраль 2026'!$G$2:$G$2649,'февраль 2026'!$D$2:$D$2649,$B5,'февраль 2026'!$J$2:$J$2649,O$1)</f>
        <v>0</v>
      </c>
      <c r="P5" s="75">
        <f>SUMIFS('февраль 2026'!$G$2:$G$2649,'февраль 2026'!$D$2:$D$2649,$B5,'февраль 2026'!$J$2:$J$2649,P$1)</f>
        <v>0</v>
      </c>
      <c r="Q5" s="75">
        <f>SUMIFS('февраль 2026'!$G$2:$G$2649,'февраль 2026'!$D$2:$D$2649,$B5,'февраль 2026'!$J$2:$J$2649,Q$1)</f>
        <v>0</v>
      </c>
      <c r="R5" s="75">
        <f>SUMIFS('февраль 2026'!$G$2:$G$2649,'февраль 2026'!$D$2:$D$2649,$B5,'февраль 2026'!$J$2:$J$2649,R$1)</f>
        <v>0</v>
      </c>
      <c r="S5" s="75">
        <f>SUMIFS('февраль 2026'!$G$2:$G$2649,'февраль 2026'!$D$2:$D$2649,$B5,'февраль 2026'!$J$2:$J$2649,S$1)</f>
        <v>0</v>
      </c>
      <c r="T5" s="75">
        <f>SUMIFS('февраль 2026'!$G$2:$G$2649,'февраль 2026'!$D$2:$D$2649,$B5,'февраль 2026'!$J$2:$J$2649,T$1)</f>
        <v>0</v>
      </c>
      <c r="U5" s="75">
        <f>SUMIFS('февраль 2026'!$G$2:$G$2649,'февраль 2026'!$D$2:$D$2649,$B5,'февраль 2026'!$J$2:$J$2649,U$1)</f>
        <v>0</v>
      </c>
      <c r="V5" s="75">
        <f>SUMIFS('февраль 2026'!$G$2:$G$2649,'февраль 2026'!$D$2:$D$2649,$B5,'февраль 2026'!$J$2:$J$2649,V$1)</f>
        <v>0</v>
      </c>
      <c r="W5" s="75">
        <f>SUMIFS('февраль 2026'!$G$2:$G$2649,'февраль 2026'!$D$2:$D$2649,$B5,'февраль 2026'!$J$2:$J$2649,W$1)</f>
        <v>0</v>
      </c>
      <c r="X5" s="75">
        <f>SUMIFS('февраль 2026'!$G$2:$G$2649,'февраль 2026'!$D$2:$D$2649,$B5,'февраль 2026'!$J$2:$J$2649,X$1)</f>
        <v>0</v>
      </c>
      <c r="Y5" s="75">
        <f>SUMIFS('февраль 2026'!$G$2:$G$2649,'февраль 2026'!$D$2:$D$2649,$B5,'февраль 2026'!$J$2:$J$2649,Y$1)</f>
        <v>0</v>
      </c>
      <c r="Z5" s="75">
        <f>SUMIFS('февраль 2026'!$G$2:$G$2649,'февраль 2026'!$D$2:$D$2649,$B5,'февраль 2026'!$J$2:$J$2649,Z$1)</f>
        <v>0</v>
      </c>
      <c r="AA5" s="75">
        <f>SUMIFS('февраль 2026'!$G$2:$G$2649,'февраль 2026'!$D$2:$D$2649,$B5,'февраль 2026'!$J$2:$J$2649,AA$1)</f>
        <v>0</v>
      </c>
      <c r="AB5" s="75">
        <f>SUMIFS('февраль 2026'!$G$2:$G$2649,'февраль 2026'!$D$2:$D$2649,$B5,'февраль 2026'!$J$2:$J$2649,AB$1)</f>
        <v>0</v>
      </c>
      <c r="AC5" s="75">
        <f>SUMIFS('февраль 2026'!$G$2:$G$2649,'февраль 2026'!$D$2:$D$2649,$B5,'февраль 2026'!$J$2:$J$2649,AC$1)</f>
        <v>0</v>
      </c>
      <c r="AD5" s="75">
        <f>SUMIFS('февраль 2026'!$G$2:$G$2649,'февраль 2026'!$D$2:$D$2649,$B5,'февраль 2026'!$J$2:$J$2649,AD$1)</f>
        <v>0</v>
      </c>
      <c r="AE5" s="75">
        <f>SUMIFS('февраль 2026'!$G$2:$G$2649,'февраль 2026'!$D$2:$D$2649,$B5,'февраль 2026'!$J$2:$J$2649,AE$1)</f>
        <v>0</v>
      </c>
      <c r="AF5" s="75">
        <f>SUMIFS('февраль 2026'!$G$2:$G$2649,'февраль 2026'!$D$2:$D$2649,$B5,'февраль 2026'!$J$2:$J$2649,AF$1)</f>
        <v>0</v>
      </c>
      <c r="AG5" s="75">
        <f>SUMIFS('февраль 2026'!$G$2:$G$2649,'февраль 2026'!$D$2:$D$2649,$B5,'февраль 2026'!$J$2:$J$2649,AG$1)</f>
        <v>0</v>
      </c>
      <c r="AH5" s="75">
        <f>SUMIFS('февраль 2026'!$G$2:$G$2649,'февраль 2026'!$D$2:$D$2649,$B5,'февраль 2026'!$J$2:$J$2649,AH$1)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SUMIFS('февраль 2026'!$G$2:$G$2649,'февраль 2026'!$D$2:$D$2649,$B6,'февраль 2026'!$J$2:$J$2649,D$1)</f>
        <v>0</v>
      </c>
      <c r="E6" s="75">
        <f>SUMIFS('февраль 2026'!$G$2:$G$2649,'февраль 2026'!$D$2:$D$2649,$B6,'февраль 2026'!$J$2:$J$2649,E$1)</f>
        <v>0</v>
      </c>
      <c r="F6" s="75">
        <f>SUMIFS('февраль 2026'!$G$2:$G$2649,'февраль 2026'!$D$2:$D$2649,$B6,'февраль 2026'!$J$2:$J$2649,F$1)</f>
        <v>0</v>
      </c>
      <c r="G6" s="75">
        <f>SUMIFS('февраль 2026'!$G$2:$G$2649,'февраль 2026'!$D$2:$D$2649,$B6,'февраль 2026'!$J$2:$J$2649,G$1)</f>
        <v>0</v>
      </c>
      <c r="H6" s="75">
        <f>SUMIFS('февраль 2026'!$G$2:$G$2649,'февраль 2026'!$D$2:$D$2649,$B6,'февраль 2026'!$J$2:$J$2649,H$1)</f>
        <v>0</v>
      </c>
      <c r="I6" s="75">
        <f>SUMIFS('февраль 2026'!$G$2:$G$2649,'февраль 2026'!$D$2:$D$2649,$B6,'февраль 2026'!$J$2:$J$2649,I$1)</f>
        <v>0</v>
      </c>
      <c r="J6" s="75">
        <f>SUMIFS('февраль 2026'!$G$2:$G$2649,'февраль 2026'!$D$2:$D$2649,$B6,'февраль 2026'!$J$2:$J$2649,J$1)</f>
        <v>0</v>
      </c>
      <c r="K6" s="75">
        <f>SUMIFS('февраль 2026'!$G$2:$G$2649,'февраль 2026'!$D$2:$D$2649,$B6,'февраль 2026'!$J$2:$J$2649,K$1)</f>
        <v>0</v>
      </c>
      <c r="L6" s="75">
        <f>SUMIFS('февраль 2026'!$G$2:$G$2649,'февраль 2026'!$D$2:$D$2649,$B6,'февраль 2026'!$J$2:$J$2649,L$1)</f>
        <v>0</v>
      </c>
      <c r="M6" s="75">
        <f>SUMIFS('февраль 2026'!$G$2:$G$2649,'февраль 2026'!$D$2:$D$2649,$B6,'февраль 2026'!$J$2:$J$2649,M$1)</f>
        <v>0</v>
      </c>
      <c r="N6" s="75">
        <f>SUMIFS('февраль 2026'!$G$2:$G$2649,'февраль 2026'!$D$2:$D$2649,$B6,'февраль 2026'!$J$2:$J$2649,N$1)</f>
        <v>0</v>
      </c>
      <c r="O6" s="75">
        <f>SUMIFS('февраль 2026'!$G$2:$G$2649,'февраль 2026'!$D$2:$D$2649,$B6,'февраль 2026'!$J$2:$J$2649,O$1)</f>
        <v>0</v>
      </c>
      <c r="P6" s="75">
        <f>SUMIFS('февраль 2026'!$G$2:$G$2649,'февраль 2026'!$D$2:$D$2649,$B6,'февраль 2026'!$J$2:$J$2649,P$1)</f>
        <v>0</v>
      </c>
      <c r="Q6" s="75">
        <f>SUMIFS('февраль 2026'!$G$2:$G$2649,'февраль 2026'!$D$2:$D$2649,$B6,'февраль 2026'!$J$2:$J$2649,Q$1)</f>
        <v>0</v>
      </c>
      <c r="R6" s="75">
        <f>SUMIFS('февраль 2026'!$G$2:$G$2649,'февраль 2026'!$D$2:$D$2649,$B6,'февраль 2026'!$J$2:$J$2649,R$1)</f>
        <v>0</v>
      </c>
      <c r="S6" s="75">
        <f>SUMIFS('февраль 2026'!$G$2:$G$2649,'февраль 2026'!$D$2:$D$2649,$B6,'февраль 2026'!$J$2:$J$2649,S$1)</f>
        <v>0</v>
      </c>
      <c r="T6" s="75">
        <f>SUMIFS('февраль 2026'!$G$2:$G$2649,'февраль 2026'!$D$2:$D$2649,$B6,'февраль 2026'!$J$2:$J$2649,T$1)</f>
        <v>0</v>
      </c>
      <c r="U6" s="75">
        <f>SUMIFS('февраль 2026'!$G$2:$G$2649,'февраль 2026'!$D$2:$D$2649,$B6,'февраль 2026'!$J$2:$J$2649,U$1)</f>
        <v>0</v>
      </c>
      <c r="V6" s="75">
        <f>SUMIFS('февраль 2026'!$G$2:$G$2649,'февраль 2026'!$D$2:$D$2649,$B6,'февраль 2026'!$J$2:$J$2649,V$1)</f>
        <v>0</v>
      </c>
      <c r="W6" s="75">
        <f>SUMIFS('февраль 2026'!$G$2:$G$2649,'февраль 2026'!$D$2:$D$2649,$B6,'февраль 2026'!$J$2:$J$2649,W$1)</f>
        <v>0</v>
      </c>
      <c r="X6" s="75">
        <f>SUMIFS('февраль 2026'!$G$2:$G$2649,'февраль 2026'!$D$2:$D$2649,$B6,'февраль 2026'!$J$2:$J$2649,X$1)</f>
        <v>0</v>
      </c>
      <c r="Y6" s="75">
        <f>SUMIFS('февраль 2026'!$G$2:$G$2649,'февраль 2026'!$D$2:$D$2649,$B6,'февраль 2026'!$J$2:$J$2649,Y$1)</f>
        <v>0</v>
      </c>
      <c r="Z6" s="75">
        <f>SUMIFS('февраль 2026'!$G$2:$G$2649,'февраль 2026'!$D$2:$D$2649,$B6,'февраль 2026'!$J$2:$J$2649,Z$1)</f>
        <v>0</v>
      </c>
      <c r="AA6" s="75">
        <f>SUMIFS('февраль 2026'!$G$2:$G$2649,'февраль 2026'!$D$2:$D$2649,$B6,'февраль 2026'!$J$2:$J$2649,AA$1)</f>
        <v>0</v>
      </c>
      <c r="AB6" s="75">
        <f>SUMIFS('февраль 2026'!$G$2:$G$2649,'февраль 2026'!$D$2:$D$2649,$B6,'февраль 2026'!$J$2:$J$2649,AB$1)</f>
        <v>0</v>
      </c>
      <c r="AC6" s="75">
        <f>SUMIFS('февраль 2026'!$G$2:$G$2649,'февраль 2026'!$D$2:$D$2649,$B6,'февраль 2026'!$J$2:$J$2649,AC$1)</f>
        <v>0</v>
      </c>
      <c r="AD6" s="75">
        <f>SUMIFS('февраль 2026'!$G$2:$G$2649,'февраль 2026'!$D$2:$D$2649,$B6,'февраль 2026'!$J$2:$J$2649,AD$1)</f>
        <v>0</v>
      </c>
      <c r="AE6" s="75">
        <f>SUMIFS('февраль 2026'!$G$2:$G$2649,'февраль 2026'!$D$2:$D$2649,$B6,'февраль 2026'!$J$2:$J$2649,AE$1)</f>
        <v>0</v>
      </c>
      <c r="AF6" s="75">
        <f>SUMIFS('февраль 2026'!$G$2:$G$2649,'февраль 2026'!$D$2:$D$2649,$B6,'февраль 2026'!$J$2:$J$2649,AF$1)</f>
        <v>0</v>
      </c>
      <c r="AG6" s="75">
        <f>SUMIFS('февраль 2026'!$G$2:$G$2649,'февраль 2026'!$D$2:$D$2649,$B6,'февраль 2026'!$J$2:$J$2649,AG$1)</f>
        <v>0</v>
      </c>
      <c r="AH6" s="75">
        <f>SUMIFS('февраль 2026'!$G$2:$G$2649,'февраль 2026'!$D$2:$D$2649,$B6,'февраль 2026'!$J$2:$J$2649,AH$1)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SUMIFS('февраль 2026'!$G$2:$G$2649,'февраль 2026'!$D$2:$D$2649,$B7,'февраль 2026'!$J$2:$J$2649,D$1)</f>
        <v>0</v>
      </c>
      <c r="E7" s="75">
        <f>SUMIFS('февраль 2026'!$G$2:$G$2649,'февраль 2026'!$D$2:$D$2649,$B7,'февраль 2026'!$J$2:$J$2649,E$1)</f>
        <v>0</v>
      </c>
      <c r="F7" s="75">
        <f>SUMIFS('февраль 2026'!$G$2:$G$2649,'февраль 2026'!$D$2:$D$2649,$B7,'февраль 2026'!$J$2:$J$2649,F$1)</f>
        <v>0</v>
      </c>
      <c r="G7" s="75">
        <f>SUMIFS('февраль 2026'!$G$2:$G$2649,'февраль 2026'!$D$2:$D$2649,$B7,'февраль 2026'!$J$2:$J$2649,G$1)</f>
        <v>0</v>
      </c>
      <c r="H7" s="75">
        <f>SUMIFS('февраль 2026'!$G$2:$G$2649,'февраль 2026'!$D$2:$D$2649,$B7,'февраль 2026'!$J$2:$J$2649,H$1)</f>
        <v>0</v>
      </c>
      <c r="I7" s="75">
        <f>SUMIFS('февраль 2026'!$G$2:$G$2649,'февраль 2026'!$D$2:$D$2649,$B7,'февраль 2026'!$J$2:$J$2649,I$1)</f>
        <v>0</v>
      </c>
      <c r="J7" s="75">
        <f>SUMIFS('февраль 2026'!$G$2:$G$2649,'февраль 2026'!$D$2:$D$2649,$B7,'февраль 2026'!$J$2:$J$2649,J$1)</f>
        <v>0</v>
      </c>
      <c r="K7" s="75">
        <f>SUMIFS('февраль 2026'!$G$2:$G$2649,'февраль 2026'!$D$2:$D$2649,$B7,'февраль 2026'!$J$2:$J$2649,K$1)</f>
        <v>0</v>
      </c>
      <c r="L7" s="75">
        <f>SUMIFS('февраль 2026'!$G$2:$G$2649,'февраль 2026'!$D$2:$D$2649,$B7,'февраль 2026'!$J$2:$J$2649,L$1)</f>
        <v>0</v>
      </c>
      <c r="M7" s="75">
        <f>SUMIFS('февраль 2026'!$G$2:$G$2649,'февраль 2026'!$D$2:$D$2649,$B7,'февраль 2026'!$J$2:$J$2649,M$1)</f>
        <v>0</v>
      </c>
      <c r="N7" s="75">
        <f>SUMIFS('февраль 2026'!$G$2:$G$2649,'февраль 2026'!$D$2:$D$2649,$B7,'февраль 2026'!$J$2:$J$2649,N$1)</f>
        <v>0</v>
      </c>
      <c r="O7" s="75">
        <f>SUMIFS('февраль 2026'!$G$2:$G$2649,'февраль 2026'!$D$2:$D$2649,$B7,'февраль 2026'!$J$2:$J$2649,O$1)</f>
        <v>0</v>
      </c>
      <c r="P7" s="75">
        <f>SUMIFS('февраль 2026'!$G$2:$G$2649,'февраль 2026'!$D$2:$D$2649,$B7,'февраль 2026'!$J$2:$J$2649,P$1)</f>
        <v>0</v>
      </c>
      <c r="Q7" s="75">
        <f>SUMIFS('февраль 2026'!$G$2:$G$2649,'февраль 2026'!$D$2:$D$2649,$B7,'февраль 2026'!$J$2:$J$2649,Q$1)</f>
        <v>0</v>
      </c>
      <c r="R7" s="75">
        <f>SUMIFS('февраль 2026'!$G$2:$G$2649,'февраль 2026'!$D$2:$D$2649,$B7,'февраль 2026'!$J$2:$J$2649,R$1)</f>
        <v>0</v>
      </c>
      <c r="S7" s="75">
        <f>SUMIFS('февраль 2026'!$G$2:$G$2649,'февраль 2026'!$D$2:$D$2649,$B7,'февраль 2026'!$J$2:$J$2649,S$1)</f>
        <v>0</v>
      </c>
      <c r="T7" s="75">
        <f>SUMIFS('февраль 2026'!$G$2:$G$2649,'февраль 2026'!$D$2:$D$2649,$B7,'февраль 2026'!$J$2:$J$2649,T$1)</f>
        <v>0</v>
      </c>
      <c r="U7" s="75">
        <f>SUMIFS('февраль 2026'!$G$2:$G$2649,'февраль 2026'!$D$2:$D$2649,$B7,'февраль 2026'!$J$2:$J$2649,U$1)</f>
        <v>0</v>
      </c>
      <c r="V7" s="75">
        <f>SUMIFS('февраль 2026'!$G$2:$G$2649,'февраль 2026'!$D$2:$D$2649,$B7,'февраль 2026'!$J$2:$J$2649,V$1)</f>
        <v>0</v>
      </c>
      <c r="W7" s="75">
        <f>SUMIFS('февраль 2026'!$G$2:$G$2649,'февраль 2026'!$D$2:$D$2649,$B7,'февраль 2026'!$J$2:$J$2649,W$1)</f>
        <v>0</v>
      </c>
      <c r="X7" s="75">
        <f>SUMIFS('февраль 2026'!$G$2:$G$2649,'февраль 2026'!$D$2:$D$2649,$B7,'февраль 2026'!$J$2:$J$2649,X$1)</f>
        <v>0</v>
      </c>
      <c r="Y7" s="75">
        <f>SUMIFS('февраль 2026'!$G$2:$G$2649,'февраль 2026'!$D$2:$D$2649,$B7,'февраль 2026'!$J$2:$J$2649,Y$1)</f>
        <v>0</v>
      </c>
      <c r="Z7" s="75">
        <f>SUMIFS('февраль 2026'!$G$2:$G$2649,'февраль 2026'!$D$2:$D$2649,$B7,'февраль 2026'!$J$2:$J$2649,Z$1)</f>
        <v>0</v>
      </c>
      <c r="AA7" s="75">
        <f>SUMIFS('февраль 2026'!$G$2:$G$2649,'февраль 2026'!$D$2:$D$2649,$B7,'февраль 2026'!$J$2:$J$2649,AA$1)</f>
        <v>0</v>
      </c>
      <c r="AB7" s="75">
        <f>SUMIFS('февраль 2026'!$G$2:$G$2649,'февраль 2026'!$D$2:$D$2649,$B7,'февраль 2026'!$J$2:$J$2649,AB$1)</f>
        <v>0</v>
      </c>
      <c r="AC7" s="75">
        <f>SUMIFS('февраль 2026'!$G$2:$G$2649,'февраль 2026'!$D$2:$D$2649,$B7,'февраль 2026'!$J$2:$J$2649,AC$1)</f>
        <v>0</v>
      </c>
      <c r="AD7" s="75">
        <f>SUMIFS('февраль 2026'!$G$2:$G$2649,'февраль 2026'!$D$2:$D$2649,$B7,'февраль 2026'!$J$2:$J$2649,AD$1)</f>
        <v>0</v>
      </c>
      <c r="AE7" s="75">
        <f>SUMIFS('февраль 2026'!$G$2:$G$2649,'февраль 2026'!$D$2:$D$2649,$B7,'февраль 2026'!$J$2:$J$2649,AE$1)</f>
        <v>0</v>
      </c>
      <c r="AF7" s="75">
        <f>SUMIFS('февраль 2026'!$G$2:$G$2649,'февраль 2026'!$D$2:$D$2649,$B7,'февраль 2026'!$J$2:$J$2649,AF$1)</f>
        <v>0</v>
      </c>
      <c r="AG7" s="75">
        <f>SUMIFS('февраль 2026'!$G$2:$G$2649,'февраль 2026'!$D$2:$D$2649,$B7,'февраль 2026'!$J$2:$J$2649,AG$1)</f>
        <v>0</v>
      </c>
      <c r="AH7" s="75">
        <f>SUMIFS('февраль 2026'!$G$2:$G$2649,'февраль 2026'!$D$2:$D$2649,$B7,'февраль 2026'!$J$2:$J$2649,AH$1)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SUMIFS('февраль 2026'!$G$2:$G$2649,'февраль 2026'!$D$2:$D$2649,$B8,'февраль 2026'!$J$2:$J$2649,D$1)</f>
        <v>0</v>
      </c>
      <c r="E8" s="75">
        <f>SUMIFS('февраль 2026'!$G$2:$G$2649,'февраль 2026'!$D$2:$D$2649,$B8,'февраль 2026'!$J$2:$J$2649,E$1)</f>
        <v>0</v>
      </c>
      <c r="F8" s="75">
        <f>SUMIFS('февраль 2026'!$G$2:$G$2649,'февраль 2026'!$D$2:$D$2649,$B8,'февраль 2026'!$J$2:$J$2649,F$1)</f>
        <v>0</v>
      </c>
      <c r="G8" s="75">
        <f>SUMIFS('февраль 2026'!$G$2:$G$2649,'февраль 2026'!$D$2:$D$2649,$B8,'февраль 2026'!$J$2:$J$2649,G$1)</f>
        <v>0</v>
      </c>
      <c r="H8" s="75">
        <f>SUMIFS('февраль 2026'!$G$2:$G$2649,'февраль 2026'!$D$2:$D$2649,$B8,'февраль 2026'!$J$2:$J$2649,H$1)</f>
        <v>0</v>
      </c>
      <c r="I8" s="75">
        <f>SUMIFS('февраль 2026'!$G$2:$G$2649,'февраль 2026'!$D$2:$D$2649,$B8,'февраль 2026'!$J$2:$J$2649,I$1)</f>
        <v>0</v>
      </c>
      <c r="J8" s="75">
        <f>SUMIFS('февраль 2026'!$G$2:$G$2649,'февраль 2026'!$D$2:$D$2649,$B8,'февраль 2026'!$J$2:$J$2649,J$1)</f>
        <v>0</v>
      </c>
      <c r="K8" s="75">
        <f>SUMIFS('февраль 2026'!$G$2:$G$2649,'февраль 2026'!$D$2:$D$2649,$B8,'февраль 2026'!$J$2:$J$2649,K$1)</f>
        <v>0</v>
      </c>
      <c r="L8" s="75">
        <f>SUMIFS('февраль 2026'!$G$2:$G$2649,'февраль 2026'!$D$2:$D$2649,$B8,'февраль 2026'!$J$2:$J$2649,L$1)</f>
        <v>0</v>
      </c>
      <c r="M8" s="75">
        <f>SUMIFS('февраль 2026'!$G$2:$G$2649,'февраль 2026'!$D$2:$D$2649,$B8,'февраль 2026'!$J$2:$J$2649,M$1)</f>
        <v>0</v>
      </c>
      <c r="N8" s="75">
        <f>SUMIFS('февраль 2026'!$G$2:$G$2649,'февраль 2026'!$D$2:$D$2649,$B8,'февраль 2026'!$J$2:$J$2649,N$1)</f>
        <v>0</v>
      </c>
      <c r="O8" s="75">
        <f>SUMIFS('февраль 2026'!$G$2:$G$2649,'февраль 2026'!$D$2:$D$2649,$B8,'февраль 2026'!$J$2:$J$2649,O$1)</f>
        <v>0</v>
      </c>
      <c r="P8" s="75">
        <f>SUMIFS('февраль 2026'!$G$2:$G$2649,'февраль 2026'!$D$2:$D$2649,$B8,'февраль 2026'!$J$2:$J$2649,P$1)</f>
        <v>0</v>
      </c>
      <c r="Q8" s="75">
        <f>SUMIFS('февраль 2026'!$G$2:$G$2649,'февраль 2026'!$D$2:$D$2649,$B8,'февраль 2026'!$J$2:$J$2649,Q$1)</f>
        <v>0</v>
      </c>
      <c r="R8" s="75">
        <f>SUMIFS('февраль 2026'!$G$2:$G$2649,'февраль 2026'!$D$2:$D$2649,$B8,'февраль 2026'!$J$2:$J$2649,R$1)</f>
        <v>0</v>
      </c>
      <c r="S8" s="75">
        <f>SUMIFS('февраль 2026'!$G$2:$G$2649,'февраль 2026'!$D$2:$D$2649,$B8,'февраль 2026'!$J$2:$J$2649,S$1)</f>
        <v>0</v>
      </c>
      <c r="T8" s="75">
        <f>SUMIFS('февраль 2026'!$G$2:$G$2649,'февраль 2026'!$D$2:$D$2649,$B8,'февраль 2026'!$J$2:$J$2649,T$1)</f>
        <v>0</v>
      </c>
      <c r="U8" s="75">
        <f>SUMIFS('февраль 2026'!$G$2:$G$2649,'февраль 2026'!$D$2:$D$2649,$B8,'февраль 2026'!$J$2:$J$2649,U$1)</f>
        <v>0</v>
      </c>
      <c r="V8" s="75">
        <f>SUMIFS('февраль 2026'!$G$2:$G$2649,'февраль 2026'!$D$2:$D$2649,$B8,'февраль 2026'!$J$2:$J$2649,V$1)</f>
        <v>0</v>
      </c>
      <c r="W8" s="75">
        <f>SUMIFS('февраль 2026'!$G$2:$G$2649,'февраль 2026'!$D$2:$D$2649,$B8,'февраль 2026'!$J$2:$J$2649,W$1)</f>
        <v>0</v>
      </c>
      <c r="X8" s="75">
        <f>SUMIFS('февраль 2026'!$G$2:$G$2649,'февраль 2026'!$D$2:$D$2649,$B8,'февраль 2026'!$J$2:$J$2649,X$1)</f>
        <v>0</v>
      </c>
      <c r="Y8" s="75">
        <f>SUMIFS('февраль 2026'!$G$2:$G$2649,'февраль 2026'!$D$2:$D$2649,$B8,'февраль 2026'!$J$2:$J$2649,Y$1)</f>
        <v>0</v>
      </c>
      <c r="Z8" s="75">
        <f>SUMIFS('февраль 2026'!$G$2:$G$2649,'февраль 2026'!$D$2:$D$2649,$B8,'февраль 2026'!$J$2:$J$2649,Z$1)</f>
        <v>0</v>
      </c>
      <c r="AA8" s="75">
        <f>SUMIFS('февраль 2026'!$G$2:$G$2649,'февраль 2026'!$D$2:$D$2649,$B8,'февраль 2026'!$J$2:$J$2649,AA$1)</f>
        <v>0</v>
      </c>
      <c r="AB8" s="75">
        <f>SUMIFS('февраль 2026'!$G$2:$G$2649,'февраль 2026'!$D$2:$D$2649,$B8,'февраль 2026'!$J$2:$J$2649,AB$1)</f>
        <v>0</v>
      </c>
      <c r="AC8" s="75">
        <f>SUMIFS('февраль 2026'!$G$2:$G$2649,'февраль 2026'!$D$2:$D$2649,$B8,'февраль 2026'!$J$2:$J$2649,AC$1)</f>
        <v>0</v>
      </c>
      <c r="AD8" s="75">
        <f>SUMIFS('февраль 2026'!$G$2:$G$2649,'февраль 2026'!$D$2:$D$2649,$B8,'февраль 2026'!$J$2:$J$2649,AD$1)</f>
        <v>0</v>
      </c>
      <c r="AE8" s="75">
        <f>SUMIFS('февраль 2026'!$G$2:$G$2649,'февраль 2026'!$D$2:$D$2649,$B8,'февраль 2026'!$J$2:$J$2649,AE$1)</f>
        <v>0</v>
      </c>
      <c r="AF8" s="75">
        <f>SUMIFS('февраль 2026'!$G$2:$G$2649,'февраль 2026'!$D$2:$D$2649,$B8,'февраль 2026'!$J$2:$J$2649,AF$1)</f>
        <v>0</v>
      </c>
      <c r="AG8" s="75">
        <f>SUMIFS('февраль 2026'!$G$2:$G$2649,'февраль 2026'!$D$2:$D$2649,$B8,'февраль 2026'!$J$2:$J$2649,AG$1)</f>
        <v>0</v>
      </c>
      <c r="AH8" s="75">
        <f>SUMIFS('февраль 2026'!$G$2:$G$2649,'февраль 2026'!$D$2:$D$2649,$B8,'февраль 2026'!$J$2:$J$2649,AH$1)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SUMIFS('февраль 2026'!$G$2:$G$2649,'февраль 2026'!$D$2:$D$2649,$B9,'февраль 2026'!$J$2:$J$2649,D$1)</f>
        <v>0</v>
      </c>
      <c r="E9" s="75">
        <f>SUMIFS('февраль 2026'!$G$2:$G$2649,'февраль 2026'!$D$2:$D$2649,$B9,'февраль 2026'!$J$2:$J$2649,E$1)</f>
        <v>0</v>
      </c>
      <c r="F9" s="75">
        <f>SUMIFS('февраль 2026'!$G$2:$G$2649,'февраль 2026'!$D$2:$D$2649,$B9,'февраль 2026'!$J$2:$J$2649,F$1)</f>
        <v>0</v>
      </c>
      <c r="G9" s="75">
        <f>SUMIFS('февраль 2026'!$G$2:$G$2649,'февраль 2026'!$D$2:$D$2649,$B9,'февраль 2026'!$J$2:$J$2649,G$1)</f>
        <v>0</v>
      </c>
      <c r="H9" s="75">
        <f>SUMIFS('февраль 2026'!$G$2:$G$2649,'февраль 2026'!$D$2:$D$2649,$B9,'февраль 2026'!$J$2:$J$2649,H$1)</f>
        <v>0</v>
      </c>
      <c r="I9" s="75">
        <f>SUMIFS('февраль 2026'!$G$2:$G$2649,'февраль 2026'!$D$2:$D$2649,$B9,'февраль 2026'!$J$2:$J$2649,I$1)</f>
        <v>0</v>
      </c>
      <c r="J9" s="75">
        <f>SUMIFS('февраль 2026'!$G$2:$G$2649,'февраль 2026'!$D$2:$D$2649,$B9,'февраль 2026'!$J$2:$J$2649,J$1)</f>
        <v>0</v>
      </c>
      <c r="K9" s="75">
        <f>SUMIFS('февраль 2026'!$G$2:$G$2649,'февраль 2026'!$D$2:$D$2649,$B9,'февраль 2026'!$J$2:$J$2649,K$1)</f>
        <v>0</v>
      </c>
      <c r="L9" s="75">
        <f>SUMIFS('февраль 2026'!$G$2:$G$2649,'февраль 2026'!$D$2:$D$2649,$B9,'февраль 2026'!$J$2:$J$2649,L$1)</f>
        <v>0</v>
      </c>
      <c r="M9" s="75">
        <f>SUMIFS('февраль 2026'!$G$2:$G$2649,'февраль 2026'!$D$2:$D$2649,$B9,'февраль 2026'!$J$2:$J$2649,M$1)</f>
        <v>0</v>
      </c>
      <c r="N9" s="75">
        <f>SUMIFS('февраль 2026'!$G$2:$G$2649,'февраль 2026'!$D$2:$D$2649,$B9,'февраль 2026'!$J$2:$J$2649,N$1)</f>
        <v>0</v>
      </c>
      <c r="O9" s="75">
        <f>SUMIFS('февраль 2026'!$G$2:$G$2649,'февраль 2026'!$D$2:$D$2649,$B9,'февраль 2026'!$J$2:$J$2649,O$1)</f>
        <v>0</v>
      </c>
      <c r="P9" s="75">
        <f>SUMIFS('февраль 2026'!$G$2:$G$2649,'февраль 2026'!$D$2:$D$2649,$B9,'февраль 2026'!$J$2:$J$2649,P$1)</f>
        <v>0</v>
      </c>
      <c r="Q9" s="75">
        <f>SUMIFS('февраль 2026'!$G$2:$G$2649,'февраль 2026'!$D$2:$D$2649,$B9,'февраль 2026'!$J$2:$J$2649,Q$1)</f>
        <v>0</v>
      </c>
      <c r="R9" s="75">
        <f>SUMIFS('февраль 2026'!$G$2:$G$2649,'февраль 2026'!$D$2:$D$2649,$B9,'февраль 2026'!$J$2:$J$2649,R$1)</f>
        <v>0</v>
      </c>
      <c r="S9" s="75">
        <f>SUMIFS('февраль 2026'!$G$2:$G$2649,'февраль 2026'!$D$2:$D$2649,$B9,'февраль 2026'!$J$2:$J$2649,S$1)</f>
        <v>0</v>
      </c>
      <c r="T9" s="75">
        <f>SUMIFS('февраль 2026'!$G$2:$G$2649,'февраль 2026'!$D$2:$D$2649,$B9,'февраль 2026'!$J$2:$J$2649,T$1)</f>
        <v>0</v>
      </c>
      <c r="U9" s="75">
        <f>SUMIFS('февраль 2026'!$G$2:$G$2649,'февраль 2026'!$D$2:$D$2649,$B9,'февраль 2026'!$J$2:$J$2649,U$1)</f>
        <v>0</v>
      </c>
      <c r="V9" s="75">
        <f>SUMIFS('февраль 2026'!$G$2:$G$2649,'февраль 2026'!$D$2:$D$2649,$B9,'февраль 2026'!$J$2:$J$2649,V$1)</f>
        <v>0</v>
      </c>
      <c r="W9" s="75">
        <f>SUMIFS('февраль 2026'!$G$2:$G$2649,'февраль 2026'!$D$2:$D$2649,$B9,'февраль 2026'!$J$2:$J$2649,W$1)</f>
        <v>0</v>
      </c>
      <c r="X9" s="75">
        <f>SUMIFS('февраль 2026'!$G$2:$G$2649,'февраль 2026'!$D$2:$D$2649,$B9,'февраль 2026'!$J$2:$J$2649,X$1)</f>
        <v>0</v>
      </c>
      <c r="Y9" s="75">
        <f>SUMIFS('февраль 2026'!$G$2:$G$2649,'февраль 2026'!$D$2:$D$2649,$B9,'февраль 2026'!$J$2:$J$2649,Y$1)</f>
        <v>0</v>
      </c>
      <c r="Z9" s="75">
        <f>SUMIFS('февраль 2026'!$G$2:$G$2649,'февраль 2026'!$D$2:$D$2649,$B9,'февраль 2026'!$J$2:$J$2649,Z$1)</f>
        <v>0</v>
      </c>
      <c r="AA9" s="75">
        <f>SUMIFS('февраль 2026'!$G$2:$G$2649,'февраль 2026'!$D$2:$D$2649,$B9,'февраль 2026'!$J$2:$J$2649,AA$1)</f>
        <v>0</v>
      </c>
      <c r="AB9" s="75">
        <f>SUMIFS('февраль 2026'!$G$2:$G$2649,'февраль 2026'!$D$2:$D$2649,$B9,'февраль 2026'!$J$2:$J$2649,AB$1)</f>
        <v>0</v>
      </c>
      <c r="AC9" s="75">
        <f>SUMIFS('февраль 2026'!$G$2:$G$2649,'февраль 2026'!$D$2:$D$2649,$B9,'февраль 2026'!$J$2:$J$2649,AC$1)</f>
        <v>0</v>
      </c>
      <c r="AD9" s="75">
        <f>SUMIFS('февраль 2026'!$G$2:$G$2649,'февраль 2026'!$D$2:$D$2649,$B9,'февраль 2026'!$J$2:$J$2649,AD$1)</f>
        <v>0</v>
      </c>
      <c r="AE9" s="75">
        <f>SUMIFS('февраль 2026'!$G$2:$G$2649,'февраль 2026'!$D$2:$D$2649,$B9,'февраль 2026'!$J$2:$J$2649,AE$1)</f>
        <v>0</v>
      </c>
      <c r="AF9" s="75">
        <f>SUMIFS('февраль 2026'!$G$2:$G$2649,'февраль 2026'!$D$2:$D$2649,$B9,'февраль 2026'!$J$2:$J$2649,AF$1)</f>
        <v>0</v>
      </c>
      <c r="AG9" s="75">
        <f>SUMIFS('февраль 2026'!$G$2:$G$2649,'февраль 2026'!$D$2:$D$2649,$B9,'февраль 2026'!$J$2:$J$2649,AG$1)</f>
        <v>0</v>
      </c>
      <c r="AH9" s="75">
        <f>SUMIFS('февраль 2026'!$G$2:$G$2649,'февраль 2026'!$D$2:$D$2649,$B9,'февраль 2026'!$J$2:$J$2649,AH$1)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SUMIFS('февраль 2026'!$G$2:$G$2649,'февраль 2026'!$D$2:$D$2649,$B10,'февраль 2026'!$J$2:$J$2649,D$1)</f>
        <v>0</v>
      </c>
      <c r="E10" s="75">
        <f>SUMIFS('февраль 2026'!$G$2:$G$2649,'февраль 2026'!$D$2:$D$2649,$B10,'февраль 2026'!$J$2:$J$2649,E$1)</f>
        <v>0</v>
      </c>
      <c r="F10" s="75">
        <f>SUMIFS('февраль 2026'!$G$2:$G$2649,'февраль 2026'!$D$2:$D$2649,$B10,'февраль 2026'!$J$2:$J$2649,F$1)</f>
        <v>0</v>
      </c>
      <c r="G10" s="75">
        <f>SUMIFS('февраль 2026'!$G$2:$G$2649,'февраль 2026'!$D$2:$D$2649,$B10,'февраль 2026'!$J$2:$J$2649,G$1)</f>
        <v>0</v>
      </c>
      <c r="H10" s="75">
        <f>SUMIFS('февраль 2026'!$G$2:$G$2649,'февраль 2026'!$D$2:$D$2649,$B10,'февраль 2026'!$J$2:$J$2649,H$1)</f>
        <v>0</v>
      </c>
      <c r="I10" s="75">
        <f>SUMIFS('февраль 2026'!$G$2:$G$2649,'февраль 2026'!$D$2:$D$2649,$B10,'февраль 2026'!$J$2:$J$2649,I$1)</f>
        <v>0</v>
      </c>
      <c r="J10" s="75">
        <f>SUMIFS('февраль 2026'!$G$2:$G$2649,'февраль 2026'!$D$2:$D$2649,$B10,'февраль 2026'!$J$2:$J$2649,J$1)</f>
        <v>0</v>
      </c>
      <c r="K10" s="75">
        <f>SUMIFS('февраль 2026'!$G$2:$G$2649,'февраль 2026'!$D$2:$D$2649,$B10,'февраль 2026'!$J$2:$J$2649,K$1)</f>
        <v>0</v>
      </c>
      <c r="L10" s="75">
        <f>SUMIFS('февраль 2026'!$G$2:$G$2649,'февраль 2026'!$D$2:$D$2649,$B10,'февраль 2026'!$J$2:$J$2649,L$1)</f>
        <v>0</v>
      </c>
      <c r="M10" s="75">
        <f>SUMIFS('февраль 2026'!$G$2:$G$2649,'февраль 2026'!$D$2:$D$2649,$B10,'февраль 2026'!$J$2:$J$2649,M$1)</f>
        <v>0</v>
      </c>
      <c r="N10" s="75">
        <f>SUMIFS('февраль 2026'!$G$2:$G$2649,'февраль 2026'!$D$2:$D$2649,$B10,'февраль 2026'!$J$2:$J$2649,N$1)</f>
        <v>0</v>
      </c>
      <c r="O10" s="75">
        <f>SUMIFS('февраль 2026'!$G$2:$G$2649,'февраль 2026'!$D$2:$D$2649,$B10,'февраль 2026'!$J$2:$J$2649,O$1)</f>
        <v>0</v>
      </c>
      <c r="P10" s="75">
        <f>SUMIFS('февраль 2026'!$G$2:$G$2649,'февраль 2026'!$D$2:$D$2649,$B10,'февраль 2026'!$J$2:$J$2649,P$1)</f>
        <v>0</v>
      </c>
      <c r="Q10" s="75">
        <f>SUMIFS('февраль 2026'!$G$2:$G$2649,'февраль 2026'!$D$2:$D$2649,$B10,'февраль 2026'!$J$2:$J$2649,Q$1)</f>
        <v>0</v>
      </c>
      <c r="R10" s="75">
        <f>SUMIFS('февраль 2026'!$G$2:$G$2649,'февраль 2026'!$D$2:$D$2649,$B10,'февраль 2026'!$J$2:$J$2649,R$1)</f>
        <v>0</v>
      </c>
      <c r="S10" s="75">
        <f>SUMIFS('февраль 2026'!$G$2:$G$2649,'февраль 2026'!$D$2:$D$2649,$B10,'февраль 2026'!$J$2:$J$2649,S$1)</f>
        <v>0</v>
      </c>
      <c r="T10" s="75">
        <f>SUMIFS('февраль 2026'!$G$2:$G$2649,'февраль 2026'!$D$2:$D$2649,$B10,'февраль 2026'!$J$2:$J$2649,T$1)</f>
        <v>0</v>
      </c>
      <c r="U10" s="75">
        <f>SUMIFS('февраль 2026'!$G$2:$G$2649,'февраль 2026'!$D$2:$D$2649,$B10,'февраль 2026'!$J$2:$J$2649,U$1)</f>
        <v>0</v>
      </c>
      <c r="V10" s="75">
        <f>SUMIFS('февраль 2026'!$G$2:$G$2649,'февраль 2026'!$D$2:$D$2649,$B10,'февраль 2026'!$J$2:$J$2649,V$1)</f>
        <v>0</v>
      </c>
      <c r="W10" s="75">
        <f>SUMIFS('февраль 2026'!$G$2:$G$2649,'февраль 2026'!$D$2:$D$2649,$B10,'февраль 2026'!$J$2:$J$2649,W$1)</f>
        <v>0</v>
      </c>
      <c r="X10" s="75">
        <f>SUMIFS('февраль 2026'!$G$2:$G$2649,'февраль 2026'!$D$2:$D$2649,$B10,'февраль 2026'!$J$2:$J$2649,X$1)</f>
        <v>0</v>
      </c>
      <c r="Y10" s="75">
        <f>SUMIFS('февраль 2026'!$G$2:$G$2649,'февраль 2026'!$D$2:$D$2649,$B10,'февраль 2026'!$J$2:$J$2649,Y$1)</f>
        <v>0</v>
      </c>
      <c r="Z10" s="75">
        <f>SUMIFS('февраль 2026'!$G$2:$G$2649,'февраль 2026'!$D$2:$D$2649,$B10,'февраль 2026'!$J$2:$J$2649,Z$1)</f>
        <v>0</v>
      </c>
      <c r="AA10" s="75">
        <f>SUMIFS('февраль 2026'!$G$2:$G$2649,'февраль 2026'!$D$2:$D$2649,$B10,'февраль 2026'!$J$2:$J$2649,AA$1)</f>
        <v>0</v>
      </c>
      <c r="AB10" s="75">
        <f>SUMIFS('февраль 2026'!$G$2:$G$2649,'февраль 2026'!$D$2:$D$2649,$B10,'февраль 2026'!$J$2:$J$2649,AB$1)</f>
        <v>0</v>
      </c>
      <c r="AC10" s="75">
        <f>SUMIFS('февраль 2026'!$G$2:$G$2649,'февраль 2026'!$D$2:$D$2649,$B10,'февраль 2026'!$J$2:$J$2649,AC$1)</f>
        <v>0</v>
      </c>
      <c r="AD10" s="75">
        <f>SUMIFS('февраль 2026'!$G$2:$G$2649,'февраль 2026'!$D$2:$D$2649,$B10,'февраль 2026'!$J$2:$J$2649,AD$1)</f>
        <v>0</v>
      </c>
      <c r="AE10" s="75">
        <f>SUMIFS('февраль 2026'!$G$2:$G$2649,'февраль 2026'!$D$2:$D$2649,$B10,'февраль 2026'!$J$2:$J$2649,AE$1)</f>
        <v>0</v>
      </c>
      <c r="AF10" s="75">
        <f>SUMIFS('февраль 2026'!$G$2:$G$2649,'февраль 2026'!$D$2:$D$2649,$B10,'февраль 2026'!$J$2:$J$2649,AF$1)</f>
        <v>0</v>
      </c>
      <c r="AG10" s="75">
        <f>SUMIFS('февраль 2026'!$G$2:$G$2649,'февраль 2026'!$D$2:$D$2649,$B10,'февраль 2026'!$J$2:$J$2649,AG$1)</f>
        <v>0</v>
      </c>
      <c r="AH10" s="75">
        <f>SUMIFS('февраль 2026'!$G$2:$G$2649,'февраль 2026'!$D$2:$D$2649,$B10,'февраль 2026'!$J$2:$J$2649,AH$1)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SUMIFS('февраль 2026'!$G$2:$G$2649,'февраль 2026'!$D$2:$D$2649,$B11,'февраль 2026'!$J$2:$J$2649,D$1)</f>
        <v>0</v>
      </c>
      <c r="E11" s="75">
        <f>SUMIFS('февраль 2026'!$G$2:$G$2649,'февраль 2026'!$D$2:$D$2649,$B11,'февраль 2026'!$J$2:$J$2649,E$1)</f>
        <v>400</v>
      </c>
      <c r="F11" s="75">
        <f>SUMIFS('февраль 2026'!$G$2:$G$2649,'февраль 2026'!$D$2:$D$2649,$B11,'февраль 2026'!$J$2:$J$2649,F$1)</f>
        <v>0</v>
      </c>
      <c r="G11" s="75">
        <f>SUMIFS('февраль 2026'!$G$2:$G$2649,'февраль 2026'!$D$2:$D$2649,$B11,'февраль 2026'!$J$2:$J$2649,G$1)</f>
        <v>0</v>
      </c>
      <c r="H11" s="75">
        <f>SUMIFS('февраль 2026'!$G$2:$G$2649,'февраль 2026'!$D$2:$D$2649,$B11,'февраль 2026'!$J$2:$J$2649,H$1)</f>
        <v>0</v>
      </c>
      <c r="I11" s="75">
        <f>SUMIFS('февраль 2026'!$G$2:$G$2649,'февраль 2026'!$D$2:$D$2649,$B11,'февраль 2026'!$J$2:$J$2649,I$1)</f>
        <v>800</v>
      </c>
      <c r="J11" s="75">
        <f>SUMIFS('февраль 2026'!$G$2:$G$2649,'февраль 2026'!$D$2:$D$2649,$B11,'февраль 2026'!$J$2:$J$2649,J$1)</f>
        <v>0</v>
      </c>
      <c r="K11" s="75">
        <f>SUMIFS('февраль 2026'!$G$2:$G$2649,'февраль 2026'!$D$2:$D$2649,$B11,'февраль 2026'!$J$2:$J$2649,K$1)</f>
        <v>0</v>
      </c>
      <c r="L11" s="75">
        <f>SUMIFS('февраль 2026'!$G$2:$G$2649,'февраль 2026'!$D$2:$D$2649,$B11,'февраль 2026'!$J$2:$J$2649,L$1)</f>
        <v>0</v>
      </c>
      <c r="M11" s="75">
        <f>SUMIFS('февраль 2026'!$G$2:$G$2649,'февраль 2026'!$D$2:$D$2649,$B11,'февраль 2026'!$J$2:$J$2649,M$1)</f>
        <v>0</v>
      </c>
      <c r="N11" s="75">
        <f>SUMIFS('февраль 2026'!$G$2:$G$2649,'февраль 2026'!$D$2:$D$2649,$B11,'февраль 2026'!$J$2:$J$2649,N$1)</f>
        <v>0</v>
      </c>
      <c r="O11" s="75">
        <f>SUMIFS('февраль 2026'!$G$2:$G$2649,'февраль 2026'!$D$2:$D$2649,$B11,'февраль 2026'!$J$2:$J$2649,O$1)</f>
        <v>0</v>
      </c>
      <c r="P11" s="75">
        <f>SUMIFS('февраль 2026'!$G$2:$G$2649,'февраль 2026'!$D$2:$D$2649,$B11,'февраль 2026'!$J$2:$J$2649,P$1)</f>
        <v>0</v>
      </c>
      <c r="Q11" s="75">
        <f>SUMIFS('февраль 2026'!$G$2:$G$2649,'февраль 2026'!$D$2:$D$2649,$B11,'февраль 2026'!$J$2:$J$2649,Q$1)</f>
        <v>0</v>
      </c>
      <c r="R11" s="75">
        <f>SUMIFS('февраль 2026'!$G$2:$G$2649,'февраль 2026'!$D$2:$D$2649,$B11,'февраль 2026'!$J$2:$J$2649,R$1)</f>
        <v>0</v>
      </c>
      <c r="S11" s="75">
        <f>SUMIFS('февраль 2026'!$G$2:$G$2649,'февраль 2026'!$D$2:$D$2649,$B11,'февраль 2026'!$J$2:$J$2649,S$1)</f>
        <v>0</v>
      </c>
      <c r="T11" s="75">
        <f>SUMIFS('февраль 2026'!$G$2:$G$2649,'февраль 2026'!$D$2:$D$2649,$B11,'февраль 2026'!$J$2:$J$2649,T$1)</f>
        <v>400</v>
      </c>
      <c r="U11" s="75">
        <f>SUMIFS('февраль 2026'!$G$2:$G$2649,'февраль 2026'!$D$2:$D$2649,$B11,'февраль 2026'!$J$2:$J$2649,U$1)</f>
        <v>600</v>
      </c>
      <c r="V11" s="75">
        <f>SUMIFS('февраль 2026'!$G$2:$G$2649,'февраль 2026'!$D$2:$D$2649,$B11,'февраль 2026'!$J$2:$J$2649,V$1)</f>
        <v>0</v>
      </c>
      <c r="W11" s="75">
        <f>SUMIFS('февраль 2026'!$G$2:$G$2649,'февраль 2026'!$D$2:$D$2649,$B11,'февраль 2026'!$J$2:$J$2649,W$1)</f>
        <v>400</v>
      </c>
      <c r="X11" s="75">
        <f>SUMIFS('февраль 2026'!$G$2:$G$2649,'февраль 2026'!$D$2:$D$2649,$B11,'февраль 2026'!$J$2:$J$2649,X$1)</f>
        <v>0</v>
      </c>
      <c r="Y11" s="75">
        <f>SUMIFS('февраль 2026'!$G$2:$G$2649,'февраль 2026'!$D$2:$D$2649,$B11,'февраль 2026'!$J$2:$J$2649,Y$1)</f>
        <v>0</v>
      </c>
      <c r="Z11" s="75">
        <f>SUMIFS('февраль 2026'!$G$2:$G$2649,'февраль 2026'!$D$2:$D$2649,$B11,'февраль 2026'!$J$2:$J$2649,Z$1)</f>
        <v>0</v>
      </c>
      <c r="AA11" s="75">
        <f>SUMIFS('февраль 2026'!$G$2:$G$2649,'февраль 2026'!$D$2:$D$2649,$B11,'февраль 2026'!$J$2:$J$2649,AA$1)</f>
        <v>1600</v>
      </c>
      <c r="AB11" s="75">
        <f>SUMIFS('февраль 2026'!$G$2:$G$2649,'февраль 2026'!$D$2:$D$2649,$B11,'февраль 2026'!$J$2:$J$2649,AB$1)</f>
        <v>0</v>
      </c>
      <c r="AC11" s="75">
        <f>SUMIFS('февраль 2026'!$G$2:$G$2649,'февраль 2026'!$D$2:$D$2649,$B11,'февраль 2026'!$J$2:$J$2649,AC$1)</f>
        <v>0</v>
      </c>
      <c r="AD11" s="75">
        <f>SUMIFS('февраль 2026'!$G$2:$G$2649,'февраль 2026'!$D$2:$D$2649,$B11,'февраль 2026'!$J$2:$J$2649,AD$1)</f>
        <v>800</v>
      </c>
      <c r="AE11" s="75">
        <f>SUMIFS('февраль 2026'!$G$2:$G$2649,'февраль 2026'!$D$2:$D$2649,$B11,'февраль 2026'!$J$2:$J$2649,AE$1)</f>
        <v>0</v>
      </c>
      <c r="AF11" s="75">
        <f>SUMIFS('февраль 2026'!$G$2:$G$2649,'февраль 2026'!$D$2:$D$2649,$B11,'февраль 2026'!$J$2:$J$2649,AF$1)</f>
        <v>0</v>
      </c>
      <c r="AG11" s="75">
        <f>SUMIFS('февраль 2026'!$G$2:$G$2649,'февраль 2026'!$D$2:$D$2649,$B11,'февраль 2026'!$J$2:$J$2649,AG$1)</f>
        <v>0</v>
      </c>
      <c r="AH11" s="75">
        <f>SUMIFS('февраль 2026'!$G$2:$G$2649,'февраль 2026'!$D$2:$D$2649,$B11,'февраль 2026'!$J$2:$J$2649,AH$1)</f>
        <v>0</v>
      </c>
      <c r="AI11" s="20">
        <f t="shared" si="1"/>
        <v>5000</v>
      </c>
    </row>
    <row r="12" spans="2:35" ht="15" customHeight="1" x14ac:dyDescent="0.25">
      <c r="B12" s="79" t="s">
        <v>224</v>
      </c>
      <c r="C12" s="80">
        <v>22.68</v>
      </c>
      <c r="D12" s="75">
        <f>SUMIFS('февраль 2026'!$G$2:$G$2649,'февраль 2026'!$D$2:$D$2649,$B12,'февраль 2026'!$J$2:$J$2649,D$1)</f>
        <v>0</v>
      </c>
      <c r="E12" s="75">
        <f>SUMIFS('февраль 2026'!$G$2:$G$2649,'февраль 2026'!$D$2:$D$2649,$B12,'февраль 2026'!$J$2:$J$2649,E$1)</f>
        <v>0</v>
      </c>
      <c r="F12" s="75">
        <f>SUMIFS('февраль 2026'!$G$2:$G$2649,'февраль 2026'!$D$2:$D$2649,$B12,'февраль 2026'!$J$2:$J$2649,F$1)</f>
        <v>0</v>
      </c>
      <c r="G12" s="75">
        <f>SUMIFS('февраль 2026'!$G$2:$G$2649,'февраль 2026'!$D$2:$D$2649,$B12,'февраль 2026'!$J$2:$J$2649,G$1)</f>
        <v>0</v>
      </c>
      <c r="H12" s="75">
        <f>SUMIFS('февраль 2026'!$G$2:$G$2649,'февраль 2026'!$D$2:$D$2649,$B12,'февраль 2026'!$J$2:$J$2649,H$1)</f>
        <v>0</v>
      </c>
      <c r="I12" s="75">
        <f>SUMIFS('февраль 2026'!$G$2:$G$2649,'февраль 2026'!$D$2:$D$2649,$B12,'февраль 2026'!$J$2:$J$2649,I$1)</f>
        <v>0</v>
      </c>
      <c r="J12" s="75">
        <f>SUMIFS('февраль 2026'!$G$2:$G$2649,'февраль 2026'!$D$2:$D$2649,$B12,'февраль 2026'!$J$2:$J$2649,J$1)</f>
        <v>0</v>
      </c>
      <c r="K12" s="75">
        <f>SUMIFS('февраль 2026'!$G$2:$G$2649,'февраль 2026'!$D$2:$D$2649,$B12,'февраль 2026'!$J$2:$J$2649,K$1)</f>
        <v>0</v>
      </c>
      <c r="L12" s="75">
        <f>SUMIFS('февраль 2026'!$G$2:$G$2649,'февраль 2026'!$D$2:$D$2649,$B12,'февраль 2026'!$J$2:$J$2649,L$1)</f>
        <v>0</v>
      </c>
      <c r="M12" s="75">
        <f>SUMIFS('февраль 2026'!$G$2:$G$2649,'февраль 2026'!$D$2:$D$2649,$B12,'февраль 2026'!$J$2:$J$2649,M$1)</f>
        <v>0</v>
      </c>
      <c r="N12" s="75">
        <f>SUMIFS('февраль 2026'!$G$2:$G$2649,'февраль 2026'!$D$2:$D$2649,$B12,'февраль 2026'!$J$2:$J$2649,N$1)</f>
        <v>0</v>
      </c>
      <c r="O12" s="75">
        <f>SUMIFS('февраль 2026'!$G$2:$G$2649,'февраль 2026'!$D$2:$D$2649,$B12,'февраль 2026'!$J$2:$J$2649,O$1)</f>
        <v>0</v>
      </c>
      <c r="P12" s="75">
        <f>SUMIFS('февраль 2026'!$G$2:$G$2649,'февраль 2026'!$D$2:$D$2649,$B12,'февраль 2026'!$J$2:$J$2649,P$1)</f>
        <v>0</v>
      </c>
      <c r="Q12" s="75">
        <f>SUMIFS('февраль 2026'!$G$2:$G$2649,'февраль 2026'!$D$2:$D$2649,$B12,'февраль 2026'!$J$2:$J$2649,Q$1)</f>
        <v>0</v>
      </c>
      <c r="R12" s="75">
        <f>SUMIFS('февраль 2026'!$G$2:$G$2649,'февраль 2026'!$D$2:$D$2649,$B12,'февраль 2026'!$J$2:$J$2649,R$1)</f>
        <v>0</v>
      </c>
      <c r="S12" s="75">
        <f>SUMIFS('февраль 2026'!$G$2:$G$2649,'февраль 2026'!$D$2:$D$2649,$B12,'февраль 2026'!$J$2:$J$2649,S$1)</f>
        <v>0</v>
      </c>
      <c r="T12" s="75">
        <f>SUMIFS('февраль 2026'!$G$2:$G$2649,'февраль 2026'!$D$2:$D$2649,$B12,'февраль 2026'!$J$2:$J$2649,T$1)</f>
        <v>0</v>
      </c>
      <c r="U12" s="75">
        <f>SUMIFS('февраль 2026'!$G$2:$G$2649,'февраль 2026'!$D$2:$D$2649,$B12,'февраль 2026'!$J$2:$J$2649,U$1)</f>
        <v>0</v>
      </c>
      <c r="V12" s="75">
        <f>SUMIFS('февраль 2026'!$G$2:$G$2649,'февраль 2026'!$D$2:$D$2649,$B12,'февраль 2026'!$J$2:$J$2649,V$1)</f>
        <v>0</v>
      </c>
      <c r="W12" s="75">
        <f>SUMIFS('февраль 2026'!$G$2:$G$2649,'февраль 2026'!$D$2:$D$2649,$B12,'февраль 2026'!$J$2:$J$2649,W$1)</f>
        <v>0</v>
      </c>
      <c r="X12" s="75">
        <f>SUMIFS('февраль 2026'!$G$2:$G$2649,'февраль 2026'!$D$2:$D$2649,$B12,'февраль 2026'!$J$2:$J$2649,X$1)</f>
        <v>0</v>
      </c>
      <c r="Y12" s="75">
        <f>SUMIFS('февраль 2026'!$G$2:$G$2649,'февраль 2026'!$D$2:$D$2649,$B12,'февраль 2026'!$J$2:$J$2649,Y$1)</f>
        <v>0</v>
      </c>
      <c r="Z12" s="75">
        <f>SUMIFS('февраль 2026'!$G$2:$G$2649,'февраль 2026'!$D$2:$D$2649,$B12,'февраль 2026'!$J$2:$J$2649,Z$1)</f>
        <v>0</v>
      </c>
      <c r="AA12" s="75">
        <f>SUMIFS('февраль 2026'!$G$2:$G$2649,'февраль 2026'!$D$2:$D$2649,$B12,'февраль 2026'!$J$2:$J$2649,AA$1)</f>
        <v>0</v>
      </c>
      <c r="AB12" s="75">
        <f>SUMIFS('февраль 2026'!$G$2:$G$2649,'февраль 2026'!$D$2:$D$2649,$B12,'февраль 2026'!$J$2:$J$2649,AB$1)</f>
        <v>0</v>
      </c>
      <c r="AC12" s="75">
        <f>SUMIFS('февраль 2026'!$G$2:$G$2649,'февраль 2026'!$D$2:$D$2649,$B12,'февраль 2026'!$J$2:$J$2649,AC$1)</f>
        <v>0</v>
      </c>
      <c r="AD12" s="75">
        <f>SUMIFS('февраль 2026'!$G$2:$G$2649,'февраль 2026'!$D$2:$D$2649,$B12,'февраль 2026'!$J$2:$J$2649,AD$1)</f>
        <v>0</v>
      </c>
      <c r="AE12" s="75">
        <f>SUMIFS('февраль 2026'!$G$2:$G$2649,'февраль 2026'!$D$2:$D$2649,$B12,'февраль 2026'!$J$2:$J$2649,AE$1)</f>
        <v>0</v>
      </c>
      <c r="AF12" s="75">
        <f>SUMIFS('февраль 2026'!$G$2:$G$2649,'февраль 2026'!$D$2:$D$2649,$B12,'февраль 2026'!$J$2:$J$2649,AF$1)</f>
        <v>0</v>
      </c>
      <c r="AG12" s="75">
        <f>SUMIFS('февраль 2026'!$G$2:$G$2649,'февраль 2026'!$D$2:$D$2649,$B12,'февраль 2026'!$J$2:$J$2649,AG$1)</f>
        <v>0</v>
      </c>
      <c r="AH12" s="75">
        <f>SUMIFS('февраль 2026'!$G$2:$G$2649,'февраль 2026'!$D$2:$D$2649,$B12,'февраль 2026'!$J$2:$J$2649,AH$1)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SUMIFS('февраль 2026'!$G$2:$G$2649,'февраль 2026'!$D$2:$D$2649,$B13,'февраль 2026'!$J$2:$J$2649,D$1)</f>
        <v>0</v>
      </c>
      <c r="E13" s="75">
        <f>SUMIFS('февраль 2026'!$G$2:$G$2649,'февраль 2026'!$D$2:$D$2649,$B13,'февраль 2026'!$J$2:$J$2649,E$1)</f>
        <v>0</v>
      </c>
      <c r="F13" s="75">
        <f>SUMIFS('февраль 2026'!$G$2:$G$2649,'февраль 2026'!$D$2:$D$2649,$B13,'февраль 2026'!$J$2:$J$2649,F$1)</f>
        <v>0</v>
      </c>
      <c r="G13" s="75">
        <f>SUMIFS('февраль 2026'!$G$2:$G$2649,'февраль 2026'!$D$2:$D$2649,$B13,'февраль 2026'!$J$2:$J$2649,G$1)</f>
        <v>0</v>
      </c>
      <c r="H13" s="75">
        <f>SUMIFS('февраль 2026'!$G$2:$G$2649,'февраль 2026'!$D$2:$D$2649,$B13,'февраль 2026'!$J$2:$J$2649,H$1)</f>
        <v>0</v>
      </c>
      <c r="I13" s="75">
        <f>SUMIFS('февраль 2026'!$G$2:$G$2649,'февраль 2026'!$D$2:$D$2649,$B13,'февраль 2026'!$J$2:$J$2649,I$1)</f>
        <v>0</v>
      </c>
      <c r="J13" s="75">
        <f>SUMIFS('февраль 2026'!$G$2:$G$2649,'февраль 2026'!$D$2:$D$2649,$B13,'февраль 2026'!$J$2:$J$2649,J$1)</f>
        <v>0</v>
      </c>
      <c r="K13" s="75">
        <f>SUMIFS('февраль 2026'!$G$2:$G$2649,'февраль 2026'!$D$2:$D$2649,$B13,'февраль 2026'!$J$2:$J$2649,K$1)</f>
        <v>0</v>
      </c>
      <c r="L13" s="75">
        <f>SUMIFS('февраль 2026'!$G$2:$G$2649,'февраль 2026'!$D$2:$D$2649,$B13,'февраль 2026'!$J$2:$J$2649,L$1)</f>
        <v>0</v>
      </c>
      <c r="M13" s="75">
        <f>SUMIFS('февраль 2026'!$G$2:$G$2649,'февраль 2026'!$D$2:$D$2649,$B13,'февраль 2026'!$J$2:$J$2649,M$1)</f>
        <v>0</v>
      </c>
      <c r="N13" s="75">
        <f>SUMIFS('февраль 2026'!$G$2:$G$2649,'февраль 2026'!$D$2:$D$2649,$B13,'февраль 2026'!$J$2:$J$2649,N$1)</f>
        <v>0</v>
      </c>
      <c r="O13" s="75">
        <f>SUMIFS('февраль 2026'!$G$2:$G$2649,'февраль 2026'!$D$2:$D$2649,$B13,'февраль 2026'!$J$2:$J$2649,O$1)</f>
        <v>0</v>
      </c>
      <c r="P13" s="75">
        <f>SUMIFS('февраль 2026'!$G$2:$G$2649,'февраль 2026'!$D$2:$D$2649,$B13,'февраль 2026'!$J$2:$J$2649,P$1)</f>
        <v>0</v>
      </c>
      <c r="Q13" s="75">
        <f>SUMIFS('февраль 2026'!$G$2:$G$2649,'февраль 2026'!$D$2:$D$2649,$B13,'февраль 2026'!$J$2:$J$2649,Q$1)</f>
        <v>0</v>
      </c>
      <c r="R13" s="75">
        <f>SUMIFS('февраль 2026'!$G$2:$G$2649,'февраль 2026'!$D$2:$D$2649,$B13,'февраль 2026'!$J$2:$J$2649,R$1)</f>
        <v>0</v>
      </c>
      <c r="S13" s="75">
        <f>SUMIFS('февраль 2026'!$G$2:$G$2649,'февраль 2026'!$D$2:$D$2649,$B13,'февраль 2026'!$J$2:$J$2649,S$1)</f>
        <v>0</v>
      </c>
      <c r="T13" s="75">
        <f>SUMIFS('февраль 2026'!$G$2:$G$2649,'февраль 2026'!$D$2:$D$2649,$B13,'февраль 2026'!$J$2:$J$2649,T$1)</f>
        <v>0</v>
      </c>
      <c r="U13" s="75">
        <f>SUMIFS('февраль 2026'!$G$2:$G$2649,'февраль 2026'!$D$2:$D$2649,$B13,'февраль 2026'!$J$2:$J$2649,U$1)</f>
        <v>0</v>
      </c>
      <c r="V13" s="75">
        <f>SUMIFS('февраль 2026'!$G$2:$G$2649,'февраль 2026'!$D$2:$D$2649,$B13,'февраль 2026'!$J$2:$J$2649,V$1)</f>
        <v>0</v>
      </c>
      <c r="W13" s="75">
        <f>SUMIFS('февраль 2026'!$G$2:$G$2649,'февраль 2026'!$D$2:$D$2649,$B13,'февраль 2026'!$J$2:$J$2649,W$1)</f>
        <v>0</v>
      </c>
      <c r="X13" s="75">
        <f>SUMIFS('февраль 2026'!$G$2:$G$2649,'февраль 2026'!$D$2:$D$2649,$B13,'февраль 2026'!$J$2:$J$2649,X$1)</f>
        <v>0</v>
      </c>
      <c r="Y13" s="75">
        <f>SUMIFS('февраль 2026'!$G$2:$G$2649,'февраль 2026'!$D$2:$D$2649,$B13,'февраль 2026'!$J$2:$J$2649,Y$1)</f>
        <v>0</v>
      </c>
      <c r="Z13" s="75">
        <f>SUMIFS('февраль 2026'!$G$2:$G$2649,'февраль 2026'!$D$2:$D$2649,$B13,'февраль 2026'!$J$2:$J$2649,Z$1)</f>
        <v>0</v>
      </c>
      <c r="AA13" s="75">
        <f>SUMIFS('февраль 2026'!$G$2:$G$2649,'февраль 2026'!$D$2:$D$2649,$B13,'февраль 2026'!$J$2:$J$2649,AA$1)</f>
        <v>0</v>
      </c>
      <c r="AB13" s="75">
        <f>SUMIFS('февраль 2026'!$G$2:$G$2649,'февраль 2026'!$D$2:$D$2649,$B13,'февраль 2026'!$J$2:$J$2649,AB$1)</f>
        <v>0</v>
      </c>
      <c r="AC13" s="75">
        <f>SUMIFS('февраль 2026'!$G$2:$G$2649,'февраль 2026'!$D$2:$D$2649,$B13,'февраль 2026'!$J$2:$J$2649,AC$1)</f>
        <v>0</v>
      </c>
      <c r="AD13" s="75">
        <f>SUMIFS('февраль 2026'!$G$2:$G$2649,'февраль 2026'!$D$2:$D$2649,$B13,'февраль 2026'!$J$2:$J$2649,AD$1)</f>
        <v>0</v>
      </c>
      <c r="AE13" s="75">
        <f>SUMIFS('февраль 2026'!$G$2:$G$2649,'февраль 2026'!$D$2:$D$2649,$B13,'февраль 2026'!$J$2:$J$2649,AE$1)</f>
        <v>0</v>
      </c>
      <c r="AF13" s="75">
        <f>SUMIFS('февраль 2026'!$G$2:$G$2649,'февраль 2026'!$D$2:$D$2649,$B13,'февраль 2026'!$J$2:$J$2649,AF$1)</f>
        <v>0</v>
      </c>
      <c r="AG13" s="75">
        <f>SUMIFS('февраль 2026'!$G$2:$G$2649,'февраль 2026'!$D$2:$D$2649,$B13,'февраль 2026'!$J$2:$J$2649,AG$1)</f>
        <v>0</v>
      </c>
      <c r="AH13" s="75">
        <f>SUMIFS('февраль 2026'!$G$2:$G$2649,'февраль 2026'!$D$2:$D$2649,$B13,'февраль 2026'!$J$2:$J$2649,AH$1)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SUMIFS('февраль 2026'!$G$2:$G$2649,'февраль 2026'!$D$2:$D$2649,$B14,'февраль 2026'!$J$2:$J$2649,D$1)</f>
        <v>0</v>
      </c>
      <c r="E14" s="75">
        <f>SUMIFS('февраль 2026'!$G$2:$G$2649,'февраль 2026'!$D$2:$D$2649,$B14,'февраль 2026'!$J$2:$J$2649,E$1)</f>
        <v>0</v>
      </c>
      <c r="F14" s="75">
        <f>SUMIFS('февраль 2026'!$G$2:$G$2649,'февраль 2026'!$D$2:$D$2649,$B14,'февраль 2026'!$J$2:$J$2649,F$1)</f>
        <v>0</v>
      </c>
      <c r="G14" s="75">
        <f>SUMIFS('февраль 2026'!$G$2:$G$2649,'февраль 2026'!$D$2:$D$2649,$B14,'февраль 2026'!$J$2:$J$2649,G$1)</f>
        <v>0</v>
      </c>
      <c r="H14" s="75">
        <f>SUMIFS('февраль 2026'!$G$2:$G$2649,'февраль 2026'!$D$2:$D$2649,$B14,'февраль 2026'!$J$2:$J$2649,H$1)</f>
        <v>0</v>
      </c>
      <c r="I14" s="75">
        <f>SUMIFS('февраль 2026'!$G$2:$G$2649,'февраль 2026'!$D$2:$D$2649,$B14,'февраль 2026'!$J$2:$J$2649,I$1)</f>
        <v>0</v>
      </c>
      <c r="J14" s="75">
        <f>SUMIFS('февраль 2026'!$G$2:$G$2649,'февраль 2026'!$D$2:$D$2649,$B14,'февраль 2026'!$J$2:$J$2649,J$1)</f>
        <v>0</v>
      </c>
      <c r="K14" s="75">
        <f>SUMIFS('февраль 2026'!$G$2:$G$2649,'февраль 2026'!$D$2:$D$2649,$B14,'февраль 2026'!$J$2:$J$2649,K$1)</f>
        <v>0</v>
      </c>
      <c r="L14" s="75">
        <f>SUMIFS('февраль 2026'!$G$2:$G$2649,'февраль 2026'!$D$2:$D$2649,$B14,'февраль 2026'!$J$2:$J$2649,L$1)</f>
        <v>0</v>
      </c>
      <c r="M14" s="75">
        <f>SUMIFS('февраль 2026'!$G$2:$G$2649,'февраль 2026'!$D$2:$D$2649,$B14,'февраль 2026'!$J$2:$J$2649,M$1)</f>
        <v>0</v>
      </c>
      <c r="N14" s="75">
        <f>SUMIFS('февраль 2026'!$G$2:$G$2649,'февраль 2026'!$D$2:$D$2649,$B14,'февраль 2026'!$J$2:$J$2649,N$1)</f>
        <v>0</v>
      </c>
      <c r="O14" s="75">
        <f>SUMIFS('февраль 2026'!$G$2:$G$2649,'февраль 2026'!$D$2:$D$2649,$B14,'февраль 2026'!$J$2:$J$2649,O$1)</f>
        <v>0</v>
      </c>
      <c r="P14" s="75">
        <f>SUMIFS('февраль 2026'!$G$2:$G$2649,'февраль 2026'!$D$2:$D$2649,$B14,'февраль 2026'!$J$2:$J$2649,P$1)</f>
        <v>0</v>
      </c>
      <c r="Q14" s="75">
        <f>SUMIFS('февраль 2026'!$G$2:$G$2649,'февраль 2026'!$D$2:$D$2649,$B14,'февраль 2026'!$J$2:$J$2649,Q$1)</f>
        <v>0</v>
      </c>
      <c r="R14" s="75">
        <f>SUMIFS('февраль 2026'!$G$2:$G$2649,'февраль 2026'!$D$2:$D$2649,$B14,'февраль 2026'!$J$2:$J$2649,R$1)</f>
        <v>0</v>
      </c>
      <c r="S14" s="75">
        <f>SUMIFS('февраль 2026'!$G$2:$G$2649,'февраль 2026'!$D$2:$D$2649,$B14,'февраль 2026'!$J$2:$J$2649,S$1)</f>
        <v>0</v>
      </c>
      <c r="T14" s="75">
        <f>SUMIFS('февраль 2026'!$G$2:$G$2649,'февраль 2026'!$D$2:$D$2649,$B14,'февраль 2026'!$J$2:$J$2649,T$1)</f>
        <v>0</v>
      </c>
      <c r="U14" s="75">
        <f>SUMIFS('февраль 2026'!$G$2:$G$2649,'февраль 2026'!$D$2:$D$2649,$B14,'февраль 2026'!$J$2:$J$2649,U$1)</f>
        <v>0</v>
      </c>
      <c r="V14" s="75">
        <f>SUMIFS('февраль 2026'!$G$2:$G$2649,'февраль 2026'!$D$2:$D$2649,$B14,'февраль 2026'!$J$2:$J$2649,V$1)</f>
        <v>0</v>
      </c>
      <c r="W14" s="75">
        <f>SUMIFS('февраль 2026'!$G$2:$G$2649,'февраль 2026'!$D$2:$D$2649,$B14,'февраль 2026'!$J$2:$J$2649,W$1)</f>
        <v>0</v>
      </c>
      <c r="X14" s="75">
        <f>SUMIFS('февраль 2026'!$G$2:$G$2649,'февраль 2026'!$D$2:$D$2649,$B14,'февраль 2026'!$J$2:$J$2649,X$1)</f>
        <v>0</v>
      </c>
      <c r="Y14" s="75">
        <f>SUMIFS('февраль 2026'!$G$2:$G$2649,'февраль 2026'!$D$2:$D$2649,$B14,'февраль 2026'!$J$2:$J$2649,Y$1)</f>
        <v>0</v>
      </c>
      <c r="Z14" s="75">
        <f>SUMIFS('февраль 2026'!$G$2:$G$2649,'февраль 2026'!$D$2:$D$2649,$B14,'февраль 2026'!$J$2:$J$2649,Z$1)</f>
        <v>0</v>
      </c>
      <c r="AA14" s="75">
        <f>SUMIFS('февраль 2026'!$G$2:$G$2649,'февраль 2026'!$D$2:$D$2649,$B14,'февраль 2026'!$J$2:$J$2649,AA$1)</f>
        <v>0</v>
      </c>
      <c r="AB14" s="75">
        <f>SUMIFS('февраль 2026'!$G$2:$G$2649,'февраль 2026'!$D$2:$D$2649,$B14,'февраль 2026'!$J$2:$J$2649,AB$1)</f>
        <v>0</v>
      </c>
      <c r="AC14" s="75">
        <f>SUMIFS('февраль 2026'!$G$2:$G$2649,'февраль 2026'!$D$2:$D$2649,$B14,'февраль 2026'!$J$2:$J$2649,AC$1)</f>
        <v>0</v>
      </c>
      <c r="AD14" s="75">
        <f>SUMIFS('февраль 2026'!$G$2:$G$2649,'февраль 2026'!$D$2:$D$2649,$B14,'февраль 2026'!$J$2:$J$2649,AD$1)</f>
        <v>0</v>
      </c>
      <c r="AE14" s="75">
        <f>SUMIFS('февраль 2026'!$G$2:$G$2649,'февраль 2026'!$D$2:$D$2649,$B14,'февраль 2026'!$J$2:$J$2649,AE$1)</f>
        <v>0</v>
      </c>
      <c r="AF14" s="75">
        <f>SUMIFS('февраль 2026'!$G$2:$G$2649,'февраль 2026'!$D$2:$D$2649,$B14,'февраль 2026'!$J$2:$J$2649,AF$1)</f>
        <v>0</v>
      </c>
      <c r="AG14" s="75">
        <f>SUMIFS('февраль 2026'!$G$2:$G$2649,'февраль 2026'!$D$2:$D$2649,$B14,'февраль 2026'!$J$2:$J$2649,AG$1)</f>
        <v>0</v>
      </c>
      <c r="AH14" s="75">
        <f>SUMIFS('февраль 2026'!$G$2:$G$2649,'февраль 2026'!$D$2:$D$2649,$B14,'февраль 2026'!$J$2:$J$2649,AH$1)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SUMIFS('февраль 2026'!$G$2:$G$2649,'февраль 2026'!$D$2:$D$2649,$B15,'февраль 2026'!$J$2:$J$2649,D$1)</f>
        <v>0</v>
      </c>
      <c r="E15" s="75">
        <f>SUMIFS('февраль 2026'!$G$2:$G$2649,'февраль 2026'!$D$2:$D$2649,$B15,'февраль 2026'!$J$2:$J$2649,E$1)</f>
        <v>0</v>
      </c>
      <c r="F15" s="75">
        <f>SUMIFS('февраль 2026'!$G$2:$G$2649,'февраль 2026'!$D$2:$D$2649,$B15,'февраль 2026'!$J$2:$J$2649,F$1)</f>
        <v>0</v>
      </c>
      <c r="G15" s="75">
        <f>SUMIFS('февраль 2026'!$G$2:$G$2649,'февраль 2026'!$D$2:$D$2649,$B15,'февраль 2026'!$J$2:$J$2649,G$1)</f>
        <v>0</v>
      </c>
      <c r="H15" s="75">
        <f>SUMIFS('февраль 2026'!$G$2:$G$2649,'февраль 2026'!$D$2:$D$2649,$B15,'февраль 2026'!$J$2:$J$2649,H$1)</f>
        <v>0</v>
      </c>
      <c r="I15" s="75">
        <f>SUMIFS('февраль 2026'!$G$2:$G$2649,'февраль 2026'!$D$2:$D$2649,$B15,'февраль 2026'!$J$2:$J$2649,I$1)</f>
        <v>0</v>
      </c>
      <c r="J15" s="75">
        <f>SUMIFS('февраль 2026'!$G$2:$G$2649,'февраль 2026'!$D$2:$D$2649,$B15,'февраль 2026'!$J$2:$J$2649,J$1)</f>
        <v>0</v>
      </c>
      <c r="K15" s="75">
        <f>SUMIFS('февраль 2026'!$G$2:$G$2649,'февраль 2026'!$D$2:$D$2649,$B15,'февраль 2026'!$J$2:$J$2649,K$1)</f>
        <v>0</v>
      </c>
      <c r="L15" s="75">
        <f>SUMIFS('февраль 2026'!$G$2:$G$2649,'февраль 2026'!$D$2:$D$2649,$B15,'февраль 2026'!$J$2:$J$2649,L$1)</f>
        <v>0</v>
      </c>
      <c r="M15" s="75">
        <f>SUMIFS('февраль 2026'!$G$2:$G$2649,'февраль 2026'!$D$2:$D$2649,$B15,'февраль 2026'!$J$2:$J$2649,M$1)</f>
        <v>0</v>
      </c>
      <c r="N15" s="75">
        <f>SUMIFS('февраль 2026'!$G$2:$G$2649,'февраль 2026'!$D$2:$D$2649,$B15,'февраль 2026'!$J$2:$J$2649,N$1)</f>
        <v>0</v>
      </c>
      <c r="O15" s="75">
        <f>SUMIFS('февраль 2026'!$G$2:$G$2649,'февраль 2026'!$D$2:$D$2649,$B15,'февраль 2026'!$J$2:$J$2649,O$1)</f>
        <v>0</v>
      </c>
      <c r="P15" s="75">
        <f>SUMIFS('февраль 2026'!$G$2:$G$2649,'февраль 2026'!$D$2:$D$2649,$B15,'февраль 2026'!$J$2:$J$2649,P$1)</f>
        <v>0</v>
      </c>
      <c r="Q15" s="75">
        <f>SUMIFS('февраль 2026'!$G$2:$G$2649,'февраль 2026'!$D$2:$D$2649,$B15,'февраль 2026'!$J$2:$J$2649,Q$1)</f>
        <v>0</v>
      </c>
      <c r="R15" s="75">
        <f>SUMIFS('февраль 2026'!$G$2:$G$2649,'февраль 2026'!$D$2:$D$2649,$B15,'февраль 2026'!$J$2:$J$2649,R$1)</f>
        <v>0</v>
      </c>
      <c r="S15" s="75">
        <f>SUMIFS('февраль 2026'!$G$2:$G$2649,'февраль 2026'!$D$2:$D$2649,$B15,'февраль 2026'!$J$2:$J$2649,S$1)</f>
        <v>0</v>
      </c>
      <c r="T15" s="75">
        <f>SUMIFS('февраль 2026'!$G$2:$G$2649,'февраль 2026'!$D$2:$D$2649,$B15,'февраль 2026'!$J$2:$J$2649,T$1)</f>
        <v>0</v>
      </c>
      <c r="U15" s="75">
        <f>SUMIFS('февраль 2026'!$G$2:$G$2649,'февраль 2026'!$D$2:$D$2649,$B15,'февраль 2026'!$J$2:$J$2649,U$1)</f>
        <v>0</v>
      </c>
      <c r="V15" s="75">
        <f>SUMIFS('февраль 2026'!$G$2:$G$2649,'февраль 2026'!$D$2:$D$2649,$B15,'февраль 2026'!$J$2:$J$2649,V$1)</f>
        <v>0</v>
      </c>
      <c r="W15" s="75">
        <f>SUMIFS('февраль 2026'!$G$2:$G$2649,'февраль 2026'!$D$2:$D$2649,$B15,'февраль 2026'!$J$2:$J$2649,W$1)</f>
        <v>0</v>
      </c>
      <c r="X15" s="75">
        <f>SUMIFS('февраль 2026'!$G$2:$G$2649,'февраль 2026'!$D$2:$D$2649,$B15,'февраль 2026'!$J$2:$J$2649,X$1)</f>
        <v>0</v>
      </c>
      <c r="Y15" s="75">
        <f>SUMIFS('февраль 2026'!$G$2:$G$2649,'февраль 2026'!$D$2:$D$2649,$B15,'февраль 2026'!$J$2:$J$2649,Y$1)</f>
        <v>0</v>
      </c>
      <c r="Z15" s="75">
        <f>SUMIFS('февраль 2026'!$G$2:$G$2649,'февраль 2026'!$D$2:$D$2649,$B15,'февраль 2026'!$J$2:$J$2649,Z$1)</f>
        <v>0</v>
      </c>
      <c r="AA15" s="75">
        <f>SUMIFS('февраль 2026'!$G$2:$G$2649,'февраль 2026'!$D$2:$D$2649,$B15,'февраль 2026'!$J$2:$J$2649,AA$1)</f>
        <v>0</v>
      </c>
      <c r="AB15" s="75">
        <f>SUMIFS('февраль 2026'!$G$2:$G$2649,'февраль 2026'!$D$2:$D$2649,$B15,'февраль 2026'!$J$2:$J$2649,AB$1)</f>
        <v>0</v>
      </c>
      <c r="AC15" s="75">
        <f>SUMIFS('февраль 2026'!$G$2:$G$2649,'февраль 2026'!$D$2:$D$2649,$B15,'февраль 2026'!$J$2:$J$2649,AC$1)</f>
        <v>0</v>
      </c>
      <c r="AD15" s="75">
        <f>SUMIFS('февраль 2026'!$G$2:$G$2649,'февраль 2026'!$D$2:$D$2649,$B15,'февраль 2026'!$J$2:$J$2649,AD$1)</f>
        <v>0</v>
      </c>
      <c r="AE15" s="75">
        <f>SUMIFS('февраль 2026'!$G$2:$G$2649,'февраль 2026'!$D$2:$D$2649,$B15,'февраль 2026'!$J$2:$J$2649,AE$1)</f>
        <v>0</v>
      </c>
      <c r="AF15" s="75">
        <f>SUMIFS('февраль 2026'!$G$2:$G$2649,'февраль 2026'!$D$2:$D$2649,$B15,'февраль 2026'!$J$2:$J$2649,AF$1)</f>
        <v>0</v>
      </c>
      <c r="AG15" s="75">
        <f>SUMIFS('февраль 2026'!$G$2:$G$2649,'февраль 2026'!$D$2:$D$2649,$B15,'февраль 2026'!$J$2:$J$2649,AG$1)</f>
        <v>0</v>
      </c>
      <c r="AH15" s="75">
        <f>SUMIFS('февраль 2026'!$G$2:$G$2649,'февраль 2026'!$D$2:$D$2649,$B15,'февраль 2026'!$J$2:$J$2649,AH$1)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SUMIFS('февраль 2026'!$G$2:$G$2649,'февраль 2026'!$D$2:$D$2649,$B16,'февраль 2026'!$J$2:$J$2649,D$1)</f>
        <v>0</v>
      </c>
      <c r="E16" s="75">
        <f>SUMIFS('февраль 2026'!$G$2:$G$2649,'февраль 2026'!$D$2:$D$2649,$B16,'февраль 2026'!$J$2:$J$2649,E$1)</f>
        <v>0</v>
      </c>
      <c r="F16" s="75">
        <f>SUMIFS('февраль 2026'!$G$2:$G$2649,'февраль 2026'!$D$2:$D$2649,$B16,'февраль 2026'!$J$2:$J$2649,F$1)</f>
        <v>0</v>
      </c>
      <c r="G16" s="75">
        <f>SUMIFS('февраль 2026'!$G$2:$G$2649,'февраль 2026'!$D$2:$D$2649,$B16,'февраль 2026'!$J$2:$J$2649,G$1)</f>
        <v>0</v>
      </c>
      <c r="H16" s="75">
        <f>SUMIFS('февраль 2026'!$G$2:$G$2649,'февраль 2026'!$D$2:$D$2649,$B16,'февраль 2026'!$J$2:$J$2649,H$1)</f>
        <v>0</v>
      </c>
      <c r="I16" s="75">
        <f>SUMIFS('февраль 2026'!$G$2:$G$2649,'февраль 2026'!$D$2:$D$2649,$B16,'февраль 2026'!$J$2:$J$2649,I$1)</f>
        <v>0</v>
      </c>
      <c r="J16" s="75">
        <f>SUMIFS('февраль 2026'!$G$2:$G$2649,'февраль 2026'!$D$2:$D$2649,$B16,'февраль 2026'!$J$2:$J$2649,J$1)</f>
        <v>0</v>
      </c>
      <c r="K16" s="75">
        <f>SUMIFS('февраль 2026'!$G$2:$G$2649,'февраль 2026'!$D$2:$D$2649,$B16,'февраль 2026'!$J$2:$J$2649,K$1)</f>
        <v>0</v>
      </c>
      <c r="L16" s="75">
        <f>SUMIFS('февраль 2026'!$G$2:$G$2649,'февраль 2026'!$D$2:$D$2649,$B16,'февраль 2026'!$J$2:$J$2649,L$1)</f>
        <v>0</v>
      </c>
      <c r="M16" s="75">
        <f>SUMIFS('февраль 2026'!$G$2:$G$2649,'февраль 2026'!$D$2:$D$2649,$B16,'февраль 2026'!$J$2:$J$2649,M$1)</f>
        <v>0</v>
      </c>
      <c r="N16" s="75">
        <f>SUMIFS('февраль 2026'!$G$2:$G$2649,'февраль 2026'!$D$2:$D$2649,$B16,'февраль 2026'!$J$2:$J$2649,N$1)</f>
        <v>0</v>
      </c>
      <c r="O16" s="75">
        <f>SUMIFS('февраль 2026'!$G$2:$G$2649,'февраль 2026'!$D$2:$D$2649,$B16,'февраль 2026'!$J$2:$J$2649,O$1)</f>
        <v>0</v>
      </c>
      <c r="P16" s="75">
        <f>SUMIFS('февраль 2026'!$G$2:$G$2649,'февраль 2026'!$D$2:$D$2649,$B16,'февраль 2026'!$J$2:$J$2649,P$1)</f>
        <v>0</v>
      </c>
      <c r="Q16" s="75">
        <f>SUMIFS('февраль 2026'!$G$2:$G$2649,'февраль 2026'!$D$2:$D$2649,$B16,'февраль 2026'!$J$2:$J$2649,Q$1)</f>
        <v>0</v>
      </c>
      <c r="R16" s="75">
        <f>SUMIFS('февраль 2026'!$G$2:$G$2649,'февраль 2026'!$D$2:$D$2649,$B16,'февраль 2026'!$J$2:$J$2649,R$1)</f>
        <v>0</v>
      </c>
      <c r="S16" s="75">
        <f>SUMIFS('февраль 2026'!$G$2:$G$2649,'февраль 2026'!$D$2:$D$2649,$B16,'февраль 2026'!$J$2:$J$2649,S$1)</f>
        <v>0</v>
      </c>
      <c r="T16" s="75">
        <f>SUMIFS('февраль 2026'!$G$2:$G$2649,'февраль 2026'!$D$2:$D$2649,$B16,'февраль 2026'!$J$2:$J$2649,T$1)</f>
        <v>0</v>
      </c>
      <c r="U16" s="75">
        <f>SUMIFS('февраль 2026'!$G$2:$G$2649,'февраль 2026'!$D$2:$D$2649,$B16,'февраль 2026'!$J$2:$J$2649,U$1)</f>
        <v>0</v>
      </c>
      <c r="V16" s="75">
        <f>SUMIFS('февраль 2026'!$G$2:$G$2649,'февраль 2026'!$D$2:$D$2649,$B16,'февраль 2026'!$J$2:$J$2649,V$1)</f>
        <v>0</v>
      </c>
      <c r="W16" s="75">
        <f>SUMIFS('февраль 2026'!$G$2:$G$2649,'февраль 2026'!$D$2:$D$2649,$B16,'февраль 2026'!$J$2:$J$2649,W$1)</f>
        <v>0</v>
      </c>
      <c r="X16" s="75">
        <f>SUMIFS('февраль 2026'!$G$2:$G$2649,'февраль 2026'!$D$2:$D$2649,$B16,'февраль 2026'!$J$2:$J$2649,X$1)</f>
        <v>0</v>
      </c>
      <c r="Y16" s="75">
        <f>SUMIFS('февраль 2026'!$G$2:$G$2649,'февраль 2026'!$D$2:$D$2649,$B16,'февраль 2026'!$J$2:$J$2649,Y$1)</f>
        <v>0</v>
      </c>
      <c r="Z16" s="75">
        <f>SUMIFS('февраль 2026'!$G$2:$G$2649,'февраль 2026'!$D$2:$D$2649,$B16,'февраль 2026'!$J$2:$J$2649,Z$1)</f>
        <v>0</v>
      </c>
      <c r="AA16" s="75">
        <f>SUMIFS('февраль 2026'!$G$2:$G$2649,'февраль 2026'!$D$2:$D$2649,$B16,'февраль 2026'!$J$2:$J$2649,AA$1)</f>
        <v>0</v>
      </c>
      <c r="AB16" s="75">
        <f>SUMIFS('февраль 2026'!$G$2:$G$2649,'февраль 2026'!$D$2:$D$2649,$B16,'февраль 2026'!$J$2:$J$2649,AB$1)</f>
        <v>0</v>
      </c>
      <c r="AC16" s="75">
        <f>SUMIFS('февраль 2026'!$G$2:$G$2649,'февраль 2026'!$D$2:$D$2649,$B16,'февраль 2026'!$J$2:$J$2649,AC$1)</f>
        <v>0</v>
      </c>
      <c r="AD16" s="75">
        <f>SUMIFS('февраль 2026'!$G$2:$G$2649,'февраль 2026'!$D$2:$D$2649,$B16,'февраль 2026'!$J$2:$J$2649,AD$1)</f>
        <v>0</v>
      </c>
      <c r="AE16" s="75">
        <f>SUMIFS('февраль 2026'!$G$2:$G$2649,'февраль 2026'!$D$2:$D$2649,$B16,'февраль 2026'!$J$2:$J$2649,AE$1)</f>
        <v>0</v>
      </c>
      <c r="AF16" s="75">
        <f>SUMIFS('февраль 2026'!$G$2:$G$2649,'февраль 2026'!$D$2:$D$2649,$B16,'февраль 2026'!$J$2:$J$2649,AF$1)</f>
        <v>0</v>
      </c>
      <c r="AG16" s="75">
        <f>SUMIFS('февраль 2026'!$G$2:$G$2649,'февраль 2026'!$D$2:$D$2649,$B16,'февраль 2026'!$J$2:$J$2649,AG$1)</f>
        <v>0</v>
      </c>
      <c r="AH16" s="75">
        <f>SUMIFS('февраль 2026'!$G$2:$G$2649,'февраль 2026'!$D$2:$D$2649,$B16,'февраль 2026'!$J$2:$J$2649,AH$1)</f>
        <v>0</v>
      </c>
      <c r="AI16" s="20">
        <f t="shared" si="1"/>
        <v>0</v>
      </c>
    </row>
    <row r="17" spans="2:35" ht="15" customHeight="1" x14ac:dyDescent="0.25">
      <c r="B17" s="79" t="s">
        <v>227</v>
      </c>
      <c r="C17" s="80">
        <v>22.7</v>
      </c>
      <c r="D17" s="75">
        <f>SUMIFS('февраль 2026'!$G$2:$G$2649,'февраль 2026'!$D$2:$D$2649,$B17,'февраль 2026'!$J$2:$J$2649,D$1)</f>
        <v>0</v>
      </c>
      <c r="E17" s="75">
        <f>SUMIFS('февраль 2026'!$G$2:$G$2649,'февраль 2026'!$D$2:$D$2649,$B17,'февраль 2026'!$J$2:$J$2649,E$1)</f>
        <v>0</v>
      </c>
      <c r="F17" s="75">
        <f>SUMIFS('февраль 2026'!$G$2:$G$2649,'февраль 2026'!$D$2:$D$2649,$B17,'февраль 2026'!$J$2:$J$2649,F$1)</f>
        <v>0</v>
      </c>
      <c r="G17" s="75">
        <f>SUMIFS('февраль 2026'!$G$2:$G$2649,'февраль 2026'!$D$2:$D$2649,$B17,'февраль 2026'!$J$2:$J$2649,G$1)</f>
        <v>0</v>
      </c>
      <c r="H17" s="75">
        <f>SUMIFS('февраль 2026'!$G$2:$G$2649,'февраль 2026'!$D$2:$D$2649,$B17,'февраль 2026'!$J$2:$J$2649,H$1)</f>
        <v>0</v>
      </c>
      <c r="I17" s="75">
        <f>SUMIFS('февраль 2026'!$G$2:$G$2649,'февраль 2026'!$D$2:$D$2649,$B17,'февраль 2026'!$J$2:$J$2649,I$1)</f>
        <v>0</v>
      </c>
      <c r="J17" s="75">
        <f>SUMIFS('февраль 2026'!$G$2:$G$2649,'февраль 2026'!$D$2:$D$2649,$B17,'февраль 2026'!$J$2:$J$2649,J$1)</f>
        <v>0</v>
      </c>
      <c r="K17" s="75">
        <f>SUMIFS('февраль 2026'!$G$2:$G$2649,'февраль 2026'!$D$2:$D$2649,$B17,'февраль 2026'!$J$2:$J$2649,K$1)</f>
        <v>0</v>
      </c>
      <c r="L17" s="75">
        <f>SUMIFS('февраль 2026'!$G$2:$G$2649,'февраль 2026'!$D$2:$D$2649,$B17,'февраль 2026'!$J$2:$J$2649,L$1)</f>
        <v>0</v>
      </c>
      <c r="M17" s="75">
        <f>SUMIFS('февраль 2026'!$G$2:$G$2649,'февраль 2026'!$D$2:$D$2649,$B17,'февраль 2026'!$J$2:$J$2649,M$1)</f>
        <v>0</v>
      </c>
      <c r="N17" s="75">
        <f>SUMIFS('февраль 2026'!$G$2:$G$2649,'февраль 2026'!$D$2:$D$2649,$B17,'февраль 2026'!$J$2:$J$2649,N$1)</f>
        <v>0</v>
      </c>
      <c r="O17" s="75">
        <f>SUMIFS('февраль 2026'!$G$2:$G$2649,'февраль 2026'!$D$2:$D$2649,$B17,'февраль 2026'!$J$2:$J$2649,O$1)</f>
        <v>0</v>
      </c>
      <c r="P17" s="75">
        <f>SUMIFS('февраль 2026'!$G$2:$G$2649,'февраль 2026'!$D$2:$D$2649,$B17,'февраль 2026'!$J$2:$J$2649,P$1)</f>
        <v>0</v>
      </c>
      <c r="Q17" s="75">
        <f>SUMIFS('февраль 2026'!$G$2:$G$2649,'февраль 2026'!$D$2:$D$2649,$B17,'февраль 2026'!$J$2:$J$2649,Q$1)</f>
        <v>0</v>
      </c>
      <c r="R17" s="75">
        <f>SUMIFS('февраль 2026'!$G$2:$G$2649,'февраль 2026'!$D$2:$D$2649,$B17,'февраль 2026'!$J$2:$J$2649,R$1)</f>
        <v>0</v>
      </c>
      <c r="S17" s="75">
        <f>SUMIFS('февраль 2026'!$G$2:$G$2649,'февраль 2026'!$D$2:$D$2649,$B17,'февраль 2026'!$J$2:$J$2649,S$1)</f>
        <v>0</v>
      </c>
      <c r="T17" s="75">
        <f>SUMIFS('февраль 2026'!$G$2:$G$2649,'февраль 2026'!$D$2:$D$2649,$B17,'февраль 2026'!$J$2:$J$2649,T$1)</f>
        <v>0</v>
      </c>
      <c r="U17" s="75">
        <f>SUMIFS('февраль 2026'!$G$2:$G$2649,'февраль 2026'!$D$2:$D$2649,$B17,'февраль 2026'!$J$2:$J$2649,U$1)</f>
        <v>0</v>
      </c>
      <c r="V17" s="75">
        <f>SUMIFS('февраль 2026'!$G$2:$G$2649,'февраль 2026'!$D$2:$D$2649,$B17,'февраль 2026'!$J$2:$J$2649,V$1)</f>
        <v>0</v>
      </c>
      <c r="W17" s="75">
        <f>SUMIFS('февраль 2026'!$G$2:$G$2649,'февраль 2026'!$D$2:$D$2649,$B17,'февраль 2026'!$J$2:$J$2649,W$1)</f>
        <v>0</v>
      </c>
      <c r="X17" s="75">
        <f>SUMIFS('февраль 2026'!$G$2:$G$2649,'февраль 2026'!$D$2:$D$2649,$B17,'февраль 2026'!$J$2:$J$2649,X$1)</f>
        <v>0</v>
      </c>
      <c r="Y17" s="75">
        <f>SUMIFS('февраль 2026'!$G$2:$G$2649,'февраль 2026'!$D$2:$D$2649,$B17,'февраль 2026'!$J$2:$J$2649,Y$1)</f>
        <v>0</v>
      </c>
      <c r="Z17" s="75">
        <f>SUMIFS('февраль 2026'!$G$2:$G$2649,'февраль 2026'!$D$2:$D$2649,$B17,'февраль 2026'!$J$2:$J$2649,Z$1)</f>
        <v>0</v>
      </c>
      <c r="AA17" s="75">
        <f>SUMIFS('февраль 2026'!$G$2:$G$2649,'февраль 2026'!$D$2:$D$2649,$B17,'февраль 2026'!$J$2:$J$2649,AA$1)</f>
        <v>0</v>
      </c>
      <c r="AB17" s="75">
        <f>SUMIFS('февраль 2026'!$G$2:$G$2649,'февраль 2026'!$D$2:$D$2649,$B17,'февраль 2026'!$J$2:$J$2649,AB$1)</f>
        <v>0</v>
      </c>
      <c r="AC17" s="75">
        <f>SUMIFS('февраль 2026'!$G$2:$G$2649,'февраль 2026'!$D$2:$D$2649,$B17,'февраль 2026'!$J$2:$J$2649,AC$1)</f>
        <v>0</v>
      </c>
      <c r="AD17" s="75">
        <f>SUMIFS('февраль 2026'!$G$2:$G$2649,'февраль 2026'!$D$2:$D$2649,$B17,'февраль 2026'!$J$2:$J$2649,AD$1)</f>
        <v>0</v>
      </c>
      <c r="AE17" s="75">
        <f>SUMIFS('февраль 2026'!$G$2:$G$2649,'февраль 2026'!$D$2:$D$2649,$B17,'февраль 2026'!$J$2:$J$2649,AE$1)</f>
        <v>0</v>
      </c>
      <c r="AF17" s="75">
        <f>SUMIFS('февраль 2026'!$G$2:$G$2649,'февраль 2026'!$D$2:$D$2649,$B17,'февраль 2026'!$J$2:$J$2649,AF$1)</f>
        <v>0</v>
      </c>
      <c r="AG17" s="75">
        <f>SUMIFS('февраль 2026'!$G$2:$G$2649,'февраль 2026'!$D$2:$D$2649,$B17,'февраль 2026'!$J$2:$J$2649,AG$1)</f>
        <v>0</v>
      </c>
      <c r="AH17" s="75">
        <f>SUMIFS('февраль 2026'!$G$2:$G$2649,'февраль 2026'!$D$2:$D$2649,$B17,'февраль 2026'!$J$2:$J$2649,AH$1)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SUMIFS('февраль 2026'!$G$2:$G$2649,'февраль 2026'!$D$2:$D$2649,$B18,'февраль 2026'!$J$2:$J$2649,D$1)</f>
        <v>0</v>
      </c>
      <c r="E18" s="75">
        <f>SUMIFS('февраль 2026'!$G$2:$G$2649,'февраль 2026'!$D$2:$D$2649,$B18,'февраль 2026'!$J$2:$J$2649,E$1)</f>
        <v>0</v>
      </c>
      <c r="F18" s="75">
        <f>SUMIFS('февраль 2026'!$G$2:$G$2649,'февраль 2026'!$D$2:$D$2649,$B18,'февраль 2026'!$J$2:$J$2649,F$1)</f>
        <v>0</v>
      </c>
      <c r="G18" s="75">
        <f>SUMIFS('февраль 2026'!$G$2:$G$2649,'февраль 2026'!$D$2:$D$2649,$B18,'февраль 2026'!$J$2:$J$2649,G$1)</f>
        <v>0</v>
      </c>
      <c r="H18" s="75">
        <f>SUMIFS('февраль 2026'!$G$2:$G$2649,'февраль 2026'!$D$2:$D$2649,$B18,'февраль 2026'!$J$2:$J$2649,H$1)</f>
        <v>0</v>
      </c>
      <c r="I18" s="75">
        <f>SUMIFS('февраль 2026'!$G$2:$G$2649,'февраль 2026'!$D$2:$D$2649,$B18,'февраль 2026'!$J$2:$J$2649,I$1)</f>
        <v>0</v>
      </c>
      <c r="J18" s="75">
        <f>SUMIFS('февраль 2026'!$G$2:$G$2649,'февраль 2026'!$D$2:$D$2649,$B18,'февраль 2026'!$J$2:$J$2649,J$1)</f>
        <v>0</v>
      </c>
      <c r="K18" s="75">
        <f>SUMIFS('февраль 2026'!$G$2:$G$2649,'февраль 2026'!$D$2:$D$2649,$B18,'февраль 2026'!$J$2:$J$2649,K$1)</f>
        <v>0</v>
      </c>
      <c r="L18" s="75">
        <f>SUMIFS('февраль 2026'!$G$2:$G$2649,'февраль 2026'!$D$2:$D$2649,$B18,'февраль 2026'!$J$2:$J$2649,L$1)</f>
        <v>0</v>
      </c>
      <c r="M18" s="75">
        <f>SUMIFS('февраль 2026'!$G$2:$G$2649,'февраль 2026'!$D$2:$D$2649,$B18,'февраль 2026'!$J$2:$J$2649,M$1)</f>
        <v>0</v>
      </c>
      <c r="N18" s="75">
        <f>SUMIFS('февраль 2026'!$G$2:$G$2649,'февраль 2026'!$D$2:$D$2649,$B18,'февраль 2026'!$J$2:$J$2649,N$1)</f>
        <v>0</v>
      </c>
      <c r="O18" s="75">
        <f>SUMIFS('февраль 2026'!$G$2:$G$2649,'февраль 2026'!$D$2:$D$2649,$B18,'февраль 2026'!$J$2:$J$2649,O$1)</f>
        <v>0</v>
      </c>
      <c r="P18" s="75">
        <f>SUMIFS('февраль 2026'!$G$2:$G$2649,'февраль 2026'!$D$2:$D$2649,$B18,'февраль 2026'!$J$2:$J$2649,P$1)</f>
        <v>0</v>
      </c>
      <c r="Q18" s="75">
        <f>SUMIFS('февраль 2026'!$G$2:$G$2649,'февраль 2026'!$D$2:$D$2649,$B18,'февраль 2026'!$J$2:$J$2649,Q$1)</f>
        <v>0</v>
      </c>
      <c r="R18" s="75">
        <f>SUMIFS('февраль 2026'!$G$2:$G$2649,'февраль 2026'!$D$2:$D$2649,$B18,'февраль 2026'!$J$2:$J$2649,R$1)</f>
        <v>0</v>
      </c>
      <c r="S18" s="75">
        <f>SUMIFS('февраль 2026'!$G$2:$G$2649,'февраль 2026'!$D$2:$D$2649,$B18,'февраль 2026'!$J$2:$J$2649,S$1)</f>
        <v>0</v>
      </c>
      <c r="T18" s="75">
        <f>SUMIFS('февраль 2026'!$G$2:$G$2649,'февраль 2026'!$D$2:$D$2649,$B18,'февраль 2026'!$J$2:$J$2649,T$1)</f>
        <v>0</v>
      </c>
      <c r="U18" s="75">
        <f>SUMIFS('февраль 2026'!$G$2:$G$2649,'февраль 2026'!$D$2:$D$2649,$B18,'февраль 2026'!$J$2:$J$2649,U$1)</f>
        <v>0</v>
      </c>
      <c r="V18" s="75">
        <f>SUMIFS('февраль 2026'!$G$2:$G$2649,'февраль 2026'!$D$2:$D$2649,$B18,'февраль 2026'!$J$2:$J$2649,V$1)</f>
        <v>0</v>
      </c>
      <c r="W18" s="75">
        <f>SUMIFS('февраль 2026'!$G$2:$G$2649,'февраль 2026'!$D$2:$D$2649,$B18,'февраль 2026'!$J$2:$J$2649,W$1)</f>
        <v>0</v>
      </c>
      <c r="X18" s="75">
        <f>SUMIFS('февраль 2026'!$G$2:$G$2649,'февраль 2026'!$D$2:$D$2649,$B18,'февраль 2026'!$J$2:$J$2649,X$1)</f>
        <v>0</v>
      </c>
      <c r="Y18" s="75">
        <f>SUMIFS('февраль 2026'!$G$2:$G$2649,'февраль 2026'!$D$2:$D$2649,$B18,'февраль 2026'!$J$2:$J$2649,Y$1)</f>
        <v>0</v>
      </c>
      <c r="Z18" s="75">
        <f>SUMIFS('февраль 2026'!$G$2:$G$2649,'февраль 2026'!$D$2:$D$2649,$B18,'февраль 2026'!$J$2:$J$2649,Z$1)</f>
        <v>0</v>
      </c>
      <c r="AA18" s="75">
        <f>SUMIFS('февраль 2026'!$G$2:$G$2649,'февраль 2026'!$D$2:$D$2649,$B18,'февраль 2026'!$J$2:$J$2649,AA$1)</f>
        <v>0</v>
      </c>
      <c r="AB18" s="75">
        <f>SUMIFS('февраль 2026'!$G$2:$G$2649,'февраль 2026'!$D$2:$D$2649,$B18,'февраль 2026'!$J$2:$J$2649,AB$1)</f>
        <v>0</v>
      </c>
      <c r="AC18" s="75">
        <f>SUMIFS('февраль 2026'!$G$2:$G$2649,'февраль 2026'!$D$2:$D$2649,$B18,'февраль 2026'!$J$2:$J$2649,AC$1)</f>
        <v>0</v>
      </c>
      <c r="AD18" s="75">
        <f>SUMIFS('февраль 2026'!$G$2:$G$2649,'февраль 2026'!$D$2:$D$2649,$B18,'февраль 2026'!$J$2:$J$2649,AD$1)</f>
        <v>0</v>
      </c>
      <c r="AE18" s="75">
        <f>SUMIFS('февраль 2026'!$G$2:$G$2649,'февраль 2026'!$D$2:$D$2649,$B18,'февраль 2026'!$J$2:$J$2649,AE$1)</f>
        <v>0</v>
      </c>
      <c r="AF18" s="75">
        <f>SUMIFS('февраль 2026'!$G$2:$G$2649,'февраль 2026'!$D$2:$D$2649,$B18,'февраль 2026'!$J$2:$J$2649,AF$1)</f>
        <v>0</v>
      </c>
      <c r="AG18" s="75">
        <f>SUMIFS('февраль 2026'!$G$2:$G$2649,'февраль 2026'!$D$2:$D$2649,$B18,'февраль 2026'!$J$2:$J$2649,AG$1)</f>
        <v>0</v>
      </c>
      <c r="AH18" s="75">
        <f>SUMIFS('февраль 2026'!$G$2:$G$2649,'февраль 2026'!$D$2:$D$2649,$B18,'февраль 2026'!$J$2:$J$2649,AH$1)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SUMIFS('февраль 2026'!$G$2:$G$2649,'февраль 2026'!$D$2:$D$2649,$B19,'февраль 2026'!$J$2:$J$2649,D$1)</f>
        <v>0</v>
      </c>
      <c r="E19" s="75">
        <f>SUMIFS('февраль 2026'!$G$2:$G$2649,'февраль 2026'!$D$2:$D$2649,$B19,'февраль 2026'!$J$2:$J$2649,E$1)</f>
        <v>0</v>
      </c>
      <c r="F19" s="75">
        <f>SUMIFS('февраль 2026'!$G$2:$G$2649,'февраль 2026'!$D$2:$D$2649,$B19,'февраль 2026'!$J$2:$J$2649,F$1)</f>
        <v>0</v>
      </c>
      <c r="G19" s="75">
        <f>SUMIFS('февраль 2026'!$G$2:$G$2649,'февраль 2026'!$D$2:$D$2649,$B19,'февраль 2026'!$J$2:$J$2649,G$1)</f>
        <v>0</v>
      </c>
      <c r="H19" s="75">
        <f>SUMIFS('февраль 2026'!$G$2:$G$2649,'февраль 2026'!$D$2:$D$2649,$B19,'февраль 2026'!$J$2:$J$2649,H$1)</f>
        <v>0</v>
      </c>
      <c r="I19" s="75">
        <f>SUMIFS('февраль 2026'!$G$2:$G$2649,'февраль 2026'!$D$2:$D$2649,$B19,'февраль 2026'!$J$2:$J$2649,I$1)</f>
        <v>0</v>
      </c>
      <c r="J19" s="75">
        <f>SUMIFS('февраль 2026'!$G$2:$G$2649,'февраль 2026'!$D$2:$D$2649,$B19,'февраль 2026'!$J$2:$J$2649,J$1)</f>
        <v>0</v>
      </c>
      <c r="K19" s="75">
        <f>SUMIFS('февраль 2026'!$G$2:$G$2649,'февраль 2026'!$D$2:$D$2649,$B19,'февраль 2026'!$J$2:$J$2649,K$1)</f>
        <v>0</v>
      </c>
      <c r="L19" s="75">
        <f>SUMIFS('февраль 2026'!$G$2:$G$2649,'февраль 2026'!$D$2:$D$2649,$B19,'февраль 2026'!$J$2:$J$2649,L$1)</f>
        <v>0</v>
      </c>
      <c r="M19" s="75">
        <f>SUMIFS('февраль 2026'!$G$2:$G$2649,'февраль 2026'!$D$2:$D$2649,$B19,'февраль 2026'!$J$2:$J$2649,M$1)</f>
        <v>0</v>
      </c>
      <c r="N19" s="75">
        <f>SUMIFS('февраль 2026'!$G$2:$G$2649,'февраль 2026'!$D$2:$D$2649,$B19,'февраль 2026'!$J$2:$J$2649,N$1)</f>
        <v>0</v>
      </c>
      <c r="O19" s="75">
        <f>SUMIFS('февраль 2026'!$G$2:$G$2649,'февраль 2026'!$D$2:$D$2649,$B19,'февраль 2026'!$J$2:$J$2649,O$1)</f>
        <v>0</v>
      </c>
      <c r="P19" s="75">
        <f>SUMIFS('февраль 2026'!$G$2:$G$2649,'февраль 2026'!$D$2:$D$2649,$B19,'февраль 2026'!$J$2:$J$2649,P$1)</f>
        <v>0</v>
      </c>
      <c r="Q19" s="75">
        <f>SUMIFS('февраль 2026'!$G$2:$G$2649,'февраль 2026'!$D$2:$D$2649,$B19,'февраль 2026'!$J$2:$J$2649,Q$1)</f>
        <v>0</v>
      </c>
      <c r="R19" s="75">
        <f>SUMIFS('февраль 2026'!$G$2:$G$2649,'февраль 2026'!$D$2:$D$2649,$B19,'февраль 2026'!$J$2:$J$2649,R$1)</f>
        <v>0</v>
      </c>
      <c r="S19" s="75">
        <f>SUMIFS('февраль 2026'!$G$2:$G$2649,'февраль 2026'!$D$2:$D$2649,$B19,'февраль 2026'!$J$2:$J$2649,S$1)</f>
        <v>0</v>
      </c>
      <c r="T19" s="75">
        <f>SUMIFS('февраль 2026'!$G$2:$G$2649,'февраль 2026'!$D$2:$D$2649,$B19,'февраль 2026'!$J$2:$J$2649,T$1)</f>
        <v>0</v>
      </c>
      <c r="U19" s="75">
        <f>SUMIFS('февраль 2026'!$G$2:$G$2649,'февраль 2026'!$D$2:$D$2649,$B19,'февраль 2026'!$J$2:$J$2649,U$1)</f>
        <v>0</v>
      </c>
      <c r="V19" s="75">
        <f>SUMIFS('февраль 2026'!$G$2:$G$2649,'февраль 2026'!$D$2:$D$2649,$B19,'февраль 2026'!$J$2:$J$2649,V$1)</f>
        <v>0</v>
      </c>
      <c r="W19" s="75">
        <f>SUMIFS('февраль 2026'!$G$2:$G$2649,'февраль 2026'!$D$2:$D$2649,$B19,'февраль 2026'!$J$2:$J$2649,W$1)</f>
        <v>0</v>
      </c>
      <c r="X19" s="75">
        <f>SUMIFS('февраль 2026'!$G$2:$G$2649,'февраль 2026'!$D$2:$D$2649,$B19,'февраль 2026'!$J$2:$J$2649,X$1)</f>
        <v>0</v>
      </c>
      <c r="Y19" s="75">
        <f>SUMIFS('февраль 2026'!$G$2:$G$2649,'февраль 2026'!$D$2:$D$2649,$B19,'февраль 2026'!$J$2:$J$2649,Y$1)</f>
        <v>0</v>
      </c>
      <c r="Z19" s="75">
        <f>SUMIFS('февраль 2026'!$G$2:$G$2649,'февраль 2026'!$D$2:$D$2649,$B19,'февраль 2026'!$J$2:$J$2649,Z$1)</f>
        <v>0</v>
      </c>
      <c r="AA19" s="75">
        <f>SUMIFS('февраль 2026'!$G$2:$G$2649,'февраль 2026'!$D$2:$D$2649,$B19,'февраль 2026'!$J$2:$J$2649,AA$1)</f>
        <v>0</v>
      </c>
      <c r="AB19" s="75">
        <f>SUMIFS('февраль 2026'!$G$2:$G$2649,'февраль 2026'!$D$2:$D$2649,$B19,'февраль 2026'!$J$2:$J$2649,AB$1)</f>
        <v>0</v>
      </c>
      <c r="AC19" s="75">
        <f>SUMIFS('февраль 2026'!$G$2:$G$2649,'февраль 2026'!$D$2:$D$2649,$B19,'февраль 2026'!$J$2:$J$2649,AC$1)</f>
        <v>0</v>
      </c>
      <c r="AD19" s="75">
        <f>SUMIFS('февраль 2026'!$G$2:$G$2649,'февраль 2026'!$D$2:$D$2649,$B19,'февраль 2026'!$J$2:$J$2649,AD$1)</f>
        <v>0</v>
      </c>
      <c r="AE19" s="75">
        <f>SUMIFS('февраль 2026'!$G$2:$G$2649,'февраль 2026'!$D$2:$D$2649,$B19,'февраль 2026'!$J$2:$J$2649,AE$1)</f>
        <v>0</v>
      </c>
      <c r="AF19" s="75">
        <f>SUMIFS('февраль 2026'!$G$2:$G$2649,'февраль 2026'!$D$2:$D$2649,$B19,'февраль 2026'!$J$2:$J$2649,AF$1)</f>
        <v>0</v>
      </c>
      <c r="AG19" s="75">
        <f>SUMIFS('февраль 2026'!$G$2:$G$2649,'февраль 2026'!$D$2:$D$2649,$B19,'февраль 2026'!$J$2:$J$2649,AG$1)</f>
        <v>0</v>
      </c>
      <c r="AH19" s="75">
        <f>SUMIFS('февраль 2026'!$G$2:$G$2649,'февраль 2026'!$D$2:$D$2649,$B19,'февраль 2026'!$J$2:$J$2649,AH$1)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SUMIFS('февраль 2026'!$G$2:$G$2649,'февраль 2026'!$D$2:$D$2649,$B20,'февраль 2026'!$J$2:$J$2649,D$1)</f>
        <v>0</v>
      </c>
      <c r="E20" s="75">
        <f>SUMIFS('февраль 2026'!$G$2:$G$2649,'февраль 2026'!$D$2:$D$2649,$B20,'февраль 2026'!$J$2:$J$2649,E$1)</f>
        <v>800</v>
      </c>
      <c r="F20" s="75">
        <f>SUMIFS('февраль 2026'!$G$2:$G$2649,'февраль 2026'!$D$2:$D$2649,$B20,'февраль 2026'!$J$2:$J$2649,F$1)</f>
        <v>0</v>
      </c>
      <c r="G20" s="75">
        <f>SUMIFS('февраль 2026'!$G$2:$G$2649,'февраль 2026'!$D$2:$D$2649,$B20,'февраль 2026'!$J$2:$J$2649,G$1)</f>
        <v>0</v>
      </c>
      <c r="H20" s="75">
        <f>SUMIFS('февраль 2026'!$G$2:$G$2649,'февраль 2026'!$D$2:$D$2649,$B20,'февраль 2026'!$J$2:$J$2649,H$1)</f>
        <v>0</v>
      </c>
      <c r="I20" s="75">
        <f>SUMIFS('февраль 2026'!$G$2:$G$2649,'февраль 2026'!$D$2:$D$2649,$B20,'февраль 2026'!$J$2:$J$2649,I$1)</f>
        <v>0</v>
      </c>
      <c r="J20" s="75">
        <f>SUMIFS('февраль 2026'!$G$2:$G$2649,'февраль 2026'!$D$2:$D$2649,$B20,'февраль 2026'!$J$2:$J$2649,J$1)</f>
        <v>0</v>
      </c>
      <c r="K20" s="75">
        <f>SUMIFS('февраль 2026'!$G$2:$G$2649,'февраль 2026'!$D$2:$D$2649,$B20,'февраль 2026'!$J$2:$J$2649,K$1)</f>
        <v>0</v>
      </c>
      <c r="L20" s="75">
        <f>SUMIFS('февраль 2026'!$G$2:$G$2649,'февраль 2026'!$D$2:$D$2649,$B20,'февраль 2026'!$J$2:$J$2649,L$1)</f>
        <v>0</v>
      </c>
      <c r="M20" s="75">
        <f>SUMIFS('февраль 2026'!$G$2:$G$2649,'февраль 2026'!$D$2:$D$2649,$B20,'февраль 2026'!$J$2:$J$2649,M$1)</f>
        <v>0</v>
      </c>
      <c r="N20" s="75">
        <f>SUMIFS('февраль 2026'!$G$2:$G$2649,'февраль 2026'!$D$2:$D$2649,$B20,'февраль 2026'!$J$2:$J$2649,N$1)</f>
        <v>0</v>
      </c>
      <c r="O20" s="75">
        <f>SUMIFS('февраль 2026'!$G$2:$G$2649,'февраль 2026'!$D$2:$D$2649,$B20,'февраль 2026'!$J$2:$J$2649,O$1)</f>
        <v>0</v>
      </c>
      <c r="P20" s="75">
        <f>SUMIFS('февраль 2026'!$G$2:$G$2649,'февраль 2026'!$D$2:$D$2649,$B20,'февраль 2026'!$J$2:$J$2649,P$1)</f>
        <v>0</v>
      </c>
      <c r="Q20" s="75">
        <f>SUMIFS('февраль 2026'!$G$2:$G$2649,'февраль 2026'!$D$2:$D$2649,$B20,'февраль 2026'!$J$2:$J$2649,Q$1)</f>
        <v>0</v>
      </c>
      <c r="R20" s="75">
        <f>SUMIFS('февраль 2026'!$G$2:$G$2649,'февраль 2026'!$D$2:$D$2649,$B20,'февраль 2026'!$J$2:$J$2649,R$1)</f>
        <v>0</v>
      </c>
      <c r="S20" s="75">
        <f>SUMIFS('февраль 2026'!$G$2:$G$2649,'февраль 2026'!$D$2:$D$2649,$B20,'февраль 2026'!$J$2:$J$2649,S$1)</f>
        <v>0</v>
      </c>
      <c r="T20" s="75">
        <f>SUMIFS('февраль 2026'!$G$2:$G$2649,'февраль 2026'!$D$2:$D$2649,$B20,'февраль 2026'!$J$2:$J$2649,T$1)</f>
        <v>0</v>
      </c>
      <c r="U20" s="75">
        <f>SUMIFS('февраль 2026'!$G$2:$G$2649,'февраль 2026'!$D$2:$D$2649,$B20,'февраль 2026'!$J$2:$J$2649,U$1)</f>
        <v>0</v>
      </c>
      <c r="V20" s="75">
        <f>SUMIFS('февраль 2026'!$G$2:$G$2649,'февраль 2026'!$D$2:$D$2649,$B20,'февраль 2026'!$J$2:$J$2649,V$1)</f>
        <v>0</v>
      </c>
      <c r="W20" s="75">
        <f>SUMIFS('февраль 2026'!$G$2:$G$2649,'февраль 2026'!$D$2:$D$2649,$B20,'февраль 2026'!$J$2:$J$2649,W$1)</f>
        <v>0</v>
      </c>
      <c r="X20" s="75">
        <f>SUMIFS('февраль 2026'!$G$2:$G$2649,'февраль 2026'!$D$2:$D$2649,$B20,'февраль 2026'!$J$2:$J$2649,X$1)</f>
        <v>0</v>
      </c>
      <c r="Y20" s="75">
        <f>SUMIFS('февраль 2026'!$G$2:$G$2649,'февраль 2026'!$D$2:$D$2649,$B20,'февраль 2026'!$J$2:$J$2649,Y$1)</f>
        <v>0</v>
      </c>
      <c r="Z20" s="75">
        <f>SUMIFS('февраль 2026'!$G$2:$G$2649,'февраль 2026'!$D$2:$D$2649,$B20,'февраль 2026'!$J$2:$J$2649,Z$1)</f>
        <v>0</v>
      </c>
      <c r="AA20" s="75">
        <f>SUMIFS('февраль 2026'!$G$2:$G$2649,'февраль 2026'!$D$2:$D$2649,$B20,'февраль 2026'!$J$2:$J$2649,AA$1)</f>
        <v>0</v>
      </c>
      <c r="AB20" s="75">
        <f>SUMIFS('февраль 2026'!$G$2:$G$2649,'февраль 2026'!$D$2:$D$2649,$B20,'февраль 2026'!$J$2:$J$2649,AB$1)</f>
        <v>0</v>
      </c>
      <c r="AC20" s="75">
        <f>SUMIFS('февраль 2026'!$G$2:$G$2649,'февраль 2026'!$D$2:$D$2649,$B20,'февраль 2026'!$J$2:$J$2649,AC$1)</f>
        <v>0</v>
      </c>
      <c r="AD20" s="75">
        <f>SUMIFS('февраль 2026'!$G$2:$G$2649,'февраль 2026'!$D$2:$D$2649,$B20,'февраль 2026'!$J$2:$J$2649,AD$1)</f>
        <v>0</v>
      </c>
      <c r="AE20" s="75">
        <f>SUMIFS('февраль 2026'!$G$2:$G$2649,'февраль 2026'!$D$2:$D$2649,$B20,'февраль 2026'!$J$2:$J$2649,AE$1)</f>
        <v>0</v>
      </c>
      <c r="AF20" s="75">
        <f>SUMIFS('февраль 2026'!$G$2:$G$2649,'февраль 2026'!$D$2:$D$2649,$B20,'февраль 2026'!$J$2:$J$2649,AF$1)</f>
        <v>0</v>
      </c>
      <c r="AG20" s="75">
        <f>SUMIFS('февраль 2026'!$G$2:$G$2649,'февраль 2026'!$D$2:$D$2649,$B20,'февраль 2026'!$J$2:$J$2649,AG$1)</f>
        <v>0</v>
      </c>
      <c r="AH20" s="75">
        <f>SUMIFS('февраль 2026'!$G$2:$G$2649,'февраль 2026'!$D$2:$D$2649,$B20,'февраль 2026'!$J$2:$J$2649,AH$1)</f>
        <v>0</v>
      </c>
      <c r="AI20" s="20">
        <f t="shared" si="1"/>
        <v>800</v>
      </c>
    </row>
    <row r="21" spans="2:35" ht="15" customHeight="1" x14ac:dyDescent="0.25">
      <c r="B21" s="76" t="s">
        <v>235</v>
      </c>
      <c r="C21" s="77">
        <v>25</v>
      </c>
      <c r="D21" s="75">
        <f>SUMIFS('февраль 2026'!$G$2:$G$2649,'февраль 2026'!$D$2:$D$2649,$B21,'февраль 2026'!$J$2:$J$2649,D$1)</f>
        <v>0</v>
      </c>
      <c r="E21" s="75">
        <f>SUMIFS('февраль 2026'!$G$2:$G$2649,'февраль 2026'!$D$2:$D$2649,$B21,'февраль 2026'!$J$2:$J$2649,E$1)</f>
        <v>0</v>
      </c>
      <c r="F21" s="75">
        <f>SUMIFS('февраль 2026'!$G$2:$G$2649,'февраль 2026'!$D$2:$D$2649,$B21,'февраль 2026'!$J$2:$J$2649,F$1)</f>
        <v>0</v>
      </c>
      <c r="G21" s="75">
        <f>SUMIFS('февраль 2026'!$G$2:$G$2649,'февраль 2026'!$D$2:$D$2649,$B21,'февраль 2026'!$J$2:$J$2649,G$1)</f>
        <v>0</v>
      </c>
      <c r="H21" s="75">
        <f>SUMIFS('февраль 2026'!$G$2:$G$2649,'февраль 2026'!$D$2:$D$2649,$B21,'февраль 2026'!$J$2:$J$2649,H$1)</f>
        <v>0</v>
      </c>
      <c r="I21" s="75">
        <f>SUMIFS('февраль 2026'!$G$2:$G$2649,'февраль 2026'!$D$2:$D$2649,$B21,'февраль 2026'!$J$2:$J$2649,I$1)</f>
        <v>0</v>
      </c>
      <c r="J21" s="75">
        <f>SUMIFS('февраль 2026'!$G$2:$G$2649,'февраль 2026'!$D$2:$D$2649,$B21,'февраль 2026'!$J$2:$J$2649,J$1)</f>
        <v>0</v>
      </c>
      <c r="K21" s="75">
        <f>SUMIFS('февраль 2026'!$G$2:$G$2649,'февраль 2026'!$D$2:$D$2649,$B21,'февраль 2026'!$J$2:$J$2649,K$1)</f>
        <v>0</v>
      </c>
      <c r="L21" s="75">
        <f>SUMIFS('февраль 2026'!$G$2:$G$2649,'февраль 2026'!$D$2:$D$2649,$B21,'февраль 2026'!$J$2:$J$2649,L$1)</f>
        <v>0</v>
      </c>
      <c r="M21" s="75">
        <f>SUMIFS('февраль 2026'!$G$2:$G$2649,'февраль 2026'!$D$2:$D$2649,$B21,'февраль 2026'!$J$2:$J$2649,M$1)</f>
        <v>0</v>
      </c>
      <c r="N21" s="75">
        <f>SUMIFS('февраль 2026'!$G$2:$G$2649,'февраль 2026'!$D$2:$D$2649,$B21,'февраль 2026'!$J$2:$J$2649,N$1)</f>
        <v>0</v>
      </c>
      <c r="O21" s="75">
        <f>SUMIFS('февраль 2026'!$G$2:$G$2649,'февраль 2026'!$D$2:$D$2649,$B21,'февраль 2026'!$J$2:$J$2649,O$1)</f>
        <v>0</v>
      </c>
      <c r="P21" s="75">
        <f>SUMIFS('февраль 2026'!$G$2:$G$2649,'февраль 2026'!$D$2:$D$2649,$B21,'февраль 2026'!$J$2:$J$2649,P$1)</f>
        <v>0</v>
      </c>
      <c r="Q21" s="75">
        <f>SUMIFS('февраль 2026'!$G$2:$G$2649,'февраль 2026'!$D$2:$D$2649,$B21,'февраль 2026'!$J$2:$J$2649,Q$1)</f>
        <v>0</v>
      </c>
      <c r="R21" s="75">
        <f>SUMIFS('февраль 2026'!$G$2:$G$2649,'февраль 2026'!$D$2:$D$2649,$B21,'февраль 2026'!$J$2:$J$2649,R$1)</f>
        <v>0</v>
      </c>
      <c r="S21" s="75">
        <f>SUMIFS('февраль 2026'!$G$2:$G$2649,'февраль 2026'!$D$2:$D$2649,$B21,'февраль 2026'!$J$2:$J$2649,S$1)</f>
        <v>0</v>
      </c>
      <c r="T21" s="75">
        <f>SUMIFS('февраль 2026'!$G$2:$G$2649,'февраль 2026'!$D$2:$D$2649,$B21,'февраль 2026'!$J$2:$J$2649,T$1)</f>
        <v>0</v>
      </c>
      <c r="U21" s="75">
        <f>SUMIFS('февраль 2026'!$G$2:$G$2649,'февраль 2026'!$D$2:$D$2649,$B21,'февраль 2026'!$J$2:$J$2649,U$1)</f>
        <v>0</v>
      </c>
      <c r="V21" s="75">
        <f>SUMIFS('февраль 2026'!$G$2:$G$2649,'февраль 2026'!$D$2:$D$2649,$B21,'февраль 2026'!$J$2:$J$2649,V$1)</f>
        <v>0</v>
      </c>
      <c r="W21" s="75">
        <f>SUMIFS('февраль 2026'!$G$2:$G$2649,'февраль 2026'!$D$2:$D$2649,$B21,'февраль 2026'!$J$2:$J$2649,W$1)</f>
        <v>0</v>
      </c>
      <c r="X21" s="75">
        <f>SUMIFS('февраль 2026'!$G$2:$G$2649,'февраль 2026'!$D$2:$D$2649,$B21,'февраль 2026'!$J$2:$J$2649,X$1)</f>
        <v>0</v>
      </c>
      <c r="Y21" s="75">
        <f>SUMIFS('февраль 2026'!$G$2:$G$2649,'февраль 2026'!$D$2:$D$2649,$B21,'февраль 2026'!$J$2:$J$2649,Y$1)</f>
        <v>0</v>
      </c>
      <c r="Z21" s="75">
        <f>SUMIFS('февраль 2026'!$G$2:$G$2649,'февраль 2026'!$D$2:$D$2649,$B21,'февраль 2026'!$J$2:$J$2649,Z$1)</f>
        <v>0</v>
      </c>
      <c r="AA21" s="75">
        <f>SUMIFS('февраль 2026'!$G$2:$G$2649,'февраль 2026'!$D$2:$D$2649,$B21,'февраль 2026'!$J$2:$J$2649,AA$1)</f>
        <v>0</v>
      </c>
      <c r="AB21" s="75">
        <f>SUMIFS('февраль 2026'!$G$2:$G$2649,'февраль 2026'!$D$2:$D$2649,$B21,'февраль 2026'!$J$2:$J$2649,AB$1)</f>
        <v>0</v>
      </c>
      <c r="AC21" s="75">
        <f>SUMIFS('февраль 2026'!$G$2:$G$2649,'февраль 2026'!$D$2:$D$2649,$B21,'февраль 2026'!$J$2:$J$2649,AC$1)</f>
        <v>0</v>
      </c>
      <c r="AD21" s="75">
        <f>SUMIFS('февраль 2026'!$G$2:$G$2649,'февраль 2026'!$D$2:$D$2649,$B21,'февраль 2026'!$J$2:$J$2649,AD$1)</f>
        <v>0</v>
      </c>
      <c r="AE21" s="75">
        <f>SUMIFS('февраль 2026'!$G$2:$G$2649,'февраль 2026'!$D$2:$D$2649,$B21,'февраль 2026'!$J$2:$J$2649,AE$1)</f>
        <v>0</v>
      </c>
      <c r="AF21" s="75">
        <f>SUMIFS('февраль 2026'!$G$2:$G$2649,'февраль 2026'!$D$2:$D$2649,$B21,'февраль 2026'!$J$2:$J$2649,AF$1)</f>
        <v>0</v>
      </c>
      <c r="AG21" s="75">
        <f>SUMIFS('февраль 2026'!$G$2:$G$2649,'февраль 2026'!$D$2:$D$2649,$B21,'февраль 2026'!$J$2:$J$2649,AG$1)</f>
        <v>0</v>
      </c>
      <c r="AH21" s="75">
        <f>SUMIFS('февраль 2026'!$G$2:$G$2649,'февраль 2026'!$D$2:$D$2649,$B21,'февраль 2026'!$J$2:$J$2649,AH$1)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SUMIFS('февраль 2026'!$G$2:$G$2649,'февраль 2026'!$D$2:$D$2649,$B22,'февраль 2026'!$J$2:$J$2649,D$1)</f>
        <v>0</v>
      </c>
      <c r="E22" s="75">
        <f>SUMIFS('февраль 2026'!$G$2:$G$2649,'февраль 2026'!$D$2:$D$2649,$B22,'февраль 2026'!$J$2:$J$2649,E$1)</f>
        <v>0</v>
      </c>
      <c r="F22" s="75">
        <f>SUMIFS('февраль 2026'!$G$2:$G$2649,'февраль 2026'!$D$2:$D$2649,$B22,'февраль 2026'!$J$2:$J$2649,F$1)</f>
        <v>0</v>
      </c>
      <c r="G22" s="75">
        <f>SUMIFS('февраль 2026'!$G$2:$G$2649,'февраль 2026'!$D$2:$D$2649,$B22,'февраль 2026'!$J$2:$J$2649,G$1)</f>
        <v>0</v>
      </c>
      <c r="H22" s="75">
        <f>SUMIFS('февраль 2026'!$G$2:$G$2649,'февраль 2026'!$D$2:$D$2649,$B22,'февраль 2026'!$J$2:$J$2649,H$1)</f>
        <v>0</v>
      </c>
      <c r="I22" s="75">
        <f>SUMIFS('февраль 2026'!$G$2:$G$2649,'февраль 2026'!$D$2:$D$2649,$B22,'февраль 2026'!$J$2:$J$2649,I$1)</f>
        <v>0</v>
      </c>
      <c r="J22" s="75">
        <f>SUMIFS('февраль 2026'!$G$2:$G$2649,'февраль 2026'!$D$2:$D$2649,$B22,'февраль 2026'!$J$2:$J$2649,J$1)</f>
        <v>0</v>
      </c>
      <c r="K22" s="75">
        <f>SUMIFS('февраль 2026'!$G$2:$G$2649,'февраль 2026'!$D$2:$D$2649,$B22,'февраль 2026'!$J$2:$J$2649,K$1)</f>
        <v>0</v>
      </c>
      <c r="L22" s="75">
        <f>SUMIFS('февраль 2026'!$G$2:$G$2649,'февраль 2026'!$D$2:$D$2649,$B22,'февраль 2026'!$J$2:$J$2649,L$1)</f>
        <v>0</v>
      </c>
      <c r="M22" s="75">
        <f>SUMIFS('февраль 2026'!$G$2:$G$2649,'февраль 2026'!$D$2:$D$2649,$B22,'февраль 2026'!$J$2:$J$2649,M$1)</f>
        <v>0</v>
      </c>
      <c r="N22" s="75">
        <f>SUMIFS('февраль 2026'!$G$2:$G$2649,'февраль 2026'!$D$2:$D$2649,$B22,'февраль 2026'!$J$2:$J$2649,N$1)</f>
        <v>0</v>
      </c>
      <c r="O22" s="75">
        <f>SUMIFS('февраль 2026'!$G$2:$G$2649,'февраль 2026'!$D$2:$D$2649,$B22,'февраль 2026'!$J$2:$J$2649,O$1)</f>
        <v>0</v>
      </c>
      <c r="P22" s="75">
        <f>SUMIFS('февраль 2026'!$G$2:$G$2649,'февраль 2026'!$D$2:$D$2649,$B22,'февраль 2026'!$J$2:$J$2649,P$1)</f>
        <v>0</v>
      </c>
      <c r="Q22" s="75">
        <f>SUMIFS('февраль 2026'!$G$2:$G$2649,'февраль 2026'!$D$2:$D$2649,$B22,'февраль 2026'!$J$2:$J$2649,Q$1)</f>
        <v>0</v>
      </c>
      <c r="R22" s="75">
        <f>SUMIFS('февраль 2026'!$G$2:$G$2649,'февраль 2026'!$D$2:$D$2649,$B22,'февраль 2026'!$J$2:$J$2649,R$1)</f>
        <v>0</v>
      </c>
      <c r="S22" s="75">
        <f>SUMIFS('февраль 2026'!$G$2:$G$2649,'февраль 2026'!$D$2:$D$2649,$B22,'февраль 2026'!$J$2:$J$2649,S$1)</f>
        <v>0</v>
      </c>
      <c r="T22" s="75">
        <f>SUMIFS('февраль 2026'!$G$2:$G$2649,'февраль 2026'!$D$2:$D$2649,$B22,'февраль 2026'!$J$2:$J$2649,T$1)</f>
        <v>0</v>
      </c>
      <c r="U22" s="75">
        <f>SUMIFS('февраль 2026'!$G$2:$G$2649,'февраль 2026'!$D$2:$D$2649,$B22,'февраль 2026'!$J$2:$J$2649,U$1)</f>
        <v>0</v>
      </c>
      <c r="V22" s="75">
        <f>SUMIFS('февраль 2026'!$G$2:$G$2649,'февраль 2026'!$D$2:$D$2649,$B22,'февраль 2026'!$J$2:$J$2649,V$1)</f>
        <v>0</v>
      </c>
      <c r="W22" s="75">
        <f>SUMIFS('февраль 2026'!$G$2:$G$2649,'февраль 2026'!$D$2:$D$2649,$B22,'февраль 2026'!$J$2:$J$2649,W$1)</f>
        <v>0</v>
      </c>
      <c r="X22" s="75">
        <f>SUMIFS('февраль 2026'!$G$2:$G$2649,'февраль 2026'!$D$2:$D$2649,$B22,'февраль 2026'!$J$2:$J$2649,X$1)</f>
        <v>0</v>
      </c>
      <c r="Y22" s="75">
        <f>SUMIFS('февраль 2026'!$G$2:$G$2649,'февраль 2026'!$D$2:$D$2649,$B22,'февраль 2026'!$J$2:$J$2649,Y$1)</f>
        <v>0</v>
      </c>
      <c r="Z22" s="75">
        <f>SUMIFS('февраль 2026'!$G$2:$G$2649,'февраль 2026'!$D$2:$D$2649,$B22,'февраль 2026'!$J$2:$J$2649,Z$1)</f>
        <v>0</v>
      </c>
      <c r="AA22" s="75">
        <f>SUMIFS('февраль 2026'!$G$2:$G$2649,'февраль 2026'!$D$2:$D$2649,$B22,'февраль 2026'!$J$2:$J$2649,AA$1)</f>
        <v>0</v>
      </c>
      <c r="AB22" s="75">
        <f>SUMIFS('февраль 2026'!$G$2:$G$2649,'февраль 2026'!$D$2:$D$2649,$B22,'февраль 2026'!$J$2:$J$2649,AB$1)</f>
        <v>0</v>
      </c>
      <c r="AC22" s="75">
        <f>SUMIFS('февраль 2026'!$G$2:$G$2649,'февраль 2026'!$D$2:$D$2649,$B22,'февраль 2026'!$J$2:$J$2649,AC$1)</f>
        <v>0</v>
      </c>
      <c r="AD22" s="75">
        <f>SUMIFS('февраль 2026'!$G$2:$G$2649,'февраль 2026'!$D$2:$D$2649,$B22,'февраль 2026'!$J$2:$J$2649,AD$1)</f>
        <v>0</v>
      </c>
      <c r="AE22" s="75">
        <f>SUMIFS('февраль 2026'!$G$2:$G$2649,'февраль 2026'!$D$2:$D$2649,$B22,'февраль 2026'!$J$2:$J$2649,AE$1)</f>
        <v>0</v>
      </c>
      <c r="AF22" s="75">
        <f>SUMIFS('февраль 2026'!$G$2:$G$2649,'февраль 2026'!$D$2:$D$2649,$B22,'февраль 2026'!$J$2:$J$2649,AF$1)</f>
        <v>0</v>
      </c>
      <c r="AG22" s="75">
        <f>SUMIFS('февраль 2026'!$G$2:$G$2649,'февраль 2026'!$D$2:$D$2649,$B22,'февраль 2026'!$J$2:$J$2649,AG$1)</f>
        <v>0</v>
      </c>
      <c r="AH22" s="75">
        <f>SUMIFS('февраль 2026'!$G$2:$G$2649,'февраль 2026'!$D$2:$D$2649,$B22,'февраль 2026'!$J$2:$J$2649,AH$1)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SUMIFS('февраль 2026'!$G$2:$G$2649,'февраль 2026'!$D$2:$D$2649,$B23,'февраль 2026'!$J$2:$J$2649,D$1)</f>
        <v>0</v>
      </c>
      <c r="E23" s="75">
        <f>SUMIFS('февраль 2026'!$G$2:$G$2649,'февраль 2026'!$D$2:$D$2649,$B23,'февраль 2026'!$J$2:$J$2649,E$1)</f>
        <v>0</v>
      </c>
      <c r="F23" s="75">
        <f>SUMIFS('февраль 2026'!$G$2:$G$2649,'февраль 2026'!$D$2:$D$2649,$B23,'февраль 2026'!$J$2:$J$2649,F$1)</f>
        <v>0</v>
      </c>
      <c r="G23" s="75">
        <f>SUMIFS('февраль 2026'!$G$2:$G$2649,'февраль 2026'!$D$2:$D$2649,$B23,'февраль 2026'!$J$2:$J$2649,G$1)</f>
        <v>0</v>
      </c>
      <c r="H23" s="75">
        <f>SUMIFS('февраль 2026'!$G$2:$G$2649,'февраль 2026'!$D$2:$D$2649,$B23,'февраль 2026'!$J$2:$J$2649,H$1)</f>
        <v>0</v>
      </c>
      <c r="I23" s="75">
        <f>SUMIFS('февраль 2026'!$G$2:$G$2649,'февраль 2026'!$D$2:$D$2649,$B23,'февраль 2026'!$J$2:$J$2649,I$1)</f>
        <v>0</v>
      </c>
      <c r="J23" s="75">
        <f>SUMIFS('февраль 2026'!$G$2:$G$2649,'февраль 2026'!$D$2:$D$2649,$B23,'февраль 2026'!$J$2:$J$2649,J$1)</f>
        <v>0</v>
      </c>
      <c r="K23" s="75">
        <f>SUMIFS('февраль 2026'!$G$2:$G$2649,'февраль 2026'!$D$2:$D$2649,$B23,'февраль 2026'!$J$2:$J$2649,K$1)</f>
        <v>0</v>
      </c>
      <c r="L23" s="75">
        <f>SUMIFS('февраль 2026'!$G$2:$G$2649,'февраль 2026'!$D$2:$D$2649,$B23,'февраль 2026'!$J$2:$J$2649,L$1)</f>
        <v>0</v>
      </c>
      <c r="M23" s="75">
        <f>SUMIFS('февраль 2026'!$G$2:$G$2649,'февраль 2026'!$D$2:$D$2649,$B23,'февраль 2026'!$J$2:$J$2649,M$1)</f>
        <v>0</v>
      </c>
      <c r="N23" s="75">
        <f>SUMIFS('февраль 2026'!$G$2:$G$2649,'февраль 2026'!$D$2:$D$2649,$B23,'февраль 2026'!$J$2:$J$2649,N$1)</f>
        <v>0</v>
      </c>
      <c r="O23" s="75">
        <f>SUMIFS('февраль 2026'!$G$2:$G$2649,'февраль 2026'!$D$2:$D$2649,$B23,'февраль 2026'!$J$2:$J$2649,O$1)</f>
        <v>0</v>
      </c>
      <c r="P23" s="75">
        <f>SUMIFS('февраль 2026'!$G$2:$G$2649,'февраль 2026'!$D$2:$D$2649,$B23,'февраль 2026'!$J$2:$J$2649,P$1)</f>
        <v>0</v>
      </c>
      <c r="Q23" s="75">
        <f>SUMIFS('февраль 2026'!$G$2:$G$2649,'февраль 2026'!$D$2:$D$2649,$B23,'февраль 2026'!$J$2:$J$2649,Q$1)</f>
        <v>0</v>
      </c>
      <c r="R23" s="75">
        <f>SUMIFS('февраль 2026'!$G$2:$G$2649,'февраль 2026'!$D$2:$D$2649,$B23,'февраль 2026'!$J$2:$J$2649,R$1)</f>
        <v>0</v>
      </c>
      <c r="S23" s="75">
        <f>SUMIFS('февраль 2026'!$G$2:$G$2649,'февраль 2026'!$D$2:$D$2649,$B23,'февраль 2026'!$J$2:$J$2649,S$1)</f>
        <v>0</v>
      </c>
      <c r="T23" s="75">
        <f>SUMIFS('февраль 2026'!$G$2:$G$2649,'февраль 2026'!$D$2:$D$2649,$B23,'февраль 2026'!$J$2:$J$2649,T$1)</f>
        <v>0</v>
      </c>
      <c r="U23" s="75">
        <f>SUMIFS('февраль 2026'!$G$2:$G$2649,'февраль 2026'!$D$2:$D$2649,$B23,'февраль 2026'!$J$2:$J$2649,U$1)</f>
        <v>0</v>
      </c>
      <c r="V23" s="75">
        <f>SUMIFS('февраль 2026'!$G$2:$G$2649,'февраль 2026'!$D$2:$D$2649,$B23,'февраль 2026'!$J$2:$J$2649,V$1)</f>
        <v>0</v>
      </c>
      <c r="W23" s="75">
        <f>SUMIFS('февраль 2026'!$G$2:$G$2649,'февраль 2026'!$D$2:$D$2649,$B23,'февраль 2026'!$J$2:$J$2649,W$1)</f>
        <v>0</v>
      </c>
      <c r="X23" s="75">
        <f>SUMIFS('февраль 2026'!$G$2:$G$2649,'февраль 2026'!$D$2:$D$2649,$B23,'февраль 2026'!$J$2:$J$2649,X$1)</f>
        <v>0</v>
      </c>
      <c r="Y23" s="75">
        <f>SUMIFS('февраль 2026'!$G$2:$G$2649,'февраль 2026'!$D$2:$D$2649,$B23,'февраль 2026'!$J$2:$J$2649,Y$1)</f>
        <v>0</v>
      </c>
      <c r="Z23" s="75">
        <f>SUMIFS('февраль 2026'!$G$2:$G$2649,'февраль 2026'!$D$2:$D$2649,$B23,'февраль 2026'!$J$2:$J$2649,Z$1)</f>
        <v>0</v>
      </c>
      <c r="AA23" s="75">
        <f>SUMIFS('февраль 2026'!$G$2:$G$2649,'февраль 2026'!$D$2:$D$2649,$B23,'февраль 2026'!$J$2:$J$2649,AA$1)</f>
        <v>0</v>
      </c>
      <c r="AB23" s="75">
        <f>SUMIFS('февраль 2026'!$G$2:$G$2649,'февраль 2026'!$D$2:$D$2649,$B23,'февраль 2026'!$J$2:$J$2649,AB$1)</f>
        <v>0</v>
      </c>
      <c r="AC23" s="75">
        <f>SUMIFS('февраль 2026'!$G$2:$G$2649,'февраль 2026'!$D$2:$D$2649,$B23,'февраль 2026'!$J$2:$J$2649,AC$1)</f>
        <v>0</v>
      </c>
      <c r="AD23" s="75">
        <f>SUMIFS('февраль 2026'!$G$2:$G$2649,'февраль 2026'!$D$2:$D$2649,$B23,'февраль 2026'!$J$2:$J$2649,AD$1)</f>
        <v>0</v>
      </c>
      <c r="AE23" s="75">
        <f>SUMIFS('февраль 2026'!$G$2:$G$2649,'февраль 2026'!$D$2:$D$2649,$B23,'февраль 2026'!$J$2:$J$2649,AE$1)</f>
        <v>0</v>
      </c>
      <c r="AF23" s="75">
        <f>SUMIFS('февраль 2026'!$G$2:$G$2649,'февраль 2026'!$D$2:$D$2649,$B23,'февраль 2026'!$J$2:$J$2649,AF$1)</f>
        <v>0</v>
      </c>
      <c r="AG23" s="75">
        <f>SUMIFS('февраль 2026'!$G$2:$G$2649,'февраль 2026'!$D$2:$D$2649,$B23,'февраль 2026'!$J$2:$J$2649,AG$1)</f>
        <v>0</v>
      </c>
      <c r="AH23" s="75">
        <f>SUMIFS('февраль 2026'!$G$2:$G$2649,'февраль 2026'!$D$2:$D$2649,$B23,'февраль 2026'!$J$2:$J$2649,AH$1)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SUMIFS('февраль 2026'!$G$2:$G$2649,'февраль 2026'!$D$2:$D$2649,$B24,'февраль 2026'!$J$2:$J$2649,D$1)</f>
        <v>0</v>
      </c>
      <c r="E24" s="75">
        <f>SUMIFS('февраль 2026'!$G$2:$G$2649,'февраль 2026'!$D$2:$D$2649,$B24,'февраль 2026'!$J$2:$J$2649,E$1)</f>
        <v>0</v>
      </c>
      <c r="F24" s="75">
        <f>SUMIFS('февраль 2026'!$G$2:$G$2649,'февраль 2026'!$D$2:$D$2649,$B24,'февраль 2026'!$J$2:$J$2649,F$1)</f>
        <v>0</v>
      </c>
      <c r="G24" s="75">
        <f>SUMIFS('февраль 2026'!$G$2:$G$2649,'февраль 2026'!$D$2:$D$2649,$B24,'февраль 2026'!$J$2:$J$2649,G$1)</f>
        <v>0</v>
      </c>
      <c r="H24" s="75">
        <f>SUMIFS('февраль 2026'!$G$2:$G$2649,'февраль 2026'!$D$2:$D$2649,$B24,'февраль 2026'!$J$2:$J$2649,H$1)</f>
        <v>0</v>
      </c>
      <c r="I24" s="75">
        <f>SUMIFS('февраль 2026'!$G$2:$G$2649,'февраль 2026'!$D$2:$D$2649,$B24,'февраль 2026'!$J$2:$J$2649,I$1)</f>
        <v>0</v>
      </c>
      <c r="J24" s="75">
        <f>SUMIFS('февраль 2026'!$G$2:$G$2649,'февраль 2026'!$D$2:$D$2649,$B24,'февраль 2026'!$J$2:$J$2649,J$1)</f>
        <v>0</v>
      </c>
      <c r="K24" s="75">
        <f>SUMIFS('февраль 2026'!$G$2:$G$2649,'февраль 2026'!$D$2:$D$2649,$B24,'февраль 2026'!$J$2:$J$2649,K$1)</f>
        <v>0</v>
      </c>
      <c r="L24" s="75">
        <f>SUMIFS('февраль 2026'!$G$2:$G$2649,'февраль 2026'!$D$2:$D$2649,$B24,'февраль 2026'!$J$2:$J$2649,L$1)</f>
        <v>0</v>
      </c>
      <c r="M24" s="75">
        <f>SUMIFS('февраль 2026'!$G$2:$G$2649,'февраль 2026'!$D$2:$D$2649,$B24,'февраль 2026'!$J$2:$J$2649,M$1)</f>
        <v>0</v>
      </c>
      <c r="N24" s="75">
        <f>SUMIFS('февраль 2026'!$G$2:$G$2649,'февраль 2026'!$D$2:$D$2649,$B24,'февраль 2026'!$J$2:$J$2649,N$1)</f>
        <v>0</v>
      </c>
      <c r="O24" s="75">
        <f>SUMIFS('февраль 2026'!$G$2:$G$2649,'февраль 2026'!$D$2:$D$2649,$B24,'февраль 2026'!$J$2:$J$2649,O$1)</f>
        <v>0</v>
      </c>
      <c r="P24" s="75">
        <f>SUMIFS('февраль 2026'!$G$2:$G$2649,'февраль 2026'!$D$2:$D$2649,$B24,'февраль 2026'!$J$2:$J$2649,P$1)</f>
        <v>0</v>
      </c>
      <c r="Q24" s="75">
        <f>SUMIFS('февраль 2026'!$G$2:$G$2649,'февраль 2026'!$D$2:$D$2649,$B24,'февраль 2026'!$J$2:$J$2649,Q$1)</f>
        <v>0</v>
      </c>
      <c r="R24" s="75">
        <f>SUMIFS('февраль 2026'!$G$2:$G$2649,'февраль 2026'!$D$2:$D$2649,$B24,'февраль 2026'!$J$2:$J$2649,R$1)</f>
        <v>0</v>
      </c>
      <c r="S24" s="75">
        <f>SUMIFS('февраль 2026'!$G$2:$G$2649,'февраль 2026'!$D$2:$D$2649,$B24,'февраль 2026'!$J$2:$J$2649,S$1)</f>
        <v>0</v>
      </c>
      <c r="T24" s="75">
        <f>SUMIFS('февраль 2026'!$G$2:$G$2649,'февраль 2026'!$D$2:$D$2649,$B24,'февраль 2026'!$J$2:$J$2649,T$1)</f>
        <v>0</v>
      </c>
      <c r="U24" s="75">
        <f>SUMIFS('февраль 2026'!$G$2:$G$2649,'февраль 2026'!$D$2:$D$2649,$B24,'февраль 2026'!$J$2:$J$2649,U$1)</f>
        <v>0</v>
      </c>
      <c r="V24" s="75">
        <f>SUMIFS('февраль 2026'!$G$2:$G$2649,'февраль 2026'!$D$2:$D$2649,$B24,'февраль 2026'!$J$2:$J$2649,V$1)</f>
        <v>0</v>
      </c>
      <c r="W24" s="75">
        <f>SUMIFS('февраль 2026'!$G$2:$G$2649,'февраль 2026'!$D$2:$D$2649,$B24,'февраль 2026'!$J$2:$J$2649,W$1)</f>
        <v>0</v>
      </c>
      <c r="X24" s="75">
        <f>SUMIFS('февраль 2026'!$G$2:$G$2649,'февраль 2026'!$D$2:$D$2649,$B24,'февраль 2026'!$J$2:$J$2649,X$1)</f>
        <v>0</v>
      </c>
      <c r="Y24" s="75">
        <f>SUMIFS('февраль 2026'!$G$2:$G$2649,'февраль 2026'!$D$2:$D$2649,$B24,'февраль 2026'!$J$2:$J$2649,Y$1)</f>
        <v>0</v>
      </c>
      <c r="Z24" s="75">
        <f>SUMIFS('февраль 2026'!$G$2:$G$2649,'февраль 2026'!$D$2:$D$2649,$B24,'февраль 2026'!$J$2:$J$2649,Z$1)</f>
        <v>0</v>
      </c>
      <c r="AA24" s="75">
        <f>SUMIFS('февраль 2026'!$G$2:$G$2649,'февраль 2026'!$D$2:$D$2649,$B24,'февраль 2026'!$J$2:$J$2649,AA$1)</f>
        <v>0</v>
      </c>
      <c r="AB24" s="75">
        <f>SUMIFS('февраль 2026'!$G$2:$G$2649,'февраль 2026'!$D$2:$D$2649,$B24,'февраль 2026'!$J$2:$J$2649,AB$1)</f>
        <v>0</v>
      </c>
      <c r="AC24" s="75">
        <f>SUMIFS('февраль 2026'!$G$2:$G$2649,'февраль 2026'!$D$2:$D$2649,$B24,'февраль 2026'!$J$2:$J$2649,AC$1)</f>
        <v>0</v>
      </c>
      <c r="AD24" s="75">
        <f>SUMIFS('февраль 2026'!$G$2:$G$2649,'февраль 2026'!$D$2:$D$2649,$B24,'февраль 2026'!$J$2:$J$2649,AD$1)</f>
        <v>0</v>
      </c>
      <c r="AE24" s="75">
        <f>SUMIFS('февраль 2026'!$G$2:$G$2649,'февраль 2026'!$D$2:$D$2649,$B24,'февраль 2026'!$J$2:$J$2649,AE$1)</f>
        <v>0</v>
      </c>
      <c r="AF24" s="75">
        <f>SUMIFS('февраль 2026'!$G$2:$G$2649,'февраль 2026'!$D$2:$D$2649,$B24,'февраль 2026'!$J$2:$J$2649,AF$1)</f>
        <v>0</v>
      </c>
      <c r="AG24" s="75">
        <f>SUMIFS('февраль 2026'!$G$2:$G$2649,'февраль 2026'!$D$2:$D$2649,$B24,'февраль 2026'!$J$2:$J$2649,AG$1)</f>
        <v>0</v>
      </c>
      <c r="AH24" s="75">
        <f>SUMIFS('февраль 2026'!$G$2:$G$2649,'февраль 2026'!$D$2:$D$2649,$B24,'февраль 2026'!$J$2:$J$2649,AH$1)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SUMIFS('февраль 2026'!$G$2:$G$2649,'февраль 2026'!$D$2:$D$2649,$B25,'февраль 2026'!$J$2:$J$2649,D$1)</f>
        <v>0</v>
      </c>
      <c r="E25" s="75">
        <f>SUMIFS('февраль 2026'!$G$2:$G$2649,'февраль 2026'!$D$2:$D$2649,$B25,'февраль 2026'!$J$2:$J$2649,E$1)</f>
        <v>0</v>
      </c>
      <c r="F25" s="75">
        <f>SUMIFS('февраль 2026'!$G$2:$G$2649,'февраль 2026'!$D$2:$D$2649,$B25,'февраль 2026'!$J$2:$J$2649,F$1)</f>
        <v>0</v>
      </c>
      <c r="G25" s="75">
        <f>SUMIFS('февраль 2026'!$G$2:$G$2649,'февраль 2026'!$D$2:$D$2649,$B25,'февраль 2026'!$J$2:$J$2649,G$1)</f>
        <v>0</v>
      </c>
      <c r="H25" s="75">
        <f>SUMIFS('февраль 2026'!$G$2:$G$2649,'февраль 2026'!$D$2:$D$2649,$B25,'февраль 2026'!$J$2:$J$2649,H$1)</f>
        <v>0</v>
      </c>
      <c r="I25" s="75">
        <f>SUMIFS('февраль 2026'!$G$2:$G$2649,'февраль 2026'!$D$2:$D$2649,$B25,'февраль 2026'!$J$2:$J$2649,I$1)</f>
        <v>0</v>
      </c>
      <c r="J25" s="75">
        <f>SUMIFS('февраль 2026'!$G$2:$G$2649,'февраль 2026'!$D$2:$D$2649,$B25,'февраль 2026'!$J$2:$J$2649,J$1)</f>
        <v>0</v>
      </c>
      <c r="K25" s="75">
        <f>SUMIFS('февраль 2026'!$G$2:$G$2649,'февраль 2026'!$D$2:$D$2649,$B25,'февраль 2026'!$J$2:$J$2649,K$1)</f>
        <v>0</v>
      </c>
      <c r="L25" s="75">
        <f>SUMIFS('февраль 2026'!$G$2:$G$2649,'февраль 2026'!$D$2:$D$2649,$B25,'февраль 2026'!$J$2:$J$2649,L$1)</f>
        <v>0</v>
      </c>
      <c r="M25" s="75">
        <f>SUMIFS('февраль 2026'!$G$2:$G$2649,'февраль 2026'!$D$2:$D$2649,$B25,'февраль 2026'!$J$2:$J$2649,M$1)</f>
        <v>0</v>
      </c>
      <c r="N25" s="75">
        <f>SUMIFS('февраль 2026'!$G$2:$G$2649,'февраль 2026'!$D$2:$D$2649,$B25,'февраль 2026'!$J$2:$J$2649,N$1)</f>
        <v>0</v>
      </c>
      <c r="O25" s="75">
        <f>SUMIFS('февраль 2026'!$G$2:$G$2649,'февраль 2026'!$D$2:$D$2649,$B25,'февраль 2026'!$J$2:$J$2649,O$1)</f>
        <v>0</v>
      </c>
      <c r="P25" s="75">
        <f>SUMIFS('февраль 2026'!$G$2:$G$2649,'февраль 2026'!$D$2:$D$2649,$B25,'февраль 2026'!$J$2:$J$2649,P$1)</f>
        <v>0</v>
      </c>
      <c r="Q25" s="75">
        <f>SUMIFS('февраль 2026'!$G$2:$G$2649,'февраль 2026'!$D$2:$D$2649,$B25,'февраль 2026'!$J$2:$J$2649,Q$1)</f>
        <v>0</v>
      </c>
      <c r="R25" s="75">
        <f>SUMIFS('февраль 2026'!$G$2:$G$2649,'февраль 2026'!$D$2:$D$2649,$B25,'февраль 2026'!$J$2:$J$2649,R$1)</f>
        <v>0</v>
      </c>
      <c r="S25" s="75">
        <f>SUMIFS('февраль 2026'!$G$2:$G$2649,'февраль 2026'!$D$2:$D$2649,$B25,'февраль 2026'!$J$2:$J$2649,S$1)</f>
        <v>0</v>
      </c>
      <c r="T25" s="75">
        <f>SUMIFS('февраль 2026'!$G$2:$G$2649,'февраль 2026'!$D$2:$D$2649,$B25,'февраль 2026'!$J$2:$J$2649,T$1)</f>
        <v>0</v>
      </c>
      <c r="U25" s="75">
        <f>SUMIFS('февраль 2026'!$G$2:$G$2649,'февраль 2026'!$D$2:$D$2649,$B25,'февраль 2026'!$J$2:$J$2649,U$1)</f>
        <v>0</v>
      </c>
      <c r="V25" s="75">
        <f>SUMIFS('февраль 2026'!$G$2:$G$2649,'февраль 2026'!$D$2:$D$2649,$B25,'февраль 2026'!$J$2:$J$2649,V$1)</f>
        <v>0</v>
      </c>
      <c r="W25" s="75">
        <f>SUMIFS('февраль 2026'!$G$2:$G$2649,'февраль 2026'!$D$2:$D$2649,$B25,'февраль 2026'!$J$2:$J$2649,W$1)</f>
        <v>0</v>
      </c>
      <c r="X25" s="75">
        <f>SUMIFS('февраль 2026'!$G$2:$G$2649,'февраль 2026'!$D$2:$D$2649,$B25,'февраль 2026'!$J$2:$J$2649,X$1)</f>
        <v>0</v>
      </c>
      <c r="Y25" s="75">
        <f>SUMIFS('февраль 2026'!$G$2:$G$2649,'февраль 2026'!$D$2:$D$2649,$B25,'февраль 2026'!$J$2:$J$2649,Y$1)</f>
        <v>0</v>
      </c>
      <c r="Z25" s="75">
        <f>SUMIFS('февраль 2026'!$G$2:$G$2649,'февраль 2026'!$D$2:$D$2649,$B25,'февраль 2026'!$J$2:$J$2649,Z$1)</f>
        <v>0</v>
      </c>
      <c r="AA25" s="75">
        <f>SUMIFS('февраль 2026'!$G$2:$G$2649,'февраль 2026'!$D$2:$D$2649,$B25,'февраль 2026'!$J$2:$J$2649,AA$1)</f>
        <v>0</v>
      </c>
      <c r="AB25" s="75">
        <f>SUMIFS('февраль 2026'!$G$2:$G$2649,'февраль 2026'!$D$2:$D$2649,$B25,'февраль 2026'!$J$2:$J$2649,AB$1)</f>
        <v>0</v>
      </c>
      <c r="AC25" s="75">
        <f>SUMIFS('февраль 2026'!$G$2:$G$2649,'февраль 2026'!$D$2:$D$2649,$B25,'февраль 2026'!$J$2:$J$2649,AC$1)</f>
        <v>0</v>
      </c>
      <c r="AD25" s="75">
        <f>SUMIFS('февраль 2026'!$G$2:$G$2649,'февраль 2026'!$D$2:$D$2649,$B25,'февраль 2026'!$J$2:$J$2649,AD$1)</f>
        <v>0</v>
      </c>
      <c r="AE25" s="75">
        <f>SUMIFS('февраль 2026'!$G$2:$G$2649,'февраль 2026'!$D$2:$D$2649,$B25,'февраль 2026'!$J$2:$J$2649,AE$1)</f>
        <v>0</v>
      </c>
      <c r="AF25" s="75">
        <f>SUMIFS('февраль 2026'!$G$2:$G$2649,'февраль 2026'!$D$2:$D$2649,$B25,'февраль 2026'!$J$2:$J$2649,AF$1)</f>
        <v>0</v>
      </c>
      <c r="AG25" s="75">
        <f>SUMIFS('февраль 2026'!$G$2:$G$2649,'февраль 2026'!$D$2:$D$2649,$B25,'февраль 2026'!$J$2:$J$2649,AG$1)</f>
        <v>0</v>
      </c>
      <c r="AH25" s="75">
        <f>SUMIFS('февраль 2026'!$G$2:$G$2649,'февраль 2026'!$D$2:$D$2649,$B25,'февраль 2026'!$J$2:$J$2649,AH$1)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SUMIFS('февраль 2026'!$G$2:$G$2649,'февраль 2026'!$D$2:$D$2649,$B26,'февраль 2026'!$J$2:$J$2649,D$1)</f>
        <v>0</v>
      </c>
      <c r="E26" s="75">
        <f>SUMIFS('февраль 2026'!$G$2:$G$2649,'февраль 2026'!$D$2:$D$2649,$B26,'февраль 2026'!$J$2:$J$2649,E$1)</f>
        <v>0</v>
      </c>
      <c r="F26" s="75">
        <f>SUMIFS('февраль 2026'!$G$2:$G$2649,'февраль 2026'!$D$2:$D$2649,$B26,'февраль 2026'!$J$2:$J$2649,F$1)</f>
        <v>0</v>
      </c>
      <c r="G26" s="75">
        <f>SUMIFS('февраль 2026'!$G$2:$G$2649,'февраль 2026'!$D$2:$D$2649,$B26,'февраль 2026'!$J$2:$J$2649,G$1)</f>
        <v>0</v>
      </c>
      <c r="H26" s="75">
        <f>SUMIFS('февраль 2026'!$G$2:$G$2649,'февраль 2026'!$D$2:$D$2649,$B26,'февраль 2026'!$J$2:$J$2649,H$1)</f>
        <v>0</v>
      </c>
      <c r="I26" s="75">
        <f>SUMIFS('февраль 2026'!$G$2:$G$2649,'февраль 2026'!$D$2:$D$2649,$B26,'февраль 2026'!$J$2:$J$2649,I$1)</f>
        <v>0</v>
      </c>
      <c r="J26" s="75">
        <f>SUMIFS('февраль 2026'!$G$2:$G$2649,'февраль 2026'!$D$2:$D$2649,$B26,'февраль 2026'!$J$2:$J$2649,J$1)</f>
        <v>0</v>
      </c>
      <c r="K26" s="75">
        <f>SUMIFS('февраль 2026'!$G$2:$G$2649,'февраль 2026'!$D$2:$D$2649,$B26,'февраль 2026'!$J$2:$J$2649,K$1)</f>
        <v>0</v>
      </c>
      <c r="L26" s="75">
        <f>SUMIFS('февраль 2026'!$G$2:$G$2649,'февраль 2026'!$D$2:$D$2649,$B26,'февраль 2026'!$J$2:$J$2649,L$1)</f>
        <v>0</v>
      </c>
      <c r="M26" s="75">
        <f>SUMIFS('февраль 2026'!$G$2:$G$2649,'февраль 2026'!$D$2:$D$2649,$B26,'февраль 2026'!$J$2:$J$2649,M$1)</f>
        <v>0</v>
      </c>
      <c r="N26" s="75">
        <f>SUMIFS('февраль 2026'!$G$2:$G$2649,'февраль 2026'!$D$2:$D$2649,$B26,'февраль 2026'!$J$2:$J$2649,N$1)</f>
        <v>0</v>
      </c>
      <c r="O26" s="75">
        <f>SUMIFS('февраль 2026'!$G$2:$G$2649,'февраль 2026'!$D$2:$D$2649,$B26,'февраль 2026'!$J$2:$J$2649,O$1)</f>
        <v>0</v>
      </c>
      <c r="P26" s="75">
        <f>SUMIFS('февраль 2026'!$G$2:$G$2649,'февраль 2026'!$D$2:$D$2649,$B26,'февраль 2026'!$J$2:$J$2649,P$1)</f>
        <v>0</v>
      </c>
      <c r="Q26" s="75">
        <f>SUMIFS('февраль 2026'!$G$2:$G$2649,'февраль 2026'!$D$2:$D$2649,$B26,'февраль 2026'!$J$2:$J$2649,Q$1)</f>
        <v>0</v>
      </c>
      <c r="R26" s="75">
        <f>SUMIFS('февраль 2026'!$G$2:$G$2649,'февраль 2026'!$D$2:$D$2649,$B26,'февраль 2026'!$J$2:$J$2649,R$1)</f>
        <v>0</v>
      </c>
      <c r="S26" s="75">
        <f>SUMIFS('февраль 2026'!$G$2:$G$2649,'февраль 2026'!$D$2:$D$2649,$B26,'февраль 2026'!$J$2:$J$2649,S$1)</f>
        <v>0</v>
      </c>
      <c r="T26" s="75">
        <f>SUMIFS('февраль 2026'!$G$2:$G$2649,'февраль 2026'!$D$2:$D$2649,$B26,'февраль 2026'!$J$2:$J$2649,T$1)</f>
        <v>0</v>
      </c>
      <c r="U26" s="75">
        <f>SUMIFS('февраль 2026'!$G$2:$G$2649,'февраль 2026'!$D$2:$D$2649,$B26,'февраль 2026'!$J$2:$J$2649,U$1)</f>
        <v>0</v>
      </c>
      <c r="V26" s="75">
        <f>SUMIFS('февраль 2026'!$G$2:$G$2649,'февраль 2026'!$D$2:$D$2649,$B26,'февраль 2026'!$J$2:$J$2649,V$1)</f>
        <v>0</v>
      </c>
      <c r="W26" s="75">
        <f>SUMIFS('февраль 2026'!$G$2:$G$2649,'февраль 2026'!$D$2:$D$2649,$B26,'февраль 2026'!$J$2:$J$2649,W$1)</f>
        <v>0</v>
      </c>
      <c r="X26" s="75">
        <f>SUMIFS('февраль 2026'!$G$2:$G$2649,'февраль 2026'!$D$2:$D$2649,$B26,'февраль 2026'!$J$2:$J$2649,X$1)</f>
        <v>0</v>
      </c>
      <c r="Y26" s="75">
        <f>SUMIFS('февраль 2026'!$G$2:$G$2649,'февраль 2026'!$D$2:$D$2649,$B26,'февраль 2026'!$J$2:$J$2649,Y$1)</f>
        <v>0</v>
      </c>
      <c r="Z26" s="75">
        <f>SUMIFS('февраль 2026'!$G$2:$G$2649,'февраль 2026'!$D$2:$D$2649,$B26,'февраль 2026'!$J$2:$J$2649,Z$1)</f>
        <v>0</v>
      </c>
      <c r="AA26" s="75">
        <f>SUMIFS('февраль 2026'!$G$2:$G$2649,'февраль 2026'!$D$2:$D$2649,$B26,'февраль 2026'!$J$2:$J$2649,AA$1)</f>
        <v>0</v>
      </c>
      <c r="AB26" s="75">
        <f>SUMIFS('февраль 2026'!$G$2:$G$2649,'февраль 2026'!$D$2:$D$2649,$B26,'февраль 2026'!$J$2:$J$2649,AB$1)</f>
        <v>0</v>
      </c>
      <c r="AC26" s="75">
        <f>SUMIFS('февраль 2026'!$G$2:$G$2649,'февраль 2026'!$D$2:$D$2649,$B26,'февраль 2026'!$J$2:$J$2649,AC$1)</f>
        <v>0</v>
      </c>
      <c r="AD26" s="75">
        <f>SUMIFS('февраль 2026'!$G$2:$G$2649,'февраль 2026'!$D$2:$D$2649,$B26,'февраль 2026'!$J$2:$J$2649,AD$1)</f>
        <v>0</v>
      </c>
      <c r="AE26" s="75">
        <f>SUMIFS('февраль 2026'!$G$2:$G$2649,'февраль 2026'!$D$2:$D$2649,$B26,'февраль 2026'!$J$2:$J$2649,AE$1)</f>
        <v>0</v>
      </c>
      <c r="AF26" s="75">
        <f>SUMIFS('февраль 2026'!$G$2:$G$2649,'февраль 2026'!$D$2:$D$2649,$B26,'февраль 2026'!$J$2:$J$2649,AF$1)</f>
        <v>0</v>
      </c>
      <c r="AG26" s="75">
        <f>SUMIFS('февраль 2026'!$G$2:$G$2649,'февраль 2026'!$D$2:$D$2649,$B26,'февраль 2026'!$J$2:$J$2649,AG$1)</f>
        <v>0</v>
      </c>
      <c r="AH26" s="75">
        <f>SUMIFS('февраль 2026'!$G$2:$G$2649,'февраль 2026'!$D$2:$D$2649,$B26,'февраль 2026'!$J$2:$J$2649,AH$1)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SUMIFS('февраль 2026'!$G$2:$G$2649,'февраль 2026'!$D$2:$D$2649,$B27,'февраль 2026'!$J$2:$J$2649,D$1)</f>
        <v>0</v>
      </c>
      <c r="E27" s="75">
        <f>SUMIFS('февраль 2026'!$G$2:$G$2649,'февраль 2026'!$D$2:$D$2649,$B27,'февраль 2026'!$J$2:$J$2649,E$1)</f>
        <v>0</v>
      </c>
      <c r="F27" s="75">
        <f>SUMIFS('февраль 2026'!$G$2:$G$2649,'февраль 2026'!$D$2:$D$2649,$B27,'февраль 2026'!$J$2:$J$2649,F$1)</f>
        <v>0</v>
      </c>
      <c r="G27" s="75">
        <f>SUMIFS('февраль 2026'!$G$2:$G$2649,'февраль 2026'!$D$2:$D$2649,$B27,'февраль 2026'!$J$2:$J$2649,G$1)</f>
        <v>0</v>
      </c>
      <c r="H27" s="75">
        <f>SUMIFS('февраль 2026'!$G$2:$G$2649,'февраль 2026'!$D$2:$D$2649,$B27,'февраль 2026'!$J$2:$J$2649,H$1)</f>
        <v>0</v>
      </c>
      <c r="I27" s="75">
        <f>SUMIFS('февраль 2026'!$G$2:$G$2649,'февраль 2026'!$D$2:$D$2649,$B27,'февраль 2026'!$J$2:$J$2649,I$1)</f>
        <v>0</v>
      </c>
      <c r="J27" s="75">
        <f>SUMIFS('февраль 2026'!$G$2:$G$2649,'февраль 2026'!$D$2:$D$2649,$B27,'февраль 2026'!$J$2:$J$2649,J$1)</f>
        <v>0</v>
      </c>
      <c r="K27" s="75">
        <f>SUMIFS('февраль 2026'!$G$2:$G$2649,'февраль 2026'!$D$2:$D$2649,$B27,'февраль 2026'!$J$2:$J$2649,K$1)</f>
        <v>0</v>
      </c>
      <c r="L27" s="75">
        <f>SUMIFS('февраль 2026'!$G$2:$G$2649,'февраль 2026'!$D$2:$D$2649,$B27,'февраль 2026'!$J$2:$J$2649,L$1)</f>
        <v>0</v>
      </c>
      <c r="M27" s="75">
        <f>SUMIFS('февраль 2026'!$G$2:$G$2649,'февраль 2026'!$D$2:$D$2649,$B27,'февраль 2026'!$J$2:$J$2649,M$1)</f>
        <v>0</v>
      </c>
      <c r="N27" s="75">
        <f>SUMIFS('февраль 2026'!$G$2:$G$2649,'февраль 2026'!$D$2:$D$2649,$B27,'февраль 2026'!$J$2:$J$2649,N$1)</f>
        <v>0</v>
      </c>
      <c r="O27" s="75">
        <f>SUMIFS('февраль 2026'!$G$2:$G$2649,'февраль 2026'!$D$2:$D$2649,$B27,'февраль 2026'!$J$2:$J$2649,O$1)</f>
        <v>0</v>
      </c>
      <c r="P27" s="75">
        <f>SUMIFS('февраль 2026'!$G$2:$G$2649,'февраль 2026'!$D$2:$D$2649,$B27,'февраль 2026'!$J$2:$J$2649,P$1)</f>
        <v>0</v>
      </c>
      <c r="Q27" s="75">
        <f>SUMIFS('февраль 2026'!$G$2:$G$2649,'февраль 2026'!$D$2:$D$2649,$B27,'февраль 2026'!$J$2:$J$2649,Q$1)</f>
        <v>0</v>
      </c>
      <c r="R27" s="75">
        <f>SUMIFS('февраль 2026'!$G$2:$G$2649,'февраль 2026'!$D$2:$D$2649,$B27,'февраль 2026'!$J$2:$J$2649,R$1)</f>
        <v>0</v>
      </c>
      <c r="S27" s="75">
        <f>SUMIFS('февраль 2026'!$G$2:$G$2649,'февраль 2026'!$D$2:$D$2649,$B27,'февраль 2026'!$J$2:$J$2649,S$1)</f>
        <v>0</v>
      </c>
      <c r="T27" s="75">
        <f>SUMIFS('февраль 2026'!$G$2:$G$2649,'февраль 2026'!$D$2:$D$2649,$B27,'февраль 2026'!$J$2:$J$2649,T$1)</f>
        <v>0</v>
      </c>
      <c r="U27" s="75">
        <f>SUMIFS('февраль 2026'!$G$2:$G$2649,'февраль 2026'!$D$2:$D$2649,$B27,'февраль 2026'!$J$2:$J$2649,U$1)</f>
        <v>0</v>
      </c>
      <c r="V27" s="75">
        <f>SUMIFS('февраль 2026'!$G$2:$G$2649,'февраль 2026'!$D$2:$D$2649,$B27,'февраль 2026'!$J$2:$J$2649,V$1)</f>
        <v>0</v>
      </c>
      <c r="W27" s="75">
        <f>SUMIFS('февраль 2026'!$G$2:$G$2649,'февраль 2026'!$D$2:$D$2649,$B27,'февраль 2026'!$J$2:$J$2649,W$1)</f>
        <v>0</v>
      </c>
      <c r="X27" s="75">
        <f>SUMIFS('февраль 2026'!$G$2:$G$2649,'февраль 2026'!$D$2:$D$2649,$B27,'февраль 2026'!$J$2:$J$2649,X$1)</f>
        <v>0</v>
      </c>
      <c r="Y27" s="75">
        <f>SUMIFS('февраль 2026'!$G$2:$G$2649,'февраль 2026'!$D$2:$D$2649,$B27,'февраль 2026'!$J$2:$J$2649,Y$1)</f>
        <v>0</v>
      </c>
      <c r="Z27" s="75">
        <f>SUMIFS('февраль 2026'!$G$2:$G$2649,'февраль 2026'!$D$2:$D$2649,$B27,'февраль 2026'!$J$2:$J$2649,Z$1)</f>
        <v>0</v>
      </c>
      <c r="AA27" s="75">
        <f>SUMIFS('февраль 2026'!$G$2:$G$2649,'февраль 2026'!$D$2:$D$2649,$B27,'февраль 2026'!$J$2:$J$2649,AA$1)</f>
        <v>0</v>
      </c>
      <c r="AB27" s="75">
        <f>SUMIFS('февраль 2026'!$G$2:$G$2649,'февраль 2026'!$D$2:$D$2649,$B27,'февраль 2026'!$J$2:$J$2649,AB$1)</f>
        <v>0</v>
      </c>
      <c r="AC27" s="75">
        <f>SUMIFS('февраль 2026'!$G$2:$G$2649,'февраль 2026'!$D$2:$D$2649,$B27,'февраль 2026'!$J$2:$J$2649,AC$1)</f>
        <v>0</v>
      </c>
      <c r="AD27" s="75">
        <f>SUMIFS('февраль 2026'!$G$2:$G$2649,'февраль 2026'!$D$2:$D$2649,$B27,'февраль 2026'!$J$2:$J$2649,AD$1)</f>
        <v>0</v>
      </c>
      <c r="AE27" s="75">
        <f>SUMIFS('февраль 2026'!$G$2:$G$2649,'февраль 2026'!$D$2:$D$2649,$B27,'февраль 2026'!$J$2:$J$2649,AE$1)</f>
        <v>0</v>
      </c>
      <c r="AF27" s="75">
        <f>SUMIFS('февраль 2026'!$G$2:$G$2649,'февраль 2026'!$D$2:$D$2649,$B27,'февраль 2026'!$J$2:$J$2649,AF$1)</f>
        <v>0</v>
      </c>
      <c r="AG27" s="75">
        <f>SUMIFS('февраль 2026'!$G$2:$G$2649,'февраль 2026'!$D$2:$D$2649,$B27,'февраль 2026'!$J$2:$J$2649,AG$1)</f>
        <v>0</v>
      </c>
      <c r="AH27" s="75">
        <f>SUMIFS('февраль 2026'!$G$2:$G$2649,'февраль 2026'!$D$2:$D$2649,$B27,'февраль 2026'!$J$2:$J$2649,AH$1)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SUMIFS('февраль 2026'!$G$2:$G$2649,'февраль 2026'!$D$2:$D$2649,$B28,'февраль 2026'!$J$2:$J$2649,D$1)</f>
        <v>0</v>
      </c>
      <c r="E28" s="75">
        <f>SUMIFS('февраль 2026'!$G$2:$G$2649,'февраль 2026'!$D$2:$D$2649,$B28,'февраль 2026'!$J$2:$J$2649,E$1)</f>
        <v>0</v>
      </c>
      <c r="F28" s="75">
        <f>SUMIFS('февраль 2026'!$G$2:$G$2649,'февраль 2026'!$D$2:$D$2649,$B28,'февраль 2026'!$J$2:$J$2649,F$1)</f>
        <v>0</v>
      </c>
      <c r="G28" s="75">
        <f>SUMIFS('февраль 2026'!$G$2:$G$2649,'февраль 2026'!$D$2:$D$2649,$B28,'февраль 2026'!$J$2:$J$2649,G$1)</f>
        <v>0</v>
      </c>
      <c r="H28" s="75">
        <f>SUMIFS('февраль 2026'!$G$2:$G$2649,'февраль 2026'!$D$2:$D$2649,$B28,'февраль 2026'!$J$2:$J$2649,H$1)</f>
        <v>0</v>
      </c>
      <c r="I28" s="75">
        <f>SUMIFS('февраль 2026'!$G$2:$G$2649,'февраль 2026'!$D$2:$D$2649,$B28,'февраль 2026'!$J$2:$J$2649,I$1)</f>
        <v>0</v>
      </c>
      <c r="J28" s="75">
        <f>SUMIFS('февраль 2026'!$G$2:$G$2649,'февраль 2026'!$D$2:$D$2649,$B28,'февраль 2026'!$J$2:$J$2649,J$1)</f>
        <v>0</v>
      </c>
      <c r="K28" s="75">
        <f>SUMIFS('февраль 2026'!$G$2:$G$2649,'февраль 2026'!$D$2:$D$2649,$B28,'февраль 2026'!$J$2:$J$2649,K$1)</f>
        <v>0</v>
      </c>
      <c r="L28" s="75">
        <f>SUMIFS('февраль 2026'!$G$2:$G$2649,'февраль 2026'!$D$2:$D$2649,$B28,'февраль 2026'!$J$2:$J$2649,L$1)</f>
        <v>0</v>
      </c>
      <c r="M28" s="75">
        <f>SUMIFS('февраль 2026'!$G$2:$G$2649,'февраль 2026'!$D$2:$D$2649,$B28,'февраль 2026'!$J$2:$J$2649,M$1)</f>
        <v>0</v>
      </c>
      <c r="N28" s="75">
        <f>SUMIFS('февраль 2026'!$G$2:$G$2649,'февраль 2026'!$D$2:$D$2649,$B28,'февраль 2026'!$J$2:$J$2649,N$1)</f>
        <v>0</v>
      </c>
      <c r="O28" s="75">
        <f>SUMIFS('февраль 2026'!$G$2:$G$2649,'февраль 2026'!$D$2:$D$2649,$B28,'февраль 2026'!$J$2:$J$2649,O$1)</f>
        <v>0</v>
      </c>
      <c r="P28" s="75">
        <f>SUMIFS('февраль 2026'!$G$2:$G$2649,'февраль 2026'!$D$2:$D$2649,$B28,'февраль 2026'!$J$2:$J$2649,P$1)</f>
        <v>0</v>
      </c>
      <c r="Q28" s="75">
        <f>SUMIFS('февраль 2026'!$G$2:$G$2649,'февраль 2026'!$D$2:$D$2649,$B28,'февраль 2026'!$J$2:$J$2649,Q$1)</f>
        <v>0</v>
      </c>
      <c r="R28" s="75">
        <f>SUMIFS('февраль 2026'!$G$2:$G$2649,'февраль 2026'!$D$2:$D$2649,$B28,'февраль 2026'!$J$2:$J$2649,R$1)</f>
        <v>0</v>
      </c>
      <c r="S28" s="75">
        <f>SUMIFS('февраль 2026'!$G$2:$G$2649,'февраль 2026'!$D$2:$D$2649,$B28,'февраль 2026'!$J$2:$J$2649,S$1)</f>
        <v>0</v>
      </c>
      <c r="T28" s="75">
        <f>SUMIFS('февраль 2026'!$G$2:$G$2649,'февраль 2026'!$D$2:$D$2649,$B28,'февраль 2026'!$J$2:$J$2649,T$1)</f>
        <v>0</v>
      </c>
      <c r="U28" s="75">
        <f>SUMIFS('февраль 2026'!$G$2:$G$2649,'февраль 2026'!$D$2:$D$2649,$B28,'февраль 2026'!$J$2:$J$2649,U$1)</f>
        <v>0</v>
      </c>
      <c r="V28" s="75">
        <f>SUMIFS('февраль 2026'!$G$2:$G$2649,'февраль 2026'!$D$2:$D$2649,$B28,'февраль 2026'!$J$2:$J$2649,V$1)</f>
        <v>0</v>
      </c>
      <c r="W28" s="75">
        <f>SUMIFS('февраль 2026'!$G$2:$G$2649,'февраль 2026'!$D$2:$D$2649,$B28,'февраль 2026'!$J$2:$J$2649,W$1)</f>
        <v>0</v>
      </c>
      <c r="X28" s="75">
        <f>SUMIFS('февраль 2026'!$G$2:$G$2649,'февраль 2026'!$D$2:$D$2649,$B28,'февраль 2026'!$J$2:$J$2649,X$1)</f>
        <v>0</v>
      </c>
      <c r="Y28" s="75">
        <f>SUMIFS('февраль 2026'!$G$2:$G$2649,'февраль 2026'!$D$2:$D$2649,$B28,'февраль 2026'!$J$2:$J$2649,Y$1)</f>
        <v>0</v>
      </c>
      <c r="Z28" s="75">
        <f>SUMIFS('февраль 2026'!$G$2:$G$2649,'февраль 2026'!$D$2:$D$2649,$B28,'февраль 2026'!$J$2:$J$2649,Z$1)</f>
        <v>0</v>
      </c>
      <c r="AA28" s="75">
        <f>SUMIFS('февраль 2026'!$G$2:$G$2649,'февраль 2026'!$D$2:$D$2649,$B28,'февраль 2026'!$J$2:$J$2649,AA$1)</f>
        <v>0</v>
      </c>
      <c r="AB28" s="75">
        <f>SUMIFS('февраль 2026'!$G$2:$G$2649,'февраль 2026'!$D$2:$D$2649,$B28,'февраль 2026'!$J$2:$J$2649,AB$1)</f>
        <v>0</v>
      </c>
      <c r="AC28" s="75">
        <f>SUMIFS('февраль 2026'!$G$2:$G$2649,'февраль 2026'!$D$2:$D$2649,$B28,'февраль 2026'!$J$2:$J$2649,AC$1)</f>
        <v>0</v>
      </c>
      <c r="AD28" s="75">
        <f>SUMIFS('февраль 2026'!$G$2:$G$2649,'февраль 2026'!$D$2:$D$2649,$B28,'февраль 2026'!$J$2:$J$2649,AD$1)</f>
        <v>0</v>
      </c>
      <c r="AE28" s="75">
        <f>SUMIFS('февраль 2026'!$G$2:$G$2649,'февраль 2026'!$D$2:$D$2649,$B28,'февраль 2026'!$J$2:$J$2649,AE$1)</f>
        <v>0</v>
      </c>
      <c r="AF28" s="75">
        <f>SUMIFS('февраль 2026'!$G$2:$G$2649,'февраль 2026'!$D$2:$D$2649,$B28,'февраль 2026'!$J$2:$J$2649,AF$1)</f>
        <v>0</v>
      </c>
      <c r="AG28" s="75">
        <f>SUMIFS('февраль 2026'!$G$2:$G$2649,'февраль 2026'!$D$2:$D$2649,$B28,'февраль 2026'!$J$2:$J$2649,AG$1)</f>
        <v>0</v>
      </c>
      <c r="AH28" s="75">
        <f>SUMIFS('февраль 2026'!$G$2:$G$2649,'февраль 2026'!$D$2:$D$2649,$B28,'февраль 2026'!$J$2:$J$2649,AH$1)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SUMIFS('февраль 2026'!$G$2:$G$2649,'февраль 2026'!$D$2:$D$2649,$B29,'февраль 2026'!$J$2:$J$2649,D$1)</f>
        <v>0</v>
      </c>
      <c r="E29" s="75">
        <f>SUMIFS('февраль 2026'!$G$2:$G$2649,'февраль 2026'!$D$2:$D$2649,$B29,'февраль 2026'!$J$2:$J$2649,E$1)</f>
        <v>0</v>
      </c>
      <c r="F29" s="75">
        <f>SUMIFS('февраль 2026'!$G$2:$G$2649,'февраль 2026'!$D$2:$D$2649,$B29,'февраль 2026'!$J$2:$J$2649,F$1)</f>
        <v>0</v>
      </c>
      <c r="G29" s="75">
        <f>SUMIFS('февраль 2026'!$G$2:$G$2649,'февраль 2026'!$D$2:$D$2649,$B29,'февраль 2026'!$J$2:$J$2649,G$1)</f>
        <v>0</v>
      </c>
      <c r="H29" s="75">
        <f>SUMIFS('февраль 2026'!$G$2:$G$2649,'февраль 2026'!$D$2:$D$2649,$B29,'февраль 2026'!$J$2:$J$2649,H$1)</f>
        <v>0</v>
      </c>
      <c r="I29" s="75">
        <f>SUMIFS('февраль 2026'!$G$2:$G$2649,'февраль 2026'!$D$2:$D$2649,$B29,'февраль 2026'!$J$2:$J$2649,I$1)</f>
        <v>0</v>
      </c>
      <c r="J29" s="75">
        <f>SUMIFS('февраль 2026'!$G$2:$G$2649,'февраль 2026'!$D$2:$D$2649,$B29,'февраль 2026'!$J$2:$J$2649,J$1)</f>
        <v>0</v>
      </c>
      <c r="K29" s="75">
        <f>SUMIFS('февраль 2026'!$G$2:$G$2649,'февраль 2026'!$D$2:$D$2649,$B29,'февраль 2026'!$J$2:$J$2649,K$1)</f>
        <v>0</v>
      </c>
      <c r="L29" s="75">
        <f>SUMIFS('февраль 2026'!$G$2:$G$2649,'февраль 2026'!$D$2:$D$2649,$B29,'февраль 2026'!$J$2:$J$2649,L$1)</f>
        <v>0</v>
      </c>
      <c r="M29" s="75">
        <f>SUMIFS('февраль 2026'!$G$2:$G$2649,'февраль 2026'!$D$2:$D$2649,$B29,'февраль 2026'!$J$2:$J$2649,M$1)</f>
        <v>0</v>
      </c>
      <c r="N29" s="75">
        <f>SUMIFS('февраль 2026'!$G$2:$G$2649,'февраль 2026'!$D$2:$D$2649,$B29,'февраль 2026'!$J$2:$J$2649,N$1)</f>
        <v>0</v>
      </c>
      <c r="O29" s="75">
        <f>SUMIFS('февраль 2026'!$G$2:$G$2649,'февраль 2026'!$D$2:$D$2649,$B29,'февраль 2026'!$J$2:$J$2649,O$1)</f>
        <v>0</v>
      </c>
      <c r="P29" s="75">
        <f>SUMIFS('февраль 2026'!$G$2:$G$2649,'февраль 2026'!$D$2:$D$2649,$B29,'февраль 2026'!$J$2:$J$2649,P$1)</f>
        <v>0</v>
      </c>
      <c r="Q29" s="75">
        <f>SUMIFS('февраль 2026'!$G$2:$G$2649,'февраль 2026'!$D$2:$D$2649,$B29,'февраль 2026'!$J$2:$J$2649,Q$1)</f>
        <v>0</v>
      </c>
      <c r="R29" s="75">
        <f>SUMIFS('февраль 2026'!$G$2:$G$2649,'февраль 2026'!$D$2:$D$2649,$B29,'февраль 2026'!$J$2:$J$2649,R$1)</f>
        <v>0</v>
      </c>
      <c r="S29" s="75">
        <f>SUMIFS('февраль 2026'!$G$2:$G$2649,'февраль 2026'!$D$2:$D$2649,$B29,'февраль 2026'!$J$2:$J$2649,S$1)</f>
        <v>0</v>
      </c>
      <c r="T29" s="75">
        <f>SUMIFS('февраль 2026'!$G$2:$G$2649,'февраль 2026'!$D$2:$D$2649,$B29,'февраль 2026'!$J$2:$J$2649,T$1)</f>
        <v>0</v>
      </c>
      <c r="U29" s="75">
        <f>SUMIFS('февраль 2026'!$G$2:$G$2649,'февраль 2026'!$D$2:$D$2649,$B29,'февраль 2026'!$J$2:$J$2649,U$1)</f>
        <v>0</v>
      </c>
      <c r="V29" s="75">
        <f>SUMIFS('февраль 2026'!$G$2:$G$2649,'февраль 2026'!$D$2:$D$2649,$B29,'февраль 2026'!$J$2:$J$2649,V$1)</f>
        <v>0</v>
      </c>
      <c r="W29" s="75">
        <f>SUMIFS('февраль 2026'!$G$2:$G$2649,'февраль 2026'!$D$2:$D$2649,$B29,'февраль 2026'!$J$2:$J$2649,W$1)</f>
        <v>0</v>
      </c>
      <c r="X29" s="75">
        <f>SUMIFS('февраль 2026'!$G$2:$G$2649,'февраль 2026'!$D$2:$D$2649,$B29,'февраль 2026'!$J$2:$J$2649,X$1)</f>
        <v>0</v>
      </c>
      <c r="Y29" s="75">
        <f>SUMIFS('февраль 2026'!$G$2:$G$2649,'февраль 2026'!$D$2:$D$2649,$B29,'февраль 2026'!$J$2:$J$2649,Y$1)</f>
        <v>0</v>
      </c>
      <c r="Z29" s="75">
        <f>SUMIFS('февраль 2026'!$G$2:$G$2649,'февраль 2026'!$D$2:$D$2649,$B29,'февраль 2026'!$J$2:$J$2649,Z$1)</f>
        <v>0</v>
      </c>
      <c r="AA29" s="75">
        <f>SUMIFS('февраль 2026'!$G$2:$G$2649,'февраль 2026'!$D$2:$D$2649,$B29,'февраль 2026'!$J$2:$J$2649,AA$1)</f>
        <v>0</v>
      </c>
      <c r="AB29" s="75">
        <f>SUMIFS('февраль 2026'!$G$2:$G$2649,'февраль 2026'!$D$2:$D$2649,$B29,'февраль 2026'!$J$2:$J$2649,AB$1)</f>
        <v>0</v>
      </c>
      <c r="AC29" s="75">
        <f>SUMIFS('февраль 2026'!$G$2:$G$2649,'февраль 2026'!$D$2:$D$2649,$B29,'февраль 2026'!$J$2:$J$2649,AC$1)</f>
        <v>0</v>
      </c>
      <c r="AD29" s="75">
        <f>SUMIFS('февраль 2026'!$G$2:$G$2649,'февраль 2026'!$D$2:$D$2649,$B29,'февраль 2026'!$J$2:$J$2649,AD$1)</f>
        <v>0</v>
      </c>
      <c r="AE29" s="75">
        <f>SUMIFS('февраль 2026'!$G$2:$G$2649,'февраль 2026'!$D$2:$D$2649,$B29,'февраль 2026'!$J$2:$J$2649,AE$1)</f>
        <v>0</v>
      </c>
      <c r="AF29" s="75">
        <f>SUMIFS('февраль 2026'!$G$2:$G$2649,'февраль 2026'!$D$2:$D$2649,$B29,'февраль 2026'!$J$2:$J$2649,AF$1)</f>
        <v>0</v>
      </c>
      <c r="AG29" s="75">
        <f>SUMIFS('февраль 2026'!$G$2:$G$2649,'февраль 2026'!$D$2:$D$2649,$B29,'февраль 2026'!$J$2:$J$2649,AG$1)</f>
        <v>0</v>
      </c>
      <c r="AH29" s="75">
        <f>SUMIFS('февраль 2026'!$G$2:$G$2649,'февраль 2026'!$D$2:$D$2649,$B29,'февраль 2026'!$J$2:$J$2649,AH$1)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SUMIFS('февраль 2026'!$G$2:$G$2649,'февраль 2026'!$D$2:$D$2649,$B30,'февраль 2026'!$J$2:$J$2649,D$1)</f>
        <v>0</v>
      </c>
      <c r="E30" s="75">
        <f>SUMIFS('февраль 2026'!$G$2:$G$2649,'февраль 2026'!$D$2:$D$2649,$B30,'февраль 2026'!$J$2:$J$2649,E$1)</f>
        <v>0</v>
      </c>
      <c r="F30" s="75">
        <f>SUMIFS('февраль 2026'!$G$2:$G$2649,'февраль 2026'!$D$2:$D$2649,$B30,'февраль 2026'!$J$2:$J$2649,F$1)</f>
        <v>0</v>
      </c>
      <c r="G30" s="75">
        <f>SUMIFS('февраль 2026'!$G$2:$G$2649,'февраль 2026'!$D$2:$D$2649,$B30,'февраль 2026'!$J$2:$J$2649,G$1)</f>
        <v>0</v>
      </c>
      <c r="H30" s="75">
        <f>SUMIFS('февраль 2026'!$G$2:$G$2649,'февраль 2026'!$D$2:$D$2649,$B30,'февраль 2026'!$J$2:$J$2649,H$1)</f>
        <v>0</v>
      </c>
      <c r="I30" s="75">
        <f>SUMIFS('февраль 2026'!$G$2:$G$2649,'февраль 2026'!$D$2:$D$2649,$B30,'февраль 2026'!$J$2:$J$2649,I$1)</f>
        <v>0</v>
      </c>
      <c r="J30" s="75">
        <f>SUMIFS('февраль 2026'!$G$2:$G$2649,'февраль 2026'!$D$2:$D$2649,$B30,'февраль 2026'!$J$2:$J$2649,J$1)</f>
        <v>0</v>
      </c>
      <c r="K30" s="75">
        <f>SUMIFS('февраль 2026'!$G$2:$G$2649,'февраль 2026'!$D$2:$D$2649,$B30,'февраль 2026'!$J$2:$J$2649,K$1)</f>
        <v>0</v>
      </c>
      <c r="L30" s="75">
        <f>SUMIFS('февраль 2026'!$G$2:$G$2649,'февраль 2026'!$D$2:$D$2649,$B30,'февраль 2026'!$J$2:$J$2649,L$1)</f>
        <v>0</v>
      </c>
      <c r="M30" s="75">
        <f>SUMIFS('февраль 2026'!$G$2:$G$2649,'февраль 2026'!$D$2:$D$2649,$B30,'февраль 2026'!$J$2:$J$2649,M$1)</f>
        <v>0</v>
      </c>
      <c r="N30" s="75">
        <f>SUMIFS('февраль 2026'!$G$2:$G$2649,'февраль 2026'!$D$2:$D$2649,$B30,'февраль 2026'!$J$2:$J$2649,N$1)</f>
        <v>0</v>
      </c>
      <c r="O30" s="75">
        <f>SUMIFS('февраль 2026'!$G$2:$G$2649,'февраль 2026'!$D$2:$D$2649,$B30,'февраль 2026'!$J$2:$J$2649,O$1)</f>
        <v>0</v>
      </c>
      <c r="P30" s="75">
        <f>SUMIFS('февраль 2026'!$G$2:$G$2649,'февраль 2026'!$D$2:$D$2649,$B30,'февраль 2026'!$J$2:$J$2649,P$1)</f>
        <v>0</v>
      </c>
      <c r="Q30" s="75">
        <f>SUMIFS('февраль 2026'!$G$2:$G$2649,'февраль 2026'!$D$2:$D$2649,$B30,'февраль 2026'!$J$2:$J$2649,Q$1)</f>
        <v>0</v>
      </c>
      <c r="R30" s="75">
        <f>SUMIFS('февраль 2026'!$G$2:$G$2649,'февраль 2026'!$D$2:$D$2649,$B30,'февраль 2026'!$J$2:$J$2649,R$1)</f>
        <v>0</v>
      </c>
      <c r="S30" s="75">
        <f>SUMIFS('февраль 2026'!$G$2:$G$2649,'февраль 2026'!$D$2:$D$2649,$B30,'февраль 2026'!$J$2:$J$2649,S$1)</f>
        <v>0</v>
      </c>
      <c r="T30" s="75">
        <f>SUMIFS('февраль 2026'!$G$2:$G$2649,'февраль 2026'!$D$2:$D$2649,$B30,'февраль 2026'!$J$2:$J$2649,T$1)</f>
        <v>0</v>
      </c>
      <c r="U30" s="75">
        <f>SUMIFS('февраль 2026'!$G$2:$G$2649,'февраль 2026'!$D$2:$D$2649,$B30,'февраль 2026'!$J$2:$J$2649,U$1)</f>
        <v>0</v>
      </c>
      <c r="V30" s="75">
        <f>SUMIFS('февраль 2026'!$G$2:$G$2649,'февраль 2026'!$D$2:$D$2649,$B30,'февраль 2026'!$J$2:$J$2649,V$1)</f>
        <v>0</v>
      </c>
      <c r="W30" s="75">
        <f>SUMIFS('февраль 2026'!$G$2:$G$2649,'февраль 2026'!$D$2:$D$2649,$B30,'февраль 2026'!$J$2:$J$2649,W$1)</f>
        <v>0</v>
      </c>
      <c r="X30" s="75">
        <f>SUMIFS('февраль 2026'!$G$2:$G$2649,'февраль 2026'!$D$2:$D$2649,$B30,'февраль 2026'!$J$2:$J$2649,X$1)</f>
        <v>0</v>
      </c>
      <c r="Y30" s="75">
        <f>SUMIFS('февраль 2026'!$G$2:$G$2649,'февраль 2026'!$D$2:$D$2649,$B30,'февраль 2026'!$J$2:$J$2649,Y$1)</f>
        <v>0</v>
      </c>
      <c r="Z30" s="75">
        <f>SUMIFS('февраль 2026'!$G$2:$G$2649,'февраль 2026'!$D$2:$D$2649,$B30,'февраль 2026'!$J$2:$J$2649,Z$1)</f>
        <v>0</v>
      </c>
      <c r="AA30" s="75">
        <f>SUMIFS('февраль 2026'!$G$2:$G$2649,'февраль 2026'!$D$2:$D$2649,$B30,'февраль 2026'!$J$2:$J$2649,AA$1)</f>
        <v>0</v>
      </c>
      <c r="AB30" s="75">
        <f>SUMIFS('февраль 2026'!$G$2:$G$2649,'февраль 2026'!$D$2:$D$2649,$B30,'февраль 2026'!$J$2:$J$2649,AB$1)</f>
        <v>0</v>
      </c>
      <c r="AC30" s="75">
        <f>SUMIFS('февраль 2026'!$G$2:$G$2649,'февраль 2026'!$D$2:$D$2649,$B30,'февраль 2026'!$J$2:$J$2649,AC$1)</f>
        <v>0</v>
      </c>
      <c r="AD30" s="75">
        <f>SUMIFS('февраль 2026'!$G$2:$G$2649,'февраль 2026'!$D$2:$D$2649,$B30,'февраль 2026'!$J$2:$J$2649,AD$1)</f>
        <v>0</v>
      </c>
      <c r="AE30" s="75">
        <f>SUMIFS('февраль 2026'!$G$2:$G$2649,'февраль 2026'!$D$2:$D$2649,$B30,'февраль 2026'!$J$2:$J$2649,AE$1)</f>
        <v>0</v>
      </c>
      <c r="AF30" s="75">
        <f>SUMIFS('февраль 2026'!$G$2:$G$2649,'февраль 2026'!$D$2:$D$2649,$B30,'февраль 2026'!$J$2:$J$2649,AF$1)</f>
        <v>0</v>
      </c>
      <c r="AG30" s="75">
        <f>SUMIFS('февраль 2026'!$G$2:$G$2649,'февраль 2026'!$D$2:$D$2649,$B30,'февраль 2026'!$J$2:$J$2649,AG$1)</f>
        <v>0</v>
      </c>
      <c r="AH30" s="75">
        <f>SUMIFS('февраль 2026'!$G$2:$G$2649,'февраль 2026'!$D$2:$D$2649,$B30,'февраль 2026'!$J$2:$J$2649,AH$1)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SUMIFS('февраль 2026'!$G$2:$G$2649,'февраль 2026'!$D$2:$D$2649,$B31,'февраль 2026'!$J$2:$J$2649,D$1)</f>
        <v>0</v>
      </c>
      <c r="E31" s="75">
        <f>SUMIFS('февраль 2026'!$G$2:$G$2649,'февраль 2026'!$D$2:$D$2649,$B31,'февраль 2026'!$J$2:$J$2649,E$1)</f>
        <v>0</v>
      </c>
      <c r="F31" s="75">
        <f>SUMIFS('февраль 2026'!$G$2:$G$2649,'февраль 2026'!$D$2:$D$2649,$B31,'февраль 2026'!$J$2:$J$2649,F$1)</f>
        <v>0</v>
      </c>
      <c r="G31" s="75">
        <f>SUMIFS('февраль 2026'!$G$2:$G$2649,'февраль 2026'!$D$2:$D$2649,$B31,'февраль 2026'!$J$2:$J$2649,G$1)</f>
        <v>0</v>
      </c>
      <c r="H31" s="75">
        <f>SUMIFS('февраль 2026'!$G$2:$G$2649,'февраль 2026'!$D$2:$D$2649,$B31,'февраль 2026'!$J$2:$J$2649,H$1)</f>
        <v>0</v>
      </c>
      <c r="I31" s="75">
        <f>SUMIFS('февраль 2026'!$G$2:$G$2649,'февраль 2026'!$D$2:$D$2649,$B31,'февраль 2026'!$J$2:$J$2649,I$1)</f>
        <v>0</v>
      </c>
      <c r="J31" s="75">
        <f>SUMIFS('февраль 2026'!$G$2:$G$2649,'февраль 2026'!$D$2:$D$2649,$B31,'февраль 2026'!$J$2:$J$2649,J$1)</f>
        <v>0</v>
      </c>
      <c r="K31" s="75">
        <f>SUMIFS('февраль 2026'!$G$2:$G$2649,'февраль 2026'!$D$2:$D$2649,$B31,'февраль 2026'!$J$2:$J$2649,K$1)</f>
        <v>0</v>
      </c>
      <c r="L31" s="75">
        <f>SUMIFS('февраль 2026'!$G$2:$G$2649,'февраль 2026'!$D$2:$D$2649,$B31,'февраль 2026'!$J$2:$J$2649,L$1)</f>
        <v>0</v>
      </c>
      <c r="M31" s="75">
        <f>SUMIFS('февраль 2026'!$G$2:$G$2649,'февраль 2026'!$D$2:$D$2649,$B31,'февраль 2026'!$J$2:$J$2649,M$1)</f>
        <v>0</v>
      </c>
      <c r="N31" s="75">
        <f>SUMIFS('февраль 2026'!$G$2:$G$2649,'февраль 2026'!$D$2:$D$2649,$B31,'февраль 2026'!$J$2:$J$2649,N$1)</f>
        <v>0</v>
      </c>
      <c r="O31" s="75">
        <f>SUMIFS('февраль 2026'!$G$2:$G$2649,'февраль 2026'!$D$2:$D$2649,$B31,'февраль 2026'!$J$2:$J$2649,O$1)</f>
        <v>0</v>
      </c>
      <c r="P31" s="75">
        <f>SUMIFS('февраль 2026'!$G$2:$G$2649,'февраль 2026'!$D$2:$D$2649,$B31,'февраль 2026'!$J$2:$J$2649,P$1)</f>
        <v>0</v>
      </c>
      <c r="Q31" s="75">
        <f>SUMIFS('февраль 2026'!$G$2:$G$2649,'февраль 2026'!$D$2:$D$2649,$B31,'февраль 2026'!$J$2:$J$2649,Q$1)</f>
        <v>0</v>
      </c>
      <c r="R31" s="75">
        <f>SUMIFS('февраль 2026'!$G$2:$G$2649,'февраль 2026'!$D$2:$D$2649,$B31,'февраль 2026'!$J$2:$J$2649,R$1)</f>
        <v>0</v>
      </c>
      <c r="S31" s="75">
        <f>SUMIFS('февраль 2026'!$G$2:$G$2649,'февраль 2026'!$D$2:$D$2649,$B31,'февраль 2026'!$J$2:$J$2649,S$1)</f>
        <v>0</v>
      </c>
      <c r="T31" s="75">
        <f>SUMIFS('февраль 2026'!$G$2:$G$2649,'февраль 2026'!$D$2:$D$2649,$B31,'февраль 2026'!$J$2:$J$2649,T$1)</f>
        <v>0</v>
      </c>
      <c r="U31" s="75">
        <f>SUMIFS('февраль 2026'!$G$2:$G$2649,'февраль 2026'!$D$2:$D$2649,$B31,'февраль 2026'!$J$2:$J$2649,U$1)</f>
        <v>0</v>
      </c>
      <c r="V31" s="75">
        <f>SUMIFS('февраль 2026'!$G$2:$G$2649,'февраль 2026'!$D$2:$D$2649,$B31,'февраль 2026'!$J$2:$J$2649,V$1)</f>
        <v>0</v>
      </c>
      <c r="W31" s="75">
        <f>SUMIFS('февраль 2026'!$G$2:$G$2649,'февраль 2026'!$D$2:$D$2649,$B31,'февраль 2026'!$J$2:$J$2649,W$1)</f>
        <v>0</v>
      </c>
      <c r="X31" s="75">
        <f>SUMIFS('февраль 2026'!$G$2:$G$2649,'февраль 2026'!$D$2:$D$2649,$B31,'февраль 2026'!$J$2:$J$2649,X$1)</f>
        <v>0</v>
      </c>
      <c r="Y31" s="75">
        <f>SUMIFS('февраль 2026'!$G$2:$G$2649,'февраль 2026'!$D$2:$D$2649,$B31,'февраль 2026'!$J$2:$J$2649,Y$1)</f>
        <v>0</v>
      </c>
      <c r="Z31" s="75">
        <f>SUMIFS('февраль 2026'!$G$2:$G$2649,'февраль 2026'!$D$2:$D$2649,$B31,'февраль 2026'!$J$2:$J$2649,Z$1)</f>
        <v>0</v>
      </c>
      <c r="AA31" s="75">
        <f>SUMIFS('февраль 2026'!$G$2:$G$2649,'февраль 2026'!$D$2:$D$2649,$B31,'февраль 2026'!$J$2:$J$2649,AA$1)</f>
        <v>0</v>
      </c>
      <c r="AB31" s="75">
        <f>SUMIFS('февраль 2026'!$G$2:$G$2649,'февраль 2026'!$D$2:$D$2649,$B31,'февраль 2026'!$J$2:$J$2649,AB$1)</f>
        <v>0</v>
      </c>
      <c r="AC31" s="75">
        <f>SUMIFS('февраль 2026'!$G$2:$G$2649,'февраль 2026'!$D$2:$D$2649,$B31,'февраль 2026'!$J$2:$J$2649,AC$1)</f>
        <v>0</v>
      </c>
      <c r="AD31" s="75">
        <f>SUMIFS('февраль 2026'!$G$2:$G$2649,'февраль 2026'!$D$2:$D$2649,$B31,'февраль 2026'!$J$2:$J$2649,AD$1)</f>
        <v>0</v>
      </c>
      <c r="AE31" s="75">
        <f>SUMIFS('февраль 2026'!$G$2:$G$2649,'февраль 2026'!$D$2:$D$2649,$B31,'февраль 2026'!$J$2:$J$2649,AE$1)</f>
        <v>0</v>
      </c>
      <c r="AF31" s="75">
        <f>SUMIFS('февраль 2026'!$G$2:$G$2649,'февраль 2026'!$D$2:$D$2649,$B31,'февраль 2026'!$J$2:$J$2649,AF$1)</f>
        <v>0</v>
      </c>
      <c r="AG31" s="75">
        <f>SUMIFS('февраль 2026'!$G$2:$G$2649,'февраль 2026'!$D$2:$D$2649,$B31,'февраль 2026'!$J$2:$J$2649,AG$1)</f>
        <v>0</v>
      </c>
      <c r="AH31" s="75">
        <f>SUMIFS('февраль 2026'!$G$2:$G$2649,'февраль 2026'!$D$2:$D$2649,$B31,'февраль 2026'!$J$2:$J$2649,AH$1)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SUMIFS('февраль 2026'!$G$2:$G$2649,'февраль 2026'!$D$2:$D$2649,$B32,'февраль 2026'!$J$2:$J$2649,D$1)</f>
        <v>0</v>
      </c>
      <c r="E32" s="75">
        <f>SUMIFS('февраль 2026'!$G$2:$G$2649,'февраль 2026'!$D$2:$D$2649,$B32,'февраль 2026'!$J$2:$J$2649,E$1)</f>
        <v>0</v>
      </c>
      <c r="F32" s="75">
        <f>SUMIFS('февраль 2026'!$G$2:$G$2649,'февраль 2026'!$D$2:$D$2649,$B32,'февраль 2026'!$J$2:$J$2649,F$1)</f>
        <v>0</v>
      </c>
      <c r="G32" s="75">
        <f>SUMIFS('февраль 2026'!$G$2:$G$2649,'февраль 2026'!$D$2:$D$2649,$B32,'февраль 2026'!$J$2:$J$2649,G$1)</f>
        <v>0</v>
      </c>
      <c r="H32" s="75">
        <f>SUMIFS('февраль 2026'!$G$2:$G$2649,'февраль 2026'!$D$2:$D$2649,$B32,'февраль 2026'!$J$2:$J$2649,H$1)</f>
        <v>0</v>
      </c>
      <c r="I32" s="75">
        <f>SUMIFS('февраль 2026'!$G$2:$G$2649,'февраль 2026'!$D$2:$D$2649,$B32,'февраль 2026'!$J$2:$J$2649,I$1)</f>
        <v>0</v>
      </c>
      <c r="J32" s="75">
        <f>SUMIFS('февраль 2026'!$G$2:$G$2649,'февраль 2026'!$D$2:$D$2649,$B32,'февраль 2026'!$J$2:$J$2649,J$1)</f>
        <v>0</v>
      </c>
      <c r="K32" s="75">
        <f>SUMIFS('февраль 2026'!$G$2:$G$2649,'февраль 2026'!$D$2:$D$2649,$B32,'февраль 2026'!$J$2:$J$2649,K$1)</f>
        <v>0</v>
      </c>
      <c r="L32" s="75">
        <f>SUMIFS('февраль 2026'!$G$2:$G$2649,'февраль 2026'!$D$2:$D$2649,$B32,'февраль 2026'!$J$2:$J$2649,L$1)</f>
        <v>0</v>
      </c>
      <c r="M32" s="75">
        <f>SUMIFS('февраль 2026'!$G$2:$G$2649,'февраль 2026'!$D$2:$D$2649,$B32,'февраль 2026'!$J$2:$J$2649,M$1)</f>
        <v>0</v>
      </c>
      <c r="N32" s="75">
        <f>SUMIFS('февраль 2026'!$G$2:$G$2649,'февраль 2026'!$D$2:$D$2649,$B32,'февраль 2026'!$J$2:$J$2649,N$1)</f>
        <v>0</v>
      </c>
      <c r="O32" s="75">
        <f>SUMIFS('февраль 2026'!$G$2:$G$2649,'февраль 2026'!$D$2:$D$2649,$B32,'февраль 2026'!$J$2:$J$2649,O$1)</f>
        <v>0</v>
      </c>
      <c r="P32" s="75">
        <f>SUMIFS('февраль 2026'!$G$2:$G$2649,'февраль 2026'!$D$2:$D$2649,$B32,'февраль 2026'!$J$2:$J$2649,P$1)</f>
        <v>0</v>
      </c>
      <c r="Q32" s="75">
        <f>SUMIFS('февраль 2026'!$G$2:$G$2649,'февраль 2026'!$D$2:$D$2649,$B32,'февраль 2026'!$J$2:$J$2649,Q$1)</f>
        <v>0</v>
      </c>
      <c r="R32" s="75">
        <f>SUMIFS('февраль 2026'!$G$2:$G$2649,'февраль 2026'!$D$2:$D$2649,$B32,'февраль 2026'!$J$2:$J$2649,R$1)</f>
        <v>0</v>
      </c>
      <c r="S32" s="75">
        <f>SUMIFS('февраль 2026'!$G$2:$G$2649,'февраль 2026'!$D$2:$D$2649,$B32,'февраль 2026'!$J$2:$J$2649,S$1)</f>
        <v>0</v>
      </c>
      <c r="T32" s="75">
        <f>SUMIFS('февраль 2026'!$G$2:$G$2649,'февраль 2026'!$D$2:$D$2649,$B32,'февраль 2026'!$J$2:$J$2649,T$1)</f>
        <v>0</v>
      </c>
      <c r="U32" s="75">
        <f>SUMIFS('февраль 2026'!$G$2:$G$2649,'февраль 2026'!$D$2:$D$2649,$B32,'февраль 2026'!$J$2:$J$2649,U$1)</f>
        <v>0</v>
      </c>
      <c r="V32" s="75">
        <f>SUMIFS('февраль 2026'!$G$2:$G$2649,'февраль 2026'!$D$2:$D$2649,$B32,'февраль 2026'!$J$2:$J$2649,V$1)</f>
        <v>0</v>
      </c>
      <c r="W32" s="75">
        <f>SUMIFS('февраль 2026'!$G$2:$G$2649,'февраль 2026'!$D$2:$D$2649,$B32,'февраль 2026'!$J$2:$J$2649,W$1)</f>
        <v>0</v>
      </c>
      <c r="X32" s="75">
        <f>SUMIFS('февраль 2026'!$G$2:$G$2649,'февраль 2026'!$D$2:$D$2649,$B32,'февраль 2026'!$J$2:$J$2649,X$1)</f>
        <v>0</v>
      </c>
      <c r="Y32" s="75">
        <f>SUMIFS('февраль 2026'!$G$2:$G$2649,'февраль 2026'!$D$2:$D$2649,$B32,'февраль 2026'!$J$2:$J$2649,Y$1)</f>
        <v>0</v>
      </c>
      <c r="Z32" s="75">
        <f>SUMIFS('февраль 2026'!$G$2:$G$2649,'февраль 2026'!$D$2:$D$2649,$B32,'февраль 2026'!$J$2:$J$2649,Z$1)</f>
        <v>0</v>
      </c>
      <c r="AA32" s="75">
        <f>SUMIFS('февраль 2026'!$G$2:$G$2649,'февраль 2026'!$D$2:$D$2649,$B32,'февраль 2026'!$J$2:$J$2649,AA$1)</f>
        <v>0</v>
      </c>
      <c r="AB32" s="75">
        <f>SUMIFS('февраль 2026'!$G$2:$G$2649,'февраль 2026'!$D$2:$D$2649,$B32,'февраль 2026'!$J$2:$J$2649,AB$1)</f>
        <v>0</v>
      </c>
      <c r="AC32" s="75">
        <f>SUMIFS('февраль 2026'!$G$2:$G$2649,'февраль 2026'!$D$2:$D$2649,$B32,'февраль 2026'!$J$2:$J$2649,AC$1)</f>
        <v>0</v>
      </c>
      <c r="AD32" s="75">
        <f>SUMIFS('февраль 2026'!$G$2:$G$2649,'февраль 2026'!$D$2:$D$2649,$B32,'февраль 2026'!$J$2:$J$2649,AD$1)</f>
        <v>0</v>
      </c>
      <c r="AE32" s="75">
        <f>SUMIFS('февраль 2026'!$G$2:$G$2649,'февраль 2026'!$D$2:$D$2649,$B32,'февраль 2026'!$J$2:$J$2649,AE$1)</f>
        <v>0</v>
      </c>
      <c r="AF32" s="75">
        <f>SUMIFS('февраль 2026'!$G$2:$G$2649,'февраль 2026'!$D$2:$D$2649,$B32,'февраль 2026'!$J$2:$J$2649,AF$1)</f>
        <v>0</v>
      </c>
      <c r="AG32" s="75">
        <f>SUMIFS('февраль 2026'!$G$2:$G$2649,'февраль 2026'!$D$2:$D$2649,$B32,'февраль 2026'!$J$2:$J$2649,AG$1)</f>
        <v>0</v>
      </c>
      <c r="AH32" s="75">
        <f>SUMIFS('февраль 2026'!$G$2:$G$2649,'февраль 2026'!$D$2:$D$2649,$B32,'февраль 2026'!$J$2:$J$2649,AH$1)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SUMIFS('февраль 2026'!$G$2:$G$2649,'февраль 2026'!$D$2:$D$2649,$B33,'февраль 2026'!$J$2:$J$2649,D$1)</f>
        <v>0</v>
      </c>
      <c r="E33" s="75">
        <f>SUMIFS('февраль 2026'!$G$2:$G$2649,'февраль 2026'!$D$2:$D$2649,$B33,'февраль 2026'!$J$2:$J$2649,E$1)</f>
        <v>0</v>
      </c>
      <c r="F33" s="75">
        <f>SUMIFS('февраль 2026'!$G$2:$G$2649,'февраль 2026'!$D$2:$D$2649,$B33,'февраль 2026'!$J$2:$J$2649,F$1)</f>
        <v>0</v>
      </c>
      <c r="G33" s="75">
        <f>SUMIFS('февраль 2026'!$G$2:$G$2649,'февраль 2026'!$D$2:$D$2649,$B33,'февраль 2026'!$J$2:$J$2649,G$1)</f>
        <v>0</v>
      </c>
      <c r="H33" s="75">
        <f>SUMIFS('февраль 2026'!$G$2:$G$2649,'февраль 2026'!$D$2:$D$2649,$B33,'февраль 2026'!$J$2:$J$2649,H$1)</f>
        <v>0</v>
      </c>
      <c r="I33" s="75">
        <f>SUMIFS('февраль 2026'!$G$2:$G$2649,'февраль 2026'!$D$2:$D$2649,$B33,'февраль 2026'!$J$2:$J$2649,I$1)</f>
        <v>0</v>
      </c>
      <c r="J33" s="75">
        <f>SUMIFS('февраль 2026'!$G$2:$G$2649,'февраль 2026'!$D$2:$D$2649,$B33,'февраль 2026'!$J$2:$J$2649,J$1)</f>
        <v>0</v>
      </c>
      <c r="K33" s="75">
        <f>SUMIFS('февраль 2026'!$G$2:$G$2649,'февраль 2026'!$D$2:$D$2649,$B33,'февраль 2026'!$J$2:$J$2649,K$1)</f>
        <v>0</v>
      </c>
      <c r="L33" s="75">
        <f>SUMIFS('февраль 2026'!$G$2:$G$2649,'февраль 2026'!$D$2:$D$2649,$B33,'февраль 2026'!$J$2:$J$2649,L$1)</f>
        <v>0</v>
      </c>
      <c r="M33" s="75">
        <f>SUMIFS('февраль 2026'!$G$2:$G$2649,'февраль 2026'!$D$2:$D$2649,$B33,'февраль 2026'!$J$2:$J$2649,M$1)</f>
        <v>0</v>
      </c>
      <c r="N33" s="75">
        <f>SUMIFS('февраль 2026'!$G$2:$G$2649,'февраль 2026'!$D$2:$D$2649,$B33,'февраль 2026'!$J$2:$J$2649,N$1)</f>
        <v>0</v>
      </c>
      <c r="O33" s="75">
        <f>SUMIFS('февраль 2026'!$G$2:$G$2649,'февраль 2026'!$D$2:$D$2649,$B33,'февраль 2026'!$J$2:$J$2649,O$1)</f>
        <v>0</v>
      </c>
      <c r="P33" s="75">
        <f>SUMIFS('февраль 2026'!$G$2:$G$2649,'февраль 2026'!$D$2:$D$2649,$B33,'февраль 2026'!$J$2:$J$2649,P$1)</f>
        <v>0</v>
      </c>
      <c r="Q33" s="75">
        <f>SUMIFS('февраль 2026'!$G$2:$G$2649,'февраль 2026'!$D$2:$D$2649,$B33,'февраль 2026'!$J$2:$J$2649,Q$1)</f>
        <v>0</v>
      </c>
      <c r="R33" s="75">
        <f>SUMIFS('февраль 2026'!$G$2:$G$2649,'февраль 2026'!$D$2:$D$2649,$B33,'февраль 2026'!$J$2:$J$2649,R$1)</f>
        <v>0</v>
      </c>
      <c r="S33" s="75">
        <f>SUMIFS('февраль 2026'!$G$2:$G$2649,'февраль 2026'!$D$2:$D$2649,$B33,'февраль 2026'!$J$2:$J$2649,S$1)</f>
        <v>0</v>
      </c>
      <c r="T33" s="75">
        <f>SUMIFS('февраль 2026'!$G$2:$G$2649,'февраль 2026'!$D$2:$D$2649,$B33,'февраль 2026'!$J$2:$J$2649,T$1)</f>
        <v>0</v>
      </c>
      <c r="U33" s="75">
        <f>SUMIFS('февраль 2026'!$G$2:$G$2649,'февраль 2026'!$D$2:$D$2649,$B33,'февраль 2026'!$J$2:$J$2649,U$1)</f>
        <v>0</v>
      </c>
      <c r="V33" s="75">
        <f>SUMIFS('февраль 2026'!$G$2:$G$2649,'февраль 2026'!$D$2:$D$2649,$B33,'февраль 2026'!$J$2:$J$2649,V$1)</f>
        <v>0</v>
      </c>
      <c r="W33" s="75">
        <f>SUMIFS('февраль 2026'!$G$2:$G$2649,'февраль 2026'!$D$2:$D$2649,$B33,'февраль 2026'!$J$2:$J$2649,W$1)</f>
        <v>0</v>
      </c>
      <c r="X33" s="75">
        <f>SUMIFS('февраль 2026'!$G$2:$G$2649,'февраль 2026'!$D$2:$D$2649,$B33,'февраль 2026'!$J$2:$J$2649,X$1)</f>
        <v>0</v>
      </c>
      <c r="Y33" s="75">
        <f>SUMIFS('февраль 2026'!$G$2:$G$2649,'февраль 2026'!$D$2:$D$2649,$B33,'февраль 2026'!$J$2:$J$2649,Y$1)</f>
        <v>0</v>
      </c>
      <c r="Z33" s="75">
        <f>SUMIFS('февраль 2026'!$G$2:$G$2649,'февраль 2026'!$D$2:$D$2649,$B33,'февраль 2026'!$J$2:$J$2649,Z$1)</f>
        <v>0</v>
      </c>
      <c r="AA33" s="75">
        <f>SUMIFS('февраль 2026'!$G$2:$G$2649,'февраль 2026'!$D$2:$D$2649,$B33,'февраль 2026'!$J$2:$J$2649,AA$1)</f>
        <v>0</v>
      </c>
      <c r="AB33" s="75">
        <f>SUMIFS('февраль 2026'!$G$2:$G$2649,'февраль 2026'!$D$2:$D$2649,$B33,'февраль 2026'!$J$2:$J$2649,AB$1)</f>
        <v>0</v>
      </c>
      <c r="AC33" s="75">
        <f>SUMIFS('февраль 2026'!$G$2:$G$2649,'февраль 2026'!$D$2:$D$2649,$B33,'февраль 2026'!$J$2:$J$2649,AC$1)</f>
        <v>0</v>
      </c>
      <c r="AD33" s="75">
        <f>SUMIFS('февраль 2026'!$G$2:$G$2649,'февраль 2026'!$D$2:$D$2649,$B33,'февраль 2026'!$J$2:$J$2649,AD$1)</f>
        <v>0</v>
      </c>
      <c r="AE33" s="75">
        <f>SUMIFS('февраль 2026'!$G$2:$G$2649,'февраль 2026'!$D$2:$D$2649,$B33,'февраль 2026'!$J$2:$J$2649,AE$1)</f>
        <v>0</v>
      </c>
      <c r="AF33" s="75">
        <f>SUMIFS('февраль 2026'!$G$2:$G$2649,'февраль 2026'!$D$2:$D$2649,$B33,'февраль 2026'!$J$2:$J$2649,AF$1)</f>
        <v>0</v>
      </c>
      <c r="AG33" s="75">
        <f>SUMIFS('февраль 2026'!$G$2:$G$2649,'февраль 2026'!$D$2:$D$2649,$B33,'февраль 2026'!$J$2:$J$2649,AG$1)</f>
        <v>0</v>
      </c>
      <c r="AH33" s="75">
        <f>SUMIFS('февраль 2026'!$G$2:$G$2649,'февраль 2026'!$D$2:$D$2649,$B33,'февраль 2026'!$J$2:$J$2649,AH$1)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SUMIFS('февраль 2026'!$G$2:$G$2649,'февраль 2026'!$D$2:$D$2649,$B34,'февраль 2026'!$J$2:$J$2649,D$1)</f>
        <v>0</v>
      </c>
      <c r="E34" s="75">
        <f>SUMIFS('февраль 2026'!$G$2:$G$2649,'февраль 2026'!$D$2:$D$2649,$B34,'февраль 2026'!$J$2:$J$2649,E$1)</f>
        <v>0</v>
      </c>
      <c r="F34" s="75">
        <f>SUMIFS('февраль 2026'!$G$2:$G$2649,'февраль 2026'!$D$2:$D$2649,$B34,'февраль 2026'!$J$2:$J$2649,F$1)</f>
        <v>0</v>
      </c>
      <c r="G34" s="75">
        <f>SUMIFS('февраль 2026'!$G$2:$G$2649,'февраль 2026'!$D$2:$D$2649,$B34,'февраль 2026'!$J$2:$J$2649,G$1)</f>
        <v>0</v>
      </c>
      <c r="H34" s="75">
        <f>SUMIFS('февраль 2026'!$G$2:$G$2649,'февраль 2026'!$D$2:$D$2649,$B34,'февраль 2026'!$J$2:$J$2649,H$1)</f>
        <v>0</v>
      </c>
      <c r="I34" s="75">
        <f>SUMIFS('февраль 2026'!$G$2:$G$2649,'февраль 2026'!$D$2:$D$2649,$B34,'февраль 2026'!$J$2:$J$2649,I$1)</f>
        <v>0</v>
      </c>
      <c r="J34" s="75">
        <f>SUMIFS('февраль 2026'!$G$2:$G$2649,'февраль 2026'!$D$2:$D$2649,$B34,'февраль 2026'!$J$2:$J$2649,J$1)</f>
        <v>0</v>
      </c>
      <c r="K34" s="75">
        <f>SUMIFS('февраль 2026'!$G$2:$G$2649,'февраль 2026'!$D$2:$D$2649,$B34,'февраль 2026'!$J$2:$J$2649,K$1)</f>
        <v>0</v>
      </c>
      <c r="L34" s="75">
        <f>SUMIFS('февраль 2026'!$G$2:$G$2649,'февраль 2026'!$D$2:$D$2649,$B34,'февраль 2026'!$J$2:$J$2649,L$1)</f>
        <v>0</v>
      </c>
      <c r="M34" s="75">
        <f>SUMIFS('февраль 2026'!$G$2:$G$2649,'февраль 2026'!$D$2:$D$2649,$B34,'февраль 2026'!$J$2:$J$2649,M$1)</f>
        <v>0</v>
      </c>
      <c r="N34" s="75">
        <f>SUMIFS('февраль 2026'!$G$2:$G$2649,'февраль 2026'!$D$2:$D$2649,$B34,'февраль 2026'!$J$2:$J$2649,N$1)</f>
        <v>0</v>
      </c>
      <c r="O34" s="75">
        <f>SUMIFS('февраль 2026'!$G$2:$G$2649,'февраль 2026'!$D$2:$D$2649,$B34,'февраль 2026'!$J$2:$J$2649,O$1)</f>
        <v>0</v>
      </c>
      <c r="P34" s="75">
        <f>SUMIFS('февраль 2026'!$G$2:$G$2649,'февраль 2026'!$D$2:$D$2649,$B34,'февраль 2026'!$J$2:$J$2649,P$1)</f>
        <v>0</v>
      </c>
      <c r="Q34" s="75">
        <f>SUMIFS('февраль 2026'!$G$2:$G$2649,'февраль 2026'!$D$2:$D$2649,$B34,'февраль 2026'!$J$2:$J$2649,Q$1)</f>
        <v>0</v>
      </c>
      <c r="R34" s="75">
        <f>SUMIFS('февраль 2026'!$G$2:$G$2649,'февраль 2026'!$D$2:$D$2649,$B34,'февраль 2026'!$J$2:$J$2649,R$1)</f>
        <v>0</v>
      </c>
      <c r="S34" s="75">
        <f>SUMIFS('февраль 2026'!$G$2:$G$2649,'февраль 2026'!$D$2:$D$2649,$B34,'февраль 2026'!$J$2:$J$2649,S$1)</f>
        <v>0</v>
      </c>
      <c r="T34" s="75">
        <f>SUMIFS('февраль 2026'!$G$2:$G$2649,'февраль 2026'!$D$2:$D$2649,$B34,'февраль 2026'!$J$2:$J$2649,T$1)</f>
        <v>0</v>
      </c>
      <c r="U34" s="75">
        <f>SUMIFS('февраль 2026'!$G$2:$G$2649,'февраль 2026'!$D$2:$D$2649,$B34,'февраль 2026'!$J$2:$J$2649,U$1)</f>
        <v>0</v>
      </c>
      <c r="V34" s="75">
        <f>SUMIFS('февраль 2026'!$G$2:$G$2649,'февраль 2026'!$D$2:$D$2649,$B34,'февраль 2026'!$J$2:$J$2649,V$1)</f>
        <v>0</v>
      </c>
      <c r="W34" s="75">
        <f>SUMIFS('февраль 2026'!$G$2:$G$2649,'февраль 2026'!$D$2:$D$2649,$B34,'февраль 2026'!$J$2:$J$2649,W$1)</f>
        <v>0</v>
      </c>
      <c r="X34" s="75">
        <f>SUMIFS('февраль 2026'!$G$2:$G$2649,'февраль 2026'!$D$2:$D$2649,$B34,'февраль 2026'!$J$2:$J$2649,X$1)</f>
        <v>0</v>
      </c>
      <c r="Y34" s="75">
        <f>SUMIFS('февраль 2026'!$G$2:$G$2649,'февраль 2026'!$D$2:$D$2649,$B34,'февраль 2026'!$J$2:$J$2649,Y$1)</f>
        <v>0</v>
      </c>
      <c r="Z34" s="75">
        <f>SUMIFS('февраль 2026'!$G$2:$G$2649,'февраль 2026'!$D$2:$D$2649,$B34,'февраль 2026'!$J$2:$J$2649,Z$1)</f>
        <v>0</v>
      </c>
      <c r="AA34" s="75">
        <f>SUMIFS('февраль 2026'!$G$2:$G$2649,'февраль 2026'!$D$2:$D$2649,$B34,'февраль 2026'!$J$2:$J$2649,AA$1)</f>
        <v>0</v>
      </c>
      <c r="AB34" s="75">
        <f>SUMIFS('февраль 2026'!$G$2:$G$2649,'февраль 2026'!$D$2:$D$2649,$B34,'февраль 2026'!$J$2:$J$2649,AB$1)</f>
        <v>0</v>
      </c>
      <c r="AC34" s="75">
        <f>SUMIFS('февраль 2026'!$G$2:$G$2649,'февраль 2026'!$D$2:$D$2649,$B34,'февраль 2026'!$J$2:$J$2649,AC$1)</f>
        <v>0</v>
      </c>
      <c r="AD34" s="75">
        <f>SUMIFS('февраль 2026'!$G$2:$G$2649,'февраль 2026'!$D$2:$D$2649,$B34,'февраль 2026'!$J$2:$J$2649,AD$1)</f>
        <v>0</v>
      </c>
      <c r="AE34" s="75">
        <f>SUMIFS('февраль 2026'!$G$2:$G$2649,'февраль 2026'!$D$2:$D$2649,$B34,'февраль 2026'!$J$2:$J$2649,AE$1)</f>
        <v>0</v>
      </c>
      <c r="AF34" s="75">
        <f>SUMIFS('февраль 2026'!$G$2:$G$2649,'февраль 2026'!$D$2:$D$2649,$B34,'февраль 2026'!$J$2:$J$2649,AF$1)</f>
        <v>0</v>
      </c>
      <c r="AG34" s="75">
        <f>SUMIFS('февраль 2026'!$G$2:$G$2649,'февраль 2026'!$D$2:$D$2649,$B34,'февраль 2026'!$J$2:$J$2649,AG$1)</f>
        <v>0</v>
      </c>
      <c r="AH34" s="75">
        <f>SUMIFS('февраль 2026'!$G$2:$G$2649,'февраль 2026'!$D$2:$D$2649,$B34,'февраль 2026'!$J$2:$J$2649,AH$1)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SUMIFS('февраль 2026'!$G$2:$G$2649,'февраль 2026'!$D$2:$D$2649,$B35,'февраль 2026'!$J$2:$J$2649,D$1)</f>
        <v>0</v>
      </c>
      <c r="E35" s="143">
        <f>SUMIFS('февраль 2026'!$G$2:$G$2649,'февраль 2026'!$D$2:$D$2649,$B35,'февраль 2026'!$J$2:$J$2649,E$1)</f>
        <v>0</v>
      </c>
      <c r="F35" s="143">
        <f>SUMIFS('февраль 2026'!$G$2:$G$2649,'февраль 2026'!$D$2:$D$2649,$B35,'февраль 2026'!$J$2:$J$2649,F$1)</f>
        <v>0</v>
      </c>
      <c r="G35" s="143">
        <f>SUMIFS('февраль 2026'!$G$2:$G$2649,'февраль 2026'!$D$2:$D$2649,$B35,'февраль 2026'!$J$2:$J$2649,G$1)</f>
        <v>0</v>
      </c>
      <c r="H35" s="143">
        <f>SUMIFS('февраль 2026'!$G$2:$G$2649,'февраль 2026'!$D$2:$D$2649,$B35,'февраль 2026'!$J$2:$J$2649,H$1)</f>
        <v>0</v>
      </c>
      <c r="I35" s="143">
        <f>SUMIFS('февраль 2026'!$G$2:$G$2649,'февраль 2026'!$D$2:$D$2649,$B35,'февраль 2026'!$J$2:$J$2649,I$1)</f>
        <v>0</v>
      </c>
      <c r="J35" s="143">
        <f>SUMIFS('февраль 2026'!$G$2:$G$2649,'февраль 2026'!$D$2:$D$2649,$B35,'февраль 2026'!$J$2:$J$2649,J$1)</f>
        <v>0</v>
      </c>
      <c r="K35" s="143">
        <f>SUMIFS('февраль 2026'!$G$2:$G$2649,'февраль 2026'!$D$2:$D$2649,$B35,'февраль 2026'!$J$2:$J$2649,K$1)</f>
        <v>0</v>
      </c>
      <c r="L35" s="143">
        <f>SUMIFS('февраль 2026'!$G$2:$G$2649,'февраль 2026'!$D$2:$D$2649,$B35,'февраль 2026'!$J$2:$J$2649,L$1)</f>
        <v>0</v>
      </c>
      <c r="M35" s="143">
        <f>SUMIFS('февраль 2026'!$G$2:$G$2649,'февраль 2026'!$D$2:$D$2649,$B35,'февраль 2026'!$J$2:$J$2649,M$1)</f>
        <v>0</v>
      </c>
      <c r="N35" s="143">
        <f>SUMIFS('февраль 2026'!$G$2:$G$2649,'февраль 2026'!$D$2:$D$2649,$B35,'февраль 2026'!$J$2:$J$2649,N$1)</f>
        <v>0</v>
      </c>
      <c r="O35" s="143">
        <f>SUMIFS('февраль 2026'!$G$2:$G$2649,'февраль 2026'!$D$2:$D$2649,$B35,'февраль 2026'!$J$2:$J$2649,O$1)</f>
        <v>0</v>
      </c>
      <c r="P35" s="143">
        <f>SUMIFS('февраль 2026'!$G$2:$G$2649,'февраль 2026'!$D$2:$D$2649,$B35,'февраль 2026'!$J$2:$J$2649,P$1)</f>
        <v>0</v>
      </c>
      <c r="Q35" s="143">
        <f>SUMIFS('февраль 2026'!$G$2:$G$2649,'февраль 2026'!$D$2:$D$2649,$B35,'февраль 2026'!$J$2:$J$2649,Q$1)</f>
        <v>0</v>
      </c>
      <c r="R35" s="143">
        <f>SUMIFS('февраль 2026'!$G$2:$G$2649,'февраль 2026'!$D$2:$D$2649,$B35,'февраль 2026'!$J$2:$J$2649,R$1)</f>
        <v>0</v>
      </c>
      <c r="S35" s="143">
        <f>SUMIFS('февраль 2026'!$G$2:$G$2649,'февраль 2026'!$D$2:$D$2649,$B35,'февраль 2026'!$J$2:$J$2649,S$1)</f>
        <v>0</v>
      </c>
      <c r="T35" s="143">
        <f>SUMIFS('февраль 2026'!$G$2:$G$2649,'февраль 2026'!$D$2:$D$2649,$B35,'февраль 2026'!$J$2:$J$2649,T$1)</f>
        <v>0</v>
      </c>
      <c r="U35" s="143">
        <f>SUMIFS('февраль 2026'!$G$2:$G$2649,'февраль 2026'!$D$2:$D$2649,$B35,'февраль 2026'!$J$2:$J$2649,U$1)</f>
        <v>0</v>
      </c>
      <c r="V35" s="143">
        <f>SUMIFS('февраль 2026'!$G$2:$G$2649,'февраль 2026'!$D$2:$D$2649,$B35,'февраль 2026'!$J$2:$J$2649,V$1)</f>
        <v>0</v>
      </c>
      <c r="W35" s="143">
        <f>SUMIFS('февраль 2026'!$G$2:$G$2649,'февраль 2026'!$D$2:$D$2649,$B35,'февраль 2026'!$J$2:$J$2649,W$1)</f>
        <v>0</v>
      </c>
      <c r="X35" s="143">
        <f>SUMIFS('февраль 2026'!$G$2:$G$2649,'февраль 2026'!$D$2:$D$2649,$B35,'февраль 2026'!$J$2:$J$2649,X$1)</f>
        <v>0</v>
      </c>
      <c r="Y35" s="143">
        <f>SUMIFS('февраль 2026'!$G$2:$G$2649,'февраль 2026'!$D$2:$D$2649,$B35,'февраль 2026'!$J$2:$J$2649,Y$1)</f>
        <v>0</v>
      </c>
      <c r="Z35" s="143">
        <f>SUMIFS('февраль 2026'!$G$2:$G$2649,'февраль 2026'!$D$2:$D$2649,$B35,'февраль 2026'!$J$2:$J$2649,Z$1)</f>
        <v>0</v>
      </c>
      <c r="AA35" s="143">
        <f>SUMIFS('февраль 2026'!$G$2:$G$2649,'февраль 2026'!$D$2:$D$2649,$B35,'февраль 2026'!$J$2:$J$2649,AA$1)</f>
        <v>0</v>
      </c>
      <c r="AB35" s="143">
        <f>SUMIFS('февраль 2026'!$G$2:$G$2649,'февраль 2026'!$D$2:$D$2649,$B35,'февраль 2026'!$J$2:$J$2649,AB$1)</f>
        <v>0</v>
      </c>
      <c r="AC35" s="143">
        <f>SUMIFS('февраль 2026'!$G$2:$G$2649,'февраль 2026'!$D$2:$D$2649,$B35,'февраль 2026'!$J$2:$J$2649,AC$1)</f>
        <v>0</v>
      </c>
      <c r="AD35" s="143">
        <f>SUMIFS('февраль 2026'!$G$2:$G$2649,'февраль 2026'!$D$2:$D$2649,$B35,'февраль 2026'!$J$2:$J$2649,AD$1)</f>
        <v>0</v>
      </c>
      <c r="AE35" s="143">
        <f>SUMIFS('февраль 2026'!$G$2:$G$2649,'февраль 2026'!$D$2:$D$2649,$B35,'февраль 2026'!$J$2:$J$2649,AE$1)</f>
        <v>0</v>
      </c>
      <c r="AF35" s="143">
        <f>SUMIFS('февраль 2026'!$G$2:$G$2649,'февраль 2026'!$D$2:$D$2649,$B35,'февраль 2026'!$J$2:$J$2649,AF$1)</f>
        <v>0</v>
      </c>
      <c r="AG35" s="143">
        <f>SUMIFS('февраль 2026'!$G$2:$G$2649,'февраль 2026'!$D$2:$D$2649,$B35,'февраль 2026'!$J$2:$J$2649,AG$1)</f>
        <v>0</v>
      </c>
      <c r="AH35" s="143">
        <f>SUMIFS('февраль 2026'!$G$2:$G$2649,'февраль 2026'!$D$2:$D$2649,$B35,'февраль 2026'!$J$2:$J$2649,AH$1)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SUMIFS('февраль 2026'!$G$2:$G$2649,'февраль 2026'!$D$2:$D$2649,$B36,'февраль 2026'!$J$2:$J$2649,D$1)</f>
        <v>0</v>
      </c>
      <c r="E36" s="143">
        <f>SUMIFS('февраль 2026'!$G$2:$G$2649,'февраль 2026'!$D$2:$D$2649,$B36,'февраль 2026'!$J$2:$J$2649,E$1)</f>
        <v>0</v>
      </c>
      <c r="F36" s="143">
        <f>SUMIFS('февраль 2026'!$G$2:$G$2649,'февраль 2026'!$D$2:$D$2649,$B36,'февраль 2026'!$J$2:$J$2649,F$1)</f>
        <v>0</v>
      </c>
      <c r="G36" s="143">
        <f>SUMIFS('февраль 2026'!$G$2:$G$2649,'февраль 2026'!$D$2:$D$2649,$B36,'февраль 2026'!$J$2:$J$2649,G$1)</f>
        <v>0</v>
      </c>
      <c r="H36" s="143">
        <f>SUMIFS('февраль 2026'!$G$2:$G$2649,'февраль 2026'!$D$2:$D$2649,$B36,'февраль 2026'!$J$2:$J$2649,H$1)</f>
        <v>0</v>
      </c>
      <c r="I36" s="143">
        <f>SUMIFS('февраль 2026'!$G$2:$G$2649,'февраль 2026'!$D$2:$D$2649,$B36,'февраль 2026'!$J$2:$J$2649,I$1)</f>
        <v>0</v>
      </c>
      <c r="J36" s="143">
        <f>SUMIFS('февраль 2026'!$G$2:$G$2649,'февраль 2026'!$D$2:$D$2649,$B36,'февраль 2026'!$J$2:$J$2649,J$1)</f>
        <v>0</v>
      </c>
      <c r="K36" s="143">
        <f>SUMIFS('февраль 2026'!$G$2:$G$2649,'февраль 2026'!$D$2:$D$2649,$B36,'февраль 2026'!$J$2:$J$2649,K$1)</f>
        <v>0</v>
      </c>
      <c r="L36" s="143">
        <f>SUMIFS('февраль 2026'!$G$2:$G$2649,'февраль 2026'!$D$2:$D$2649,$B36,'февраль 2026'!$J$2:$J$2649,L$1)</f>
        <v>0</v>
      </c>
      <c r="M36" s="143">
        <f>SUMIFS('февраль 2026'!$G$2:$G$2649,'февраль 2026'!$D$2:$D$2649,$B36,'февраль 2026'!$J$2:$J$2649,M$1)</f>
        <v>0</v>
      </c>
      <c r="N36" s="143">
        <f>SUMIFS('февраль 2026'!$G$2:$G$2649,'февраль 2026'!$D$2:$D$2649,$B36,'февраль 2026'!$J$2:$J$2649,N$1)</f>
        <v>0</v>
      </c>
      <c r="O36" s="143">
        <f>SUMIFS('февраль 2026'!$G$2:$G$2649,'февраль 2026'!$D$2:$D$2649,$B36,'февраль 2026'!$J$2:$J$2649,O$1)</f>
        <v>0</v>
      </c>
      <c r="P36" s="143">
        <f>SUMIFS('февраль 2026'!$G$2:$G$2649,'февраль 2026'!$D$2:$D$2649,$B36,'февраль 2026'!$J$2:$J$2649,P$1)</f>
        <v>0</v>
      </c>
      <c r="Q36" s="143">
        <f>SUMIFS('февраль 2026'!$G$2:$G$2649,'февраль 2026'!$D$2:$D$2649,$B36,'февраль 2026'!$J$2:$J$2649,Q$1)</f>
        <v>0</v>
      </c>
      <c r="R36" s="143">
        <f>SUMIFS('февраль 2026'!$G$2:$G$2649,'февраль 2026'!$D$2:$D$2649,$B36,'февраль 2026'!$J$2:$J$2649,R$1)</f>
        <v>0</v>
      </c>
      <c r="S36" s="143">
        <f>SUMIFS('февраль 2026'!$G$2:$G$2649,'февраль 2026'!$D$2:$D$2649,$B36,'февраль 2026'!$J$2:$J$2649,S$1)</f>
        <v>0</v>
      </c>
      <c r="T36" s="143">
        <f>SUMIFS('февраль 2026'!$G$2:$G$2649,'февраль 2026'!$D$2:$D$2649,$B36,'февраль 2026'!$J$2:$J$2649,T$1)</f>
        <v>0</v>
      </c>
      <c r="U36" s="143">
        <f>SUMIFS('февраль 2026'!$G$2:$G$2649,'февраль 2026'!$D$2:$D$2649,$B36,'февраль 2026'!$J$2:$J$2649,U$1)</f>
        <v>0</v>
      </c>
      <c r="V36" s="143">
        <f>SUMIFS('февраль 2026'!$G$2:$G$2649,'февраль 2026'!$D$2:$D$2649,$B36,'февраль 2026'!$J$2:$J$2649,V$1)</f>
        <v>0</v>
      </c>
      <c r="W36" s="143">
        <f>SUMIFS('февраль 2026'!$G$2:$G$2649,'февраль 2026'!$D$2:$D$2649,$B36,'февраль 2026'!$J$2:$J$2649,W$1)</f>
        <v>0</v>
      </c>
      <c r="X36" s="143">
        <f>SUMIFS('февраль 2026'!$G$2:$G$2649,'февраль 2026'!$D$2:$D$2649,$B36,'февраль 2026'!$J$2:$J$2649,X$1)</f>
        <v>0</v>
      </c>
      <c r="Y36" s="143">
        <f>SUMIFS('февраль 2026'!$G$2:$G$2649,'февраль 2026'!$D$2:$D$2649,$B36,'февраль 2026'!$J$2:$J$2649,Y$1)</f>
        <v>0</v>
      </c>
      <c r="Z36" s="143">
        <f>SUMIFS('февраль 2026'!$G$2:$G$2649,'февраль 2026'!$D$2:$D$2649,$B36,'февраль 2026'!$J$2:$J$2649,Z$1)</f>
        <v>0</v>
      </c>
      <c r="AA36" s="143">
        <f>SUMIFS('февраль 2026'!$G$2:$G$2649,'февраль 2026'!$D$2:$D$2649,$B36,'февраль 2026'!$J$2:$J$2649,AA$1)</f>
        <v>0</v>
      </c>
      <c r="AB36" s="143">
        <f>SUMIFS('февраль 2026'!$G$2:$G$2649,'февраль 2026'!$D$2:$D$2649,$B36,'февраль 2026'!$J$2:$J$2649,AB$1)</f>
        <v>0</v>
      </c>
      <c r="AC36" s="143">
        <f>SUMIFS('февраль 2026'!$G$2:$G$2649,'февраль 2026'!$D$2:$D$2649,$B36,'февраль 2026'!$J$2:$J$2649,AC$1)</f>
        <v>0</v>
      </c>
      <c r="AD36" s="143">
        <f>SUMIFS('февраль 2026'!$G$2:$G$2649,'февраль 2026'!$D$2:$D$2649,$B36,'февраль 2026'!$J$2:$J$2649,AD$1)</f>
        <v>0</v>
      </c>
      <c r="AE36" s="143">
        <f>SUMIFS('февраль 2026'!$G$2:$G$2649,'февраль 2026'!$D$2:$D$2649,$B36,'февраль 2026'!$J$2:$J$2649,AE$1)</f>
        <v>0</v>
      </c>
      <c r="AF36" s="143">
        <f>SUMIFS('февраль 2026'!$G$2:$G$2649,'февраль 2026'!$D$2:$D$2649,$B36,'февраль 2026'!$J$2:$J$2649,AF$1)</f>
        <v>0</v>
      </c>
      <c r="AG36" s="143">
        <f>SUMIFS('февраль 2026'!$G$2:$G$2649,'февраль 2026'!$D$2:$D$2649,$B36,'февраль 2026'!$J$2:$J$2649,AG$1)</f>
        <v>0</v>
      </c>
      <c r="AH36" s="143">
        <f>SUMIFS('февраль 2026'!$G$2:$G$2649,'февраль 2026'!$D$2:$D$2649,$B36,'февраль 2026'!$J$2:$J$2649,AH$1)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SUMIFS('февраль 2026'!$G$2:$G$2649,'февраль 2026'!$D$2:$D$2649,$B37,'февраль 2026'!$J$2:$J$2649,D$1)</f>
        <v>0</v>
      </c>
      <c r="E37" s="143">
        <f>SUMIFS('февраль 2026'!$G$2:$G$2649,'февраль 2026'!$D$2:$D$2649,$B37,'февраль 2026'!$J$2:$J$2649,E$1)</f>
        <v>0</v>
      </c>
      <c r="F37" s="143">
        <f>SUMIFS('февраль 2026'!$G$2:$G$2649,'февраль 2026'!$D$2:$D$2649,$B37,'февраль 2026'!$J$2:$J$2649,F$1)</f>
        <v>0</v>
      </c>
      <c r="G37" s="143">
        <f>SUMIFS('февраль 2026'!$G$2:$G$2649,'февраль 2026'!$D$2:$D$2649,$B37,'февраль 2026'!$J$2:$J$2649,G$1)</f>
        <v>0</v>
      </c>
      <c r="H37" s="143">
        <f>SUMIFS('февраль 2026'!$G$2:$G$2649,'февраль 2026'!$D$2:$D$2649,$B37,'февраль 2026'!$J$2:$J$2649,H$1)</f>
        <v>0</v>
      </c>
      <c r="I37" s="143">
        <f>SUMIFS('февраль 2026'!$G$2:$G$2649,'февраль 2026'!$D$2:$D$2649,$B37,'февраль 2026'!$J$2:$J$2649,I$1)</f>
        <v>0</v>
      </c>
      <c r="J37" s="143">
        <f>SUMIFS('февраль 2026'!$G$2:$G$2649,'февраль 2026'!$D$2:$D$2649,$B37,'февраль 2026'!$J$2:$J$2649,J$1)</f>
        <v>0</v>
      </c>
      <c r="K37" s="143">
        <f>SUMIFS('февраль 2026'!$G$2:$G$2649,'февраль 2026'!$D$2:$D$2649,$B37,'февраль 2026'!$J$2:$J$2649,K$1)</f>
        <v>0</v>
      </c>
      <c r="L37" s="143">
        <f>SUMIFS('февраль 2026'!$G$2:$G$2649,'февраль 2026'!$D$2:$D$2649,$B37,'февраль 2026'!$J$2:$J$2649,L$1)</f>
        <v>0</v>
      </c>
      <c r="M37" s="143">
        <f>SUMIFS('февраль 2026'!$G$2:$G$2649,'февраль 2026'!$D$2:$D$2649,$B37,'февраль 2026'!$J$2:$J$2649,M$1)</f>
        <v>0</v>
      </c>
      <c r="N37" s="143">
        <f>SUMIFS('февраль 2026'!$G$2:$G$2649,'февраль 2026'!$D$2:$D$2649,$B37,'февраль 2026'!$J$2:$J$2649,N$1)</f>
        <v>0</v>
      </c>
      <c r="O37" s="143">
        <f>SUMIFS('февраль 2026'!$G$2:$G$2649,'февраль 2026'!$D$2:$D$2649,$B37,'февраль 2026'!$J$2:$J$2649,O$1)</f>
        <v>0</v>
      </c>
      <c r="P37" s="143">
        <f>SUMIFS('февраль 2026'!$G$2:$G$2649,'февраль 2026'!$D$2:$D$2649,$B37,'февраль 2026'!$J$2:$J$2649,P$1)</f>
        <v>0</v>
      </c>
      <c r="Q37" s="143">
        <f>SUMIFS('февраль 2026'!$G$2:$G$2649,'февраль 2026'!$D$2:$D$2649,$B37,'февраль 2026'!$J$2:$J$2649,Q$1)</f>
        <v>0</v>
      </c>
      <c r="R37" s="143">
        <f>SUMIFS('февраль 2026'!$G$2:$G$2649,'февраль 2026'!$D$2:$D$2649,$B37,'февраль 2026'!$J$2:$J$2649,R$1)</f>
        <v>0</v>
      </c>
      <c r="S37" s="143">
        <f>SUMIFS('февраль 2026'!$G$2:$G$2649,'февраль 2026'!$D$2:$D$2649,$B37,'февраль 2026'!$J$2:$J$2649,S$1)</f>
        <v>0</v>
      </c>
      <c r="T37" s="143">
        <f>SUMIFS('февраль 2026'!$G$2:$G$2649,'февраль 2026'!$D$2:$D$2649,$B37,'февраль 2026'!$J$2:$J$2649,T$1)</f>
        <v>0</v>
      </c>
      <c r="U37" s="143">
        <f>SUMIFS('февраль 2026'!$G$2:$G$2649,'февраль 2026'!$D$2:$D$2649,$B37,'февраль 2026'!$J$2:$J$2649,U$1)</f>
        <v>0</v>
      </c>
      <c r="V37" s="143">
        <f>SUMIFS('февраль 2026'!$G$2:$G$2649,'февраль 2026'!$D$2:$D$2649,$B37,'февраль 2026'!$J$2:$J$2649,V$1)</f>
        <v>0</v>
      </c>
      <c r="W37" s="143">
        <f>SUMIFS('февраль 2026'!$G$2:$G$2649,'февраль 2026'!$D$2:$D$2649,$B37,'февраль 2026'!$J$2:$J$2649,W$1)</f>
        <v>0</v>
      </c>
      <c r="X37" s="143">
        <f>SUMIFS('февраль 2026'!$G$2:$G$2649,'февраль 2026'!$D$2:$D$2649,$B37,'февраль 2026'!$J$2:$J$2649,X$1)</f>
        <v>0</v>
      </c>
      <c r="Y37" s="143">
        <f>SUMIFS('февраль 2026'!$G$2:$G$2649,'февраль 2026'!$D$2:$D$2649,$B37,'февраль 2026'!$J$2:$J$2649,Y$1)</f>
        <v>0</v>
      </c>
      <c r="Z37" s="143">
        <f>SUMIFS('февраль 2026'!$G$2:$G$2649,'февраль 2026'!$D$2:$D$2649,$B37,'февраль 2026'!$J$2:$J$2649,Z$1)</f>
        <v>0</v>
      </c>
      <c r="AA37" s="143">
        <f>SUMIFS('февраль 2026'!$G$2:$G$2649,'февраль 2026'!$D$2:$D$2649,$B37,'февраль 2026'!$J$2:$J$2649,AA$1)</f>
        <v>0</v>
      </c>
      <c r="AB37" s="143">
        <f>SUMIFS('февраль 2026'!$G$2:$G$2649,'февраль 2026'!$D$2:$D$2649,$B37,'февраль 2026'!$J$2:$J$2649,AB$1)</f>
        <v>0</v>
      </c>
      <c r="AC37" s="143">
        <f>SUMIFS('февраль 2026'!$G$2:$G$2649,'февраль 2026'!$D$2:$D$2649,$B37,'февраль 2026'!$J$2:$J$2649,AC$1)</f>
        <v>0</v>
      </c>
      <c r="AD37" s="143">
        <f>SUMIFS('февраль 2026'!$G$2:$G$2649,'февраль 2026'!$D$2:$D$2649,$B37,'февраль 2026'!$J$2:$J$2649,AD$1)</f>
        <v>0</v>
      </c>
      <c r="AE37" s="143">
        <f>SUMIFS('февраль 2026'!$G$2:$G$2649,'февраль 2026'!$D$2:$D$2649,$B37,'февраль 2026'!$J$2:$J$2649,AE$1)</f>
        <v>0</v>
      </c>
      <c r="AF37" s="143">
        <f>SUMIFS('февраль 2026'!$G$2:$G$2649,'февраль 2026'!$D$2:$D$2649,$B37,'февраль 2026'!$J$2:$J$2649,AF$1)</f>
        <v>0</v>
      </c>
      <c r="AG37" s="143">
        <f>SUMIFS('февраль 2026'!$G$2:$G$2649,'февраль 2026'!$D$2:$D$2649,$B37,'февраль 2026'!$J$2:$J$2649,AG$1)</f>
        <v>0</v>
      </c>
      <c r="AH37" s="143">
        <f>SUMIFS('февраль 2026'!$G$2:$G$2649,'февраль 2026'!$D$2:$D$2649,$B37,'февраль 2026'!$J$2:$J$2649,AH$1)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SUMIFS('февраль 2026'!$G$2:$G$2649,'февраль 2026'!$D$2:$D$2649,$B38,'февраль 2026'!$J$2:$J$2649,D$1)</f>
        <v>0</v>
      </c>
      <c r="E38" s="143">
        <f>SUMIFS('февраль 2026'!$G$2:$G$2649,'февраль 2026'!$D$2:$D$2649,$B38,'февраль 2026'!$J$2:$J$2649,E$1)</f>
        <v>0</v>
      </c>
      <c r="F38" s="143">
        <f>SUMIFS('февраль 2026'!$G$2:$G$2649,'февраль 2026'!$D$2:$D$2649,$B38,'февраль 2026'!$J$2:$J$2649,F$1)</f>
        <v>0</v>
      </c>
      <c r="G38" s="143">
        <f>SUMIFS('февраль 2026'!$G$2:$G$2649,'февраль 2026'!$D$2:$D$2649,$B38,'февраль 2026'!$J$2:$J$2649,G$1)</f>
        <v>0</v>
      </c>
      <c r="H38" s="143">
        <f>SUMIFS('февраль 2026'!$G$2:$G$2649,'февраль 2026'!$D$2:$D$2649,$B38,'февраль 2026'!$J$2:$J$2649,H$1)</f>
        <v>0</v>
      </c>
      <c r="I38" s="143">
        <f>SUMIFS('февраль 2026'!$G$2:$G$2649,'февраль 2026'!$D$2:$D$2649,$B38,'февраль 2026'!$J$2:$J$2649,I$1)</f>
        <v>0</v>
      </c>
      <c r="J38" s="143">
        <f>SUMIFS('февраль 2026'!$G$2:$G$2649,'февраль 2026'!$D$2:$D$2649,$B38,'февраль 2026'!$J$2:$J$2649,J$1)</f>
        <v>0</v>
      </c>
      <c r="K38" s="143">
        <f>SUMIFS('февраль 2026'!$G$2:$G$2649,'февраль 2026'!$D$2:$D$2649,$B38,'февраль 2026'!$J$2:$J$2649,K$1)</f>
        <v>0</v>
      </c>
      <c r="L38" s="143">
        <f>SUMIFS('февраль 2026'!$G$2:$G$2649,'февраль 2026'!$D$2:$D$2649,$B38,'февраль 2026'!$J$2:$J$2649,L$1)</f>
        <v>0</v>
      </c>
      <c r="M38" s="143">
        <f>SUMIFS('февраль 2026'!$G$2:$G$2649,'февраль 2026'!$D$2:$D$2649,$B38,'февраль 2026'!$J$2:$J$2649,M$1)</f>
        <v>0</v>
      </c>
      <c r="N38" s="143">
        <f>SUMIFS('февраль 2026'!$G$2:$G$2649,'февраль 2026'!$D$2:$D$2649,$B38,'февраль 2026'!$J$2:$J$2649,N$1)</f>
        <v>0</v>
      </c>
      <c r="O38" s="143">
        <f>SUMIFS('февраль 2026'!$G$2:$G$2649,'февраль 2026'!$D$2:$D$2649,$B38,'февраль 2026'!$J$2:$J$2649,O$1)</f>
        <v>0</v>
      </c>
      <c r="P38" s="143">
        <f>SUMIFS('февраль 2026'!$G$2:$G$2649,'февраль 2026'!$D$2:$D$2649,$B38,'февраль 2026'!$J$2:$J$2649,P$1)</f>
        <v>0</v>
      </c>
      <c r="Q38" s="143">
        <f>SUMIFS('февраль 2026'!$G$2:$G$2649,'февраль 2026'!$D$2:$D$2649,$B38,'февраль 2026'!$J$2:$J$2649,Q$1)</f>
        <v>0</v>
      </c>
      <c r="R38" s="143">
        <f>SUMIFS('февраль 2026'!$G$2:$G$2649,'февраль 2026'!$D$2:$D$2649,$B38,'февраль 2026'!$J$2:$J$2649,R$1)</f>
        <v>0</v>
      </c>
      <c r="S38" s="143">
        <f>SUMIFS('февраль 2026'!$G$2:$G$2649,'февраль 2026'!$D$2:$D$2649,$B38,'февраль 2026'!$J$2:$J$2649,S$1)</f>
        <v>0</v>
      </c>
      <c r="T38" s="143">
        <f>SUMIFS('февраль 2026'!$G$2:$G$2649,'февраль 2026'!$D$2:$D$2649,$B38,'февраль 2026'!$J$2:$J$2649,T$1)</f>
        <v>0</v>
      </c>
      <c r="U38" s="143">
        <f>SUMIFS('февраль 2026'!$G$2:$G$2649,'февраль 2026'!$D$2:$D$2649,$B38,'февраль 2026'!$J$2:$J$2649,U$1)</f>
        <v>0</v>
      </c>
      <c r="V38" s="143">
        <f>SUMIFS('февраль 2026'!$G$2:$G$2649,'февраль 2026'!$D$2:$D$2649,$B38,'февраль 2026'!$J$2:$J$2649,V$1)</f>
        <v>0</v>
      </c>
      <c r="W38" s="143">
        <f>SUMIFS('февраль 2026'!$G$2:$G$2649,'февраль 2026'!$D$2:$D$2649,$B38,'февраль 2026'!$J$2:$J$2649,W$1)</f>
        <v>0</v>
      </c>
      <c r="X38" s="143">
        <f>SUMIFS('февраль 2026'!$G$2:$G$2649,'февраль 2026'!$D$2:$D$2649,$B38,'февраль 2026'!$J$2:$J$2649,X$1)</f>
        <v>0</v>
      </c>
      <c r="Y38" s="143">
        <f>SUMIFS('февраль 2026'!$G$2:$G$2649,'февраль 2026'!$D$2:$D$2649,$B38,'февраль 2026'!$J$2:$J$2649,Y$1)</f>
        <v>0</v>
      </c>
      <c r="Z38" s="143">
        <f>SUMIFS('февраль 2026'!$G$2:$G$2649,'февраль 2026'!$D$2:$D$2649,$B38,'февраль 2026'!$J$2:$J$2649,Z$1)</f>
        <v>0</v>
      </c>
      <c r="AA38" s="143">
        <f>SUMIFS('февраль 2026'!$G$2:$G$2649,'февраль 2026'!$D$2:$D$2649,$B38,'февраль 2026'!$J$2:$J$2649,AA$1)</f>
        <v>0</v>
      </c>
      <c r="AB38" s="143">
        <f>SUMIFS('февраль 2026'!$G$2:$G$2649,'февраль 2026'!$D$2:$D$2649,$B38,'февраль 2026'!$J$2:$J$2649,AB$1)</f>
        <v>0</v>
      </c>
      <c r="AC38" s="143">
        <f>SUMIFS('февраль 2026'!$G$2:$G$2649,'февраль 2026'!$D$2:$D$2649,$B38,'февраль 2026'!$J$2:$J$2649,AC$1)</f>
        <v>0</v>
      </c>
      <c r="AD38" s="143">
        <f>SUMIFS('февраль 2026'!$G$2:$G$2649,'февраль 2026'!$D$2:$D$2649,$B38,'февраль 2026'!$J$2:$J$2649,AD$1)</f>
        <v>0</v>
      </c>
      <c r="AE38" s="143">
        <f>SUMIFS('февраль 2026'!$G$2:$G$2649,'февраль 2026'!$D$2:$D$2649,$B38,'февраль 2026'!$J$2:$J$2649,AE$1)</f>
        <v>0</v>
      </c>
      <c r="AF38" s="143">
        <f>SUMIFS('февраль 2026'!$G$2:$G$2649,'февраль 2026'!$D$2:$D$2649,$B38,'февраль 2026'!$J$2:$J$2649,AF$1)</f>
        <v>0</v>
      </c>
      <c r="AG38" s="143">
        <f>SUMIFS('февраль 2026'!$G$2:$G$2649,'февраль 2026'!$D$2:$D$2649,$B38,'февраль 2026'!$J$2:$J$2649,AG$1)</f>
        <v>0</v>
      </c>
      <c r="AH38" s="143">
        <f>SUMIFS('февраль 2026'!$G$2:$G$2649,'февраль 2026'!$D$2:$D$2649,$B38,'февраль 2026'!$J$2:$J$2649,AH$1)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SUMIFS('февраль 2026'!$G$2:$G$2649,'февраль 2026'!$D$2:$D$2649,$B39,'февраль 2026'!$J$2:$J$2649,D$1)</f>
        <v>0</v>
      </c>
      <c r="E39" s="143">
        <f>SUMIFS('февраль 2026'!$G$2:$G$2649,'февраль 2026'!$D$2:$D$2649,$B39,'февраль 2026'!$J$2:$J$2649,E$1)</f>
        <v>0</v>
      </c>
      <c r="F39" s="143">
        <f>SUMIFS('февраль 2026'!$G$2:$G$2649,'февраль 2026'!$D$2:$D$2649,$B39,'февраль 2026'!$J$2:$J$2649,F$1)</f>
        <v>0</v>
      </c>
      <c r="G39" s="143">
        <f>SUMIFS('февраль 2026'!$G$2:$G$2649,'февраль 2026'!$D$2:$D$2649,$B39,'февраль 2026'!$J$2:$J$2649,G$1)</f>
        <v>0</v>
      </c>
      <c r="H39" s="143">
        <f>SUMIFS('февраль 2026'!$G$2:$G$2649,'февраль 2026'!$D$2:$D$2649,$B39,'февраль 2026'!$J$2:$J$2649,H$1)</f>
        <v>0</v>
      </c>
      <c r="I39" s="143">
        <f>SUMIFS('февраль 2026'!$G$2:$G$2649,'февраль 2026'!$D$2:$D$2649,$B39,'февраль 2026'!$J$2:$J$2649,I$1)</f>
        <v>0</v>
      </c>
      <c r="J39" s="143">
        <f>SUMIFS('февраль 2026'!$G$2:$G$2649,'февраль 2026'!$D$2:$D$2649,$B39,'февраль 2026'!$J$2:$J$2649,J$1)</f>
        <v>0</v>
      </c>
      <c r="K39" s="143">
        <f>SUMIFS('февраль 2026'!$G$2:$G$2649,'февраль 2026'!$D$2:$D$2649,$B39,'февраль 2026'!$J$2:$J$2649,K$1)</f>
        <v>0</v>
      </c>
      <c r="L39" s="143">
        <f>SUMIFS('февраль 2026'!$G$2:$G$2649,'февраль 2026'!$D$2:$D$2649,$B39,'февраль 2026'!$J$2:$J$2649,L$1)</f>
        <v>0</v>
      </c>
      <c r="M39" s="143">
        <f>SUMIFS('февраль 2026'!$G$2:$G$2649,'февраль 2026'!$D$2:$D$2649,$B39,'февраль 2026'!$J$2:$J$2649,M$1)</f>
        <v>0</v>
      </c>
      <c r="N39" s="143">
        <f>SUMIFS('февраль 2026'!$G$2:$G$2649,'февраль 2026'!$D$2:$D$2649,$B39,'февраль 2026'!$J$2:$J$2649,N$1)</f>
        <v>0</v>
      </c>
      <c r="O39" s="143">
        <f>SUMIFS('февраль 2026'!$G$2:$G$2649,'февраль 2026'!$D$2:$D$2649,$B39,'февраль 2026'!$J$2:$J$2649,O$1)</f>
        <v>0</v>
      </c>
      <c r="P39" s="143">
        <f>SUMIFS('февраль 2026'!$G$2:$G$2649,'февраль 2026'!$D$2:$D$2649,$B39,'февраль 2026'!$J$2:$J$2649,P$1)</f>
        <v>0</v>
      </c>
      <c r="Q39" s="143">
        <f>SUMIFS('февраль 2026'!$G$2:$G$2649,'февраль 2026'!$D$2:$D$2649,$B39,'февраль 2026'!$J$2:$J$2649,Q$1)</f>
        <v>0</v>
      </c>
      <c r="R39" s="143">
        <f>SUMIFS('февраль 2026'!$G$2:$G$2649,'февраль 2026'!$D$2:$D$2649,$B39,'февраль 2026'!$J$2:$J$2649,R$1)</f>
        <v>0</v>
      </c>
      <c r="S39" s="143">
        <f>SUMIFS('февраль 2026'!$G$2:$G$2649,'февраль 2026'!$D$2:$D$2649,$B39,'февраль 2026'!$J$2:$J$2649,S$1)</f>
        <v>0</v>
      </c>
      <c r="T39" s="143">
        <f>SUMIFS('февраль 2026'!$G$2:$G$2649,'февраль 2026'!$D$2:$D$2649,$B39,'февраль 2026'!$J$2:$J$2649,T$1)</f>
        <v>0</v>
      </c>
      <c r="U39" s="143">
        <f>SUMIFS('февраль 2026'!$G$2:$G$2649,'февраль 2026'!$D$2:$D$2649,$B39,'февраль 2026'!$J$2:$J$2649,U$1)</f>
        <v>0</v>
      </c>
      <c r="V39" s="143">
        <f>SUMIFS('февраль 2026'!$G$2:$G$2649,'февраль 2026'!$D$2:$D$2649,$B39,'февраль 2026'!$J$2:$J$2649,V$1)</f>
        <v>0</v>
      </c>
      <c r="W39" s="143">
        <f>SUMIFS('февраль 2026'!$G$2:$G$2649,'февраль 2026'!$D$2:$D$2649,$B39,'февраль 2026'!$J$2:$J$2649,W$1)</f>
        <v>0</v>
      </c>
      <c r="X39" s="143">
        <f>SUMIFS('февраль 2026'!$G$2:$G$2649,'февраль 2026'!$D$2:$D$2649,$B39,'февраль 2026'!$J$2:$J$2649,X$1)</f>
        <v>0</v>
      </c>
      <c r="Y39" s="143">
        <f>SUMIFS('февраль 2026'!$G$2:$G$2649,'февраль 2026'!$D$2:$D$2649,$B39,'февраль 2026'!$J$2:$J$2649,Y$1)</f>
        <v>0</v>
      </c>
      <c r="Z39" s="143">
        <f>SUMIFS('февраль 2026'!$G$2:$G$2649,'февраль 2026'!$D$2:$D$2649,$B39,'февраль 2026'!$J$2:$J$2649,Z$1)</f>
        <v>0</v>
      </c>
      <c r="AA39" s="143">
        <f>SUMIFS('февраль 2026'!$G$2:$G$2649,'февраль 2026'!$D$2:$D$2649,$B39,'февраль 2026'!$J$2:$J$2649,AA$1)</f>
        <v>0</v>
      </c>
      <c r="AB39" s="143">
        <f>SUMIFS('февраль 2026'!$G$2:$G$2649,'февраль 2026'!$D$2:$D$2649,$B39,'февраль 2026'!$J$2:$J$2649,AB$1)</f>
        <v>0</v>
      </c>
      <c r="AC39" s="143">
        <f>SUMIFS('февраль 2026'!$G$2:$G$2649,'февраль 2026'!$D$2:$D$2649,$B39,'февраль 2026'!$J$2:$J$2649,AC$1)</f>
        <v>0</v>
      </c>
      <c r="AD39" s="143">
        <f>SUMIFS('февраль 2026'!$G$2:$G$2649,'февраль 2026'!$D$2:$D$2649,$B39,'февраль 2026'!$J$2:$J$2649,AD$1)</f>
        <v>0</v>
      </c>
      <c r="AE39" s="143">
        <f>SUMIFS('февраль 2026'!$G$2:$G$2649,'февраль 2026'!$D$2:$D$2649,$B39,'февраль 2026'!$J$2:$J$2649,AE$1)</f>
        <v>0</v>
      </c>
      <c r="AF39" s="143">
        <f>SUMIFS('февраль 2026'!$G$2:$G$2649,'февраль 2026'!$D$2:$D$2649,$B39,'февраль 2026'!$J$2:$J$2649,AF$1)</f>
        <v>0</v>
      </c>
      <c r="AG39" s="143">
        <f>SUMIFS('февраль 2026'!$G$2:$G$2649,'февраль 2026'!$D$2:$D$2649,$B39,'февраль 2026'!$J$2:$J$2649,AG$1)</f>
        <v>0</v>
      </c>
      <c r="AH39" s="143">
        <f>SUMIFS('февраль 2026'!$G$2:$G$2649,'февраль 2026'!$D$2:$D$2649,$B39,'февраль 2026'!$J$2:$J$2649,AH$1)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SUMIFS('февраль 2026'!$G$2:$G$2649,'февраль 2026'!$D$2:$D$2649,$B40,'февраль 2026'!$J$2:$J$2649,D$1)</f>
        <v>0</v>
      </c>
      <c r="E40" s="143">
        <f>SUMIFS('февраль 2026'!$G$2:$G$2649,'февраль 2026'!$D$2:$D$2649,$B40,'февраль 2026'!$J$2:$J$2649,E$1)</f>
        <v>0</v>
      </c>
      <c r="F40" s="143">
        <f>SUMIFS('февраль 2026'!$G$2:$G$2649,'февраль 2026'!$D$2:$D$2649,$B40,'февраль 2026'!$J$2:$J$2649,F$1)</f>
        <v>0</v>
      </c>
      <c r="G40" s="143">
        <f>SUMIFS('февраль 2026'!$G$2:$G$2649,'февраль 2026'!$D$2:$D$2649,$B40,'февраль 2026'!$J$2:$J$2649,G$1)</f>
        <v>0</v>
      </c>
      <c r="H40" s="143">
        <f>SUMIFS('февраль 2026'!$G$2:$G$2649,'февраль 2026'!$D$2:$D$2649,$B40,'февраль 2026'!$J$2:$J$2649,H$1)</f>
        <v>0</v>
      </c>
      <c r="I40" s="143">
        <f>SUMIFS('февраль 2026'!$G$2:$G$2649,'февраль 2026'!$D$2:$D$2649,$B40,'февраль 2026'!$J$2:$J$2649,I$1)</f>
        <v>0</v>
      </c>
      <c r="J40" s="143">
        <f>SUMIFS('февраль 2026'!$G$2:$G$2649,'февраль 2026'!$D$2:$D$2649,$B40,'февраль 2026'!$J$2:$J$2649,J$1)</f>
        <v>0</v>
      </c>
      <c r="K40" s="143">
        <f>SUMIFS('февраль 2026'!$G$2:$G$2649,'февраль 2026'!$D$2:$D$2649,$B40,'февраль 2026'!$J$2:$J$2649,K$1)</f>
        <v>0</v>
      </c>
      <c r="L40" s="143">
        <f>SUMIFS('февраль 2026'!$G$2:$G$2649,'февраль 2026'!$D$2:$D$2649,$B40,'февраль 2026'!$J$2:$J$2649,L$1)</f>
        <v>0</v>
      </c>
      <c r="M40" s="143">
        <f>SUMIFS('февраль 2026'!$G$2:$G$2649,'февраль 2026'!$D$2:$D$2649,$B40,'февраль 2026'!$J$2:$J$2649,M$1)</f>
        <v>0</v>
      </c>
      <c r="N40" s="143">
        <f>SUMIFS('февраль 2026'!$G$2:$G$2649,'февраль 2026'!$D$2:$D$2649,$B40,'февраль 2026'!$J$2:$J$2649,N$1)</f>
        <v>0</v>
      </c>
      <c r="O40" s="143">
        <f>SUMIFS('февраль 2026'!$G$2:$G$2649,'февраль 2026'!$D$2:$D$2649,$B40,'февраль 2026'!$J$2:$J$2649,O$1)</f>
        <v>0</v>
      </c>
      <c r="P40" s="143">
        <f>SUMIFS('февраль 2026'!$G$2:$G$2649,'февраль 2026'!$D$2:$D$2649,$B40,'февраль 2026'!$J$2:$J$2649,P$1)</f>
        <v>0</v>
      </c>
      <c r="Q40" s="143">
        <f>SUMIFS('февраль 2026'!$G$2:$G$2649,'февраль 2026'!$D$2:$D$2649,$B40,'февраль 2026'!$J$2:$J$2649,Q$1)</f>
        <v>0</v>
      </c>
      <c r="R40" s="143">
        <f>SUMIFS('февраль 2026'!$G$2:$G$2649,'февраль 2026'!$D$2:$D$2649,$B40,'февраль 2026'!$J$2:$J$2649,R$1)</f>
        <v>0</v>
      </c>
      <c r="S40" s="143">
        <f>SUMIFS('февраль 2026'!$G$2:$G$2649,'февраль 2026'!$D$2:$D$2649,$B40,'февраль 2026'!$J$2:$J$2649,S$1)</f>
        <v>0</v>
      </c>
      <c r="T40" s="143">
        <f>SUMIFS('февраль 2026'!$G$2:$G$2649,'февраль 2026'!$D$2:$D$2649,$B40,'февраль 2026'!$J$2:$J$2649,T$1)</f>
        <v>0</v>
      </c>
      <c r="U40" s="143">
        <f>SUMIFS('февраль 2026'!$G$2:$G$2649,'февраль 2026'!$D$2:$D$2649,$B40,'февраль 2026'!$J$2:$J$2649,U$1)</f>
        <v>0</v>
      </c>
      <c r="V40" s="143">
        <f>SUMIFS('февраль 2026'!$G$2:$G$2649,'февраль 2026'!$D$2:$D$2649,$B40,'февраль 2026'!$J$2:$J$2649,V$1)</f>
        <v>0</v>
      </c>
      <c r="W40" s="143">
        <f>SUMIFS('февраль 2026'!$G$2:$G$2649,'февраль 2026'!$D$2:$D$2649,$B40,'февраль 2026'!$J$2:$J$2649,W$1)</f>
        <v>0</v>
      </c>
      <c r="X40" s="143">
        <f>SUMIFS('февраль 2026'!$G$2:$G$2649,'февраль 2026'!$D$2:$D$2649,$B40,'февраль 2026'!$J$2:$J$2649,X$1)</f>
        <v>0</v>
      </c>
      <c r="Y40" s="143">
        <f>SUMIFS('февраль 2026'!$G$2:$G$2649,'февраль 2026'!$D$2:$D$2649,$B40,'февраль 2026'!$J$2:$J$2649,Y$1)</f>
        <v>0</v>
      </c>
      <c r="Z40" s="143">
        <f>SUMIFS('февраль 2026'!$G$2:$G$2649,'февраль 2026'!$D$2:$D$2649,$B40,'февраль 2026'!$J$2:$J$2649,Z$1)</f>
        <v>0</v>
      </c>
      <c r="AA40" s="143">
        <f>SUMIFS('февраль 2026'!$G$2:$G$2649,'февраль 2026'!$D$2:$D$2649,$B40,'февраль 2026'!$J$2:$J$2649,AA$1)</f>
        <v>0</v>
      </c>
      <c r="AB40" s="143">
        <f>SUMIFS('февраль 2026'!$G$2:$G$2649,'февраль 2026'!$D$2:$D$2649,$B40,'февраль 2026'!$J$2:$J$2649,AB$1)</f>
        <v>0</v>
      </c>
      <c r="AC40" s="143">
        <f>SUMIFS('февраль 2026'!$G$2:$G$2649,'февраль 2026'!$D$2:$D$2649,$B40,'февраль 2026'!$J$2:$J$2649,AC$1)</f>
        <v>0</v>
      </c>
      <c r="AD40" s="143">
        <f>SUMIFS('февраль 2026'!$G$2:$G$2649,'февраль 2026'!$D$2:$D$2649,$B40,'февраль 2026'!$J$2:$J$2649,AD$1)</f>
        <v>0</v>
      </c>
      <c r="AE40" s="143">
        <f>SUMIFS('февраль 2026'!$G$2:$G$2649,'февраль 2026'!$D$2:$D$2649,$B40,'февраль 2026'!$J$2:$J$2649,AE$1)</f>
        <v>0</v>
      </c>
      <c r="AF40" s="143">
        <f>SUMIFS('февраль 2026'!$G$2:$G$2649,'февраль 2026'!$D$2:$D$2649,$B40,'февраль 2026'!$J$2:$J$2649,AF$1)</f>
        <v>0</v>
      </c>
      <c r="AG40" s="143">
        <f>SUMIFS('февраль 2026'!$G$2:$G$2649,'февраль 2026'!$D$2:$D$2649,$B40,'февраль 2026'!$J$2:$J$2649,AG$1)</f>
        <v>0</v>
      </c>
      <c r="AH40" s="143">
        <f>SUMIFS('февраль 2026'!$G$2:$G$2649,'февраль 2026'!$D$2:$D$2649,$B40,'февраль 2026'!$J$2:$J$2649,AH$1)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SUMIFS('февраль 2026'!$G$2:$G$2649,'февраль 2026'!$D$2:$D$2649,$B41,'февраль 2026'!$J$2:$J$2649,D$1)</f>
        <v>0</v>
      </c>
      <c r="E41" s="143">
        <f>SUMIFS('февраль 2026'!$G$2:$G$2649,'февраль 2026'!$D$2:$D$2649,$B41,'февраль 2026'!$J$2:$J$2649,E$1)</f>
        <v>0</v>
      </c>
      <c r="F41" s="143">
        <f>SUMIFS('февраль 2026'!$G$2:$G$2649,'февраль 2026'!$D$2:$D$2649,$B41,'февраль 2026'!$J$2:$J$2649,F$1)</f>
        <v>0</v>
      </c>
      <c r="G41" s="143">
        <f>SUMIFS('февраль 2026'!$G$2:$G$2649,'февраль 2026'!$D$2:$D$2649,$B41,'февраль 2026'!$J$2:$J$2649,G$1)</f>
        <v>0</v>
      </c>
      <c r="H41" s="143">
        <f>SUMIFS('февраль 2026'!$G$2:$G$2649,'февраль 2026'!$D$2:$D$2649,$B41,'февраль 2026'!$J$2:$J$2649,H$1)</f>
        <v>0</v>
      </c>
      <c r="I41" s="143">
        <f>SUMIFS('февраль 2026'!$G$2:$G$2649,'февраль 2026'!$D$2:$D$2649,$B41,'февраль 2026'!$J$2:$J$2649,I$1)</f>
        <v>0</v>
      </c>
      <c r="J41" s="143">
        <f>SUMIFS('февраль 2026'!$G$2:$G$2649,'февраль 2026'!$D$2:$D$2649,$B41,'февраль 2026'!$J$2:$J$2649,J$1)</f>
        <v>0</v>
      </c>
      <c r="K41" s="143">
        <f>SUMIFS('февраль 2026'!$G$2:$G$2649,'февраль 2026'!$D$2:$D$2649,$B41,'февраль 2026'!$J$2:$J$2649,K$1)</f>
        <v>0</v>
      </c>
      <c r="L41" s="143">
        <f>SUMIFS('февраль 2026'!$G$2:$G$2649,'февраль 2026'!$D$2:$D$2649,$B41,'февраль 2026'!$J$2:$J$2649,L$1)</f>
        <v>0</v>
      </c>
      <c r="M41" s="143">
        <f>SUMIFS('февраль 2026'!$G$2:$G$2649,'февраль 2026'!$D$2:$D$2649,$B41,'февраль 2026'!$J$2:$J$2649,M$1)</f>
        <v>0</v>
      </c>
      <c r="N41" s="143">
        <f>SUMIFS('февраль 2026'!$G$2:$G$2649,'февраль 2026'!$D$2:$D$2649,$B41,'февраль 2026'!$J$2:$J$2649,N$1)</f>
        <v>0</v>
      </c>
      <c r="O41" s="143">
        <f>SUMIFS('февраль 2026'!$G$2:$G$2649,'февраль 2026'!$D$2:$D$2649,$B41,'февраль 2026'!$J$2:$J$2649,O$1)</f>
        <v>0</v>
      </c>
      <c r="P41" s="143">
        <f>SUMIFS('февраль 2026'!$G$2:$G$2649,'февраль 2026'!$D$2:$D$2649,$B41,'февраль 2026'!$J$2:$J$2649,P$1)</f>
        <v>0</v>
      </c>
      <c r="Q41" s="143">
        <f>SUMIFS('февраль 2026'!$G$2:$G$2649,'февраль 2026'!$D$2:$D$2649,$B41,'февраль 2026'!$J$2:$J$2649,Q$1)</f>
        <v>0</v>
      </c>
      <c r="R41" s="143">
        <f>SUMIFS('февраль 2026'!$G$2:$G$2649,'февраль 2026'!$D$2:$D$2649,$B41,'февраль 2026'!$J$2:$J$2649,R$1)</f>
        <v>0</v>
      </c>
      <c r="S41" s="143">
        <f>SUMIFS('февраль 2026'!$G$2:$G$2649,'февраль 2026'!$D$2:$D$2649,$B41,'февраль 2026'!$J$2:$J$2649,S$1)</f>
        <v>0</v>
      </c>
      <c r="T41" s="143">
        <f>SUMIFS('февраль 2026'!$G$2:$G$2649,'февраль 2026'!$D$2:$D$2649,$B41,'февраль 2026'!$J$2:$J$2649,T$1)</f>
        <v>0</v>
      </c>
      <c r="U41" s="143">
        <f>SUMIFS('февраль 2026'!$G$2:$G$2649,'февраль 2026'!$D$2:$D$2649,$B41,'февраль 2026'!$J$2:$J$2649,U$1)</f>
        <v>0</v>
      </c>
      <c r="V41" s="143">
        <f>SUMIFS('февраль 2026'!$G$2:$G$2649,'февраль 2026'!$D$2:$D$2649,$B41,'февраль 2026'!$J$2:$J$2649,V$1)</f>
        <v>0</v>
      </c>
      <c r="W41" s="143">
        <f>SUMIFS('февраль 2026'!$G$2:$G$2649,'февраль 2026'!$D$2:$D$2649,$B41,'февраль 2026'!$J$2:$J$2649,W$1)</f>
        <v>0</v>
      </c>
      <c r="X41" s="143">
        <f>SUMIFS('февраль 2026'!$G$2:$G$2649,'февраль 2026'!$D$2:$D$2649,$B41,'февраль 2026'!$J$2:$J$2649,X$1)</f>
        <v>0</v>
      </c>
      <c r="Y41" s="143">
        <f>SUMIFS('февраль 2026'!$G$2:$G$2649,'февраль 2026'!$D$2:$D$2649,$B41,'февраль 2026'!$J$2:$J$2649,Y$1)</f>
        <v>0</v>
      </c>
      <c r="Z41" s="143">
        <f>SUMIFS('февраль 2026'!$G$2:$G$2649,'февраль 2026'!$D$2:$D$2649,$B41,'февраль 2026'!$J$2:$J$2649,Z$1)</f>
        <v>0</v>
      </c>
      <c r="AA41" s="143">
        <f>SUMIFS('февраль 2026'!$G$2:$G$2649,'февраль 2026'!$D$2:$D$2649,$B41,'февраль 2026'!$J$2:$J$2649,AA$1)</f>
        <v>0</v>
      </c>
      <c r="AB41" s="143">
        <f>SUMIFS('февраль 2026'!$G$2:$G$2649,'февраль 2026'!$D$2:$D$2649,$B41,'февраль 2026'!$J$2:$J$2649,AB$1)</f>
        <v>0</v>
      </c>
      <c r="AC41" s="143">
        <f>SUMIFS('февраль 2026'!$G$2:$G$2649,'февраль 2026'!$D$2:$D$2649,$B41,'февраль 2026'!$J$2:$J$2649,AC$1)</f>
        <v>0</v>
      </c>
      <c r="AD41" s="143">
        <f>SUMIFS('февраль 2026'!$G$2:$G$2649,'февраль 2026'!$D$2:$D$2649,$B41,'февраль 2026'!$J$2:$J$2649,AD$1)</f>
        <v>0</v>
      </c>
      <c r="AE41" s="143">
        <f>SUMIFS('февраль 2026'!$G$2:$G$2649,'февраль 2026'!$D$2:$D$2649,$B41,'февраль 2026'!$J$2:$J$2649,AE$1)</f>
        <v>0</v>
      </c>
      <c r="AF41" s="143">
        <f>SUMIFS('февраль 2026'!$G$2:$G$2649,'февраль 2026'!$D$2:$D$2649,$B41,'февраль 2026'!$J$2:$J$2649,AF$1)</f>
        <v>0</v>
      </c>
      <c r="AG41" s="143">
        <f>SUMIFS('февраль 2026'!$G$2:$G$2649,'февраль 2026'!$D$2:$D$2649,$B41,'февраль 2026'!$J$2:$J$2649,AG$1)</f>
        <v>0</v>
      </c>
      <c r="AH41" s="143">
        <f>SUMIFS('февраль 2026'!$G$2:$G$2649,'февраль 2026'!$D$2:$D$2649,$B41,'февраль 2026'!$J$2:$J$2649,AH$1)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SUMIFS('февраль 2026'!$G$2:$G$2649,'февраль 2026'!$D$2:$D$2649,$B42,'февраль 2026'!$J$2:$J$2649,D$1)</f>
        <v>0</v>
      </c>
      <c r="E42" s="143">
        <f>SUMIFS('февраль 2026'!$G$2:$G$2649,'февраль 2026'!$D$2:$D$2649,$B42,'февраль 2026'!$J$2:$J$2649,E$1)</f>
        <v>0</v>
      </c>
      <c r="F42" s="143">
        <f>SUMIFS('февраль 2026'!$G$2:$G$2649,'февраль 2026'!$D$2:$D$2649,$B42,'февраль 2026'!$J$2:$J$2649,F$1)</f>
        <v>0</v>
      </c>
      <c r="G42" s="143">
        <f>SUMIFS('февраль 2026'!$G$2:$G$2649,'февраль 2026'!$D$2:$D$2649,$B42,'февраль 2026'!$J$2:$J$2649,G$1)</f>
        <v>0</v>
      </c>
      <c r="H42" s="143">
        <f>SUMIFS('февраль 2026'!$G$2:$G$2649,'февраль 2026'!$D$2:$D$2649,$B42,'февраль 2026'!$J$2:$J$2649,H$1)</f>
        <v>0</v>
      </c>
      <c r="I42" s="143">
        <f>SUMIFS('февраль 2026'!$G$2:$G$2649,'февраль 2026'!$D$2:$D$2649,$B42,'февраль 2026'!$J$2:$J$2649,I$1)</f>
        <v>0</v>
      </c>
      <c r="J42" s="143">
        <f>SUMIFS('февраль 2026'!$G$2:$G$2649,'февраль 2026'!$D$2:$D$2649,$B42,'февраль 2026'!$J$2:$J$2649,J$1)</f>
        <v>0</v>
      </c>
      <c r="K42" s="143">
        <f>SUMIFS('февраль 2026'!$G$2:$G$2649,'февраль 2026'!$D$2:$D$2649,$B42,'февраль 2026'!$J$2:$J$2649,K$1)</f>
        <v>0</v>
      </c>
      <c r="L42" s="143">
        <f>SUMIFS('февраль 2026'!$G$2:$G$2649,'февраль 2026'!$D$2:$D$2649,$B42,'февраль 2026'!$J$2:$J$2649,L$1)</f>
        <v>0</v>
      </c>
      <c r="M42" s="143">
        <f>SUMIFS('февраль 2026'!$G$2:$G$2649,'февраль 2026'!$D$2:$D$2649,$B42,'февраль 2026'!$J$2:$J$2649,M$1)</f>
        <v>0</v>
      </c>
      <c r="N42" s="143">
        <f>SUMIFS('февраль 2026'!$G$2:$G$2649,'февраль 2026'!$D$2:$D$2649,$B42,'февраль 2026'!$J$2:$J$2649,N$1)</f>
        <v>0</v>
      </c>
      <c r="O42" s="143">
        <f>SUMIFS('февраль 2026'!$G$2:$G$2649,'февраль 2026'!$D$2:$D$2649,$B42,'февраль 2026'!$J$2:$J$2649,O$1)</f>
        <v>0</v>
      </c>
      <c r="P42" s="143">
        <f>SUMIFS('февраль 2026'!$G$2:$G$2649,'февраль 2026'!$D$2:$D$2649,$B42,'февраль 2026'!$J$2:$J$2649,P$1)</f>
        <v>0</v>
      </c>
      <c r="Q42" s="143">
        <f>SUMIFS('февраль 2026'!$G$2:$G$2649,'февраль 2026'!$D$2:$D$2649,$B42,'февраль 2026'!$J$2:$J$2649,Q$1)</f>
        <v>0</v>
      </c>
      <c r="R42" s="143">
        <f>SUMIFS('февраль 2026'!$G$2:$G$2649,'февраль 2026'!$D$2:$D$2649,$B42,'февраль 2026'!$J$2:$J$2649,R$1)</f>
        <v>0</v>
      </c>
      <c r="S42" s="143">
        <f>SUMIFS('февраль 2026'!$G$2:$G$2649,'февраль 2026'!$D$2:$D$2649,$B42,'февраль 2026'!$J$2:$J$2649,S$1)</f>
        <v>0</v>
      </c>
      <c r="T42" s="143">
        <f>SUMIFS('февраль 2026'!$G$2:$G$2649,'февраль 2026'!$D$2:$D$2649,$B42,'февраль 2026'!$J$2:$J$2649,T$1)</f>
        <v>400</v>
      </c>
      <c r="U42" s="143">
        <f>SUMIFS('февраль 2026'!$G$2:$G$2649,'февраль 2026'!$D$2:$D$2649,$B42,'февраль 2026'!$J$2:$J$2649,U$1)</f>
        <v>200</v>
      </c>
      <c r="V42" s="143">
        <f>SUMIFS('февраль 2026'!$G$2:$G$2649,'февраль 2026'!$D$2:$D$2649,$B42,'февраль 2026'!$J$2:$J$2649,V$1)</f>
        <v>0</v>
      </c>
      <c r="W42" s="143">
        <f>SUMIFS('февраль 2026'!$G$2:$G$2649,'февраль 2026'!$D$2:$D$2649,$B42,'февраль 2026'!$J$2:$J$2649,W$1)</f>
        <v>0</v>
      </c>
      <c r="X42" s="143">
        <f>SUMIFS('февраль 2026'!$G$2:$G$2649,'февраль 2026'!$D$2:$D$2649,$B42,'февраль 2026'!$J$2:$J$2649,X$1)</f>
        <v>0</v>
      </c>
      <c r="Y42" s="143">
        <f>SUMIFS('февраль 2026'!$G$2:$G$2649,'февраль 2026'!$D$2:$D$2649,$B42,'февраль 2026'!$J$2:$J$2649,Y$1)</f>
        <v>0</v>
      </c>
      <c r="Z42" s="143">
        <f>SUMIFS('февраль 2026'!$G$2:$G$2649,'февраль 2026'!$D$2:$D$2649,$B42,'февраль 2026'!$J$2:$J$2649,Z$1)</f>
        <v>0</v>
      </c>
      <c r="AA42" s="143">
        <f>SUMIFS('февраль 2026'!$G$2:$G$2649,'февраль 2026'!$D$2:$D$2649,$B42,'февраль 2026'!$J$2:$J$2649,AA$1)</f>
        <v>0</v>
      </c>
      <c r="AB42" s="143">
        <f>SUMIFS('февраль 2026'!$G$2:$G$2649,'февраль 2026'!$D$2:$D$2649,$B42,'февраль 2026'!$J$2:$J$2649,AB$1)</f>
        <v>0</v>
      </c>
      <c r="AC42" s="143">
        <f>SUMIFS('февраль 2026'!$G$2:$G$2649,'февраль 2026'!$D$2:$D$2649,$B42,'февраль 2026'!$J$2:$J$2649,AC$1)</f>
        <v>0</v>
      </c>
      <c r="AD42" s="143">
        <f>SUMIFS('февраль 2026'!$G$2:$G$2649,'февраль 2026'!$D$2:$D$2649,$B42,'февраль 2026'!$J$2:$J$2649,AD$1)</f>
        <v>0</v>
      </c>
      <c r="AE42" s="143">
        <f>SUMIFS('февраль 2026'!$G$2:$G$2649,'февраль 2026'!$D$2:$D$2649,$B42,'февраль 2026'!$J$2:$J$2649,AE$1)</f>
        <v>0</v>
      </c>
      <c r="AF42" s="143">
        <f>SUMIFS('февраль 2026'!$G$2:$G$2649,'февраль 2026'!$D$2:$D$2649,$B42,'февраль 2026'!$J$2:$J$2649,AF$1)</f>
        <v>0</v>
      </c>
      <c r="AG42" s="143">
        <f>SUMIFS('февраль 2026'!$G$2:$G$2649,'февраль 2026'!$D$2:$D$2649,$B42,'февраль 2026'!$J$2:$J$2649,AG$1)</f>
        <v>0</v>
      </c>
      <c r="AH42" s="143">
        <f>SUMIFS('февраль 2026'!$G$2:$G$2649,'февраль 2026'!$D$2:$D$2649,$B42,'февраль 2026'!$J$2:$J$2649,AH$1)</f>
        <v>0</v>
      </c>
      <c r="AI42" s="20">
        <f t="shared" si="1"/>
        <v>600</v>
      </c>
    </row>
    <row r="43" spans="2:35" ht="15" customHeight="1" x14ac:dyDescent="0.25">
      <c r="B43" s="122" t="s">
        <v>221</v>
      </c>
      <c r="C43" s="125">
        <v>25</v>
      </c>
      <c r="D43" s="143">
        <f>SUMIFS('февраль 2026'!$G$2:$G$2649,'февраль 2026'!$D$2:$D$2649,$B43,'февраль 2026'!$J$2:$J$2649,D$1)</f>
        <v>0</v>
      </c>
      <c r="E43" s="143">
        <f>SUMIFS('февраль 2026'!$G$2:$G$2649,'февраль 2026'!$D$2:$D$2649,$B43,'февраль 2026'!$J$2:$J$2649,E$1)</f>
        <v>0</v>
      </c>
      <c r="F43" s="143">
        <f>SUMIFS('февраль 2026'!$G$2:$G$2649,'февраль 2026'!$D$2:$D$2649,$B43,'февраль 2026'!$J$2:$J$2649,F$1)</f>
        <v>0</v>
      </c>
      <c r="G43" s="143">
        <f>SUMIFS('февраль 2026'!$G$2:$G$2649,'февраль 2026'!$D$2:$D$2649,$B43,'февраль 2026'!$J$2:$J$2649,G$1)</f>
        <v>0</v>
      </c>
      <c r="H43" s="143">
        <f>SUMIFS('февраль 2026'!$G$2:$G$2649,'февраль 2026'!$D$2:$D$2649,$B43,'февраль 2026'!$J$2:$J$2649,H$1)</f>
        <v>0</v>
      </c>
      <c r="I43" s="143">
        <f>SUMIFS('февраль 2026'!$G$2:$G$2649,'февраль 2026'!$D$2:$D$2649,$B43,'февраль 2026'!$J$2:$J$2649,I$1)</f>
        <v>0</v>
      </c>
      <c r="J43" s="143">
        <f>SUMIFS('февраль 2026'!$G$2:$G$2649,'февраль 2026'!$D$2:$D$2649,$B43,'февраль 2026'!$J$2:$J$2649,J$1)</f>
        <v>0</v>
      </c>
      <c r="K43" s="143">
        <f>SUMIFS('февраль 2026'!$G$2:$G$2649,'февраль 2026'!$D$2:$D$2649,$B43,'февраль 2026'!$J$2:$J$2649,K$1)</f>
        <v>0</v>
      </c>
      <c r="L43" s="143">
        <f>SUMIFS('февраль 2026'!$G$2:$G$2649,'февраль 2026'!$D$2:$D$2649,$B43,'февраль 2026'!$J$2:$J$2649,L$1)</f>
        <v>0</v>
      </c>
      <c r="M43" s="143">
        <f>SUMIFS('февраль 2026'!$G$2:$G$2649,'февраль 2026'!$D$2:$D$2649,$B43,'февраль 2026'!$J$2:$J$2649,M$1)</f>
        <v>0</v>
      </c>
      <c r="N43" s="143">
        <f>SUMIFS('февраль 2026'!$G$2:$G$2649,'февраль 2026'!$D$2:$D$2649,$B43,'февраль 2026'!$J$2:$J$2649,N$1)</f>
        <v>0</v>
      </c>
      <c r="O43" s="143">
        <f>SUMIFS('февраль 2026'!$G$2:$G$2649,'февраль 2026'!$D$2:$D$2649,$B43,'февраль 2026'!$J$2:$J$2649,O$1)</f>
        <v>0</v>
      </c>
      <c r="P43" s="143">
        <f>SUMIFS('февраль 2026'!$G$2:$G$2649,'февраль 2026'!$D$2:$D$2649,$B43,'февраль 2026'!$J$2:$J$2649,P$1)</f>
        <v>0</v>
      </c>
      <c r="Q43" s="143">
        <f>SUMIFS('февраль 2026'!$G$2:$G$2649,'февраль 2026'!$D$2:$D$2649,$B43,'февраль 2026'!$J$2:$J$2649,Q$1)</f>
        <v>0</v>
      </c>
      <c r="R43" s="143">
        <f>SUMIFS('февраль 2026'!$G$2:$G$2649,'февраль 2026'!$D$2:$D$2649,$B43,'февраль 2026'!$J$2:$J$2649,R$1)</f>
        <v>0</v>
      </c>
      <c r="S43" s="143">
        <f>SUMIFS('февраль 2026'!$G$2:$G$2649,'февраль 2026'!$D$2:$D$2649,$B43,'февраль 2026'!$J$2:$J$2649,S$1)</f>
        <v>0</v>
      </c>
      <c r="T43" s="143">
        <f>SUMIFS('февраль 2026'!$G$2:$G$2649,'февраль 2026'!$D$2:$D$2649,$B43,'февраль 2026'!$J$2:$J$2649,T$1)</f>
        <v>0</v>
      </c>
      <c r="U43" s="143">
        <f>SUMIFS('февраль 2026'!$G$2:$G$2649,'февраль 2026'!$D$2:$D$2649,$B43,'февраль 2026'!$J$2:$J$2649,U$1)</f>
        <v>0</v>
      </c>
      <c r="V43" s="143">
        <f>SUMIFS('февраль 2026'!$G$2:$G$2649,'февраль 2026'!$D$2:$D$2649,$B43,'февраль 2026'!$J$2:$J$2649,V$1)</f>
        <v>0</v>
      </c>
      <c r="W43" s="143">
        <f>SUMIFS('февраль 2026'!$G$2:$G$2649,'февраль 2026'!$D$2:$D$2649,$B43,'февраль 2026'!$J$2:$J$2649,W$1)</f>
        <v>0</v>
      </c>
      <c r="X43" s="143">
        <f>SUMIFS('февраль 2026'!$G$2:$G$2649,'февраль 2026'!$D$2:$D$2649,$B43,'февраль 2026'!$J$2:$J$2649,X$1)</f>
        <v>0</v>
      </c>
      <c r="Y43" s="143">
        <f>SUMIFS('февраль 2026'!$G$2:$G$2649,'февраль 2026'!$D$2:$D$2649,$B43,'февраль 2026'!$J$2:$J$2649,Y$1)</f>
        <v>0</v>
      </c>
      <c r="Z43" s="143">
        <f>SUMIFS('февраль 2026'!$G$2:$G$2649,'февраль 2026'!$D$2:$D$2649,$B43,'февраль 2026'!$J$2:$J$2649,Z$1)</f>
        <v>0</v>
      </c>
      <c r="AA43" s="143">
        <f>SUMIFS('февраль 2026'!$G$2:$G$2649,'февраль 2026'!$D$2:$D$2649,$B43,'февраль 2026'!$J$2:$J$2649,AA$1)</f>
        <v>0</v>
      </c>
      <c r="AB43" s="143">
        <f>SUMIFS('февраль 2026'!$G$2:$G$2649,'февраль 2026'!$D$2:$D$2649,$B43,'февраль 2026'!$J$2:$J$2649,AB$1)</f>
        <v>0</v>
      </c>
      <c r="AC43" s="143">
        <f>SUMIFS('февраль 2026'!$G$2:$G$2649,'февраль 2026'!$D$2:$D$2649,$B43,'февраль 2026'!$J$2:$J$2649,AC$1)</f>
        <v>0</v>
      </c>
      <c r="AD43" s="143">
        <f>SUMIFS('февраль 2026'!$G$2:$G$2649,'февраль 2026'!$D$2:$D$2649,$B43,'февраль 2026'!$J$2:$J$2649,AD$1)</f>
        <v>0</v>
      </c>
      <c r="AE43" s="143">
        <f>SUMIFS('февраль 2026'!$G$2:$G$2649,'февраль 2026'!$D$2:$D$2649,$B43,'февраль 2026'!$J$2:$J$2649,AE$1)</f>
        <v>0</v>
      </c>
      <c r="AF43" s="143">
        <f>SUMIFS('февраль 2026'!$G$2:$G$2649,'февраль 2026'!$D$2:$D$2649,$B43,'февраль 2026'!$J$2:$J$2649,AF$1)</f>
        <v>0</v>
      </c>
      <c r="AG43" s="143">
        <f>SUMIFS('февраль 2026'!$G$2:$G$2649,'февраль 2026'!$D$2:$D$2649,$B43,'февраль 2026'!$J$2:$J$2649,AG$1)</f>
        <v>0</v>
      </c>
      <c r="AH43" s="143">
        <f>SUMIFS('февраль 2026'!$G$2:$G$2649,'февраль 2026'!$D$2:$D$2649,$B43,'февраль 2026'!$J$2:$J$2649,AH$1)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SUMIFS('февраль 2026'!$G$2:$G$2649,'февраль 2026'!$D$2:$D$2649,$B44,'февраль 2026'!$J$2:$J$2649,D$1)</f>
        <v>0</v>
      </c>
      <c r="E44" s="143">
        <f>SUMIFS('февраль 2026'!$G$2:$G$2649,'февраль 2026'!$D$2:$D$2649,$B44,'февраль 2026'!$J$2:$J$2649,E$1)</f>
        <v>0</v>
      </c>
      <c r="F44" s="143">
        <f>SUMIFS('февраль 2026'!$G$2:$G$2649,'февраль 2026'!$D$2:$D$2649,$B44,'февраль 2026'!$J$2:$J$2649,F$1)</f>
        <v>0</v>
      </c>
      <c r="G44" s="143">
        <f>SUMIFS('февраль 2026'!$G$2:$G$2649,'февраль 2026'!$D$2:$D$2649,$B44,'февраль 2026'!$J$2:$J$2649,G$1)</f>
        <v>0</v>
      </c>
      <c r="H44" s="143">
        <f>SUMIFS('февраль 2026'!$G$2:$G$2649,'февраль 2026'!$D$2:$D$2649,$B44,'февраль 2026'!$J$2:$J$2649,H$1)</f>
        <v>0</v>
      </c>
      <c r="I44" s="143">
        <f>SUMIFS('февраль 2026'!$G$2:$G$2649,'февраль 2026'!$D$2:$D$2649,$B44,'февраль 2026'!$J$2:$J$2649,I$1)</f>
        <v>0</v>
      </c>
      <c r="J44" s="143">
        <f>SUMIFS('февраль 2026'!$G$2:$G$2649,'февраль 2026'!$D$2:$D$2649,$B44,'февраль 2026'!$J$2:$J$2649,J$1)</f>
        <v>0</v>
      </c>
      <c r="K44" s="143">
        <f>SUMIFS('февраль 2026'!$G$2:$G$2649,'февраль 2026'!$D$2:$D$2649,$B44,'февраль 2026'!$J$2:$J$2649,K$1)</f>
        <v>0</v>
      </c>
      <c r="L44" s="143">
        <f>SUMIFS('февраль 2026'!$G$2:$G$2649,'февраль 2026'!$D$2:$D$2649,$B44,'февраль 2026'!$J$2:$J$2649,L$1)</f>
        <v>0</v>
      </c>
      <c r="M44" s="143">
        <f>SUMIFS('февраль 2026'!$G$2:$G$2649,'февраль 2026'!$D$2:$D$2649,$B44,'февраль 2026'!$J$2:$J$2649,M$1)</f>
        <v>0</v>
      </c>
      <c r="N44" s="143">
        <f>SUMIFS('февраль 2026'!$G$2:$G$2649,'февраль 2026'!$D$2:$D$2649,$B44,'февраль 2026'!$J$2:$J$2649,N$1)</f>
        <v>0</v>
      </c>
      <c r="O44" s="143">
        <f>SUMIFS('февраль 2026'!$G$2:$G$2649,'февраль 2026'!$D$2:$D$2649,$B44,'февраль 2026'!$J$2:$J$2649,O$1)</f>
        <v>0</v>
      </c>
      <c r="P44" s="143">
        <f>SUMIFS('февраль 2026'!$G$2:$G$2649,'февраль 2026'!$D$2:$D$2649,$B44,'февраль 2026'!$J$2:$J$2649,P$1)</f>
        <v>0</v>
      </c>
      <c r="Q44" s="143">
        <f>SUMIFS('февраль 2026'!$G$2:$G$2649,'февраль 2026'!$D$2:$D$2649,$B44,'февраль 2026'!$J$2:$J$2649,Q$1)</f>
        <v>0</v>
      </c>
      <c r="R44" s="143">
        <f>SUMIFS('февраль 2026'!$G$2:$G$2649,'февраль 2026'!$D$2:$D$2649,$B44,'февраль 2026'!$J$2:$J$2649,R$1)</f>
        <v>0</v>
      </c>
      <c r="S44" s="143">
        <f>SUMIFS('февраль 2026'!$G$2:$G$2649,'февраль 2026'!$D$2:$D$2649,$B44,'февраль 2026'!$J$2:$J$2649,S$1)</f>
        <v>0</v>
      </c>
      <c r="T44" s="143">
        <f>SUMIFS('февраль 2026'!$G$2:$G$2649,'февраль 2026'!$D$2:$D$2649,$B44,'февраль 2026'!$J$2:$J$2649,T$1)</f>
        <v>0</v>
      </c>
      <c r="U44" s="143">
        <f>SUMIFS('февраль 2026'!$G$2:$G$2649,'февраль 2026'!$D$2:$D$2649,$B44,'февраль 2026'!$J$2:$J$2649,U$1)</f>
        <v>0</v>
      </c>
      <c r="V44" s="143">
        <f>SUMIFS('февраль 2026'!$G$2:$G$2649,'февраль 2026'!$D$2:$D$2649,$B44,'февраль 2026'!$J$2:$J$2649,V$1)</f>
        <v>0</v>
      </c>
      <c r="W44" s="143">
        <f>SUMIFS('февраль 2026'!$G$2:$G$2649,'февраль 2026'!$D$2:$D$2649,$B44,'февраль 2026'!$J$2:$J$2649,W$1)</f>
        <v>0</v>
      </c>
      <c r="X44" s="143">
        <f>SUMIFS('февраль 2026'!$G$2:$G$2649,'февраль 2026'!$D$2:$D$2649,$B44,'февраль 2026'!$J$2:$J$2649,X$1)</f>
        <v>0</v>
      </c>
      <c r="Y44" s="143">
        <f>SUMIFS('февраль 2026'!$G$2:$G$2649,'февраль 2026'!$D$2:$D$2649,$B44,'февраль 2026'!$J$2:$J$2649,Y$1)</f>
        <v>0</v>
      </c>
      <c r="Z44" s="143">
        <f>SUMIFS('февраль 2026'!$G$2:$G$2649,'февраль 2026'!$D$2:$D$2649,$B44,'февраль 2026'!$J$2:$J$2649,Z$1)</f>
        <v>0</v>
      </c>
      <c r="AA44" s="143">
        <f>SUMIFS('февраль 2026'!$G$2:$G$2649,'февраль 2026'!$D$2:$D$2649,$B44,'февраль 2026'!$J$2:$J$2649,AA$1)</f>
        <v>0</v>
      </c>
      <c r="AB44" s="143">
        <f>SUMIFS('февраль 2026'!$G$2:$G$2649,'февраль 2026'!$D$2:$D$2649,$B44,'февраль 2026'!$J$2:$J$2649,AB$1)</f>
        <v>0</v>
      </c>
      <c r="AC44" s="143">
        <f>SUMIFS('февраль 2026'!$G$2:$G$2649,'февраль 2026'!$D$2:$D$2649,$B44,'февраль 2026'!$J$2:$J$2649,AC$1)</f>
        <v>0</v>
      </c>
      <c r="AD44" s="143">
        <f>SUMIFS('февраль 2026'!$G$2:$G$2649,'февраль 2026'!$D$2:$D$2649,$B44,'февраль 2026'!$J$2:$J$2649,AD$1)</f>
        <v>0</v>
      </c>
      <c r="AE44" s="143">
        <f>SUMIFS('февраль 2026'!$G$2:$G$2649,'февраль 2026'!$D$2:$D$2649,$B44,'февраль 2026'!$J$2:$J$2649,AE$1)</f>
        <v>0</v>
      </c>
      <c r="AF44" s="143">
        <f>SUMIFS('февраль 2026'!$G$2:$G$2649,'февраль 2026'!$D$2:$D$2649,$B44,'февраль 2026'!$J$2:$J$2649,AF$1)</f>
        <v>0</v>
      </c>
      <c r="AG44" s="143">
        <f>SUMIFS('февраль 2026'!$G$2:$G$2649,'февраль 2026'!$D$2:$D$2649,$B44,'февраль 2026'!$J$2:$J$2649,AG$1)</f>
        <v>0</v>
      </c>
      <c r="AH44" s="143">
        <f>SUMIFS('февраль 2026'!$G$2:$G$2649,'февраль 2026'!$D$2:$D$2649,$B44,'февраль 2026'!$J$2:$J$2649,AH$1)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SUMIFS('февраль 2026'!$G$2:$G$2649,'февраль 2026'!$D$2:$D$2649,$B45,'февраль 2026'!$J$2:$J$2649,D$1)</f>
        <v>0</v>
      </c>
      <c r="E45" s="143">
        <f>SUMIFS('февраль 2026'!$G$2:$G$2649,'февраль 2026'!$D$2:$D$2649,$B45,'февраль 2026'!$J$2:$J$2649,E$1)</f>
        <v>0</v>
      </c>
      <c r="F45" s="143">
        <f>SUMIFS('февраль 2026'!$G$2:$G$2649,'февраль 2026'!$D$2:$D$2649,$B45,'февраль 2026'!$J$2:$J$2649,F$1)</f>
        <v>0</v>
      </c>
      <c r="G45" s="143">
        <f>SUMIFS('февраль 2026'!$G$2:$G$2649,'февраль 2026'!$D$2:$D$2649,$B45,'февраль 2026'!$J$2:$J$2649,G$1)</f>
        <v>0</v>
      </c>
      <c r="H45" s="143">
        <f>SUMIFS('февраль 2026'!$G$2:$G$2649,'февраль 2026'!$D$2:$D$2649,$B45,'февраль 2026'!$J$2:$J$2649,H$1)</f>
        <v>0</v>
      </c>
      <c r="I45" s="143">
        <f>SUMIFS('февраль 2026'!$G$2:$G$2649,'февраль 2026'!$D$2:$D$2649,$B45,'февраль 2026'!$J$2:$J$2649,I$1)</f>
        <v>0</v>
      </c>
      <c r="J45" s="143">
        <f>SUMIFS('февраль 2026'!$G$2:$G$2649,'февраль 2026'!$D$2:$D$2649,$B45,'февраль 2026'!$J$2:$J$2649,J$1)</f>
        <v>0</v>
      </c>
      <c r="K45" s="143">
        <f>SUMIFS('февраль 2026'!$G$2:$G$2649,'февраль 2026'!$D$2:$D$2649,$B45,'февраль 2026'!$J$2:$J$2649,K$1)</f>
        <v>0</v>
      </c>
      <c r="L45" s="143">
        <f>SUMIFS('февраль 2026'!$G$2:$G$2649,'февраль 2026'!$D$2:$D$2649,$B45,'февраль 2026'!$J$2:$J$2649,L$1)</f>
        <v>0</v>
      </c>
      <c r="M45" s="143">
        <f>SUMIFS('февраль 2026'!$G$2:$G$2649,'февраль 2026'!$D$2:$D$2649,$B45,'февраль 2026'!$J$2:$J$2649,M$1)</f>
        <v>0</v>
      </c>
      <c r="N45" s="143">
        <f>SUMIFS('февраль 2026'!$G$2:$G$2649,'февраль 2026'!$D$2:$D$2649,$B45,'февраль 2026'!$J$2:$J$2649,N$1)</f>
        <v>0</v>
      </c>
      <c r="O45" s="143">
        <f>SUMIFS('февраль 2026'!$G$2:$G$2649,'февраль 2026'!$D$2:$D$2649,$B45,'февраль 2026'!$J$2:$J$2649,O$1)</f>
        <v>0</v>
      </c>
      <c r="P45" s="143">
        <f>SUMIFS('февраль 2026'!$G$2:$G$2649,'февраль 2026'!$D$2:$D$2649,$B45,'февраль 2026'!$J$2:$J$2649,P$1)</f>
        <v>0</v>
      </c>
      <c r="Q45" s="143">
        <f>SUMIFS('февраль 2026'!$G$2:$G$2649,'февраль 2026'!$D$2:$D$2649,$B45,'февраль 2026'!$J$2:$J$2649,Q$1)</f>
        <v>0</v>
      </c>
      <c r="R45" s="143">
        <f>SUMIFS('февраль 2026'!$G$2:$G$2649,'февраль 2026'!$D$2:$D$2649,$B45,'февраль 2026'!$J$2:$J$2649,R$1)</f>
        <v>0</v>
      </c>
      <c r="S45" s="143">
        <f>SUMIFS('февраль 2026'!$G$2:$G$2649,'февраль 2026'!$D$2:$D$2649,$B45,'февраль 2026'!$J$2:$J$2649,S$1)</f>
        <v>0</v>
      </c>
      <c r="T45" s="143">
        <f>SUMIFS('февраль 2026'!$G$2:$G$2649,'февраль 2026'!$D$2:$D$2649,$B45,'февраль 2026'!$J$2:$J$2649,T$1)</f>
        <v>0</v>
      </c>
      <c r="U45" s="143">
        <f>SUMIFS('февраль 2026'!$G$2:$G$2649,'февраль 2026'!$D$2:$D$2649,$B45,'февраль 2026'!$J$2:$J$2649,U$1)</f>
        <v>0</v>
      </c>
      <c r="V45" s="143">
        <f>SUMIFS('февраль 2026'!$G$2:$G$2649,'февраль 2026'!$D$2:$D$2649,$B45,'февраль 2026'!$J$2:$J$2649,V$1)</f>
        <v>0</v>
      </c>
      <c r="W45" s="143">
        <f>SUMIFS('февраль 2026'!$G$2:$G$2649,'февраль 2026'!$D$2:$D$2649,$B45,'февраль 2026'!$J$2:$J$2649,W$1)</f>
        <v>0</v>
      </c>
      <c r="X45" s="143">
        <f>SUMIFS('февраль 2026'!$G$2:$G$2649,'февраль 2026'!$D$2:$D$2649,$B45,'февраль 2026'!$J$2:$J$2649,X$1)</f>
        <v>0</v>
      </c>
      <c r="Y45" s="143">
        <f>SUMIFS('февраль 2026'!$G$2:$G$2649,'февраль 2026'!$D$2:$D$2649,$B45,'февраль 2026'!$J$2:$J$2649,Y$1)</f>
        <v>0</v>
      </c>
      <c r="Z45" s="143">
        <f>SUMIFS('февраль 2026'!$G$2:$G$2649,'февраль 2026'!$D$2:$D$2649,$B45,'февраль 2026'!$J$2:$J$2649,Z$1)</f>
        <v>0</v>
      </c>
      <c r="AA45" s="143">
        <f>SUMIFS('февраль 2026'!$G$2:$G$2649,'февраль 2026'!$D$2:$D$2649,$B45,'февраль 2026'!$J$2:$J$2649,AA$1)</f>
        <v>0</v>
      </c>
      <c r="AB45" s="143">
        <f>SUMIFS('февраль 2026'!$G$2:$G$2649,'февраль 2026'!$D$2:$D$2649,$B45,'февраль 2026'!$J$2:$J$2649,AB$1)</f>
        <v>0</v>
      </c>
      <c r="AC45" s="143">
        <f>SUMIFS('февраль 2026'!$G$2:$G$2649,'февраль 2026'!$D$2:$D$2649,$B45,'февраль 2026'!$J$2:$J$2649,AC$1)</f>
        <v>0</v>
      </c>
      <c r="AD45" s="143">
        <f>SUMIFS('февраль 2026'!$G$2:$G$2649,'февраль 2026'!$D$2:$D$2649,$B45,'февраль 2026'!$J$2:$J$2649,AD$1)</f>
        <v>0</v>
      </c>
      <c r="AE45" s="143">
        <f>SUMIFS('февраль 2026'!$G$2:$G$2649,'февраль 2026'!$D$2:$D$2649,$B45,'февраль 2026'!$J$2:$J$2649,AE$1)</f>
        <v>0</v>
      </c>
      <c r="AF45" s="143">
        <f>SUMIFS('февраль 2026'!$G$2:$G$2649,'февраль 2026'!$D$2:$D$2649,$B45,'февраль 2026'!$J$2:$J$2649,AF$1)</f>
        <v>0</v>
      </c>
      <c r="AG45" s="143">
        <f>SUMIFS('февраль 2026'!$G$2:$G$2649,'февраль 2026'!$D$2:$D$2649,$B45,'февраль 2026'!$J$2:$J$2649,AG$1)</f>
        <v>0</v>
      </c>
      <c r="AH45" s="143">
        <f>SUMIFS('февраль 2026'!$G$2:$G$2649,'февраль 2026'!$D$2:$D$2649,$B45,'февраль 2026'!$J$2:$J$2649,AH$1)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SUMIFS('февраль 2026'!$G$2:$G$2649,'февраль 2026'!$D$2:$D$2649,$B46,'февраль 2026'!$J$2:$J$2649,D$1)</f>
        <v>0</v>
      </c>
      <c r="E46" s="143">
        <f>SUMIFS('февраль 2026'!$G$2:$G$2649,'февраль 2026'!$D$2:$D$2649,$B46,'февраль 2026'!$J$2:$J$2649,E$1)</f>
        <v>0</v>
      </c>
      <c r="F46" s="143">
        <f>SUMIFS('февраль 2026'!$G$2:$G$2649,'февраль 2026'!$D$2:$D$2649,$B46,'февраль 2026'!$J$2:$J$2649,F$1)</f>
        <v>0</v>
      </c>
      <c r="G46" s="143">
        <f>SUMIFS('февраль 2026'!$G$2:$G$2649,'февраль 2026'!$D$2:$D$2649,$B46,'февраль 2026'!$J$2:$J$2649,G$1)</f>
        <v>0</v>
      </c>
      <c r="H46" s="143">
        <f>SUMIFS('февраль 2026'!$G$2:$G$2649,'февраль 2026'!$D$2:$D$2649,$B46,'февраль 2026'!$J$2:$J$2649,H$1)</f>
        <v>0</v>
      </c>
      <c r="I46" s="143">
        <f>SUMIFS('февраль 2026'!$G$2:$G$2649,'февраль 2026'!$D$2:$D$2649,$B46,'февраль 2026'!$J$2:$J$2649,I$1)</f>
        <v>0</v>
      </c>
      <c r="J46" s="143">
        <f>SUMIFS('февраль 2026'!$G$2:$G$2649,'февраль 2026'!$D$2:$D$2649,$B46,'февраль 2026'!$J$2:$J$2649,J$1)</f>
        <v>0</v>
      </c>
      <c r="K46" s="143">
        <f>SUMIFS('февраль 2026'!$G$2:$G$2649,'февраль 2026'!$D$2:$D$2649,$B46,'февраль 2026'!$J$2:$J$2649,K$1)</f>
        <v>0</v>
      </c>
      <c r="L46" s="143">
        <f>SUMIFS('февраль 2026'!$G$2:$G$2649,'февраль 2026'!$D$2:$D$2649,$B46,'февраль 2026'!$J$2:$J$2649,L$1)</f>
        <v>0</v>
      </c>
      <c r="M46" s="143">
        <f>SUMIFS('февраль 2026'!$G$2:$G$2649,'февраль 2026'!$D$2:$D$2649,$B46,'февраль 2026'!$J$2:$J$2649,M$1)</f>
        <v>0</v>
      </c>
      <c r="N46" s="143">
        <f>SUMIFS('февраль 2026'!$G$2:$G$2649,'февраль 2026'!$D$2:$D$2649,$B46,'февраль 2026'!$J$2:$J$2649,N$1)</f>
        <v>0</v>
      </c>
      <c r="O46" s="143">
        <f>SUMIFS('февраль 2026'!$G$2:$G$2649,'февраль 2026'!$D$2:$D$2649,$B46,'февраль 2026'!$J$2:$J$2649,O$1)</f>
        <v>0</v>
      </c>
      <c r="P46" s="143">
        <f>SUMIFS('февраль 2026'!$G$2:$G$2649,'февраль 2026'!$D$2:$D$2649,$B46,'февраль 2026'!$J$2:$J$2649,P$1)</f>
        <v>0</v>
      </c>
      <c r="Q46" s="143">
        <f>SUMIFS('февраль 2026'!$G$2:$G$2649,'февраль 2026'!$D$2:$D$2649,$B46,'февраль 2026'!$J$2:$J$2649,Q$1)</f>
        <v>0</v>
      </c>
      <c r="R46" s="143">
        <f>SUMIFS('февраль 2026'!$G$2:$G$2649,'февраль 2026'!$D$2:$D$2649,$B46,'февраль 2026'!$J$2:$J$2649,R$1)</f>
        <v>0</v>
      </c>
      <c r="S46" s="143">
        <f>SUMIFS('февраль 2026'!$G$2:$G$2649,'февраль 2026'!$D$2:$D$2649,$B46,'февраль 2026'!$J$2:$J$2649,S$1)</f>
        <v>0</v>
      </c>
      <c r="T46" s="143">
        <f>SUMIFS('февраль 2026'!$G$2:$G$2649,'февраль 2026'!$D$2:$D$2649,$B46,'февраль 2026'!$J$2:$J$2649,T$1)</f>
        <v>0</v>
      </c>
      <c r="U46" s="143">
        <f>SUMIFS('февраль 2026'!$G$2:$G$2649,'февраль 2026'!$D$2:$D$2649,$B46,'февраль 2026'!$J$2:$J$2649,U$1)</f>
        <v>0</v>
      </c>
      <c r="V46" s="143">
        <f>SUMIFS('февраль 2026'!$G$2:$G$2649,'февраль 2026'!$D$2:$D$2649,$B46,'февраль 2026'!$J$2:$J$2649,V$1)</f>
        <v>0</v>
      </c>
      <c r="W46" s="143">
        <f>SUMIFS('февраль 2026'!$G$2:$G$2649,'февраль 2026'!$D$2:$D$2649,$B46,'февраль 2026'!$J$2:$J$2649,W$1)</f>
        <v>0</v>
      </c>
      <c r="X46" s="143">
        <f>SUMIFS('февраль 2026'!$G$2:$G$2649,'февраль 2026'!$D$2:$D$2649,$B46,'февраль 2026'!$J$2:$J$2649,X$1)</f>
        <v>0</v>
      </c>
      <c r="Y46" s="143">
        <f>SUMIFS('февраль 2026'!$G$2:$G$2649,'февраль 2026'!$D$2:$D$2649,$B46,'февраль 2026'!$J$2:$J$2649,Y$1)</f>
        <v>0</v>
      </c>
      <c r="Z46" s="143">
        <f>SUMIFS('февраль 2026'!$G$2:$G$2649,'февраль 2026'!$D$2:$D$2649,$B46,'февраль 2026'!$J$2:$J$2649,Z$1)</f>
        <v>0</v>
      </c>
      <c r="AA46" s="143">
        <f>SUMIFS('февраль 2026'!$G$2:$G$2649,'февраль 2026'!$D$2:$D$2649,$B46,'февраль 2026'!$J$2:$J$2649,AA$1)</f>
        <v>0</v>
      </c>
      <c r="AB46" s="143">
        <f>SUMIFS('февраль 2026'!$G$2:$G$2649,'февраль 2026'!$D$2:$D$2649,$B46,'февраль 2026'!$J$2:$J$2649,AB$1)</f>
        <v>0</v>
      </c>
      <c r="AC46" s="143">
        <f>SUMIFS('февраль 2026'!$G$2:$G$2649,'февраль 2026'!$D$2:$D$2649,$B46,'февраль 2026'!$J$2:$J$2649,AC$1)</f>
        <v>0</v>
      </c>
      <c r="AD46" s="143">
        <f>SUMIFS('февраль 2026'!$G$2:$G$2649,'февраль 2026'!$D$2:$D$2649,$B46,'февраль 2026'!$J$2:$J$2649,AD$1)</f>
        <v>0</v>
      </c>
      <c r="AE46" s="143">
        <f>SUMIFS('февраль 2026'!$G$2:$G$2649,'февраль 2026'!$D$2:$D$2649,$B46,'февраль 2026'!$J$2:$J$2649,AE$1)</f>
        <v>0</v>
      </c>
      <c r="AF46" s="143">
        <f>SUMIFS('февраль 2026'!$G$2:$G$2649,'февраль 2026'!$D$2:$D$2649,$B46,'февраль 2026'!$J$2:$J$2649,AF$1)</f>
        <v>0</v>
      </c>
      <c r="AG46" s="143">
        <f>SUMIFS('февраль 2026'!$G$2:$G$2649,'февраль 2026'!$D$2:$D$2649,$B46,'февраль 2026'!$J$2:$J$2649,AG$1)</f>
        <v>0</v>
      </c>
      <c r="AH46" s="143">
        <f>SUMIFS('февраль 2026'!$G$2:$G$2649,'февраль 2026'!$D$2:$D$2649,$B46,'февраль 2026'!$J$2:$J$2649,AH$1)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SUMIFS('февраль 2026'!$G$2:$G$2649,'февраль 2026'!$D$2:$D$2649,$B47,'февраль 2026'!$J$2:$J$2649,D$1)</f>
        <v>0</v>
      </c>
      <c r="E47" s="143">
        <f>SUMIFS('февраль 2026'!$G$2:$G$2649,'февраль 2026'!$D$2:$D$2649,$B47,'февраль 2026'!$J$2:$J$2649,E$1)</f>
        <v>0</v>
      </c>
      <c r="F47" s="143">
        <f>SUMIFS('февраль 2026'!$G$2:$G$2649,'февраль 2026'!$D$2:$D$2649,$B47,'февраль 2026'!$J$2:$J$2649,F$1)</f>
        <v>0</v>
      </c>
      <c r="G47" s="143">
        <f>SUMIFS('февраль 2026'!$G$2:$G$2649,'февраль 2026'!$D$2:$D$2649,$B47,'февраль 2026'!$J$2:$J$2649,G$1)</f>
        <v>0</v>
      </c>
      <c r="H47" s="143">
        <f>SUMIFS('февраль 2026'!$G$2:$G$2649,'февраль 2026'!$D$2:$D$2649,$B47,'февраль 2026'!$J$2:$J$2649,H$1)</f>
        <v>0</v>
      </c>
      <c r="I47" s="143">
        <f>SUMIFS('февраль 2026'!$G$2:$G$2649,'февраль 2026'!$D$2:$D$2649,$B47,'февраль 2026'!$J$2:$J$2649,I$1)</f>
        <v>0</v>
      </c>
      <c r="J47" s="143">
        <f>SUMIFS('февраль 2026'!$G$2:$G$2649,'февраль 2026'!$D$2:$D$2649,$B47,'февраль 2026'!$J$2:$J$2649,J$1)</f>
        <v>0</v>
      </c>
      <c r="K47" s="143">
        <f>SUMIFS('февраль 2026'!$G$2:$G$2649,'февраль 2026'!$D$2:$D$2649,$B47,'февраль 2026'!$J$2:$J$2649,K$1)</f>
        <v>0</v>
      </c>
      <c r="L47" s="143">
        <f>SUMIFS('февраль 2026'!$G$2:$G$2649,'февраль 2026'!$D$2:$D$2649,$B47,'февраль 2026'!$J$2:$J$2649,L$1)</f>
        <v>0</v>
      </c>
      <c r="M47" s="143">
        <f>SUMIFS('февраль 2026'!$G$2:$G$2649,'февраль 2026'!$D$2:$D$2649,$B47,'февраль 2026'!$J$2:$J$2649,M$1)</f>
        <v>0</v>
      </c>
      <c r="N47" s="143">
        <f>SUMIFS('февраль 2026'!$G$2:$G$2649,'февраль 2026'!$D$2:$D$2649,$B47,'февраль 2026'!$J$2:$J$2649,N$1)</f>
        <v>0</v>
      </c>
      <c r="O47" s="143">
        <f>SUMIFS('февраль 2026'!$G$2:$G$2649,'февраль 2026'!$D$2:$D$2649,$B47,'февраль 2026'!$J$2:$J$2649,O$1)</f>
        <v>0</v>
      </c>
      <c r="P47" s="143">
        <f>SUMIFS('февраль 2026'!$G$2:$G$2649,'февраль 2026'!$D$2:$D$2649,$B47,'февраль 2026'!$J$2:$J$2649,P$1)</f>
        <v>0</v>
      </c>
      <c r="Q47" s="143">
        <f>SUMIFS('февраль 2026'!$G$2:$G$2649,'февраль 2026'!$D$2:$D$2649,$B47,'февраль 2026'!$J$2:$J$2649,Q$1)</f>
        <v>0</v>
      </c>
      <c r="R47" s="143">
        <f>SUMIFS('февраль 2026'!$G$2:$G$2649,'февраль 2026'!$D$2:$D$2649,$B47,'февраль 2026'!$J$2:$J$2649,R$1)</f>
        <v>0</v>
      </c>
      <c r="S47" s="143">
        <f>SUMIFS('февраль 2026'!$G$2:$G$2649,'февраль 2026'!$D$2:$D$2649,$B47,'февраль 2026'!$J$2:$J$2649,S$1)</f>
        <v>0</v>
      </c>
      <c r="T47" s="143">
        <f>SUMIFS('февраль 2026'!$G$2:$G$2649,'февраль 2026'!$D$2:$D$2649,$B47,'февраль 2026'!$J$2:$J$2649,T$1)</f>
        <v>0</v>
      </c>
      <c r="U47" s="143">
        <f>SUMIFS('февраль 2026'!$G$2:$G$2649,'февраль 2026'!$D$2:$D$2649,$B47,'февраль 2026'!$J$2:$J$2649,U$1)</f>
        <v>0</v>
      </c>
      <c r="V47" s="143">
        <f>SUMIFS('февраль 2026'!$G$2:$G$2649,'февраль 2026'!$D$2:$D$2649,$B47,'февраль 2026'!$J$2:$J$2649,V$1)</f>
        <v>0</v>
      </c>
      <c r="W47" s="143">
        <f>SUMIFS('февраль 2026'!$G$2:$G$2649,'февраль 2026'!$D$2:$D$2649,$B47,'февраль 2026'!$J$2:$J$2649,W$1)</f>
        <v>0</v>
      </c>
      <c r="X47" s="143">
        <f>SUMIFS('февраль 2026'!$G$2:$G$2649,'февраль 2026'!$D$2:$D$2649,$B47,'февраль 2026'!$J$2:$J$2649,X$1)</f>
        <v>0</v>
      </c>
      <c r="Y47" s="143">
        <f>SUMIFS('февраль 2026'!$G$2:$G$2649,'февраль 2026'!$D$2:$D$2649,$B47,'февраль 2026'!$J$2:$J$2649,Y$1)</f>
        <v>0</v>
      </c>
      <c r="Z47" s="143">
        <f>SUMIFS('февраль 2026'!$G$2:$G$2649,'февраль 2026'!$D$2:$D$2649,$B47,'февраль 2026'!$J$2:$J$2649,Z$1)</f>
        <v>0</v>
      </c>
      <c r="AA47" s="143">
        <f>SUMIFS('февраль 2026'!$G$2:$G$2649,'февраль 2026'!$D$2:$D$2649,$B47,'февраль 2026'!$J$2:$J$2649,AA$1)</f>
        <v>0</v>
      </c>
      <c r="AB47" s="143">
        <f>SUMIFS('февраль 2026'!$G$2:$G$2649,'февраль 2026'!$D$2:$D$2649,$B47,'февраль 2026'!$J$2:$J$2649,AB$1)</f>
        <v>0</v>
      </c>
      <c r="AC47" s="143">
        <f>SUMIFS('февраль 2026'!$G$2:$G$2649,'февраль 2026'!$D$2:$D$2649,$B47,'февраль 2026'!$J$2:$J$2649,AC$1)</f>
        <v>0</v>
      </c>
      <c r="AD47" s="143">
        <f>SUMIFS('февраль 2026'!$G$2:$G$2649,'февраль 2026'!$D$2:$D$2649,$B47,'февраль 2026'!$J$2:$J$2649,AD$1)</f>
        <v>0</v>
      </c>
      <c r="AE47" s="143">
        <f>SUMIFS('февраль 2026'!$G$2:$G$2649,'февраль 2026'!$D$2:$D$2649,$B47,'февраль 2026'!$J$2:$J$2649,AE$1)</f>
        <v>0</v>
      </c>
      <c r="AF47" s="143">
        <f>SUMIFS('февраль 2026'!$G$2:$G$2649,'февраль 2026'!$D$2:$D$2649,$B47,'февраль 2026'!$J$2:$J$2649,AF$1)</f>
        <v>0</v>
      </c>
      <c r="AG47" s="143">
        <f>SUMIFS('февраль 2026'!$G$2:$G$2649,'февраль 2026'!$D$2:$D$2649,$B47,'февраль 2026'!$J$2:$J$2649,AG$1)</f>
        <v>0</v>
      </c>
      <c r="AH47" s="143">
        <f>SUMIFS('февраль 2026'!$G$2:$G$2649,'февраль 2026'!$D$2:$D$2649,$B47,'февраль 2026'!$J$2:$J$2649,AH$1)</f>
        <v>0</v>
      </c>
      <c r="AI47" s="20">
        <f t="shared" si="1"/>
        <v>0</v>
      </c>
    </row>
    <row r="48" spans="2:35" ht="15" customHeight="1" x14ac:dyDescent="0.25">
      <c r="B48" s="126" t="s">
        <v>372</v>
      </c>
      <c r="C48" s="123">
        <v>25</v>
      </c>
      <c r="D48" s="143">
        <f>SUMIFS('февраль 2026'!$G$2:$G$2649,'февраль 2026'!$D$2:$D$2649,$B48,'февраль 2026'!$J$2:$J$2649,D$1)</f>
        <v>0</v>
      </c>
      <c r="E48" s="143">
        <f>SUMIFS('февраль 2026'!$G$2:$G$2649,'февраль 2026'!$D$2:$D$2649,$B48,'февраль 2026'!$J$2:$J$2649,E$1)</f>
        <v>0</v>
      </c>
      <c r="F48" s="143">
        <f>SUMIFS('февраль 2026'!$G$2:$G$2649,'февраль 2026'!$D$2:$D$2649,$B48,'февраль 2026'!$J$2:$J$2649,F$1)</f>
        <v>0</v>
      </c>
      <c r="G48" s="143">
        <f>SUMIFS('февраль 2026'!$G$2:$G$2649,'февраль 2026'!$D$2:$D$2649,$B48,'февраль 2026'!$J$2:$J$2649,G$1)</f>
        <v>0</v>
      </c>
      <c r="H48" s="143">
        <f>SUMIFS('февраль 2026'!$G$2:$G$2649,'февраль 2026'!$D$2:$D$2649,$B48,'февраль 2026'!$J$2:$J$2649,H$1)</f>
        <v>0</v>
      </c>
      <c r="I48" s="143">
        <f>SUMIFS('февраль 2026'!$G$2:$G$2649,'февраль 2026'!$D$2:$D$2649,$B48,'февраль 2026'!$J$2:$J$2649,I$1)</f>
        <v>0</v>
      </c>
      <c r="J48" s="143">
        <f>SUMIFS('февраль 2026'!$G$2:$G$2649,'февраль 2026'!$D$2:$D$2649,$B48,'февраль 2026'!$J$2:$J$2649,J$1)</f>
        <v>0</v>
      </c>
      <c r="K48" s="143">
        <f>SUMIFS('февраль 2026'!$G$2:$G$2649,'февраль 2026'!$D$2:$D$2649,$B48,'февраль 2026'!$J$2:$J$2649,K$1)</f>
        <v>0</v>
      </c>
      <c r="L48" s="143">
        <f>SUMIFS('февраль 2026'!$G$2:$G$2649,'февраль 2026'!$D$2:$D$2649,$B48,'февраль 2026'!$J$2:$J$2649,L$1)</f>
        <v>0</v>
      </c>
      <c r="M48" s="143">
        <f>SUMIFS('февраль 2026'!$G$2:$G$2649,'февраль 2026'!$D$2:$D$2649,$B48,'февраль 2026'!$J$2:$J$2649,M$1)</f>
        <v>0</v>
      </c>
      <c r="N48" s="143">
        <f>SUMIFS('февраль 2026'!$G$2:$G$2649,'февраль 2026'!$D$2:$D$2649,$B48,'февраль 2026'!$J$2:$J$2649,N$1)</f>
        <v>0</v>
      </c>
      <c r="O48" s="143">
        <f>SUMIFS('февраль 2026'!$G$2:$G$2649,'февраль 2026'!$D$2:$D$2649,$B48,'февраль 2026'!$J$2:$J$2649,O$1)</f>
        <v>0</v>
      </c>
      <c r="P48" s="143">
        <f>SUMIFS('февраль 2026'!$G$2:$G$2649,'февраль 2026'!$D$2:$D$2649,$B48,'февраль 2026'!$J$2:$J$2649,P$1)</f>
        <v>0</v>
      </c>
      <c r="Q48" s="143">
        <f>SUMIFS('февраль 2026'!$G$2:$G$2649,'февраль 2026'!$D$2:$D$2649,$B48,'февраль 2026'!$J$2:$J$2649,Q$1)</f>
        <v>0</v>
      </c>
      <c r="R48" s="143">
        <f>SUMIFS('февраль 2026'!$G$2:$G$2649,'февраль 2026'!$D$2:$D$2649,$B48,'февраль 2026'!$J$2:$J$2649,R$1)</f>
        <v>0</v>
      </c>
      <c r="S48" s="143">
        <f>SUMIFS('февраль 2026'!$G$2:$G$2649,'февраль 2026'!$D$2:$D$2649,$B48,'февраль 2026'!$J$2:$J$2649,S$1)</f>
        <v>0</v>
      </c>
      <c r="T48" s="143">
        <f>SUMIFS('февраль 2026'!$G$2:$G$2649,'февраль 2026'!$D$2:$D$2649,$B48,'февраль 2026'!$J$2:$J$2649,T$1)</f>
        <v>0</v>
      </c>
      <c r="U48" s="143">
        <f>SUMIFS('февраль 2026'!$G$2:$G$2649,'февраль 2026'!$D$2:$D$2649,$B48,'февраль 2026'!$J$2:$J$2649,U$1)</f>
        <v>0</v>
      </c>
      <c r="V48" s="143">
        <f>SUMIFS('февраль 2026'!$G$2:$G$2649,'февраль 2026'!$D$2:$D$2649,$B48,'февраль 2026'!$J$2:$J$2649,V$1)</f>
        <v>0</v>
      </c>
      <c r="W48" s="143">
        <f>SUMIFS('февраль 2026'!$G$2:$G$2649,'февраль 2026'!$D$2:$D$2649,$B48,'февраль 2026'!$J$2:$J$2649,W$1)</f>
        <v>0</v>
      </c>
      <c r="X48" s="143">
        <f>SUMIFS('февраль 2026'!$G$2:$G$2649,'февраль 2026'!$D$2:$D$2649,$B48,'февраль 2026'!$J$2:$J$2649,X$1)</f>
        <v>0</v>
      </c>
      <c r="Y48" s="143">
        <f>SUMIFS('февраль 2026'!$G$2:$G$2649,'февраль 2026'!$D$2:$D$2649,$B48,'февраль 2026'!$J$2:$J$2649,Y$1)</f>
        <v>0</v>
      </c>
      <c r="Z48" s="143">
        <f>SUMIFS('февраль 2026'!$G$2:$G$2649,'февраль 2026'!$D$2:$D$2649,$B48,'февраль 2026'!$J$2:$J$2649,Z$1)</f>
        <v>0</v>
      </c>
      <c r="AA48" s="143">
        <f>SUMIFS('февраль 2026'!$G$2:$G$2649,'февраль 2026'!$D$2:$D$2649,$B48,'февраль 2026'!$J$2:$J$2649,AA$1)</f>
        <v>0</v>
      </c>
      <c r="AB48" s="143">
        <f>SUMIFS('февраль 2026'!$G$2:$G$2649,'февраль 2026'!$D$2:$D$2649,$B48,'февраль 2026'!$J$2:$J$2649,AB$1)</f>
        <v>0</v>
      </c>
      <c r="AC48" s="143">
        <f>SUMIFS('февраль 2026'!$G$2:$G$2649,'февраль 2026'!$D$2:$D$2649,$B48,'февраль 2026'!$J$2:$J$2649,AC$1)</f>
        <v>0</v>
      </c>
      <c r="AD48" s="143">
        <f>SUMIFS('февраль 2026'!$G$2:$G$2649,'февраль 2026'!$D$2:$D$2649,$B48,'февраль 2026'!$J$2:$J$2649,AD$1)</f>
        <v>0</v>
      </c>
      <c r="AE48" s="143">
        <f>SUMIFS('февраль 2026'!$G$2:$G$2649,'февраль 2026'!$D$2:$D$2649,$B48,'февраль 2026'!$J$2:$J$2649,AE$1)</f>
        <v>0</v>
      </c>
      <c r="AF48" s="143">
        <f>SUMIFS('февраль 2026'!$G$2:$G$2649,'февраль 2026'!$D$2:$D$2649,$B48,'февраль 2026'!$J$2:$J$2649,AF$1)</f>
        <v>0</v>
      </c>
      <c r="AG48" s="143">
        <f>SUMIFS('февраль 2026'!$G$2:$G$2649,'февраль 2026'!$D$2:$D$2649,$B48,'февраль 2026'!$J$2:$J$2649,AG$1)</f>
        <v>0</v>
      </c>
      <c r="AH48" s="143">
        <f>SUMIFS('февраль 2026'!$G$2:$G$2649,'февраль 2026'!$D$2:$D$2649,$B48,'февраль 2026'!$J$2:$J$2649,AH$1)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SUMIFS('февраль 2026'!$G$2:$G$2649,'февраль 2026'!$D$2:$D$2649,$B49,'февраль 2026'!$J$2:$J$2649,D$1)</f>
        <v>0</v>
      </c>
      <c r="E49" s="143">
        <f>SUMIFS('февраль 2026'!$G$2:$G$2649,'февраль 2026'!$D$2:$D$2649,$B49,'февраль 2026'!$J$2:$J$2649,E$1)</f>
        <v>0</v>
      </c>
      <c r="F49" s="143">
        <f>SUMIFS('февраль 2026'!$G$2:$G$2649,'февраль 2026'!$D$2:$D$2649,$B49,'февраль 2026'!$J$2:$J$2649,F$1)</f>
        <v>0</v>
      </c>
      <c r="G49" s="143">
        <f>SUMIFS('февраль 2026'!$G$2:$G$2649,'февраль 2026'!$D$2:$D$2649,$B49,'февраль 2026'!$J$2:$J$2649,G$1)</f>
        <v>0</v>
      </c>
      <c r="H49" s="143">
        <f>SUMIFS('февраль 2026'!$G$2:$G$2649,'февраль 2026'!$D$2:$D$2649,$B49,'февраль 2026'!$J$2:$J$2649,H$1)</f>
        <v>0</v>
      </c>
      <c r="I49" s="143">
        <f>SUMIFS('февраль 2026'!$G$2:$G$2649,'февраль 2026'!$D$2:$D$2649,$B49,'февраль 2026'!$J$2:$J$2649,I$1)</f>
        <v>0</v>
      </c>
      <c r="J49" s="143">
        <f>SUMIFS('февраль 2026'!$G$2:$G$2649,'февраль 2026'!$D$2:$D$2649,$B49,'февраль 2026'!$J$2:$J$2649,J$1)</f>
        <v>0</v>
      </c>
      <c r="K49" s="143">
        <f>SUMIFS('февраль 2026'!$G$2:$G$2649,'февраль 2026'!$D$2:$D$2649,$B49,'февраль 2026'!$J$2:$J$2649,K$1)</f>
        <v>0</v>
      </c>
      <c r="L49" s="143">
        <f>SUMIFS('февраль 2026'!$G$2:$G$2649,'февраль 2026'!$D$2:$D$2649,$B49,'февраль 2026'!$J$2:$J$2649,L$1)</f>
        <v>0</v>
      </c>
      <c r="M49" s="143">
        <f>SUMIFS('февраль 2026'!$G$2:$G$2649,'февраль 2026'!$D$2:$D$2649,$B49,'февраль 2026'!$J$2:$J$2649,M$1)</f>
        <v>0</v>
      </c>
      <c r="N49" s="143">
        <f>SUMIFS('февраль 2026'!$G$2:$G$2649,'февраль 2026'!$D$2:$D$2649,$B49,'февраль 2026'!$J$2:$J$2649,N$1)</f>
        <v>0</v>
      </c>
      <c r="O49" s="143">
        <f>SUMIFS('февраль 2026'!$G$2:$G$2649,'февраль 2026'!$D$2:$D$2649,$B49,'февраль 2026'!$J$2:$J$2649,O$1)</f>
        <v>0</v>
      </c>
      <c r="P49" s="143">
        <f>SUMIFS('февраль 2026'!$G$2:$G$2649,'февраль 2026'!$D$2:$D$2649,$B49,'февраль 2026'!$J$2:$J$2649,P$1)</f>
        <v>0</v>
      </c>
      <c r="Q49" s="143">
        <f>SUMIFS('февраль 2026'!$G$2:$G$2649,'февраль 2026'!$D$2:$D$2649,$B49,'февраль 2026'!$J$2:$J$2649,Q$1)</f>
        <v>0</v>
      </c>
      <c r="R49" s="143">
        <f>SUMIFS('февраль 2026'!$G$2:$G$2649,'февраль 2026'!$D$2:$D$2649,$B49,'февраль 2026'!$J$2:$J$2649,R$1)</f>
        <v>0</v>
      </c>
      <c r="S49" s="143">
        <f>SUMIFS('февраль 2026'!$G$2:$G$2649,'февраль 2026'!$D$2:$D$2649,$B49,'февраль 2026'!$J$2:$J$2649,S$1)</f>
        <v>0</v>
      </c>
      <c r="T49" s="143">
        <f>SUMIFS('февраль 2026'!$G$2:$G$2649,'февраль 2026'!$D$2:$D$2649,$B49,'февраль 2026'!$J$2:$J$2649,T$1)</f>
        <v>0</v>
      </c>
      <c r="U49" s="143">
        <f>SUMIFS('февраль 2026'!$G$2:$G$2649,'февраль 2026'!$D$2:$D$2649,$B49,'февраль 2026'!$J$2:$J$2649,U$1)</f>
        <v>0</v>
      </c>
      <c r="V49" s="143">
        <f>SUMIFS('февраль 2026'!$G$2:$G$2649,'февраль 2026'!$D$2:$D$2649,$B49,'февраль 2026'!$J$2:$J$2649,V$1)</f>
        <v>0</v>
      </c>
      <c r="W49" s="143">
        <f>SUMIFS('февраль 2026'!$G$2:$G$2649,'февраль 2026'!$D$2:$D$2649,$B49,'февраль 2026'!$J$2:$J$2649,W$1)</f>
        <v>0</v>
      </c>
      <c r="X49" s="143">
        <f>SUMIFS('февраль 2026'!$G$2:$G$2649,'февраль 2026'!$D$2:$D$2649,$B49,'февраль 2026'!$J$2:$J$2649,X$1)</f>
        <v>0</v>
      </c>
      <c r="Y49" s="143">
        <f>SUMIFS('февраль 2026'!$G$2:$G$2649,'февраль 2026'!$D$2:$D$2649,$B49,'февраль 2026'!$J$2:$J$2649,Y$1)</f>
        <v>0</v>
      </c>
      <c r="Z49" s="143">
        <f>SUMIFS('февраль 2026'!$G$2:$G$2649,'февраль 2026'!$D$2:$D$2649,$B49,'февраль 2026'!$J$2:$J$2649,Z$1)</f>
        <v>0</v>
      </c>
      <c r="AA49" s="143">
        <f>SUMIFS('февраль 2026'!$G$2:$G$2649,'февраль 2026'!$D$2:$D$2649,$B49,'февраль 2026'!$J$2:$J$2649,AA$1)</f>
        <v>0</v>
      </c>
      <c r="AB49" s="143">
        <f>SUMIFS('февраль 2026'!$G$2:$G$2649,'февраль 2026'!$D$2:$D$2649,$B49,'февраль 2026'!$J$2:$J$2649,AB$1)</f>
        <v>0</v>
      </c>
      <c r="AC49" s="143">
        <f>SUMIFS('февраль 2026'!$G$2:$G$2649,'февраль 2026'!$D$2:$D$2649,$B49,'февраль 2026'!$J$2:$J$2649,AC$1)</f>
        <v>0</v>
      </c>
      <c r="AD49" s="143">
        <f>SUMIFS('февраль 2026'!$G$2:$G$2649,'февраль 2026'!$D$2:$D$2649,$B49,'февраль 2026'!$J$2:$J$2649,AD$1)</f>
        <v>0</v>
      </c>
      <c r="AE49" s="143">
        <f>SUMIFS('февраль 2026'!$G$2:$G$2649,'февраль 2026'!$D$2:$D$2649,$B49,'февраль 2026'!$J$2:$J$2649,AE$1)</f>
        <v>0</v>
      </c>
      <c r="AF49" s="143">
        <f>SUMIFS('февраль 2026'!$G$2:$G$2649,'февраль 2026'!$D$2:$D$2649,$B49,'февраль 2026'!$J$2:$J$2649,AF$1)</f>
        <v>0</v>
      </c>
      <c r="AG49" s="143">
        <f>SUMIFS('февраль 2026'!$G$2:$G$2649,'февраль 2026'!$D$2:$D$2649,$B49,'февраль 2026'!$J$2:$J$2649,AG$1)</f>
        <v>0</v>
      </c>
      <c r="AH49" s="143">
        <f>SUMIFS('февраль 2026'!$G$2:$G$2649,'февраль 2026'!$D$2:$D$2649,$B49,'февраль 2026'!$J$2:$J$2649,AH$1)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SUMIFS('февраль 2026'!$G$2:$G$2649,'февраль 2026'!$D$2:$D$2649,$B50,'февраль 2026'!$J$2:$J$2649,D$1)</f>
        <v>0</v>
      </c>
      <c r="E50" s="143">
        <f>SUMIFS('февраль 2026'!$G$2:$G$2649,'февраль 2026'!$D$2:$D$2649,$B50,'февраль 2026'!$J$2:$J$2649,E$1)</f>
        <v>0</v>
      </c>
      <c r="F50" s="143">
        <f>SUMIFS('февраль 2026'!$G$2:$G$2649,'февраль 2026'!$D$2:$D$2649,$B50,'февраль 2026'!$J$2:$J$2649,F$1)</f>
        <v>0</v>
      </c>
      <c r="G50" s="143">
        <f>SUMIFS('февраль 2026'!$G$2:$G$2649,'февраль 2026'!$D$2:$D$2649,$B50,'февраль 2026'!$J$2:$J$2649,G$1)</f>
        <v>0</v>
      </c>
      <c r="H50" s="143">
        <f>SUMIFS('февраль 2026'!$G$2:$G$2649,'февраль 2026'!$D$2:$D$2649,$B50,'февраль 2026'!$J$2:$J$2649,H$1)</f>
        <v>0</v>
      </c>
      <c r="I50" s="143">
        <f>SUMIFS('февраль 2026'!$G$2:$G$2649,'февраль 2026'!$D$2:$D$2649,$B50,'февраль 2026'!$J$2:$J$2649,I$1)</f>
        <v>0</v>
      </c>
      <c r="J50" s="143">
        <f>SUMIFS('февраль 2026'!$G$2:$G$2649,'февраль 2026'!$D$2:$D$2649,$B50,'февраль 2026'!$J$2:$J$2649,J$1)</f>
        <v>0</v>
      </c>
      <c r="K50" s="143">
        <f>SUMIFS('февраль 2026'!$G$2:$G$2649,'февраль 2026'!$D$2:$D$2649,$B50,'февраль 2026'!$J$2:$J$2649,K$1)</f>
        <v>0</v>
      </c>
      <c r="L50" s="143">
        <f>SUMIFS('февраль 2026'!$G$2:$G$2649,'февраль 2026'!$D$2:$D$2649,$B50,'февраль 2026'!$J$2:$J$2649,L$1)</f>
        <v>0</v>
      </c>
      <c r="M50" s="143">
        <f>SUMIFS('февраль 2026'!$G$2:$G$2649,'февраль 2026'!$D$2:$D$2649,$B50,'февраль 2026'!$J$2:$J$2649,M$1)</f>
        <v>0</v>
      </c>
      <c r="N50" s="143">
        <f>SUMIFS('февраль 2026'!$G$2:$G$2649,'февраль 2026'!$D$2:$D$2649,$B50,'февраль 2026'!$J$2:$J$2649,N$1)</f>
        <v>0</v>
      </c>
      <c r="O50" s="143">
        <f>SUMIFS('февраль 2026'!$G$2:$G$2649,'февраль 2026'!$D$2:$D$2649,$B50,'февраль 2026'!$J$2:$J$2649,O$1)</f>
        <v>0</v>
      </c>
      <c r="P50" s="143">
        <f>SUMIFS('февраль 2026'!$G$2:$G$2649,'февраль 2026'!$D$2:$D$2649,$B50,'февраль 2026'!$J$2:$J$2649,P$1)</f>
        <v>0</v>
      </c>
      <c r="Q50" s="143">
        <f>SUMIFS('февраль 2026'!$G$2:$G$2649,'февраль 2026'!$D$2:$D$2649,$B50,'февраль 2026'!$J$2:$J$2649,Q$1)</f>
        <v>0</v>
      </c>
      <c r="R50" s="143">
        <f>SUMIFS('февраль 2026'!$G$2:$G$2649,'февраль 2026'!$D$2:$D$2649,$B50,'февраль 2026'!$J$2:$J$2649,R$1)</f>
        <v>0</v>
      </c>
      <c r="S50" s="143">
        <f>SUMIFS('февраль 2026'!$G$2:$G$2649,'февраль 2026'!$D$2:$D$2649,$B50,'февраль 2026'!$J$2:$J$2649,S$1)</f>
        <v>160</v>
      </c>
      <c r="T50" s="143">
        <f>SUMIFS('февраль 2026'!$G$2:$G$2649,'февраль 2026'!$D$2:$D$2649,$B50,'февраль 2026'!$J$2:$J$2649,T$1)</f>
        <v>0</v>
      </c>
      <c r="U50" s="143">
        <f>SUMIFS('февраль 2026'!$G$2:$G$2649,'февраль 2026'!$D$2:$D$2649,$B50,'февраль 2026'!$J$2:$J$2649,U$1)</f>
        <v>0</v>
      </c>
      <c r="V50" s="143">
        <f>SUMIFS('февраль 2026'!$G$2:$G$2649,'февраль 2026'!$D$2:$D$2649,$B50,'февраль 2026'!$J$2:$J$2649,V$1)</f>
        <v>0</v>
      </c>
      <c r="W50" s="143">
        <f>SUMIFS('февраль 2026'!$G$2:$G$2649,'февраль 2026'!$D$2:$D$2649,$B50,'февраль 2026'!$J$2:$J$2649,W$1)</f>
        <v>0</v>
      </c>
      <c r="X50" s="143">
        <f>SUMIFS('февраль 2026'!$G$2:$G$2649,'февраль 2026'!$D$2:$D$2649,$B50,'февраль 2026'!$J$2:$J$2649,X$1)</f>
        <v>0</v>
      </c>
      <c r="Y50" s="143">
        <f>SUMIFS('февраль 2026'!$G$2:$G$2649,'февраль 2026'!$D$2:$D$2649,$B50,'февраль 2026'!$J$2:$J$2649,Y$1)</f>
        <v>0</v>
      </c>
      <c r="Z50" s="143">
        <f>SUMIFS('февраль 2026'!$G$2:$G$2649,'февраль 2026'!$D$2:$D$2649,$B50,'февраль 2026'!$J$2:$J$2649,Z$1)</f>
        <v>0</v>
      </c>
      <c r="AA50" s="143">
        <f>SUMIFS('февраль 2026'!$G$2:$G$2649,'февраль 2026'!$D$2:$D$2649,$B50,'февраль 2026'!$J$2:$J$2649,AA$1)</f>
        <v>120</v>
      </c>
      <c r="AB50" s="143">
        <f>SUMIFS('февраль 2026'!$G$2:$G$2649,'февраль 2026'!$D$2:$D$2649,$B50,'февраль 2026'!$J$2:$J$2649,AB$1)</f>
        <v>0</v>
      </c>
      <c r="AC50" s="143">
        <f>SUMIFS('февраль 2026'!$G$2:$G$2649,'февраль 2026'!$D$2:$D$2649,$B50,'февраль 2026'!$J$2:$J$2649,AC$1)</f>
        <v>0</v>
      </c>
      <c r="AD50" s="143">
        <f>SUMIFS('февраль 2026'!$G$2:$G$2649,'февраль 2026'!$D$2:$D$2649,$B50,'февраль 2026'!$J$2:$J$2649,AD$1)</f>
        <v>0</v>
      </c>
      <c r="AE50" s="143">
        <f>SUMIFS('февраль 2026'!$G$2:$G$2649,'февраль 2026'!$D$2:$D$2649,$B50,'февраль 2026'!$J$2:$J$2649,AE$1)</f>
        <v>0</v>
      </c>
      <c r="AF50" s="143">
        <f>SUMIFS('февраль 2026'!$G$2:$G$2649,'февраль 2026'!$D$2:$D$2649,$B50,'февраль 2026'!$J$2:$J$2649,AF$1)</f>
        <v>0</v>
      </c>
      <c r="AG50" s="143">
        <f>SUMIFS('февраль 2026'!$G$2:$G$2649,'февраль 2026'!$D$2:$D$2649,$B50,'февраль 2026'!$J$2:$J$2649,AG$1)</f>
        <v>0</v>
      </c>
      <c r="AH50" s="143">
        <f>SUMIFS('февраль 2026'!$G$2:$G$2649,'февраль 2026'!$D$2:$D$2649,$B50,'февраль 2026'!$J$2:$J$2649,AH$1)</f>
        <v>0</v>
      </c>
      <c r="AI50" s="20">
        <f t="shared" si="1"/>
        <v>280</v>
      </c>
    </row>
    <row r="51" spans="2:35" ht="15" customHeight="1" x14ac:dyDescent="0.25">
      <c r="B51" s="126" t="s">
        <v>232</v>
      </c>
      <c r="C51" s="123">
        <v>20</v>
      </c>
      <c r="D51" s="143">
        <f>SUMIFS('февраль 2026'!$G$2:$G$2649,'февраль 2026'!$D$2:$D$2649,$B51,'февраль 2026'!$J$2:$J$2649,D$1)</f>
        <v>0</v>
      </c>
      <c r="E51" s="143">
        <f>SUMIFS('февраль 2026'!$G$2:$G$2649,'февраль 2026'!$D$2:$D$2649,$B51,'февраль 2026'!$J$2:$J$2649,E$1)</f>
        <v>0</v>
      </c>
      <c r="F51" s="143">
        <f>SUMIFS('февраль 2026'!$G$2:$G$2649,'февраль 2026'!$D$2:$D$2649,$B51,'февраль 2026'!$J$2:$J$2649,F$1)</f>
        <v>0</v>
      </c>
      <c r="G51" s="143">
        <f>SUMIFS('февраль 2026'!$G$2:$G$2649,'февраль 2026'!$D$2:$D$2649,$B51,'февраль 2026'!$J$2:$J$2649,G$1)</f>
        <v>0</v>
      </c>
      <c r="H51" s="143">
        <f>SUMIFS('февраль 2026'!$G$2:$G$2649,'февраль 2026'!$D$2:$D$2649,$B51,'февраль 2026'!$J$2:$J$2649,H$1)</f>
        <v>0</v>
      </c>
      <c r="I51" s="143">
        <f>SUMIFS('февраль 2026'!$G$2:$G$2649,'февраль 2026'!$D$2:$D$2649,$B51,'февраль 2026'!$J$2:$J$2649,I$1)</f>
        <v>0</v>
      </c>
      <c r="J51" s="143">
        <f>SUMIFS('февраль 2026'!$G$2:$G$2649,'февраль 2026'!$D$2:$D$2649,$B51,'февраль 2026'!$J$2:$J$2649,J$1)</f>
        <v>0</v>
      </c>
      <c r="K51" s="143">
        <f>SUMIFS('февраль 2026'!$G$2:$G$2649,'февраль 2026'!$D$2:$D$2649,$B51,'февраль 2026'!$J$2:$J$2649,K$1)</f>
        <v>0</v>
      </c>
      <c r="L51" s="143">
        <f>SUMIFS('февраль 2026'!$G$2:$G$2649,'февраль 2026'!$D$2:$D$2649,$B51,'февраль 2026'!$J$2:$J$2649,L$1)</f>
        <v>0</v>
      </c>
      <c r="M51" s="143">
        <f>SUMIFS('февраль 2026'!$G$2:$G$2649,'февраль 2026'!$D$2:$D$2649,$B51,'февраль 2026'!$J$2:$J$2649,M$1)</f>
        <v>0</v>
      </c>
      <c r="N51" s="143">
        <f>SUMIFS('февраль 2026'!$G$2:$G$2649,'февраль 2026'!$D$2:$D$2649,$B51,'февраль 2026'!$J$2:$J$2649,N$1)</f>
        <v>0</v>
      </c>
      <c r="O51" s="143">
        <f>SUMIFS('февраль 2026'!$G$2:$G$2649,'февраль 2026'!$D$2:$D$2649,$B51,'февраль 2026'!$J$2:$J$2649,O$1)</f>
        <v>0</v>
      </c>
      <c r="P51" s="143">
        <f>SUMIFS('февраль 2026'!$G$2:$G$2649,'февраль 2026'!$D$2:$D$2649,$B51,'февраль 2026'!$J$2:$J$2649,P$1)</f>
        <v>0</v>
      </c>
      <c r="Q51" s="143">
        <f>SUMIFS('февраль 2026'!$G$2:$G$2649,'февраль 2026'!$D$2:$D$2649,$B51,'февраль 2026'!$J$2:$J$2649,Q$1)</f>
        <v>0</v>
      </c>
      <c r="R51" s="143">
        <f>SUMIFS('февраль 2026'!$G$2:$G$2649,'февраль 2026'!$D$2:$D$2649,$B51,'февраль 2026'!$J$2:$J$2649,R$1)</f>
        <v>0</v>
      </c>
      <c r="S51" s="143">
        <f>SUMIFS('февраль 2026'!$G$2:$G$2649,'февраль 2026'!$D$2:$D$2649,$B51,'февраль 2026'!$J$2:$J$2649,S$1)</f>
        <v>0</v>
      </c>
      <c r="T51" s="143">
        <f>SUMIFS('февраль 2026'!$G$2:$G$2649,'февраль 2026'!$D$2:$D$2649,$B51,'февраль 2026'!$J$2:$J$2649,T$1)</f>
        <v>0</v>
      </c>
      <c r="U51" s="143">
        <f>SUMIFS('февраль 2026'!$G$2:$G$2649,'февраль 2026'!$D$2:$D$2649,$B51,'февраль 2026'!$J$2:$J$2649,U$1)</f>
        <v>0</v>
      </c>
      <c r="V51" s="143">
        <f>SUMIFS('февраль 2026'!$G$2:$G$2649,'февраль 2026'!$D$2:$D$2649,$B51,'февраль 2026'!$J$2:$J$2649,V$1)</f>
        <v>0</v>
      </c>
      <c r="W51" s="143">
        <f>SUMIFS('февраль 2026'!$G$2:$G$2649,'февраль 2026'!$D$2:$D$2649,$B51,'февраль 2026'!$J$2:$J$2649,W$1)</f>
        <v>0</v>
      </c>
      <c r="X51" s="143">
        <f>SUMIFS('февраль 2026'!$G$2:$G$2649,'февраль 2026'!$D$2:$D$2649,$B51,'февраль 2026'!$J$2:$J$2649,X$1)</f>
        <v>0</v>
      </c>
      <c r="Y51" s="143">
        <f>SUMIFS('февраль 2026'!$G$2:$G$2649,'февраль 2026'!$D$2:$D$2649,$B51,'февраль 2026'!$J$2:$J$2649,Y$1)</f>
        <v>0</v>
      </c>
      <c r="Z51" s="143">
        <f>SUMIFS('февраль 2026'!$G$2:$G$2649,'февраль 2026'!$D$2:$D$2649,$B51,'февраль 2026'!$J$2:$J$2649,Z$1)</f>
        <v>0</v>
      </c>
      <c r="AA51" s="143">
        <f>SUMIFS('февраль 2026'!$G$2:$G$2649,'февраль 2026'!$D$2:$D$2649,$B51,'февраль 2026'!$J$2:$J$2649,AA$1)</f>
        <v>0</v>
      </c>
      <c r="AB51" s="143">
        <f>SUMIFS('февраль 2026'!$G$2:$G$2649,'февраль 2026'!$D$2:$D$2649,$B51,'февраль 2026'!$J$2:$J$2649,AB$1)</f>
        <v>0</v>
      </c>
      <c r="AC51" s="143">
        <f>SUMIFS('февраль 2026'!$G$2:$G$2649,'февраль 2026'!$D$2:$D$2649,$B51,'февраль 2026'!$J$2:$J$2649,AC$1)</f>
        <v>0</v>
      </c>
      <c r="AD51" s="143">
        <f>SUMIFS('февраль 2026'!$G$2:$G$2649,'февраль 2026'!$D$2:$D$2649,$B51,'февраль 2026'!$J$2:$J$2649,AD$1)</f>
        <v>0</v>
      </c>
      <c r="AE51" s="143">
        <f>SUMIFS('февраль 2026'!$G$2:$G$2649,'февраль 2026'!$D$2:$D$2649,$B51,'февраль 2026'!$J$2:$J$2649,AE$1)</f>
        <v>0</v>
      </c>
      <c r="AF51" s="143">
        <f>SUMIFS('февраль 2026'!$G$2:$G$2649,'февраль 2026'!$D$2:$D$2649,$B51,'февраль 2026'!$J$2:$J$2649,AF$1)</f>
        <v>0</v>
      </c>
      <c r="AG51" s="143">
        <f>SUMIFS('февраль 2026'!$G$2:$G$2649,'февраль 2026'!$D$2:$D$2649,$B51,'февраль 2026'!$J$2:$J$2649,AG$1)</f>
        <v>0</v>
      </c>
      <c r="AH51" s="143">
        <f>SUMIFS('февраль 2026'!$G$2:$G$2649,'февраль 2026'!$D$2:$D$2649,$B51,'февраль 2026'!$J$2:$J$2649,AH$1)</f>
        <v>0</v>
      </c>
      <c r="AI51" s="20">
        <f t="shared" si="1"/>
        <v>0</v>
      </c>
    </row>
    <row r="52" spans="2:35" ht="15" customHeight="1" x14ac:dyDescent="0.25">
      <c r="B52" s="126" t="s">
        <v>369</v>
      </c>
      <c r="C52" s="123">
        <v>22.7</v>
      </c>
      <c r="D52" s="143">
        <f>SUMIFS('февраль 2026'!$G$2:$G$2649,'февраль 2026'!$D$2:$D$2649,$B52,'февраль 2026'!$J$2:$J$2649,D$1)</f>
        <v>0</v>
      </c>
      <c r="E52" s="143">
        <f>SUMIFS('февраль 2026'!$G$2:$G$2649,'февраль 2026'!$D$2:$D$2649,$B52,'февраль 2026'!$J$2:$J$2649,E$1)</f>
        <v>0</v>
      </c>
      <c r="F52" s="143">
        <f>SUMIFS('февраль 2026'!$G$2:$G$2649,'февраль 2026'!$D$2:$D$2649,$B52,'февраль 2026'!$J$2:$J$2649,F$1)</f>
        <v>0</v>
      </c>
      <c r="G52" s="143">
        <f>SUMIFS('февраль 2026'!$G$2:$G$2649,'февраль 2026'!$D$2:$D$2649,$B52,'февраль 2026'!$J$2:$J$2649,G$1)</f>
        <v>0</v>
      </c>
      <c r="H52" s="143">
        <f>SUMIFS('февраль 2026'!$G$2:$G$2649,'февраль 2026'!$D$2:$D$2649,$B52,'февраль 2026'!$J$2:$J$2649,H$1)</f>
        <v>0</v>
      </c>
      <c r="I52" s="143">
        <f>SUMIFS('февраль 2026'!$G$2:$G$2649,'февраль 2026'!$D$2:$D$2649,$B52,'февраль 2026'!$J$2:$J$2649,I$1)</f>
        <v>0</v>
      </c>
      <c r="J52" s="143">
        <f>SUMIFS('февраль 2026'!$G$2:$G$2649,'февраль 2026'!$D$2:$D$2649,$B52,'февраль 2026'!$J$2:$J$2649,J$1)</f>
        <v>0</v>
      </c>
      <c r="K52" s="143">
        <f>SUMIFS('февраль 2026'!$G$2:$G$2649,'февраль 2026'!$D$2:$D$2649,$B52,'февраль 2026'!$J$2:$J$2649,K$1)</f>
        <v>0</v>
      </c>
      <c r="L52" s="143">
        <f>SUMIFS('февраль 2026'!$G$2:$G$2649,'февраль 2026'!$D$2:$D$2649,$B52,'февраль 2026'!$J$2:$J$2649,L$1)</f>
        <v>0</v>
      </c>
      <c r="M52" s="143">
        <f>SUMIFS('февраль 2026'!$G$2:$G$2649,'февраль 2026'!$D$2:$D$2649,$B52,'февраль 2026'!$J$2:$J$2649,M$1)</f>
        <v>0</v>
      </c>
      <c r="N52" s="143">
        <f>SUMIFS('февраль 2026'!$G$2:$G$2649,'февраль 2026'!$D$2:$D$2649,$B52,'февраль 2026'!$J$2:$J$2649,N$1)</f>
        <v>0</v>
      </c>
      <c r="O52" s="143">
        <f>SUMIFS('февраль 2026'!$G$2:$G$2649,'февраль 2026'!$D$2:$D$2649,$B52,'февраль 2026'!$J$2:$J$2649,O$1)</f>
        <v>0</v>
      </c>
      <c r="P52" s="143">
        <f>SUMIFS('февраль 2026'!$G$2:$G$2649,'февраль 2026'!$D$2:$D$2649,$B52,'февраль 2026'!$J$2:$J$2649,P$1)</f>
        <v>0</v>
      </c>
      <c r="Q52" s="143">
        <f>SUMIFS('февраль 2026'!$G$2:$G$2649,'февраль 2026'!$D$2:$D$2649,$B52,'февраль 2026'!$J$2:$J$2649,Q$1)</f>
        <v>0</v>
      </c>
      <c r="R52" s="143">
        <f>SUMIFS('февраль 2026'!$G$2:$G$2649,'февраль 2026'!$D$2:$D$2649,$B52,'февраль 2026'!$J$2:$J$2649,R$1)</f>
        <v>0</v>
      </c>
      <c r="S52" s="143">
        <f>SUMIFS('февраль 2026'!$G$2:$G$2649,'февраль 2026'!$D$2:$D$2649,$B52,'февраль 2026'!$J$2:$J$2649,S$1)</f>
        <v>0</v>
      </c>
      <c r="T52" s="143">
        <f>SUMIFS('февраль 2026'!$G$2:$G$2649,'февраль 2026'!$D$2:$D$2649,$B52,'февраль 2026'!$J$2:$J$2649,T$1)</f>
        <v>0</v>
      </c>
      <c r="U52" s="143">
        <f>SUMIFS('февраль 2026'!$G$2:$G$2649,'февраль 2026'!$D$2:$D$2649,$B52,'февраль 2026'!$J$2:$J$2649,U$1)</f>
        <v>0</v>
      </c>
      <c r="V52" s="143">
        <f>SUMIFS('февраль 2026'!$G$2:$G$2649,'февраль 2026'!$D$2:$D$2649,$B52,'февраль 2026'!$J$2:$J$2649,V$1)</f>
        <v>0</v>
      </c>
      <c r="W52" s="143">
        <f>SUMIFS('февраль 2026'!$G$2:$G$2649,'февраль 2026'!$D$2:$D$2649,$B52,'февраль 2026'!$J$2:$J$2649,W$1)</f>
        <v>0</v>
      </c>
      <c r="X52" s="143">
        <f>SUMIFS('февраль 2026'!$G$2:$G$2649,'февраль 2026'!$D$2:$D$2649,$B52,'февраль 2026'!$J$2:$J$2649,X$1)</f>
        <v>0</v>
      </c>
      <c r="Y52" s="143">
        <f>SUMIFS('февраль 2026'!$G$2:$G$2649,'февраль 2026'!$D$2:$D$2649,$B52,'февраль 2026'!$J$2:$J$2649,Y$1)</f>
        <v>0</v>
      </c>
      <c r="Z52" s="143">
        <f>SUMIFS('февраль 2026'!$G$2:$G$2649,'февраль 2026'!$D$2:$D$2649,$B52,'февраль 2026'!$J$2:$J$2649,Z$1)</f>
        <v>0</v>
      </c>
      <c r="AA52" s="143">
        <f>SUMIFS('февраль 2026'!$G$2:$G$2649,'февраль 2026'!$D$2:$D$2649,$B52,'февраль 2026'!$J$2:$J$2649,AA$1)</f>
        <v>0</v>
      </c>
      <c r="AB52" s="143">
        <f>SUMIFS('февраль 2026'!$G$2:$G$2649,'февраль 2026'!$D$2:$D$2649,$B52,'февраль 2026'!$J$2:$J$2649,AB$1)</f>
        <v>0</v>
      </c>
      <c r="AC52" s="143">
        <f>SUMIFS('февраль 2026'!$G$2:$G$2649,'февраль 2026'!$D$2:$D$2649,$B52,'февраль 2026'!$J$2:$J$2649,AC$1)</f>
        <v>0</v>
      </c>
      <c r="AD52" s="143">
        <f>SUMIFS('февраль 2026'!$G$2:$G$2649,'февраль 2026'!$D$2:$D$2649,$B52,'февраль 2026'!$J$2:$J$2649,AD$1)</f>
        <v>0</v>
      </c>
      <c r="AE52" s="143">
        <f>SUMIFS('февраль 2026'!$G$2:$G$2649,'февраль 2026'!$D$2:$D$2649,$B52,'февраль 2026'!$J$2:$J$2649,AE$1)</f>
        <v>0</v>
      </c>
      <c r="AF52" s="143">
        <f>SUMIFS('февраль 2026'!$G$2:$G$2649,'февраль 2026'!$D$2:$D$2649,$B52,'февраль 2026'!$J$2:$J$2649,AF$1)</f>
        <v>0</v>
      </c>
      <c r="AG52" s="143">
        <f>SUMIFS('февраль 2026'!$G$2:$G$2649,'февраль 2026'!$D$2:$D$2649,$B52,'февраль 2026'!$J$2:$J$2649,AG$1)</f>
        <v>0</v>
      </c>
      <c r="AH52" s="143">
        <f>SUMIFS('февраль 2026'!$G$2:$G$2649,'февраль 2026'!$D$2:$D$2649,$B52,'февраль 2026'!$J$2:$J$2649,AH$1)</f>
        <v>0</v>
      </c>
      <c r="AI52" s="20"/>
    </row>
    <row r="53" spans="2:35" ht="15" customHeight="1" x14ac:dyDescent="0.25">
      <c r="B53" s="122" t="s">
        <v>234</v>
      </c>
      <c r="C53" s="125">
        <v>20</v>
      </c>
      <c r="D53" s="143">
        <f>SUMIFS('февраль 2026'!$G$2:$G$2649,'февраль 2026'!$D$2:$D$2649,$B53,'февраль 2026'!$J$2:$J$2649,D$1)</f>
        <v>0</v>
      </c>
      <c r="E53" s="143">
        <f>SUMIFS('февраль 2026'!$G$2:$G$2649,'февраль 2026'!$D$2:$D$2649,$B53,'февраль 2026'!$J$2:$J$2649,E$1)</f>
        <v>0</v>
      </c>
      <c r="F53" s="143">
        <f>SUMIFS('февраль 2026'!$G$2:$G$2649,'февраль 2026'!$D$2:$D$2649,$B53,'февраль 2026'!$J$2:$J$2649,F$1)</f>
        <v>0</v>
      </c>
      <c r="G53" s="143">
        <f>SUMIFS('февраль 2026'!$G$2:$G$2649,'февраль 2026'!$D$2:$D$2649,$B53,'февраль 2026'!$J$2:$J$2649,G$1)</f>
        <v>0</v>
      </c>
      <c r="H53" s="143">
        <f>SUMIFS('февраль 2026'!$G$2:$G$2649,'февраль 2026'!$D$2:$D$2649,$B53,'февраль 2026'!$J$2:$J$2649,H$1)</f>
        <v>0</v>
      </c>
      <c r="I53" s="143">
        <f>SUMIFS('февраль 2026'!$G$2:$G$2649,'февраль 2026'!$D$2:$D$2649,$B53,'февраль 2026'!$J$2:$J$2649,I$1)</f>
        <v>0</v>
      </c>
      <c r="J53" s="143">
        <f>SUMIFS('февраль 2026'!$G$2:$G$2649,'февраль 2026'!$D$2:$D$2649,$B53,'февраль 2026'!$J$2:$J$2649,J$1)</f>
        <v>0</v>
      </c>
      <c r="K53" s="143">
        <f>SUMIFS('февраль 2026'!$G$2:$G$2649,'февраль 2026'!$D$2:$D$2649,$B53,'февраль 2026'!$J$2:$J$2649,K$1)</f>
        <v>0</v>
      </c>
      <c r="L53" s="143">
        <f>SUMIFS('февраль 2026'!$G$2:$G$2649,'февраль 2026'!$D$2:$D$2649,$B53,'февраль 2026'!$J$2:$J$2649,L$1)</f>
        <v>0</v>
      </c>
      <c r="M53" s="143">
        <f>SUMIFS('февраль 2026'!$G$2:$G$2649,'февраль 2026'!$D$2:$D$2649,$B53,'февраль 2026'!$J$2:$J$2649,M$1)</f>
        <v>0</v>
      </c>
      <c r="N53" s="143">
        <f>SUMIFS('февраль 2026'!$G$2:$G$2649,'февраль 2026'!$D$2:$D$2649,$B53,'февраль 2026'!$J$2:$J$2649,N$1)</f>
        <v>0</v>
      </c>
      <c r="O53" s="143">
        <f>SUMIFS('февраль 2026'!$G$2:$G$2649,'февраль 2026'!$D$2:$D$2649,$B53,'февраль 2026'!$J$2:$J$2649,O$1)</f>
        <v>0</v>
      </c>
      <c r="P53" s="143">
        <f>SUMIFS('февраль 2026'!$G$2:$G$2649,'февраль 2026'!$D$2:$D$2649,$B53,'февраль 2026'!$J$2:$J$2649,P$1)</f>
        <v>0</v>
      </c>
      <c r="Q53" s="143">
        <f>SUMIFS('февраль 2026'!$G$2:$G$2649,'февраль 2026'!$D$2:$D$2649,$B53,'февраль 2026'!$J$2:$J$2649,Q$1)</f>
        <v>0</v>
      </c>
      <c r="R53" s="143">
        <f>SUMIFS('февраль 2026'!$G$2:$G$2649,'февраль 2026'!$D$2:$D$2649,$B53,'февраль 2026'!$J$2:$J$2649,R$1)</f>
        <v>0</v>
      </c>
      <c r="S53" s="143">
        <f>SUMIFS('февраль 2026'!$G$2:$G$2649,'февраль 2026'!$D$2:$D$2649,$B53,'февраль 2026'!$J$2:$J$2649,S$1)</f>
        <v>0</v>
      </c>
      <c r="T53" s="143">
        <f>SUMIFS('февраль 2026'!$G$2:$G$2649,'февраль 2026'!$D$2:$D$2649,$B53,'февраль 2026'!$J$2:$J$2649,T$1)</f>
        <v>0</v>
      </c>
      <c r="U53" s="143">
        <f>SUMIFS('февраль 2026'!$G$2:$G$2649,'февраль 2026'!$D$2:$D$2649,$B53,'февраль 2026'!$J$2:$J$2649,U$1)</f>
        <v>0</v>
      </c>
      <c r="V53" s="143">
        <f>SUMIFS('февраль 2026'!$G$2:$G$2649,'февраль 2026'!$D$2:$D$2649,$B53,'февраль 2026'!$J$2:$J$2649,V$1)</f>
        <v>0</v>
      </c>
      <c r="W53" s="143">
        <f>SUMIFS('февраль 2026'!$G$2:$G$2649,'февраль 2026'!$D$2:$D$2649,$B53,'февраль 2026'!$J$2:$J$2649,W$1)</f>
        <v>0</v>
      </c>
      <c r="X53" s="143">
        <f>SUMIFS('февраль 2026'!$G$2:$G$2649,'февраль 2026'!$D$2:$D$2649,$B53,'февраль 2026'!$J$2:$J$2649,X$1)</f>
        <v>0</v>
      </c>
      <c r="Y53" s="143">
        <f>SUMIFS('февраль 2026'!$G$2:$G$2649,'февраль 2026'!$D$2:$D$2649,$B53,'февраль 2026'!$J$2:$J$2649,Y$1)</f>
        <v>0</v>
      </c>
      <c r="Z53" s="143">
        <f>SUMIFS('февраль 2026'!$G$2:$G$2649,'февраль 2026'!$D$2:$D$2649,$B53,'февраль 2026'!$J$2:$J$2649,Z$1)</f>
        <v>0</v>
      </c>
      <c r="AA53" s="143">
        <f>SUMIFS('февраль 2026'!$G$2:$G$2649,'февраль 2026'!$D$2:$D$2649,$B53,'февраль 2026'!$J$2:$J$2649,AA$1)</f>
        <v>0</v>
      </c>
      <c r="AB53" s="143">
        <f>SUMIFS('февраль 2026'!$G$2:$G$2649,'февраль 2026'!$D$2:$D$2649,$B53,'февраль 2026'!$J$2:$J$2649,AB$1)</f>
        <v>0</v>
      </c>
      <c r="AC53" s="143">
        <f>SUMIFS('февраль 2026'!$G$2:$G$2649,'февраль 2026'!$D$2:$D$2649,$B53,'февраль 2026'!$J$2:$J$2649,AC$1)</f>
        <v>0</v>
      </c>
      <c r="AD53" s="143">
        <f>SUMIFS('февраль 2026'!$G$2:$G$2649,'февраль 2026'!$D$2:$D$2649,$B53,'февраль 2026'!$J$2:$J$2649,AD$1)</f>
        <v>0</v>
      </c>
      <c r="AE53" s="143">
        <f>SUMIFS('февраль 2026'!$G$2:$G$2649,'февраль 2026'!$D$2:$D$2649,$B53,'февраль 2026'!$J$2:$J$2649,AE$1)</f>
        <v>0</v>
      </c>
      <c r="AF53" s="143">
        <f>SUMIFS('февраль 2026'!$G$2:$G$2649,'февраль 2026'!$D$2:$D$2649,$B53,'февраль 2026'!$J$2:$J$2649,AF$1)</f>
        <v>0</v>
      </c>
      <c r="AG53" s="143">
        <f>SUMIFS('февраль 2026'!$G$2:$G$2649,'февраль 2026'!$D$2:$D$2649,$B53,'февраль 2026'!$J$2:$J$2649,AG$1)</f>
        <v>0</v>
      </c>
      <c r="AH53" s="143">
        <f>SUMIFS('февраль 2026'!$G$2:$G$2649,'февраль 2026'!$D$2:$D$2649,$B53,'февраль 2026'!$J$2:$J$2649,AH$1)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SUMIFS('февраль 2026'!$G$2:$G$2649,'февраль 2026'!$D$2:$D$2649,$B54,'февраль 2026'!$J$2:$J$2649,D$1)</f>
        <v>0</v>
      </c>
      <c r="E54" s="143">
        <f>SUMIFS('февраль 2026'!$G$2:$G$2649,'февраль 2026'!$D$2:$D$2649,$B54,'февраль 2026'!$J$2:$J$2649,E$1)</f>
        <v>0</v>
      </c>
      <c r="F54" s="143">
        <f>SUMIFS('февраль 2026'!$G$2:$G$2649,'февраль 2026'!$D$2:$D$2649,$B54,'февраль 2026'!$J$2:$J$2649,F$1)</f>
        <v>0</v>
      </c>
      <c r="G54" s="143">
        <f>SUMIFS('февраль 2026'!$G$2:$G$2649,'февраль 2026'!$D$2:$D$2649,$B54,'февраль 2026'!$J$2:$J$2649,G$1)</f>
        <v>0</v>
      </c>
      <c r="H54" s="143">
        <f>SUMIFS('февраль 2026'!$G$2:$G$2649,'февраль 2026'!$D$2:$D$2649,$B54,'февраль 2026'!$J$2:$J$2649,H$1)</f>
        <v>0</v>
      </c>
      <c r="I54" s="143">
        <f>SUMIFS('февраль 2026'!$G$2:$G$2649,'февраль 2026'!$D$2:$D$2649,$B54,'февраль 2026'!$J$2:$J$2649,I$1)</f>
        <v>0</v>
      </c>
      <c r="J54" s="143">
        <f>SUMIFS('февраль 2026'!$G$2:$G$2649,'февраль 2026'!$D$2:$D$2649,$B54,'февраль 2026'!$J$2:$J$2649,J$1)</f>
        <v>0</v>
      </c>
      <c r="K54" s="143">
        <f>SUMIFS('февраль 2026'!$G$2:$G$2649,'февраль 2026'!$D$2:$D$2649,$B54,'февраль 2026'!$J$2:$J$2649,K$1)</f>
        <v>0</v>
      </c>
      <c r="L54" s="143">
        <f>SUMIFS('февраль 2026'!$G$2:$G$2649,'февраль 2026'!$D$2:$D$2649,$B54,'февраль 2026'!$J$2:$J$2649,L$1)</f>
        <v>0</v>
      </c>
      <c r="M54" s="143">
        <f>SUMIFS('февраль 2026'!$G$2:$G$2649,'февраль 2026'!$D$2:$D$2649,$B54,'февраль 2026'!$J$2:$J$2649,M$1)</f>
        <v>0</v>
      </c>
      <c r="N54" s="143">
        <f>SUMIFS('февраль 2026'!$G$2:$G$2649,'февраль 2026'!$D$2:$D$2649,$B54,'февраль 2026'!$J$2:$J$2649,N$1)</f>
        <v>0</v>
      </c>
      <c r="O54" s="143">
        <f>SUMIFS('февраль 2026'!$G$2:$G$2649,'февраль 2026'!$D$2:$D$2649,$B54,'февраль 2026'!$J$2:$J$2649,O$1)</f>
        <v>0</v>
      </c>
      <c r="P54" s="143">
        <f>SUMIFS('февраль 2026'!$G$2:$G$2649,'февраль 2026'!$D$2:$D$2649,$B54,'февраль 2026'!$J$2:$J$2649,P$1)</f>
        <v>0</v>
      </c>
      <c r="Q54" s="143">
        <f>SUMIFS('февраль 2026'!$G$2:$G$2649,'февраль 2026'!$D$2:$D$2649,$B54,'февраль 2026'!$J$2:$J$2649,Q$1)</f>
        <v>0</v>
      </c>
      <c r="R54" s="143">
        <f>SUMIFS('февраль 2026'!$G$2:$G$2649,'февраль 2026'!$D$2:$D$2649,$B54,'февраль 2026'!$J$2:$J$2649,R$1)</f>
        <v>0</v>
      </c>
      <c r="S54" s="143">
        <f>SUMIFS('февраль 2026'!$G$2:$G$2649,'февраль 2026'!$D$2:$D$2649,$B54,'февраль 2026'!$J$2:$J$2649,S$1)</f>
        <v>0</v>
      </c>
      <c r="T54" s="143">
        <f>SUMIFS('февраль 2026'!$G$2:$G$2649,'февраль 2026'!$D$2:$D$2649,$B54,'февраль 2026'!$J$2:$J$2649,T$1)</f>
        <v>0</v>
      </c>
      <c r="U54" s="143">
        <f>SUMIFS('февраль 2026'!$G$2:$G$2649,'февраль 2026'!$D$2:$D$2649,$B54,'февраль 2026'!$J$2:$J$2649,U$1)</f>
        <v>0</v>
      </c>
      <c r="V54" s="143">
        <f>SUMIFS('февраль 2026'!$G$2:$G$2649,'февраль 2026'!$D$2:$D$2649,$B54,'февраль 2026'!$J$2:$J$2649,V$1)</f>
        <v>0</v>
      </c>
      <c r="W54" s="143">
        <f>SUMIFS('февраль 2026'!$G$2:$G$2649,'февраль 2026'!$D$2:$D$2649,$B54,'февраль 2026'!$J$2:$J$2649,W$1)</f>
        <v>0</v>
      </c>
      <c r="X54" s="143">
        <f>SUMIFS('февраль 2026'!$G$2:$G$2649,'февраль 2026'!$D$2:$D$2649,$B54,'февраль 2026'!$J$2:$J$2649,X$1)</f>
        <v>0</v>
      </c>
      <c r="Y54" s="143">
        <f>SUMIFS('февраль 2026'!$G$2:$G$2649,'февраль 2026'!$D$2:$D$2649,$B54,'февраль 2026'!$J$2:$J$2649,Y$1)</f>
        <v>0</v>
      </c>
      <c r="Z54" s="143">
        <f>SUMIFS('февраль 2026'!$G$2:$G$2649,'февраль 2026'!$D$2:$D$2649,$B54,'февраль 2026'!$J$2:$J$2649,Z$1)</f>
        <v>0</v>
      </c>
      <c r="AA54" s="143">
        <f>SUMIFS('февраль 2026'!$G$2:$G$2649,'февраль 2026'!$D$2:$D$2649,$B54,'февраль 2026'!$J$2:$J$2649,AA$1)</f>
        <v>0</v>
      </c>
      <c r="AB54" s="143">
        <f>SUMIFS('февраль 2026'!$G$2:$G$2649,'февраль 2026'!$D$2:$D$2649,$B54,'февраль 2026'!$J$2:$J$2649,AB$1)</f>
        <v>0</v>
      </c>
      <c r="AC54" s="143">
        <f>SUMIFS('февраль 2026'!$G$2:$G$2649,'февраль 2026'!$D$2:$D$2649,$B54,'февраль 2026'!$J$2:$J$2649,AC$1)</f>
        <v>0</v>
      </c>
      <c r="AD54" s="143">
        <f>SUMIFS('февраль 2026'!$G$2:$G$2649,'февраль 2026'!$D$2:$D$2649,$B54,'февраль 2026'!$J$2:$J$2649,AD$1)</f>
        <v>0</v>
      </c>
      <c r="AE54" s="143">
        <f>SUMIFS('февраль 2026'!$G$2:$G$2649,'февраль 2026'!$D$2:$D$2649,$B54,'февраль 2026'!$J$2:$J$2649,AE$1)</f>
        <v>0</v>
      </c>
      <c r="AF54" s="143">
        <f>SUMIFS('февраль 2026'!$G$2:$G$2649,'февраль 2026'!$D$2:$D$2649,$B54,'февраль 2026'!$J$2:$J$2649,AF$1)</f>
        <v>0</v>
      </c>
      <c r="AG54" s="143">
        <f>SUMIFS('февраль 2026'!$G$2:$G$2649,'февраль 2026'!$D$2:$D$2649,$B54,'февраль 2026'!$J$2:$J$2649,AG$1)</f>
        <v>0</v>
      </c>
      <c r="AH54" s="143">
        <f>SUMIFS('февраль 2026'!$G$2:$G$2649,'февраль 2026'!$D$2:$D$2649,$B54,'февраль 2026'!$J$2:$J$2649,AH$1)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SUMIFS('февраль 2026'!$G$2:$G$2649,'февраль 2026'!$D$2:$D$2649,$B55,'февраль 2026'!$J$2:$J$2649,D$1)</f>
        <v>0</v>
      </c>
      <c r="E55" s="143">
        <f>SUMIFS('февраль 2026'!$G$2:$G$2649,'февраль 2026'!$D$2:$D$2649,$B55,'февраль 2026'!$J$2:$J$2649,E$1)</f>
        <v>0</v>
      </c>
      <c r="F55" s="143">
        <f>SUMIFS('февраль 2026'!$G$2:$G$2649,'февраль 2026'!$D$2:$D$2649,$B55,'февраль 2026'!$J$2:$J$2649,F$1)</f>
        <v>0</v>
      </c>
      <c r="G55" s="143">
        <f>SUMIFS('февраль 2026'!$G$2:$G$2649,'февраль 2026'!$D$2:$D$2649,$B55,'февраль 2026'!$J$2:$J$2649,G$1)</f>
        <v>0</v>
      </c>
      <c r="H55" s="143">
        <f>SUMIFS('февраль 2026'!$G$2:$G$2649,'февраль 2026'!$D$2:$D$2649,$B55,'февраль 2026'!$J$2:$J$2649,H$1)</f>
        <v>0</v>
      </c>
      <c r="I55" s="143">
        <f>SUMIFS('февраль 2026'!$G$2:$G$2649,'февраль 2026'!$D$2:$D$2649,$B55,'февраль 2026'!$J$2:$J$2649,I$1)</f>
        <v>0</v>
      </c>
      <c r="J55" s="143">
        <f>SUMIFS('февраль 2026'!$G$2:$G$2649,'февраль 2026'!$D$2:$D$2649,$B55,'февраль 2026'!$J$2:$J$2649,J$1)</f>
        <v>0</v>
      </c>
      <c r="K55" s="143">
        <f>SUMIFS('февраль 2026'!$G$2:$G$2649,'февраль 2026'!$D$2:$D$2649,$B55,'февраль 2026'!$J$2:$J$2649,K$1)</f>
        <v>0</v>
      </c>
      <c r="L55" s="143">
        <f>SUMIFS('февраль 2026'!$G$2:$G$2649,'февраль 2026'!$D$2:$D$2649,$B55,'февраль 2026'!$J$2:$J$2649,L$1)</f>
        <v>0</v>
      </c>
      <c r="M55" s="143">
        <f>SUMIFS('февраль 2026'!$G$2:$G$2649,'февраль 2026'!$D$2:$D$2649,$B55,'февраль 2026'!$J$2:$J$2649,M$1)</f>
        <v>0</v>
      </c>
      <c r="N55" s="143">
        <f>SUMIFS('февраль 2026'!$G$2:$G$2649,'февраль 2026'!$D$2:$D$2649,$B55,'февраль 2026'!$J$2:$J$2649,N$1)</f>
        <v>0</v>
      </c>
      <c r="O55" s="143">
        <f>SUMIFS('февраль 2026'!$G$2:$G$2649,'февраль 2026'!$D$2:$D$2649,$B55,'февраль 2026'!$J$2:$J$2649,O$1)</f>
        <v>0</v>
      </c>
      <c r="P55" s="143">
        <f>SUMIFS('февраль 2026'!$G$2:$G$2649,'февраль 2026'!$D$2:$D$2649,$B55,'февраль 2026'!$J$2:$J$2649,P$1)</f>
        <v>0</v>
      </c>
      <c r="Q55" s="143">
        <f>SUMIFS('февраль 2026'!$G$2:$G$2649,'февраль 2026'!$D$2:$D$2649,$B55,'февраль 2026'!$J$2:$J$2649,Q$1)</f>
        <v>0</v>
      </c>
      <c r="R55" s="143">
        <f>SUMIFS('февраль 2026'!$G$2:$G$2649,'февраль 2026'!$D$2:$D$2649,$B55,'февраль 2026'!$J$2:$J$2649,R$1)</f>
        <v>0</v>
      </c>
      <c r="S55" s="143">
        <f>SUMIFS('февраль 2026'!$G$2:$G$2649,'февраль 2026'!$D$2:$D$2649,$B55,'февраль 2026'!$J$2:$J$2649,S$1)</f>
        <v>0</v>
      </c>
      <c r="T55" s="143">
        <f>SUMIFS('февраль 2026'!$G$2:$G$2649,'февраль 2026'!$D$2:$D$2649,$B55,'февраль 2026'!$J$2:$J$2649,T$1)</f>
        <v>0</v>
      </c>
      <c r="U55" s="143">
        <f>SUMIFS('февраль 2026'!$G$2:$G$2649,'февраль 2026'!$D$2:$D$2649,$B55,'февраль 2026'!$J$2:$J$2649,U$1)</f>
        <v>0</v>
      </c>
      <c r="V55" s="143">
        <f>SUMIFS('февраль 2026'!$G$2:$G$2649,'февраль 2026'!$D$2:$D$2649,$B55,'февраль 2026'!$J$2:$J$2649,V$1)</f>
        <v>0</v>
      </c>
      <c r="W55" s="143">
        <f>SUMIFS('февраль 2026'!$G$2:$G$2649,'февраль 2026'!$D$2:$D$2649,$B55,'февраль 2026'!$J$2:$J$2649,W$1)</f>
        <v>0</v>
      </c>
      <c r="X55" s="143">
        <f>SUMIFS('февраль 2026'!$G$2:$G$2649,'февраль 2026'!$D$2:$D$2649,$B55,'февраль 2026'!$J$2:$J$2649,X$1)</f>
        <v>0</v>
      </c>
      <c r="Y55" s="143">
        <f>SUMIFS('февраль 2026'!$G$2:$G$2649,'февраль 2026'!$D$2:$D$2649,$B55,'февраль 2026'!$J$2:$J$2649,Y$1)</f>
        <v>0</v>
      </c>
      <c r="Z55" s="143">
        <f>SUMIFS('февраль 2026'!$G$2:$G$2649,'февраль 2026'!$D$2:$D$2649,$B55,'февраль 2026'!$J$2:$J$2649,Z$1)</f>
        <v>0</v>
      </c>
      <c r="AA55" s="143">
        <f>SUMIFS('февраль 2026'!$G$2:$G$2649,'февраль 2026'!$D$2:$D$2649,$B55,'февраль 2026'!$J$2:$J$2649,AA$1)</f>
        <v>0</v>
      </c>
      <c r="AB55" s="143">
        <f>SUMIFS('февраль 2026'!$G$2:$G$2649,'февраль 2026'!$D$2:$D$2649,$B55,'февраль 2026'!$J$2:$J$2649,AB$1)</f>
        <v>0</v>
      </c>
      <c r="AC55" s="143">
        <f>SUMIFS('февраль 2026'!$G$2:$G$2649,'февраль 2026'!$D$2:$D$2649,$B55,'февраль 2026'!$J$2:$J$2649,AC$1)</f>
        <v>0</v>
      </c>
      <c r="AD55" s="143">
        <f>SUMIFS('февраль 2026'!$G$2:$G$2649,'февраль 2026'!$D$2:$D$2649,$B55,'февраль 2026'!$J$2:$J$2649,AD$1)</f>
        <v>0</v>
      </c>
      <c r="AE55" s="143">
        <f>SUMIFS('февраль 2026'!$G$2:$G$2649,'февраль 2026'!$D$2:$D$2649,$B55,'февраль 2026'!$J$2:$J$2649,AE$1)</f>
        <v>0</v>
      </c>
      <c r="AF55" s="143">
        <f>SUMIFS('февраль 2026'!$G$2:$G$2649,'февраль 2026'!$D$2:$D$2649,$B55,'февраль 2026'!$J$2:$J$2649,AF$1)</f>
        <v>0</v>
      </c>
      <c r="AG55" s="143">
        <f>SUMIFS('февраль 2026'!$G$2:$G$2649,'февраль 2026'!$D$2:$D$2649,$B55,'февраль 2026'!$J$2:$J$2649,AG$1)</f>
        <v>0</v>
      </c>
      <c r="AH55" s="143">
        <f>SUMIFS('февраль 2026'!$G$2:$G$2649,'февраль 2026'!$D$2:$D$2649,$B55,'февраль 2026'!$J$2:$J$2649,AH$1)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SUMIFS('февраль 2026'!$G$2:$G$2649,'февраль 2026'!$D$2:$D$2649,$B56,'февраль 2026'!$J$2:$J$2649,D$1)</f>
        <v>0</v>
      </c>
      <c r="E56" s="143">
        <f>SUMIFS('февраль 2026'!$G$2:$G$2649,'февраль 2026'!$D$2:$D$2649,$B56,'февраль 2026'!$J$2:$J$2649,E$1)</f>
        <v>0</v>
      </c>
      <c r="F56" s="143">
        <f>SUMIFS('февраль 2026'!$G$2:$G$2649,'февраль 2026'!$D$2:$D$2649,$B56,'февраль 2026'!$J$2:$J$2649,F$1)</f>
        <v>0</v>
      </c>
      <c r="G56" s="143">
        <f>SUMIFS('февраль 2026'!$G$2:$G$2649,'февраль 2026'!$D$2:$D$2649,$B56,'февраль 2026'!$J$2:$J$2649,G$1)</f>
        <v>0</v>
      </c>
      <c r="H56" s="143">
        <f>SUMIFS('февраль 2026'!$G$2:$G$2649,'февраль 2026'!$D$2:$D$2649,$B56,'февраль 2026'!$J$2:$J$2649,H$1)</f>
        <v>0</v>
      </c>
      <c r="I56" s="143">
        <f>SUMIFS('февраль 2026'!$G$2:$G$2649,'февраль 2026'!$D$2:$D$2649,$B56,'февраль 2026'!$J$2:$J$2649,I$1)</f>
        <v>0</v>
      </c>
      <c r="J56" s="143">
        <f>SUMIFS('февраль 2026'!$G$2:$G$2649,'февраль 2026'!$D$2:$D$2649,$B56,'февраль 2026'!$J$2:$J$2649,J$1)</f>
        <v>0</v>
      </c>
      <c r="K56" s="143">
        <f>SUMIFS('февраль 2026'!$G$2:$G$2649,'февраль 2026'!$D$2:$D$2649,$B56,'февраль 2026'!$J$2:$J$2649,K$1)</f>
        <v>0</v>
      </c>
      <c r="L56" s="143">
        <f>SUMIFS('февраль 2026'!$G$2:$G$2649,'февраль 2026'!$D$2:$D$2649,$B56,'февраль 2026'!$J$2:$J$2649,L$1)</f>
        <v>0</v>
      </c>
      <c r="M56" s="143">
        <f>SUMIFS('февраль 2026'!$G$2:$G$2649,'февраль 2026'!$D$2:$D$2649,$B56,'февраль 2026'!$J$2:$J$2649,M$1)</f>
        <v>1000</v>
      </c>
      <c r="N56" s="143">
        <f>SUMIFS('февраль 2026'!$G$2:$G$2649,'февраль 2026'!$D$2:$D$2649,$B56,'февраль 2026'!$J$2:$J$2649,N$1)</f>
        <v>0</v>
      </c>
      <c r="O56" s="143">
        <f>SUMIFS('февраль 2026'!$G$2:$G$2649,'февраль 2026'!$D$2:$D$2649,$B56,'февраль 2026'!$J$2:$J$2649,O$1)</f>
        <v>0</v>
      </c>
      <c r="P56" s="143">
        <f>SUMIFS('февраль 2026'!$G$2:$G$2649,'февраль 2026'!$D$2:$D$2649,$B56,'февраль 2026'!$J$2:$J$2649,P$1)</f>
        <v>0</v>
      </c>
      <c r="Q56" s="143">
        <f>SUMIFS('февраль 2026'!$G$2:$G$2649,'февраль 2026'!$D$2:$D$2649,$B56,'февраль 2026'!$J$2:$J$2649,Q$1)</f>
        <v>0</v>
      </c>
      <c r="R56" s="143">
        <f>SUMIFS('февраль 2026'!$G$2:$G$2649,'февраль 2026'!$D$2:$D$2649,$B56,'февраль 2026'!$J$2:$J$2649,R$1)</f>
        <v>0</v>
      </c>
      <c r="S56" s="143">
        <f>SUMIFS('февраль 2026'!$G$2:$G$2649,'февраль 2026'!$D$2:$D$2649,$B56,'февраль 2026'!$J$2:$J$2649,S$1)</f>
        <v>0</v>
      </c>
      <c r="T56" s="143">
        <f>SUMIFS('февраль 2026'!$G$2:$G$2649,'февраль 2026'!$D$2:$D$2649,$B56,'февраль 2026'!$J$2:$J$2649,T$1)</f>
        <v>0</v>
      </c>
      <c r="U56" s="143">
        <f>SUMIFS('февраль 2026'!$G$2:$G$2649,'февраль 2026'!$D$2:$D$2649,$B56,'февраль 2026'!$J$2:$J$2649,U$1)</f>
        <v>0</v>
      </c>
      <c r="V56" s="143">
        <f>SUMIFS('февраль 2026'!$G$2:$G$2649,'февраль 2026'!$D$2:$D$2649,$B56,'февраль 2026'!$J$2:$J$2649,V$1)</f>
        <v>0</v>
      </c>
      <c r="W56" s="143">
        <f>SUMIFS('февраль 2026'!$G$2:$G$2649,'февраль 2026'!$D$2:$D$2649,$B56,'февраль 2026'!$J$2:$J$2649,W$1)</f>
        <v>0</v>
      </c>
      <c r="X56" s="143">
        <f>SUMIFS('февраль 2026'!$G$2:$G$2649,'февраль 2026'!$D$2:$D$2649,$B56,'февраль 2026'!$J$2:$J$2649,X$1)</f>
        <v>0</v>
      </c>
      <c r="Y56" s="143">
        <f>SUMIFS('февраль 2026'!$G$2:$G$2649,'февраль 2026'!$D$2:$D$2649,$B56,'февраль 2026'!$J$2:$J$2649,Y$1)</f>
        <v>0</v>
      </c>
      <c r="Z56" s="143">
        <f>SUMIFS('февраль 2026'!$G$2:$G$2649,'февраль 2026'!$D$2:$D$2649,$B56,'февраль 2026'!$J$2:$J$2649,Z$1)</f>
        <v>0</v>
      </c>
      <c r="AA56" s="143">
        <f>SUMIFS('февраль 2026'!$G$2:$G$2649,'февраль 2026'!$D$2:$D$2649,$B56,'февраль 2026'!$J$2:$J$2649,AA$1)</f>
        <v>0</v>
      </c>
      <c r="AB56" s="143">
        <f>SUMIFS('февраль 2026'!$G$2:$G$2649,'февраль 2026'!$D$2:$D$2649,$B56,'февраль 2026'!$J$2:$J$2649,AB$1)</f>
        <v>0</v>
      </c>
      <c r="AC56" s="143">
        <f>SUMIFS('февраль 2026'!$G$2:$G$2649,'февраль 2026'!$D$2:$D$2649,$B56,'февраль 2026'!$J$2:$J$2649,AC$1)</f>
        <v>0</v>
      </c>
      <c r="AD56" s="143">
        <f>SUMIFS('февраль 2026'!$G$2:$G$2649,'февраль 2026'!$D$2:$D$2649,$B56,'февраль 2026'!$J$2:$J$2649,AD$1)</f>
        <v>0</v>
      </c>
      <c r="AE56" s="143">
        <f>SUMIFS('февраль 2026'!$G$2:$G$2649,'февраль 2026'!$D$2:$D$2649,$B56,'февраль 2026'!$J$2:$J$2649,AE$1)</f>
        <v>0</v>
      </c>
      <c r="AF56" s="143">
        <f>SUMIFS('февраль 2026'!$G$2:$G$2649,'февраль 2026'!$D$2:$D$2649,$B56,'февраль 2026'!$J$2:$J$2649,AF$1)</f>
        <v>0</v>
      </c>
      <c r="AG56" s="143">
        <f>SUMIFS('февраль 2026'!$G$2:$G$2649,'февраль 2026'!$D$2:$D$2649,$B56,'февраль 2026'!$J$2:$J$2649,AG$1)</f>
        <v>0</v>
      </c>
      <c r="AH56" s="143">
        <f>SUMIFS('февраль 2026'!$G$2:$G$2649,'февраль 2026'!$D$2:$D$2649,$B56,'февраль 2026'!$J$2:$J$2649,AH$1)</f>
        <v>0</v>
      </c>
      <c r="AI56" s="20">
        <f t="shared" si="1"/>
        <v>1000</v>
      </c>
    </row>
    <row r="57" spans="2:35" ht="15" customHeight="1" x14ac:dyDescent="0.25">
      <c r="B57" s="122" t="s">
        <v>242</v>
      </c>
      <c r="C57" s="123">
        <v>25</v>
      </c>
      <c r="D57" s="143">
        <f>SUMIFS('февраль 2026'!$G$2:$G$2649,'февраль 2026'!$D$2:$D$2649,$B57,'февраль 2026'!$J$2:$J$2649,D$1)</f>
        <v>0</v>
      </c>
      <c r="E57" s="143">
        <f>SUMIFS('февраль 2026'!$G$2:$G$2649,'февраль 2026'!$D$2:$D$2649,$B57,'февраль 2026'!$J$2:$J$2649,E$1)</f>
        <v>0</v>
      </c>
      <c r="F57" s="143">
        <f>SUMIFS('февраль 2026'!$G$2:$G$2649,'февраль 2026'!$D$2:$D$2649,$B57,'февраль 2026'!$J$2:$J$2649,F$1)</f>
        <v>0</v>
      </c>
      <c r="G57" s="143">
        <f>SUMIFS('февраль 2026'!$G$2:$G$2649,'февраль 2026'!$D$2:$D$2649,$B57,'февраль 2026'!$J$2:$J$2649,G$1)</f>
        <v>0</v>
      </c>
      <c r="H57" s="143">
        <f>SUMIFS('февраль 2026'!$G$2:$G$2649,'февраль 2026'!$D$2:$D$2649,$B57,'февраль 2026'!$J$2:$J$2649,H$1)</f>
        <v>0</v>
      </c>
      <c r="I57" s="143">
        <f>SUMIFS('февраль 2026'!$G$2:$G$2649,'февраль 2026'!$D$2:$D$2649,$B57,'февраль 2026'!$J$2:$J$2649,I$1)</f>
        <v>0</v>
      </c>
      <c r="J57" s="143">
        <f>SUMIFS('февраль 2026'!$G$2:$G$2649,'февраль 2026'!$D$2:$D$2649,$B57,'февраль 2026'!$J$2:$J$2649,J$1)</f>
        <v>0</v>
      </c>
      <c r="K57" s="143">
        <f>SUMIFS('февраль 2026'!$G$2:$G$2649,'февраль 2026'!$D$2:$D$2649,$B57,'февраль 2026'!$J$2:$J$2649,K$1)</f>
        <v>0</v>
      </c>
      <c r="L57" s="143">
        <f>SUMIFS('февраль 2026'!$G$2:$G$2649,'февраль 2026'!$D$2:$D$2649,$B57,'февраль 2026'!$J$2:$J$2649,L$1)</f>
        <v>0</v>
      </c>
      <c r="M57" s="143">
        <f>SUMIFS('февраль 2026'!$G$2:$G$2649,'февраль 2026'!$D$2:$D$2649,$B57,'февраль 2026'!$J$2:$J$2649,M$1)</f>
        <v>0</v>
      </c>
      <c r="N57" s="143">
        <f>SUMIFS('февраль 2026'!$G$2:$G$2649,'февраль 2026'!$D$2:$D$2649,$B57,'февраль 2026'!$J$2:$J$2649,N$1)</f>
        <v>0</v>
      </c>
      <c r="O57" s="143">
        <f>SUMIFS('февраль 2026'!$G$2:$G$2649,'февраль 2026'!$D$2:$D$2649,$B57,'февраль 2026'!$J$2:$J$2649,O$1)</f>
        <v>0</v>
      </c>
      <c r="P57" s="143">
        <f>SUMIFS('февраль 2026'!$G$2:$G$2649,'февраль 2026'!$D$2:$D$2649,$B57,'февраль 2026'!$J$2:$J$2649,P$1)</f>
        <v>0</v>
      </c>
      <c r="Q57" s="143">
        <f>SUMIFS('февраль 2026'!$G$2:$G$2649,'февраль 2026'!$D$2:$D$2649,$B57,'февраль 2026'!$J$2:$J$2649,Q$1)</f>
        <v>0</v>
      </c>
      <c r="R57" s="143">
        <f>SUMIFS('февраль 2026'!$G$2:$G$2649,'февраль 2026'!$D$2:$D$2649,$B57,'февраль 2026'!$J$2:$J$2649,R$1)</f>
        <v>0</v>
      </c>
      <c r="S57" s="143">
        <f>SUMIFS('февраль 2026'!$G$2:$G$2649,'февраль 2026'!$D$2:$D$2649,$B57,'февраль 2026'!$J$2:$J$2649,S$1)</f>
        <v>0</v>
      </c>
      <c r="T57" s="143">
        <f>SUMIFS('февраль 2026'!$G$2:$G$2649,'февраль 2026'!$D$2:$D$2649,$B57,'февраль 2026'!$J$2:$J$2649,T$1)</f>
        <v>0</v>
      </c>
      <c r="U57" s="143">
        <f>SUMIFS('февраль 2026'!$G$2:$G$2649,'февраль 2026'!$D$2:$D$2649,$B57,'февраль 2026'!$J$2:$J$2649,U$1)</f>
        <v>0</v>
      </c>
      <c r="V57" s="143">
        <f>SUMIFS('февраль 2026'!$G$2:$G$2649,'февраль 2026'!$D$2:$D$2649,$B57,'февраль 2026'!$J$2:$J$2649,V$1)</f>
        <v>0</v>
      </c>
      <c r="W57" s="143">
        <f>SUMIFS('февраль 2026'!$G$2:$G$2649,'февраль 2026'!$D$2:$D$2649,$B57,'февраль 2026'!$J$2:$J$2649,W$1)</f>
        <v>0</v>
      </c>
      <c r="X57" s="143">
        <f>SUMIFS('февраль 2026'!$G$2:$G$2649,'февраль 2026'!$D$2:$D$2649,$B57,'февраль 2026'!$J$2:$J$2649,X$1)</f>
        <v>0</v>
      </c>
      <c r="Y57" s="143">
        <f>SUMIFS('февраль 2026'!$G$2:$G$2649,'февраль 2026'!$D$2:$D$2649,$B57,'февраль 2026'!$J$2:$J$2649,Y$1)</f>
        <v>0</v>
      </c>
      <c r="Z57" s="143">
        <f>SUMIFS('февраль 2026'!$G$2:$G$2649,'февраль 2026'!$D$2:$D$2649,$B57,'февраль 2026'!$J$2:$J$2649,Z$1)</f>
        <v>0</v>
      </c>
      <c r="AA57" s="143">
        <f>SUMIFS('февраль 2026'!$G$2:$G$2649,'февраль 2026'!$D$2:$D$2649,$B57,'февраль 2026'!$J$2:$J$2649,AA$1)</f>
        <v>0</v>
      </c>
      <c r="AB57" s="143">
        <f>SUMIFS('февраль 2026'!$G$2:$G$2649,'февраль 2026'!$D$2:$D$2649,$B57,'февраль 2026'!$J$2:$J$2649,AB$1)</f>
        <v>0</v>
      </c>
      <c r="AC57" s="143">
        <f>SUMIFS('февраль 2026'!$G$2:$G$2649,'февраль 2026'!$D$2:$D$2649,$B57,'февраль 2026'!$J$2:$J$2649,AC$1)</f>
        <v>0</v>
      </c>
      <c r="AD57" s="143">
        <f>SUMIFS('февраль 2026'!$G$2:$G$2649,'февраль 2026'!$D$2:$D$2649,$B57,'февраль 2026'!$J$2:$J$2649,AD$1)</f>
        <v>0</v>
      </c>
      <c r="AE57" s="143">
        <f>SUMIFS('февраль 2026'!$G$2:$G$2649,'февраль 2026'!$D$2:$D$2649,$B57,'февраль 2026'!$J$2:$J$2649,AE$1)</f>
        <v>0</v>
      </c>
      <c r="AF57" s="143">
        <f>SUMIFS('февраль 2026'!$G$2:$G$2649,'февраль 2026'!$D$2:$D$2649,$B57,'февраль 2026'!$J$2:$J$2649,AF$1)</f>
        <v>0</v>
      </c>
      <c r="AG57" s="143">
        <f>SUMIFS('февраль 2026'!$G$2:$G$2649,'февраль 2026'!$D$2:$D$2649,$B57,'февраль 2026'!$J$2:$J$2649,AG$1)</f>
        <v>0</v>
      </c>
      <c r="AH57" s="143">
        <f>SUMIFS('февраль 2026'!$G$2:$G$2649,'февраль 2026'!$D$2:$D$2649,$B57,'февраль 2026'!$J$2:$J$2649,AH$1)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SUMIFS('февраль 2026'!$G$2:$G$2649,'февраль 2026'!$D$2:$D$2649,$B58,'февраль 2026'!$J$2:$J$2649,D$1)</f>
        <v>0</v>
      </c>
      <c r="E58" s="143">
        <f>SUMIFS('февраль 2026'!$G$2:$G$2649,'февраль 2026'!$D$2:$D$2649,$B58,'февраль 2026'!$J$2:$J$2649,E$1)</f>
        <v>0</v>
      </c>
      <c r="F58" s="143">
        <f>SUMIFS('февраль 2026'!$G$2:$G$2649,'февраль 2026'!$D$2:$D$2649,$B58,'февраль 2026'!$J$2:$J$2649,F$1)</f>
        <v>0</v>
      </c>
      <c r="G58" s="143">
        <f>SUMIFS('февраль 2026'!$G$2:$G$2649,'февраль 2026'!$D$2:$D$2649,$B58,'февраль 2026'!$J$2:$J$2649,G$1)</f>
        <v>0</v>
      </c>
      <c r="H58" s="143">
        <f>SUMIFS('февраль 2026'!$G$2:$G$2649,'февраль 2026'!$D$2:$D$2649,$B58,'февраль 2026'!$J$2:$J$2649,H$1)</f>
        <v>0</v>
      </c>
      <c r="I58" s="143">
        <f>SUMIFS('февраль 2026'!$G$2:$G$2649,'февраль 2026'!$D$2:$D$2649,$B58,'февраль 2026'!$J$2:$J$2649,I$1)</f>
        <v>0</v>
      </c>
      <c r="J58" s="143">
        <f>SUMIFS('февраль 2026'!$G$2:$G$2649,'февраль 2026'!$D$2:$D$2649,$B58,'февраль 2026'!$J$2:$J$2649,J$1)</f>
        <v>0</v>
      </c>
      <c r="K58" s="143">
        <f>SUMIFS('февраль 2026'!$G$2:$G$2649,'февраль 2026'!$D$2:$D$2649,$B58,'февраль 2026'!$J$2:$J$2649,K$1)</f>
        <v>0</v>
      </c>
      <c r="L58" s="143">
        <f>SUMIFS('февраль 2026'!$G$2:$G$2649,'февраль 2026'!$D$2:$D$2649,$B58,'февраль 2026'!$J$2:$J$2649,L$1)</f>
        <v>0</v>
      </c>
      <c r="M58" s="143">
        <f>SUMIFS('февраль 2026'!$G$2:$G$2649,'февраль 2026'!$D$2:$D$2649,$B58,'февраль 2026'!$J$2:$J$2649,M$1)</f>
        <v>0</v>
      </c>
      <c r="N58" s="143">
        <f>SUMIFS('февраль 2026'!$G$2:$G$2649,'февраль 2026'!$D$2:$D$2649,$B58,'февраль 2026'!$J$2:$J$2649,N$1)</f>
        <v>0</v>
      </c>
      <c r="O58" s="143">
        <f>SUMIFS('февраль 2026'!$G$2:$G$2649,'февраль 2026'!$D$2:$D$2649,$B58,'февраль 2026'!$J$2:$J$2649,O$1)</f>
        <v>0</v>
      </c>
      <c r="P58" s="143">
        <f>SUMIFS('февраль 2026'!$G$2:$G$2649,'февраль 2026'!$D$2:$D$2649,$B58,'февраль 2026'!$J$2:$J$2649,P$1)</f>
        <v>0</v>
      </c>
      <c r="Q58" s="143">
        <f>SUMIFS('февраль 2026'!$G$2:$G$2649,'февраль 2026'!$D$2:$D$2649,$B58,'февраль 2026'!$J$2:$J$2649,Q$1)</f>
        <v>0</v>
      </c>
      <c r="R58" s="143">
        <f>SUMIFS('февраль 2026'!$G$2:$G$2649,'февраль 2026'!$D$2:$D$2649,$B58,'февраль 2026'!$J$2:$J$2649,R$1)</f>
        <v>0</v>
      </c>
      <c r="S58" s="143">
        <f>SUMIFS('февраль 2026'!$G$2:$G$2649,'февраль 2026'!$D$2:$D$2649,$B58,'февраль 2026'!$J$2:$J$2649,S$1)</f>
        <v>0</v>
      </c>
      <c r="T58" s="143">
        <f>SUMIFS('февраль 2026'!$G$2:$G$2649,'февраль 2026'!$D$2:$D$2649,$B58,'февраль 2026'!$J$2:$J$2649,T$1)</f>
        <v>0</v>
      </c>
      <c r="U58" s="143">
        <f>SUMIFS('февраль 2026'!$G$2:$G$2649,'февраль 2026'!$D$2:$D$2649,$B58,'февраль 2026'!$J$2:$J$2649,U$1)</f>
        <v>0</v>
      </c>
      <c r="V58" s="143">
        <f>SUMIFS('февраль 2026'!$G$2:$G$2649,'февраль 2026'!$D$2:$D$2649,$B58,'февраль 2026'!$J$2:$J$2649,V$1)</f>
        <v>0</v>
      </c>
      <c r="W58" s="143">
        <f>SUMIFS('февраль 2026'!$G$2:$G$2649,'февраль 2026'!$D$2:$D$2649,$B58,'февраль 2026'!$J$2:$J$2649,W$1)</f>
        <v>0</v>
      </c>
      <c r="X58" s="143">
        <f>SUMIFS('февраль 2026'!$G$2:$G$2649,'февраль 2026'!$D$2:$D$2649,$B58,'февраль 2026'!$J$2:$J$2649,X$1)</f>
        <v>0</v>
      </c>
      <c r="Y58" s="143">
        <f>SUMIFS('февраль 2026'!$G$2:$G$2649,'февраль 2026'!$D$2:$D$2649,$B58,'февраль 2026'!$J$2:$J$2649,Y$1)</f>
        <v>0</v>
      </c>
      <c r="Z58" s="143">
        <f>SUMIFS('февраль 2026'!$G$2:$G$2649,'февраль 2026'!$D$2:$D$2649,$B58,'февраль 2026'!$J$2:$J$2649,Z$1)</f>
        <v>0</v>
      </c>
      <c r="AA58" s="143">
        <f>SUMIFS('февраль 2026'!$G$2:$G$2649,'февраль 2026'!$D$2:$D$2649,$B58,'февраль 2026'!$J$2:$J$2649,AA$1)</f>
        <v>0</v>
      </c>
      <c r="AB58" s="143">
        <f>SUMIFS('февраль 2026'!$G$2:$G$2649,'февраль 2026'!$D$2:$D$2649,$B58,'февраль 2026'!$J$2:$J$2649,AB$1)</f>
        <v>0</v>
      </c>
      <c r="AC58" s="143">
        <f>SUMIFS('февраль 2026'!$G$2:$G$2649,'февраль 2026'!$D$2:$D$2649,$B58,'февраль 2026'!$J$2:$J$2649,AC$1)</f>
        <v>0</v>
      </c>
      <c r="AD58" s="143">
        <f>SUMIFS('февраль 2026'!$G$2:$G$2649,'февраль 2026'!$D$2:$D$2649,$B58,'февраль 2026'!$J$2:$J$2649,AD$1)</f>
        <v>0</v>
      </c>
      <c r="AE58" s="143">
        <f>SUMIFS('февраль 2026'!$G$2:$G$2649,'февраль 2026'!$D$2:$D$2649,$B58,'февраль 2026'!$J$2:$J$2649,AE$1)</f>
        <v>0</v>
      </c>
      <c r="AF58" s="143">
        <f>SUMIFS('февраль 2026'!$G$2:$G$2649,'февраль 2026'!$D$2:$D$2649,$B58,'февраль 2026'!$J$2:$J$2649,AF$1)</f>
        <v>0</v>
      </c>
      <c r="AG58" s="143">
        <f>SUMIFS('февраль 2026'!$G$2:$G$2649,'февраль 2026'!$D$2:$D$2649,$B58,'февраль 2026'!$J$2:$J$2649,AG$1)</f>
        <v>0</v>
      </c>
      <c r="AH58" s="143">
        <f>SUMIFS('февраль 2026'!$G$2:$G$2649,'февраль 2026'!$D$2:$D$2649,$B58,'февраль 2026'!$J$2:$J$2649,AH$1)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SUMIFS('февраль 2026'!$G$2:$G$2649,'февраль 2026'!$D$2:$D$2649,$B59,'февраль 2026'!$J$2:$J$2649,D$1)</f>
        <v>0</v>
      </c>
      <c r="E59" s="143">
        <f>SUMIFS('февраль 2026'!$G$2:$G$2649,'февраль 2026'!$D$2:$D$2649,$B59,'февраль 2026'!$J$2:$J$2649,E$1)</f>
        <v>0</v>
      </c>
      <c r="F59" s="143">
        <f>SUMIFS('февраль 2026'!$G$2:$G$2649,'февраль 2026'!$D$2:$D$2649,$B59,'февраль 2026'!$J$2:$J$2649,F$1)</f>
        <v>0</v>
      </c>
      <c r="G59" s="143">
        <f>SUMIFS('февраль 2026'!$G$2:$G$2649,'февраль 2026'!$D$2:$D$2649,$B59,'февраль 2026'!$J$2:$J$2649,G$1)</f>
        <v>0</v>
      </c>
      <c r="H59" s="143">
        <f>SUMIFS('февраль 2026'!$G$2:$G$2649,'февраль 2026'!$D$2:$D$2649,$B59,'февраль 2026'!$J$2:$J$2649,H$1)</f>
        <v>0</v>
      </c>
      <c r="I59" s="143">
        <f>SUMIFS('февраль 2026'!$G$2:$G$2649,'февраль 2026'!$D$2:$D$2649,$B59,'февраль 2026'!$J$2:$J$2649,I$1)</f>
        <v>0</v>
      </c>
      <c r="J59" s="143">
        <f>SUMIFS('февраль 2026'!$G$2:$G$2649,'февраль 2026'!$D$2:$D$2649,$B59,'февраль 2026'!$J$2:$J$2649,J$1)</f>
        <v>0</v>
      </c>
      <c r="K59" s="143">
        <f>SUMIFS('февраль 2026'!$G$2:$G$2649,'февраль 2026'!$D$2:$D$2649,$B59,'февраль 2026'!$J$2:$J$2649,K$1)</f>
        <v>0</v>
      </c>
      <c r="L59" s="143">
        <f>SUMIFS('февраль 2026'!$G$2:$G$2649,'февраль 2026'!$D$2:$D$2649,$B59,'февраль 2026'!$J$2:$J$2649,L$1)</f>
        <v>0</v>
      </c>
      <c r="M59" s="143">
        <f>SUMIFS('февраль 2026'!$G$2:$G$2649,'февраль 2026'!$D$2:$D$2649,$B59,'февраль 2026'!$J$2:$J$2649,M$1)</f>
        <v>0</v>
      </c>
      <c r="N59" s="143">
        <f>SUMIFS('февраль 2026'!$G$2:$G$2649,'февраль 2026'!$D$2:$D$2649,$B59,'февраль 2026'!$J$2:$J$2649,N$1)</f>
        <v>0</v>
      </c>
      <c r="O59" s="143">
        <f>SUMIFS('февраль 2026'!$G$2:$G$2649,'февраль 2026'!$D$2:$D$2649,$B59,'февраль 2026'!$J$2:$J$2649,O$1)</f>
        <v>0</v>
      </c>
      <c r="P59" s="143">
        <f>SUMIFS('февраль 2026'!$G$2:$G$2649,'февраль 2026'!$D$2:$D$2649,$B59,'февраль 2026'!$J$2:$J$2649,P$1)</f>
        <v>0</v>
      </c>
      <c r="Q59" s="143">
        <f>SUMIFS('февраль 2026'!$G$2:$G$2649,'февраль 2026'!$D$2:$D$2649,$B59,'февраль 2026'!$J$2:$J$2649,Q$1)</f>
        <v>0</v>
      </c>
      <c r="R59" s="143">
        <f>SUMIFS('февраль 2026'!$G$2:$G$2649,'февраль 2026'!$D$2:$D$2649,$B59,'февраль 2026'!$J$2:$J$2649,R$1)</f>
        <v>0</v>
      </c>
      <c r="S59" s="143">
        <f>SUMIFS('февраль 2026'!$G$2:$G$2649,'февраль 2026'!$D$2:$D$2649,$B59,'февраль 2026'!$J$2:$J$2649,S$1)</f>
        <v>0</v>
      </c>
      <c r="T59" s="143">
        <f>SUMIFS('февраль 2026'!$G$2:$G$2649,'февраль 2026'!$D$2:$D$2649,$B59,'февраль 2026'!$J$2:$J$2649,T$1)</f>
        <v>0</v>
      </c>
      <c r="U59" s="143">
        <f>SUMIFS('февраль 2026'!$G$2:$G$2649,'февраль 2026'!$D$2:$D$2649,$B59,'февраль 2026'!$J$2:$J$2649,U$1)</f>
        <v>0</v>
      </c>
      <c r="V59" s="143">
        <f>SUMIFS('февраль 2026'!$G$2:$G$2649,'февраль 2026'!$D$2:$D$2649,$B59,'февраль 2026'!$J$2:$J$2649,V$1)</f>
        <v>0</v>
      </c>
      <c r="W59" s="143">
        <f>SUMIFS('февраль 2026'!$G$2:$G$2649,'февраль 2026'!$D$2:$D$2649,$B59,'февраль 2026'!$J$2:$J$2649,W$1)</f>
        <v>0</v>
      </c>
      <c r="X59" s="143">
        <f>SUMIFS('февраль 2026'!$G$2:$G$2649,'февраль 2026'!$D$2:$D$2649,$B59,'февраль 2026'!$J$2:$J$2649,X$1)</f>
        <v>0</v>
      </c>
      <c r="Y59" s="143">
        <f>SUMIFS('февраль 2026'!$G$2:$G$2649,'февраль 2026'!$D$2:$D$2649,$B59,'февраль 2026'!$J$2:$J$2649,Y$1)</f>
        <v>0</v>
      </c>
      <c r="Z59" s="143">
        <f>SUMIFS('февраль 2026'!$G$2:$G$2649,'февраль 2026'!$D$2:$D$2649,$B59,'февраль 2026'!$J$2:$J$2649,Z$1)</f>
        <v>0</v>
      </c>
      <c r="AA59" s="143">
        <f>SUMIFS('февраль 2026'!$G$2:$G$2649,'февраль 2026'!$D$2:$D$2649,$B59,'февраль 2026'!$J$2:$J$2649,AA$1)</f>
        <v>0</v>
      </c>
      <c r="AB59" s="143">
        <f>SUMIFS('февраль 2026'!$G$2:$G$2649,'февраль 2026'!$D$2:$D$2649,$B59,'февраль 2026'!$J$2:$J$2649,AB$1)</f>
        <v>0</v>
      </c>
      <c r="AC59" s="143">
        <f>SUMIFS('февраль 2026'!$G$2:$G$2649,'февраль 2026'!$D$2:$D$2649,$B59,'февраль 2026'!$J$2:$J$2649,AC$1)</f>
        <v>0</v>
      </c>
      <c r="AD59" s="143">
        <f>SUMIFS('февраль 2026'!$G$2:$G$2649,'февраль 2026'!$D$2:$D$2649,$B59,'февраль 2026'!$J$2:$J$2649,AD$1)</f>
        <v>0</v>
      </c>
      <c r="AE59" s="143">
        <f>SUMIFS('февраль 2026'!$G$2:$G$2649,'февраль 2026'!$D$2:$D$2649,$B59,'февраль 2026'!$J$2:$J$2649,AE$1)</f>
        <v>0</v>
      </c>
      <c r="AF59" s="143">
        <f>SUMIFS('февраль 2026'!$G$2:$G$2649,'февраль 2026'!$D$2:$D$2649,$B59,'февраль 2026'!$J$2:$J$2649,AF$1)</f>
        <v>0</v>
      </c>
      <c r="AG59" s="143">
        <f>SUMIFS('февраль 2026'!$G$2:$G$2649,'февраль 2026'!$D$2:$D$2649,$B59,'февраль 2026'!$J$2:$J$2649,AG$1)</f>
        <v>0</v>
      </c>
      <c r="AH59" s="143">
        <f>SUMIFS('февраль 2026'!$G$2:$G$2649,'февраль 2026'!$D$2:$D$2649,$B59,'февраль 2026'!$J$2:$J$2649,AH$1)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SUMIFS('февраль 2026'!$G$2:$G$2649,'февраль 2026'!$D$2:$D$2649,$B60,'февраль 2026'!$J$2:$J$2649,D$1)</f>
        <v>0</v>
      </c>
      <c r="E60" s="143">
        <f>SUMIFS('февраль 2026'!$G$2:$G$2649,'февраль 2026'!$D$2:$D$2649,$B60,'февраль 2026'!$J$2:$J$2649,E$1)</f>
        <v>0</v>
      </c>
      <c r="F60" s="143">
        <f>SUMIFS('февраль 2026'!$G$2:$G$2649,'февраль 2026'!$D$2:$D$2649,$B60,'февраль 2026'!$J$2:$J$2649,F$1)</f>
        <v>0</v>
      </c>
      <c r="G60" s="143">
        <f>SUMIFS('февраль 2026'!$G$2:$G$2649,'февраль 2026'!$D$2:$D$2649,$B60,'февраль 2026'!$J$2:$J$2649,G$1)</f>
        <v>0</v>
      </c>
      <c r="H60" s="143">
        <f>SUMIFS('февраль 2026'!$G$2:$G$2649,'февраль 2026'!$D$2:$D$2649,$B60,'февраль 2026'!$J$2:$J$2649,H$1)</f>
        <v>0</v>
      </c>
      <c r="I60" s="143">
        <f>SUMIFS('февраль 2026'!$G$2:$G$2649,'февраль 2026'!$D$2:$D$2649,$B60,'февраль 2026'!$J$2:$J$2649,I$1)</f>
        <v>0</v>
      </c>
      <c r="J60" s="143">
        <f>SUMIFS('февраль 2026'!$G$2:$G$2649,'февраль 2026'!$D$2:$D$2649,$B60,'февраль 2026'!$J$2:$J$2649,J$1)</f>
        <v>0</v>
      </c>
      <c r="K60" s="143">
        <f>SUMIFS('февраль 2026'!$G$2:$G$2649,'февраль 2026'!$D$2:$D$2649,$B60,'февраль 2026'!$J$2:$J$2649,K$1)</f>
        <v>0</v>
      </c>
      <c r="L60" s="143">
        <f>SUMIFS('февраль 2026'!$G$2:$G$2649,'февраль 2026'!$D$2:$D$2649,$B60,'февраль 2026'!$J$2:$J$2649,L$1)</f>
        <v>0</v>
      </c>
      <c r="M60" s="143">
        <f>SUMIFS('февраль 2026'!$G$2:$G$2649,'февраль 2026'!$D$2:$D$2649,$B60,'февраль 2026'!$J$2:$J$2649,M$1)</f>
        <v>0</v>
      </c>
      <c r="N60" s="143">
        <f>SUMIFS('февраль 2026'!$G$2:$G$2649,'февраль 2026'!$D$2:$D$2649,$B60,'февраль 2026'!$J$2:$J$2649,N$1)</f>
        <v>0</v>
      </c>
      <c r="O60" s="143">
        <f>SUMIFS('февраль 2026'!$G$2:$G$2649,'февраль 2026'!$D$2:$D$2649,$B60,'февраль 2026'!$J$2:$J$2649,O$1)</f>
        <v>0</v>
      </c>
      <c r="P60" s="143">
        <f>SUMIFS('февраль 2026'!$G$2:$G$2649,'февраль 2026'!$D$2:$D$2649,$B60,'февраль 2026'!$J$2:$J$2649,P$1)</f>
        <v>0</v>
      </c>
      <c r="Q60" s="143">
        <f>SUMIFS('февраль 2026'!$G$2:$G$2649,'февраль 2026'!$D$2:$D$2649,$B60,'февраль 2026'!$J$2:$J$2649,Q$1)</f>
        <v>0</v>
      </c>
      <c r="R60" s="143">
        <f>SUMIFS('февраль 2026'!$G$2:$G$2649,'февраль 2026'!$D$2:$D$2649,$B60,'февраль 2026'!$J$2:$J$2649,R$1)</f>
        <v>0</v>
      </c>
      <c r="S60" s="143">
        <f>SUMIFS('февраль 2026'!$G$2:$G$2649,'февраль 2026'!$D$2:$D$2649,$B60,'февраль 2026'!$J$2:$J$2649,S$1)</f>
        <v>0</v>
      </c>
      <c r="T60" s="143">
        <f>SUMIFS('февраль 2026'!$G$2:$G$2649,'февраль 2026'!$D$2:$D$2649,$B60,'февраль 2026'!$J$2:$J$2649,T$1)</f>
        <v>0</v>
      </c>
      <c r="U60" s="143">
        <f>SUMIFS('февраль 2026'!$G$2:$G$2649,'февраль 2026'!$D$2:$D$2649,$B60,'февраль 2026'!$J$2:$J$2649,U$1)</f>
        <v>0</v>
      </c>
      <c r="V60" s="143">
        <f>SUMIFS('февраль 2026'!$G$2:$G$2649,'февраль 2026'!$D$2:$D$2649,$B60,'февраль 2026'!$J$2:$J$2649,V$1)</f>
        <v>0</v>
      </c>
      <c r="W60" s="143">
        <f>SUMIFS('февраль 2026'!$G$2:$G$2649,'февраль 2026'!$D$2:$D$2649,$B60,'февраль 2026'!$J$2:$J$2649,W$1)</f>
        <v>0</v>
      </c>
      <c r="X60" s="143">
        <f>SUMIFS('февраль 2026'!$G$2:$G$2649,'февраль 2026'!$D$2:$D$2649,$B60,'февраль 2026'!$J$2:$J$2649,X$1)</f>
        <v>0</v>
      </c>
      <c r="Y60" s="143">
        <f>SUMIFS('февраль 2026'!$G$2:$G$2649,'февраль 2026'!$D$2:$D$2649,$B60,'февраль 2026'!$J$2:$J$2649,Y$1)</f>
        <v>0</v>
      </c>
      <c r="Z60" s="143">
        <f>SUMIFS('февраль 2026'!$G$2:$G$2649,'февраль 2026'!$D$2:$D$2649,$B60,'февраль 2026'!$J$2:$J$2649,Z$1)</f>
        <v>0</v>
      </c>
      <c r="AA60" s="143">
        <f>SUMIFS('февраль 2026'!$G$2:$G$2649,'февраль 2026'!$D$2:$D$2649,$B60,'февраль 2026'!$J$2:$J$2649,AA$1)</f>
        <v>0</v>
      </c>
      <c r="AB60" s="143">
        <f>SUMIFS('февраль 2026'!$G$2:$G$2649,'февраль 2026'!$D$2:$D$2649,$B60,'февраль 2026'!$J$2:$J$2649,AB$1)</f>
        <v>0</v>
      </c>
      <c r="AC60" s="143">
        <f>SUMIFS('февраль 2026'!$G$2:$G$2649,'февраль 2026'!$D$2:$D$2649,$B60,'февраль 2026'!$J$2:$J$2649,AC$1)</f>
        <v>0</v>
      </c>
      <c r="AD60" s="143">
        <f>SUMIFS('февраль 2026'!$G$2:$G$2649,'февраль 2026'!$D$2:$D$2649,$B60,'февраль 2026'!$J$2:$J$2649,AD$1)</f>
        <v>0</v>
      </c>
      <c r="AE60" s="143">
        <f>SUMIFS('февраль 2026'!$G$2:$G$2649,'февраль 2026'!$D$2:$D$2649,$B60,'февраль 2026'!$J$2:$J$2649,AE$1)</f>
        <v>0</v>
      </c>
      <c r="AF60" s="143">
        <f>SUMIFS('февраль 2026'!$G$2:$G$2649,'февраль 2026'!$D$2:$D$2649,$B60,'февраль 2026'!$J$2:$J$2649,AF$1)</f>
        <v>0</v>
      </c>
      <c r="AG60" s="143">
        <f>SUMIFS('февраль 2026'!$G$2:$G$2649,'февраль 2026'!$D$2:$D$2649,$B60,'февраль 2026'!$J$2:$J$2649,AG$1)</f>
        <v>0</v>
      </c>
      <c r="AH60" s="143">
        <f>SUMIFS('февраль 2026'!$G$2:$G$2649,'февраль 2026'!$D$2:$D$2649,$B60,'февраль 2026'!$J$2:$J$2649,AH$1)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SUMIFS('февраль 2026'!$G$2:$G$2649,'февраль 2026'!$D$2:$D$2649,$B61,'февраль 2026'!$J$2:$J$2649,D$1)</f>
        <v>0</v>
      </c>
      <c r="E61" s="143">
        <f>SUMIFS('февраль 2026'!$G$2:$G$2649,'февраль 2026'!$D$2:$D$2649,$B61,'февраль 2026'!$J$2:$J$2649,E$1)</f>
        <v>0</v>
      </c>
      <c r="F61" s="143">
        <f>SUMIFS('февраль 2026'!$G$2:$G$2649,'февраль 2026'!$D$2:$D$2649,$B61,'февраль 2026'!$J$2:$J$2649,F$1)</f>
        <v>0</v>
      </c>
      <c r="G61" s="143">
        <f>SUMIFS('февраль 2026'!$G$2:$G$2649,'февраль 2026'!$D$2:$D$2649,$B61,'февраль 2026'!$J$2:$J$2649,G$1)</f>
        <v>0</v>
      </c>
      <c r="H61" s="143">
        <f>SUMIFS('февраль 2026'!$G$2:$G$2649,'февраль 2026'!$D$2:$D$2649,$B61,'февраль 2026'!$J$2:$J$2649,H$1)</f>
        <v>0</v>
      </c>
      <c r="I61" s="143">
        <f>SUMIFS('февраль 2026'!$G$2:$G$2649,'февраль 2026'!$D$2:$D$2649,$B61,'февраль 2026'!$J$2:$J$2649,I$1)</f>
        <v>0</v>
      </c>
      <c r="J61" s="143">
        <f>SUMIFS('февраль 2026'!$G$2:$G$2649,'февраль 2026'!$D$2:$D$2649,$B61,'февраль 2026'!$J$2:$J$2649,J$1)</f>
        <v>0</v>
      </c>
      <c r="K61" s="143">
        <f>SUMIFS('февраль 2026'!$G$2:$G$2649,'февраль 2026'!$D$2:$D$2649,$B61,'февраль 2026'!$J$2:$J$2649,K$1)</f>
        <v>0</v>
      </c>
      <c r="L61" s="143">
        <f>SUMIFS('февраль 2026'!$G$2:$G$2649,'февраль 2026'!$D$2:$D$2649,$B61,'февраль 2026'!$J$2:$J$2649,L$1)</f>
        <v>0</v>
      </c>
      <c r="M61" s="143">
        <f>SUMIFS('февраль 2026'!$G$2:$G$2649,'февраль 2026'!$D$2:$D$2649,$B61,'февраль 2026'!$J$2:$J$2649,M$1)</f>
        <v>0</v>
      </c>
      <c r="N61" s="143">
        <f>SUMIFS('февраль 2026'!$G$2:$G$2649,'февраль 2026'!$D$2:$D$2649,$B61,'февраль 2026'!$J$2:$J$2649,N$1)</f>
        <v>0</v>
      </c>
      <c r="O61" s="143">
        <f>SUMIFS('февраль 2026'!$G$2:$G$2649,'февраль 2026'!$D$2:$D$2649,$B61,'февраль 2026'!$J$2:$J$2649,O$1)</f>
        <v>0</v>
      </c>
      <c r="P61" s="143">
        <f>SUMIFS('февраль 2026'!$G$2:$G$2649,'февраль 2026'!$D$2:$D$2649,$B61,'февраль 2026'!$J$2:$J$2649,P$1)</f>
        <v>0</v>
      </c>
      <c r="Q61" s="143">
        <f>SUMIFS('февраль 2026'!$G$2:$G$2649,'февраль 2026'!$D$2:$D$2649,$B61,'февраль 2026'!$J$2:$J$2649,Q$1)</f>
        <v>0</v>
      </c>
      <c r="R61" s="143">
        <f>SUMIFS('февраль 2026'!$G$2:$G$2649,'февраль 2026'!$D$2:$D$2649,$B61,'февраль 2026'!$J$2:$J$2649,R$1)</f>
        <v>0</v>
      </c>
      <c r="S61" s="143">
        <f>SUMIFS('февраль 2026'!$G$2:$G$2649,'февраль 2026'!$D$2:$D$2649,$B61,'февраль 2026'!$J$2:$J$2649,S$1)</f>
        <v>0</v>
      </c>
      <c r="T61" s="143">
        <f>SUMIFS('февраль 2026'!$G$2:$G$2649,'февраль 2026'!$D$2:$D$2649,$B61,'февраль 2026'!$J$2:$J$2649,T$1)</f>
        <v>0</v>
      </c>
      <c r="U61" s="143">
        <f>SUMIFS('февраль 2026'!$G$2:$G$2649,'февраль 2026'!$D$2:$D$2649,$B61,'февраль 2026'!$J$2:$J$2649,U$1)</f>
        <v>0</v>
      </c>
      <c r="V61" s="143">
        <f>SUMIFS('февраль 2026'!$G$2:$G$2649,'февраль 2026'!$D$2:$D$2649,$B61,'февраль 2026'!$J$2:$J$2649,V$1)</f>
        <v>0</v>
      </c>
      <c r="W61" s="143">
        <f>SUMIFS('февраль 2026'!$G$2:$G$2649,'февраль 2026'!$D$2:$D$2649,$B61,'февраль 2026'!$J$2:$J$2649,W$1)</f>
        <v>0</v>
      </c>
      <c r="X61" s="143">
        <f>SUMIFS('февраль 2026'!$G$2:$G$2649,'февраль 2026'!$D$2:$D$2649,$B61,'февраль 2026'!$J$2:$J$2649,X$1)</f>
        <v>0</v>
      </c>
      <c r="Y61" s="143">
        <f>SUMIFS('февраль 2026'!$G$2:$G$2649,'февраль 2026'!$D$2:$D$2649,$B61,'февраль 2026'!$J$2:$J$2649,Y$1)</f>
        <v>0</v>
      </c>
      <c r="Z61" s="143">
        <f>SUMIFS('февраль 2026'!$G$2:$G$2649,'февраль 2026'!$D$2:$D$2649,$B61,'февраль 2026'!$J$2:$J$2649,Z$1)</f>
        <v>0</v>
      </c>
      <c r="AA61" s="143">
        <f>SUMIFS('февраль 2026'!$G$2:$G$2649,'февраль 2026'!$D$2:$D$2649,$B61,'февраль 2026'!$J$2:$J$2649,AA$1)</f>
        <v>0</v>
      </c>
      <c r="AB61" s="143">
        <f>SUMIFS('февраль 2026'!$G$2:$G$2649,'февраль 2026'!$D$2:$D$2649,$B61,'февраль 2026'!$J$2:$J$2649,AB$1)</f>
        <v>0</v>
      </c>
      <c r="AC61" s="143">
        <f>SUMIFS('февраль 2026'!$G$2:$G$2649,'февраль 2026'!$D$2:$D$2649,$B61,'февраль 2026'!$J$2:$J$2649,AC$1)</f>
        <v>0</v>
      </c>
      <c r="AD61" s="143">
        <f>SUMIFS('февраль 2026'!$G$2:$G$2649,'февраль 2026'!$D$2:$D$2649,$B61,'февраль 2026'!$J$2:$J$2649,AD$1)</f>
        <v>0</v>
      </c>
      <c r="AE61" s="143">
        <f>SUMIFS('февраль 2026'!$G$2:$G$2649,'февраль 2026'!$D$2:$D$2649,$B61,'февраль 2026'!$J$2:$J$2649,AE$1)</f>
        <v>0</v>
      </c>
      <c r="AF61" s="143">
        <f>SUMIFS('февраль 2026'!$G$2:$G$2649,'февраль 2026'!$D$2:$D$2649,$B61,'февраль 2026'!$J$2:$J$2649,AF$1)</f>
        <v>0</v>
      </c>
      <c r="AG61" s="143">
        <f>SUMIFS('февраль 2026'!$G$2:$G$2649,'февраль 2026'!$D$2:$D$2649,$B61,'февраль 2026'!$J$2:$J$2649,AG$1)</f>
        <v>0</v>
      </c>
      <c r="AH61" s="143">
        <f>SUMIFS('февраль 2026'!$G$2:$G$2649,'февраль 2026'!$D$2:$D$2649,$B61,'февраль 2026'!$J$2:$J$2649,AH$1)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SUMIFS('февраль 2026'!$G$2:$G$2649,'февраль 2026'!$D$2:$D$2649,$B62,'февраль 2026'!$J$2:$J$2649,D$1)</f>
        <v>0</v>
      </c>
      <c r="E62" s="143">
        <f>SUMIFS('февраль 2026'!$G$2:$G$2649,'февраль 2026'!$D$2:$D$2649,$B62,'февраль 2026'!$J$2:$J$2649,E$1)</f>
        <v>0</v>
      </c>
      <c r="F62" s="143">
        <f>SUMIFS('февраль 2026'!$G$2:$G$2649,'февраль 2026'!$D$2:$D$2649,$B62,'февраль 2026'!$J$2:$J$2649,F$1)</f>
        <v>0</v>
      </c>
      <c r="G62" s="143">
        <f>SUMIFS('февраль 2026'!$G$2:$G$2649,'февраль 2026'!$D$2:$D$2649,$B62,'февраль 2026'!$J$2:$J$2649,G$1)</f>
        <v>0</v>
      </c>
      <c r="H62" s="143">
        <f>SUMIFS('февраль 2026'!$G$2:$G$2649,'февраль 2026'!$D$2:$D$2649,$B62,'февраль 2026'!$J$2:$J$2649,H$1)</f>
        <v>0</v>
      </c>
      <c r="I62" s="143">
        <f>SUMIFS('февраль 2026'!$G$2:$G$2649,'февраль 2026'!$D$2:$D$2649,$B62,'февраль 2026'!$J$2:$J$2649,I$1)</f>
        <v>0</v>
      </c>
      <c r="J62" s="143">
        <f>SUMIFS('февраль 2026'!$G$2:$G$2649,'февраль 2026'!$D$2:$D$2649,$B62,'февраль 2026'!$J$2:$J$2649,J$1)</f>
        <v>0</v>
      </c>
      <c r="K62" s="143">
        <f>SUMIFS('февраль 2026'!$G$2:$G$2649,'февраль 2026'!$D$2:$D$2649,$B62,'февраль 2026'!$J$2:$J$2649,K$1)</f>
        <v>0</v>
      </c>
      <c r="L62" s="143">
        <f>SUMIFS('февраль 2026'!$G$2:$G$2649,'февраль 2026'!$D$2:$D$2649,$B62,'февраль 2026'!$J$2:$J$2649,L$1)</f>
        <v>0</v>
      </c>
      <c r="M62" s="143">
        <f>SUMIFS('февраль 2026'!$G$2:$G$2649,'февраль 2026'!$D$2:$D$2649,$B62,'февраль 2026'!$J$2:$J$2649,M$1)</f>
        <v>0</v>
      </c>
      <c r="N62" s="143">
        <f>SUMIFS('февраль 2026'!$G$2:$G$2649,'февраль 2026'!$D$2:$D$2649,$B62,'февраль 2026'!$J$2:$J$2649,N$1)</f>
        <v>0</v>
      </c>
      <c r="O62" s="143">
        <f>SUMIFS('февраль 2026'!$G$2:$G$2649,'февраль 2026'!$D$2:$D$2649,$B62,'февраль 2026'!$J$2:$J$2649,O$1)</f>
        <v>0</v>
      </c>
      <c r="P62" s="143">
        <f>SUMIFS('февраль 2026'!$G$2:$G$2649,'февраль 2026'!$D$2:$D$2649,$B62,'февраль 2026'!$J$2:$J$2649,P$1)</f>
        <v>0</v>
      </c>
      <c r="Q62" s="143">
        <f>SUMIFS('февраль 2026'!$G$2:$G$2649,'февраль 2026'!$D$2:$D$2649,$B62,'февраль 2026'!$J$2:$J$2649,Q$1)</f>
        <v>0</v>
      </c>
      <c r="R62" s="143">
        <f>SUMIFS('февраль 2026'!$G$2:$G$2649,'февраль 2026'!$D$2:$D$2649,$B62,'февраль 2026'!$J$2:$J$2649,R$1)</f>
        <v>0</v>
      </c>
      <c r="S62" s="143">
        <f>SUMIFS('февраль 2026'!$G$2:$G$2649,'февраль 2026'!$D$2:$D$2649,$B62,'февраль 2026'!$J$2:$J$2649,S$1)</f>
        <v>0</v>
      </c>
      <c r="T62" s="143">
        <f>SUMIFS('февраль 2026'!$G$2:$G$2649,'февраль 2026'!$D$2:$D$2649,$B62,'февраль 2026'!$J$2:$J$2649,T$1)</f>
        <v>0</v>
      </c>
      <c r="U62" s="143">
        <f>SUMIFS('февраль 2026'!$G$2:$G$2649,'февраль 2026'!$D$2:$D$2649,$B62,'февраль 2026'!$J$2:$J$2649,U$1)</f>
        <v>0</v>
      </c>
      <c r="V62" s="143">
        <f>SUMIFS('февраль 2026'!$G$2:$G$2649,'февраль 2026'!$D$2:$D$2649,$B62,'февраль 2026'!$J$2:$J$2649,V$1)</f>
        <v>0</v>
      </c>
      <c r="W62" s="143">
        <f>SUMIFS('февраль 2026'!$G$2:$G$2649,'февраль 2026'!$D$2:$D$2649,$B62,'февраль 2026'!$J$2:$J$2649,W$1)</f>
        <v>0</v>
      </c>
      <c r="X62" s="143">
        <f>SUMIFS('февраль 2026'!$G$2:$G$2649,'февраль 2026'!$D$2:$D$2649,$B62,'февраль 2026'!$J$2:$J$2649,X$1)</f>
        <v>0</v>
      </c>
      <c r="Y62" s="143">
        <f>SUMIFS('февраль 2026'!$G$2:$G$2649,'февраль 2026'!$D$2:$D$2649,$B62,'февраль 2026'!$J$2:$J$2649,Y$1)</f>
        <v>0</v>
      </c>
      <c r="Z62" s="143">
        <f>SUMIFS('февраль 2026'!$G$2:$G$2649,'февраль 2026'!$D$2:$D$2649,$B62,'февраль 2026'!$J$2:$J$2649,Z$1)</f>
        <v>0</v>
      </c>
      <c r="AA62" s="143">
        <f>SUMIFS('февраль 2026'!$G$2:$G$2649,'февраль 2026'!$D$2:$D$2649,$B62,'февраль 2026'!$J$2:$J$2649,AA$1)</f>
        <v>0</v>
      </c>
      <c r="AB62" s="143">
        <f>SUMIFS('февраль 2026'!$G$2:$G$2649,'февраль 2026'!$D$2:$D$2649,$B62,'февраль 2026'!$J$2:$J$2649,AB$1)</f>
        <v>0</v>
      </c>
      <c r="AC62" s="143">
        <f>SUMIFS('февраль 2026'!$G$2:$G$2649,'февраль 2026'!$D$2:$D$2649,$B62,'февраль 2026'!$J$2:$J$2649,AC$1)</f>
        <v>0</v>
      </c>
      <c r="AD62" s="143">
        <f>SUMIFS('февраль 2026'!$G$2:$G$2649,'февраль 2026'!$D$2:$D$2649,$B62,'февраль 2026'!$J$2:$J$2649,AD$1)</f>
        <v>0</v>
      </c>
      <c r="AE62" s="143">
        <f>SUMIFS('февраль 2026'!$G$2:$G$2649,'февраль 2026'!$D$2:$D$2649,$B62,'февраль 2026'!$J$2:$J$2649,AE$1)</f>
        <v>0</v>
      </c>
      <c r="AF62" s="143">
        <f>SUMIFS('февраль 2026'!$G$2:$G$2649,'февраль 2026'!$D$2:$D$2649,$B62,'февраль 2026'!$J$2:$J$2649,AF$1)</f>
        <v>0</v>
      </c>
      <c r="AG62" s="143">
        <f>SUMIFS('февраль 2026'!$G$2:$G$2649,'февраль 2026'!$D$2:$D$2649,$B62,'февраль 2026'!$J$2:$J$2649,AG$1)</f>
        <v>0</v>
      </c>
      <c r="AH62" s="143">
        <f>SUMIFS('февраль 2026'!$G$2:$G$2649,'февраль 2026'!$D$2:$D$2649,$B62,'февраль 2026'!$J$2:$J$2649,AH$1)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SUMIFS('февраль 2026'!$G$2:$G$2649,'февраль 2026'!$D$2:$D$2649,$B63,'февраль 2026'!$J$2:$J$2649,D$1)</f>
        <v>0</v>
      </c>
      <c r="E63" s="143">
        <f>SUMIFS('февраль 2026'!$G$2:$G$2649,'февраль 2026'!$D$2:$D$2649,$B63,'февраль 2026'!$J$2:$J$2649,E$1)</f>
        <v>0</v>
      </c>
      <c r="F63" s="143">
        <f>SUMIFS('февраль 2026'!$G$2:$G$2649,'февраль 2026'!$D$2:$D$2649,$B63,'февраль 2026'!$J$2:$J$2649,F$1)</f>
        <v>0</v>
      </c>
      <c r="G63" s="143">
        <f>SUMIFS('февраль 2026'!$G$2:$G$2649,'февраль 2026'!$D$2:$D$2649,$B63,'февраль 2026'!$J$2:$J$2649,G$1)</f>
        <v>0</v>
      </c>
      <c r="H63" s="143">
        <f>SUMIFS('февраль 2026'!$G$2:$G$2649,'февраль 2026'!$D$2:$D$2649,$B63,'февраль 2026'!$J$2:$J$2649,H$1)</f>
        <v>0</v>
      </c>
      <c r="I63" s="143">
        <f>SUMIFS('февраль 2026'!$G$2:$G$2649,'февраль 2026'!$D$2:$D$2649,$B63,'февраль 2026'!$J$2:$J$2649,I$1)</f>
        <v>0</v>
      </c>
      <c r="J63" s="143">
        <f>SUMIFS('февраль 2026'!$G$2:$G$2649,'февраль 2026'!$D$2:$D$2649,$B63,'февраль 2026'!$J$2:$J$2649,J$1)</f>
        <v>0</v>
      </c>
      <c r="K63" s="143">
        <f>SUMIFS('февраль 2026'!$G$2:$G$2649,'февраль 2026'!$D$2:$D$2649,$B63,'февраль 2026'!$J$2:$J$2649,K$1)</f>
        <v>0</v>
      </c>
      <c r="L63" s="143">
        <f>SUMIFS('февраль 2026'!$G$2:$G$2649,'февраль 2026'!$D$2:$D$2649,$B63,'февраль 2026'!$J$2:$J$2649,L$1)</f>
        <v>0</v>
      </c>
      <c r="M63" s="143">
        <f>SUMIFS('февраль 2026'!$G$2:$G$2649,'февраль 2026'!$D$2:$D$2649,$B63,'февраль 2026'!$J$2:$J$2649,M$1)</f>
        <v>0</v>
      </c>
      <c r="N63" s="143">
        <f>SUMIFS('февраль 2026'!$G$2:$G$2649,'февраль 2026'!$D$2:$D$2649,$B63,'февраль 2026'!$J$2:$J$2649,N$1)</f>
        <v>0</v>
      </c>
      <c r="O63" s="143">
        <f>SUMIFS('февраль 2026'!$G$2:$G$2649,'февраль 2026'!$D$2:$D$2649,$B63,'февраль 2026'!$J$2:$J$2649,O$1)</f>
        <v>0</v>
      </c>
      <c r="P63" s="143">
        <f>SUMIFS('февраль 2026'!$G$2:$G$2649,'февраль 2026'!$D$2:$D$2649,$B63,'февраль 2026'!$J$2:$J$2649,P$1)</f>
        <v>0</v>
      </c>
      <c r="Q63" s="143">
        <f>SUMIFS('февраль 2026'!$G$2:$G$2649,'февраль 2026'!$D$2:$D$2649,$B63,'февраль 2026'!$J$2:$J$2649,Q$1)</f>
        <v>0</v>
      </c>
      <c r="R63" s="143">
        <f>SUMIFS('февраль 2026'!$G$2:$G$2649,'февраль 2026'!$D$2:$D$2649,$B63,'февраль 2026'!$J$2:$J$2649,R$1)</f>
        <v>0</v>
      </c>
      <c r="S63" s="143">
        <f>SUMIFS('февраль 2026'!$G$2:$G$2649,'февраль 2026'!$D$2:$D$2649,$B63,'февраль 2026'!$J$2:$J$2649,S$1)</f>
        <v>0</v>
      </c>
      <c r="T63" s="143">
        <f>SUMIFS('февраль 2026'!$G$2:$G$2649,'февраль 2026'!$D$2:$D$2649,$B63,'февраль 2026'!$J$2:$J$2649,T$1)</f>
        <v>0</v>
      </c>
      <c r="U63" s="143">
        <f>SUMIFS('февраль 2026'!$G$2:$G$2649,'февраль 2026'!$D$2:$D$2649,$B63,'февраль 2026'!$J$2:$J$2649,U$1)</f>
        <v>0</v>
      </c>
      <c r="V63" s="143">
        <f>SUMIFS('февраль 2026'!$G$2:$G$2649,'февраль 2026'!$D$2:$D$2649,$B63,'февраль 2026'!$J$2:$J$2649,V$1)</f>
        <v>0</v>
      </c>
      <c r="W63" s="143">
        <f>SUMIFS('февраль 2026'!$G$2:$G$2649,'февраль 2026'!$D$2:$D$2649,$B63,'февраль 2026'!$J$2:$J$2649,W$1)</f>
        <v>0</v>
      </c>
      <c r="X63" s="143">
        <f>SUMIFS('февраль 2026'!$G$2:$G$2649,'февраль 2026'!$D$2:$D$2649,$B63,'февраль 2026'!$J$2:$J$2649,X$1)</f>
        <v>0</v>
      </c>
      <c r="Y63" s="143">
        <f>SUMIFS('февраль 2026'!$G$2:$G$2649,'февраль 2026'!$D$2:$D$2649,$B63,'февраль 2026'!$J$2:$J$2649,Y$1)</f>
        <v>0</v>
      </c>
      <c r="Z63" s="143">
        <f>SUMIFS('февраль 2026'!$G$2:$G$2649,'февраль 2026'!$D$2:$D$2649,$B63,'февраль 2026'!$J$2:$J$2649,Z$1)</f>
        <v>0</v>
      </c>
      <c r="AA63" s="143">
        <f>SUMIFS('февраль 2026'!$G$2:$G$2649,'февраль 2026'!$D$2:$D$2649,$B63,'февраль 2026'!$J$2:$J$2649,AA$1)</f>
        <v>0</v>
      </c>
      <c r="AB63" s="143">
        <f>SUMIFS('февраль 2026'!$G$2:$G$2649,'февраль 2026'!$D$2:$D$2649,$B63,'февраль 2026'!$J$2:$J$2649,AB$1)</f>
        <v>0</v>
      </c>
      <c r="AC63" s="143">
        <f>SUMIFS('февраль 2026'!$G$2:$G$2649,'февраль 2026'!$D$2:$D$2649,$B63,'февраль 2026'!$J$2:$J$2649,AC$1)</f>
        <v>0</v>
      </c>
      <c r="AD63" s="143">
        <f>SUMIFS('февраль 2026'!$G$2:$G$2649,'февраль 2026'!$D$2:$D$2649,$B63,'февраль 2026'!$J$2:$J$2649,AD$1)</f>
        <v>0</v>
      </c>
      <c r="AE63" s="143">
        <f>SUMIFS('февраль 2026'!$G$2:$G$2649,'февраль 2026'!$D$2:$D$2649,$B63,'февраль 2026'!$J$2:$J$2649,AE$1)</f>
        <v>0</v>
      </c>
      <c r="AF63" s="143">
        <f>SUMIFS('февраль 2026'!$G$2:$G$2649,'февраль 2026'!$D$2:$D$2649,$B63,'февраль 2026'!$J$2:$J$2649,AF$1)</f>
        <v>0</v>
      </c>
      <c r="AG63" s="143">
        <f>SUMIFS('февраль 2026'!$G$2:$G$2649,'февраль 2026'!$D$2:$D$2649,$B63,'февраль 2026'!$J$2:$J$2649,AG$1)</f>
        <v>0</v>
      </c>
      <c r="AH63" s="143">
        <f>SUMIFS('февраль 2026'!$G$2:$G$2649,'февраль 2026'!$D$2:$D$2649,$B63,'февраль 2026'!$J$2:$J$2649,AH$1)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SUMIFS('февраль 2026'!$G$2:$G$2649,'февраль 2026'!$D$2:$D$2649,$B64,'февраль 2026'!$J$2:$J$2649,D$1)</f>
        <v>0</v>
      </c>
      <c r="E64" s="143">
        <f>SUMIFS('февраль 2026'!$G$2:$G$2649,'февраль 2026'!$D$2:$D$2649,$B64,'февраль 2026'!$J$2:$J$2649,E$1)</f>
        <v>0</v>
      </c>
      <c r="F64" s="143">
        <f>SUMIFS('февраль 2026'!$G$2:$G$2649,'февраль 2026'!$D$2:$D$2649,$B64,'февраль 2026'!$J$2:$J$2649,F$1)</f>
        <v>0</v>
      </c>
      <c r="G64" s="143">
        <f>SUMIFS('февраль 2026'!$G$2:$G$2649,'февраль 2026'!$D$2:$D$2649,$B64,'февраль 2026'!$J$2:$J$2649,G$1)</f>
        <v>0</v>
      </c>
      <c r="H64" s="143">
        <f>SUMIFS('февраль 2026'!$G$2:$G$2649,'февраль 2026'!$D$2:$D$2649,$B64,'февраль 2026'!$J$2:$J$2649,H$1)</f>
        <v>0</v>
      </c>
      <c r="I64" s="143">
        <f>SUMIFS('февраль 2026'!$G$2:$G$2649,'февраль 2026'!$D$2:$D$2649,$B64,'февраль 2026'!$J$2:$J$2649,I$1)</f>
        <v>0</v>
      </c>
      <c r="J64" s="143">
        <f>SUMIFS('февраль 2026'!$G$2:$G$2649,'февраль 2026'!$D$2:$D$2649,$B64,'февраль 2026'!$J$2:$J$2649,J$1)</f>
        <v>0</v>
      </c>
      <c r="K64" s="143">
        <f>SUMIFS('февраль 2026'!$G$2:$G$2649,'февраль 2026'!$D$2:$D$2649,$B64,'февраль 2026'!$J$2:$J$2649,K$1)</f>
        <v>0</v>
      </c>
      <c r="L64" s="143">
        <f>SUMIFS('февраль 2026'!$G$2:$G$2649,'февраль 2026'!$D$2:$D$2649,$B64,'февраль 2026'!$J$2:$J$2649,L$1)</f>
        <v>0</v>
      </c>
      <c r="M64" s="143">
        <f>SUMIFS('февраль 2026'!$G$2:$G$2649,'февраль 2026'!$D$2:$D$2649,$B64,'февраль 2026'!$J$2:$J$2649,M$1)</f>
        <v>0</v>
      </c>
      <c r="N64" s="143">
        <f>SUMIFS('февраль 2026'!$G$2:$G$2649,'февраль 2026'!$D$2:$D$2649,$B64,'февраль 2026'!$J$2:$J$2649,N$1)</f>
        <v>0</v>
      </c>
      <c r="O64" s="143">
        <f>SUMIFS('февраль 2026'!$G$2:$G$2649,'февраль 2026'!$D$2:$D$2649,$B64,'февраль 2026'!$J$2:$J$2649,O$1)</f>
        <v>0</v>
      </c>
      <c r="P64" s="143">
        <f>SUMIFS('февраль 2026'!$G$2:$G$2649,'февраль 2026'!$D$2:$D$2649,$B64,'февраль 2026'!$J$2:$J$2649,P$1)</f>
        <v>0</v>
      </c>
      <c r="Q64" s="143">
        <f>SUMIFS('февраль 2026'!$G$2:$G$2649,'февраль 2026'!$D$2:$D$2649,$B64,'февраль 2026'!$J$2:$J$2649,Q$1)</f>
        <v>0</v>
      </c>
      <c r="R64" s="143">
        <f>SUMIFS('февраль 2026'!$G$2:$G$2649,'февраль 2026'!$D$2:$D$2649,$B64,'февраль 2026'!$J$2:$J$2649,R$1)</f>
        <v>0</v>
      </c>
      <c r="S64" s="143">
        <f>SUMIFS('февраль 2026'!$G$2:$G$2649,'февраль 2026'!$D$2:$D$2649,$B64,'февраль 2026'!$J$2:$J$2649,S$1)</f>
        <v>0</v>
      </c>
      <c r="T64" s="143">
        <f>SUMIFS('февраль 2026'!$G$2:$G$2649,'февраль 2026'!$D$2:$D$2649,$B64,'февраль 2026'!$J$2:$J$2649,T$1)</f>
        <v>0</v>
      </c>
      <c r="U64" s="143">
        <f>SUMIFS('февраль 2026'!$G$2:$G$2649,'февраль 2026'!$D$2:$D$2649,$B64,'февраль 2026'!$J$2:$J$2649,U$1)</f>
        <v>0</v>
      </c>
      <c r="V64" s="143">
        <f>SUMIFS('февраль 2026'!$G$2:$G$2649,'февраль 2026'!$D$2:$D$2649,$B64,'февраль 2026'!$J$2:$J$2649,V$1)</f>
        <v>0</v>
      </c>
      <c r="W64" s="143">
        <f>SUMIFS('февраль 2026'!$G$2:$G$2649,'февраль 2026'!$D$2:$D$2649,$B64,'февраль 2026'!$J$2:$J$2649,W$1)</f>
        <v>0</v>
      </c>
      <c r="X64" s="143">
        <f>SUMIFS('февраль 2026'!$G$2:$G$2649,'февраль 2026'!$D$2:$D$2649,$B64,'февраль 2026'!$J$2:$J$2649,X$1)</f>
        <v>0</v>
      </c>
      <c r="Y64" s="143">
        <f>SUMIFS('февраль 2026'!$G$2:$G$2649,'февраль 2026'!$D$2:$D$2649,$B64,'февраль 2026'!$J$2:$J$2649,Y$1)</f>
        <v>0</v>
      </c>
      <c r="Z64" s="143">
        <f>SUMIFS('февраль 2026'!$G$2:$G$2649,'февраль 2026'!$D$2:$D$2649,$B64,'февраль 2026'!$J$2:$J$2649,Z$1)</f>
        <v>0</v>
      </c>
      <c r="AA64" s="143">
        <f>SUMIFS('февраль 2026'!$G$2:$G$2649,'февраль 2026'!$D$2:$D$2649,$B64,'февраль 2026'!$J$2:$J$2649,AA$1)</f>
        <v>0</v>
      </c>
      <c r="AB64" s="143">
        <f>SUMIFS('февраль 2026'!$G$2:$G$2649,'февраль 2026'!$D$2:$D$2649,$B64,'февраль 2026'!$J$2:$J$2649,AB$1)</f>
        <v>0</v>
      </c>
      <c r="AC64" s="143">
        <f>SUMIFS('февраль 2026'!$G$2:$G$2649,'февраль 2026'!$D$2:$D$2649,$B64,'февраль 2026'!$J$2:$J$2649,AC$1)</f>
        <v>0</v>
      </c>
      <c r="AD64" s="143">
        <f>SUMIFS('февраль 2026'!$G$2:$G$2649,'февраль 2026'!$D$2:$D$2649,$B64,'февраль 2026'!$J$2:$J$2649,AD$1)</f>
        <v>0</v>
      </c>
      <c r="AE64" s="143">
        <f>SUMIFS('февраль 2026'!$G$2:$G$2649,'февраль 2026'!$D$2:$D$2649,$B64,'февраль 2026'!$J$2:$J$2649,AE$1)</f>
        <v>0</v>
      </c>
      <c r="AF64" s="143">
        <f>SUMIFS('февраль 2026'!$G$2:$G$2649,'февраль 2026'!$D$2:$D$2649,$B64,'февраль 2026'!$J$2:$J$2649,AF$1)</f>
        <v>0</v>
      </c>
      <c r="AG64" s="143">
        <f>SUMIFS('февраль 2026'!$G$2:$G$2649,'февраль 2026'!$D$2:$D$2649,$B64,'февраль 2026'!$J$2:$J$2649,AG$1)</f>
        <v>0</v>
      </c>
      <c r="AH64" s="143">
        <f>SUMIFS('февраль 2026'!$G$2:$G$2649,'февраль 2026'!$D$2:$D$2649,$B64,'февраль 2026'!$J$2:$J$2649,AH$1)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SUMIFS('февраль 2026'!$G$2:$G$2649,'февраль 2026'!$D$2:$D$2649,$B65,'февраль 2026'!$J$2:$J$2649,D$1)</f>
        <v>0</v>
      </c>
      <c r="E65" s="143">
        <f>SUMIFS('февраль 2026'!$G$2:$G$2649,'февраль 2026'!$D$2:$D$2649,$B65,'февраль 2026'!$J$2:$J$2649,E$1)</f>
        <v>0</v>
      </c>
      <c r="F65" s="143">
        <f>SUMIFS('февраль 2026'!$G$2:$G$2649,'февраль 2026'!$D$2:$D$2649,$B65,'февраль 2026'!$J$2:$J$2649,F$1)</f>
        <v>0</v>
      </c>
      <c r="G65" s="143">
        <f>SUMIFS('февраль 2026'!$G$2:$G$2649,'февраль 2026'!$D$2:$D$2649,$B65,'февраль 2026'!$J$2:$J$2649,G$1)</f>
        <v>0</v>
      </c>
      <c r="H65" s="143">
        <f>SUMIFS('февраль 2026'!$G$2:$G$2649,'февраль 2026'!$D$2:$D$2649,$B65,'февраль 2026'!$J$2:$J$2649,H$1)</f>
        <v>0</v>
      </c>
      <c r="I65" s="143">
        <f>SUMIFS('февраль 2026'!$G$2:$G$2649,'февраль 2026'!$D$2:$D$2649,$B65,'февраль 2026'!$J$2:$J$2649,I$1)</f>
        <v>0</v>
      </c>
      <c r="J65" s="143">
        <f>SUMIFS('февраль 2026'!$G$2:$G$2649,'февраль 2026'!$D$2:$D$2649,$B65,'февраль 2026'!$J$2:$J$2649,J$1)</f>
        <v>0</v>
      </c>
      <c r="K65" s="143">
        <f>SUMIFS('февраль 2026'!$G$2:$G$2649,'февраль 2026'!$D$2:$D$2649,$B65,'февраль 2026'!$J$2:$J$2649,K$1)</f>
        <v>0</v>
      </c>
      <c r="L65" s="143">
        <f>SUMIFS('февраль 2026'!$G$2:$G$2649,'февраль 2026'!$D$2:$D$2649,$B65,'февраль 2026'!$J$2:$J$2649,L$1)</f>
        <v>0</v>
      </c>
      <c r="M65" s="143">
        <f>SUMIFS('февраль 2026'!$G$2:$G$2649,'февраль 2026'!$D$2:$D$2649,$B65,'февраль 2026'!$J$2:$J$2649,M$1)</f>
        <v>0</v>
      </c>
      <c r="N65" s="143">
        <f>SUMIFS('февраль 2026'!$G$2:$G$2649,'февраль 2026'!$D$2:$D$2649,$B65,'февраль 2026'!$J$2:$J$2649,N$1)</f>
        <v>0</v>
      </c>
      <c r="O65" s="143">
        <f>SUMIFS('февраль 2026'!$G$2:$G$2649,'февраль 2026'!$D$2:$D$2649,$B65,'февраль 2026'!$J$2:$J$2649,O$1)</f>
        <v>0</v>
      </c>
      <c r="P65" s="143">
        <f>SUMIFS('февраль 2026'!$G$2:$G$2649,'февраль 2026'!$D$2:$D$2649,$B65,'февраль 2026'!$J$2:$J$2649,P$1)</f>
        <v>0</v>
      </c>
      <c r="Q65" s="143">
        <f>SUMIFS('февраль 2026'!$G$2:$G$2649,'февраль 2026'!$D$2:$D$2649,$B65,'февраль 2026'!$J$2:$J$2649,Q$1)</f>
        <v>0</v>
      </c>
      <c r="R65" s="143">
        <f>SUMIFS('февраль 2026'!$G$2:$G$2649,'февраль 2026'!$D$2:$D$2649,$B65,'февраль 2026'!$J$2:$J$2649,R$1)</f>
        <v>0</v>
      </c>
      <c r="S65" s="143">
        <f>SUMIFS('февраль 2026'!$G$2:$G$2649,'февраль 2026'!$D$2:$D$2649,$B65,'февраль 2026'!$J$2:$J$2649,S$1)</f>
        <v>0</v>
      </c>
      <c r="T65" s="143">
        <f>SUMIFS('февраль 2026'!$G$2:$G$2649,'февраль 2026'!$D$2:$D$2649,$B65,'февраль 2026'!$J$2:$J$2649,T$1)</f>
        <v>0</v>
      </c>
      <c r="U65" s="143">
        <f>SUMIFS('февраль 2026'!$G$2:$G$2649,'февраль 2026'!$D$2:$D$2649,$B65,'февраль 2026'!$J$2:$J$2649,U$1)</f>
        <v>0</v>
      </c>
      <c r="V65" s="143">
        <f>SUMIFS('февраль 2026'!$G$2:$G$2649,'февраль 2026'!$D$2:$D$2649,$B65,'февраль 2026'!$J$2:$J$2649,V$1)</f>
        <v>0</v>
      </c>
      <c r="W65" s="143">
        <f>SUMIFS('февраль 2026'!$G$2:$G$2649,'февраль 2026'!$D$2:$D$2649,$B65,'февраль 2026'!$J$2:$J$2649,W$1)</f>
        <v>0</v>
      </c>
      <c r="X65" s="143">
        <f>SUMIFS('февраль 2026'!$G$2:$G$2649,'февраль 2026'!$D$2:$D$2649,$B65,'февраль 2026'!$J$2:$J$2649,X$1)</f>
        <v>0</v>
      </c>
      <c r="Y65" s="143">
        <f>SUMIFS('февраль 2026'!$G$2:$G$2649,'февраль 2026'!$D$2:$D$2649,$B65,'февраль 2026'!$J$2:$J$2649,Y$1)</f>
        <v>0</v>
      </c>
      <c r="Z65" s="143">
        <f>SUMIFS('февраль 2026'!$G$2:$G$2649,'февраль 2026'!$D$2:$D$2649,$B65,'февраль 2026'!$J$2:$J$2649,Z$1)</f>
        <v>0</v>
      </c>
      <c r="AA65" s="143">
        <f>SUMIFS('февраль 2026'!$G$2:$G$2649,'февраль 2026'!$D$2:$D$2649,$B65,'февраль 2026'!$J$2:$J$2649,AA$1)</f>
        <v>0</v>
      </c>
      <c r="AB65" s="143">
        <f>SUMIFS('февраль 2026'!$G$2:$G$2649,'февраль 2026'!$D$2:$D$2649,$B65,'февраль 2026'!$J$2:$J$2649,AB$1)</f>
        <v>0</v>
      </c>
      <c r="AC65" s="143">
        <f>SUMIFS('февраль 2026'!$G$2:$G$2649,'февраль 2026'!$D$2:$D$2649,$B65,'февраль 2026'!$J$2:$J$2649,AC$1)</f>
        <v>0</v>
      </c>
      <c r="AD65" s="143">
        <f>SUMIFS('февраль 2026'!$G$2:$G$2649,'февраль 2026'!$D$2:$D$2649,$B65,'февраль 2026'!$J$2:$J$2649,AD$1)</f>
        <v>0</v>
      </c>
      <c r="AE65" s="143">
        <f>SUMIFS('февраль 2026'!$G$2:$G$2649,'февраль 2026'!$D$2:$D$2649,$B65,'февраль 2026'!$J$2:$J$2649,AE$1)</f>
        <v>0</v>
      </c>
      <c r="AF65" s="143">
        <f>SUMIFS('февраль 2026'!$G$2:$G$2649,'февраль 2026'!$D$2:$D$2649,$B65,'февраль 2026'!$J$2:$J$2649,AF$1)</f>
        <v>0</v>
      </c>
      <c r="AG65" s="143">
        <f>SUMIFS('февраль 2026'!$G$2:$G$2649,'февраль 2026'!$D$2:$D$2649,$B65,'февраль 2026'!$J$2:$J$2649,AG$1)</f>
        <v>0</v>
      </c>
      <c r="AH65" s="143">
        <f>SUMIFS('февраль 2026'!$G$2:$G$2649,'февраль 2026'!$D$2:$D$2649,$B65,'февраль 2026'!$J$2:$J$2649,AH$1)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SUMIFS('февраль 2026'!$G$2:$G$2649,'февраль 2026'!$D$2:$D$2649,$B66,'февраль 2026'!$J$2:$J$2649,D$1)</f>
        <v>0</v>
      </c>
      <c r="E66" s="143">
        <f>SUMIFS('февраль 2026'!$G$2:$G$2649,'февраль 2026'!$D$2:$D$2649,$B66,'февраль 2026'!$J$2:$J$2649,E$1)</f>
        <v>0</v>
      </c>
      <c r="F66" s="143">
        <f>SUMIFS('февраль 2026'!$G$2:$G$2649,'февраль 2026'!$D$2:$D$2649,$B66,'февраль 2026'!$J$2:$J$2649,F$1)</f>
        <v>0</v>
      </c>
      <c r="G66" s="143">
        <f>SUMIFS('февраль 2026'!$G$2:$G$2649,'февраль 2026'!$D$2:$D$2649,$B66,'февраль 2026'!$J$2:$J$2649,G$1)</f>
        <v>0</v>
      </c>
      <c r="H66" s="143">
        <f>SUMIFS('февраль 2026'!$G$2:$G$2649,'февраль 2026'!$D$2:$D$2649,$B66,'февраль 2026'!$J$2:$J$2649,H$1)</f>
        <v>0</v>
      </c>
      <c r="I66" s="143">
        <f>SUMIFS('февраль 2026'!$G$2:$G$2649,'февраль 2026'!$D$2:$D$2649,$B66,'февраль 2026'!$J$2:$J$2649,I$1)</f>
        <v>0</v>
      </c>
      <c r="J66" s="143">
        <f>SUMIFS('февраль 2026'!$G$2:$G$2649,'февраль 2026'!$D$2:$D$2649,$B66,'февраль 2026'!$J$2:$J$2649,J$1)</f>
        <v>0</v>
      </c>
      <c r="K66" s="143">
        <f>SUMIFS('февраль 2026'!$G$2:$G$2649,'февраль 2026'!$D$2:$D$2649,$B66,'февраль 2026'!$J$2:$J$2649,K$1)</f>
        <v>0</v>
      </c>
      <c r="L66" s="143">
        <f>SUMIFS('февраль 2026'!$G$2:$G$2649,'февраль 2026'!$D$2:$D$2649,$B66,'февраль 2026'!$J$2:$J$2649,L$1)</f>
        <v>0</v>
      </c>
      <c r="M66" s="143">
        <f>SUMIFS('февраль 2026'!$G$2:$G$2649,'февраль 2026'!$D$2:$D$2649,$B66,'февраль 2026'!$J$2:$J$2649,M$1)</f>
        <v>0</v>
      </c>
      <c r="N66" s="143">
        <f>SUMIFS('февраль 2026'!$G$2:$G$2649,'февраль 2026'!$D$2:$D$2649,$B66,'февраль 2026'!$J$2:$J$2649,N$1)</f>
        <v>0</v>
      </c>
      <c r="O66" s="143">
        <f>SUMIFS('февраль 2026'!$G$2:$G$2649,'февраль 2026'!$D$2:$D$2649,$B66,'февраль 2026'!$J$2:$J$2649,O$1)</f>
        <v>0</v>
      </c>
      <c r="P66" s="143">
        <f>SUMIFS('февраль 2026'!$G$2:$G$2649,'февраль 2026'!$D$2:$D$2649,$B66,'февраль 2026'!$J$2:$J$2649,P$1)</f>
        <v>0</v>
      </c>
      <c r="Q66" s="143">
        <f>SUMIFS('февраль 2026'!$G$2:$G$2649,'февраль 2026'!$D$2:$D$2649,$B66,'февраль 2026'!$J$2:$J$2649,Q$1)</f>
        <v>0</v>
      </c>
      <c r="R66" s="143">
        <f>SUMIFS('февраль 2026'!$G$2:$G$2649,'февраль 2026'!$D$2:$D$2649,$B66,'февраль 2026'!$J$2:$J$2649,R$1)</f>
        <v>0</v>
      </c>
      <c r="S66" s="143">
        <f>SUMIFS('февраль 2026'!$G$2:$G$2649,'февраль 2026'!$D$2:$D$2649,$B66,'февраль 2026'!$J$2:$J$2649,S$1)</f>
        <v>0</v>
      </c>
      <c r="T66" s="143">
        <f>SUMIFS('февраль 2026'!$G$2:$G$2649,'февраль 2026'!$D$2:$D$2649,$B66,'февраль 2026'!$J$2:$J$2649,T$1)</f>
        <v>0</v>
      </c>
      <c r="U66" s="143">
        <f>SUMIFS('февраль 2026'!$G$2:$G$2649,'февраль 2026'!$D$2:$D$2649,$B66,'февраль 2026'!$J$2:$J$2649,U$1)</f>
        <v>0</v>
      </c>
      <c r="V66" s="143">
        <f>SUMIFS('февраль 2026'!$G$2:$G$2649,'февраль 2026'!$D$2:$D$2649,$B66,'февраль 2026'!$J$2:$J$2649,V$1)</f>
        <v>0</v>
      </c>
      <c r="W66" s="143">
        <f>SUMIFS('февраль 2026'!$G$2:$G$2649,'февраль 2026'!$D$2:$D$2649,$B66,'февраль 2026'!$J$2:$J$2649,W$1)</f>
        <v>0</v>
      </c>
      <c r="X66" s="143">
        <f>SUMIFS('февраль 2026'!$G$2:$G$2649,'февраль 2026'!$D$2:$D$2649,$B66,'февраль 2026'!$J$2:$J$2649,X$1)</f>
        <v>0</v>
      </c>
      <c r="Y66" s="143">
        <f>SUMIFS('февраль 2026'!$G$2:$G$2649,'февраль 2026'!$D$2:$D$2649,$B66,'февраль 2026'!$J$2:$J$2649,Y$1)</f>
        <v>0</v>
      </c>
      <c r="Z66" s="143">
        <f>SUMIFS('февраль 2026'!$G$2:$G$2649,'февраль 2026'!$D$2:$D$2649,$B66,'февраль 2026'!$J$2:$J$2649,Z$1)</f>
        <v>0</v>
      </c>
      <c r="AA66" s="143">
        <f>SUMIFS('февраль 2026'!$G$2:$G$2649,'февраль 2026'!$D$2:$D$2649,$B66,'февраль 2026'!$J$2:$J$2649,AA$1)</f>
        <v>0</v>
      </c>
      <c r="AB66" s="143">
        <f>SUMIFS('февраль 2026'!$G$2:$G$2649,'февраль 2026'!$D$2:$D$2649,$B66,'февраль 2026'!$J$2:$J$2649,AB$1)</f>
        <v>0</v>
      </c>
      <c r="AC66" s="143">
        <f>SUMIFS('февраль 2026'!$G$2:$G$2649,'февраль 2026'!$D$2:$D$2649,$B66,'февраль 2026'!$J$2:$J$2649,AC$1)</f>
        <v>0</v>
      </c>
      <c r="AD66" s="143">
        <f>SUMIFS('февраль 2026'!$G$2:$G$2649,'февраль 2026'!$D$2:$D$2649,$B66,'февраль 2026'!$J$2:$J$2649,AD$1)</f>
        <v>0</v>
      </c>
      <c r="AE66" s="143">
        <f>SUMIFS('февраль 2026'!$G$2:$G$2649,'февраль 2026'!$D$2:$D$2649,$B66,'февраль 2026'!$J$2:$J$2649,AE$1)</f>
        <v>0</v>
      </c>
      <c r="AF66" s="143">
        <f>SUMIFS('февраль 2026'!$G$2:$G$2649,'февраль 2026'!$D$2:$D$2649,$B66,'февраль 2026'!$J$2:$J$2649,AF$1)</f>
        <v>0</v>
      </c>
      <c r="AG66" s="143">
        <f>SUMIFS('февраль 2026'!$G$2:$G$2649,'февраль 2026'!$D$2:$D$2649,$B66,'февраль 2026'!$J$2:$J$2649,AG$1)</f>
        <v>0</v>
      </c>
      <c r="AH66" s="143">
        <f>SUMIFS('февраль 2026'!$G$2:$G$2649,'февраль 2026'!$D$2:$D$2649,$B66,'февраль 2026'!$J$2:$J$2649,AH$1)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SUMIFS('февраль 2026'!$G$2:$G$2649,'февраль 2026'!$D$2:$D$2649,$B67,'февраль 2026'!$J$2:$J$2649,D$1)</f>
        <v>0</v>
      </c>
      <c r="E67" s="143">
        <f>SUMIFS('февраль 2026'!$G$2:$G$2649,'февраль 2026'!$D$2:$D$2649,$B67,'февраль 2026'!$J$2:$J$2649,E$1)</f>
        <v>0</v>
      </c>
      <c r="F67" s="143">
        <f>SUMIFS('февраль 2026'!$G$2:$G$2649,'февраль 2026'!$D$2:$D$2649,$B67,'февраль 2026'!$J$2:$J$2649,F$1)</f>
        <v>0</v>
      </c>
      <c r="G67" s="143">
        <f>SUMIFS('февраль 2026'!$G$2:$G$2649,'февраль 2026'!$D$2:$D$2649,$B67,'февраль 2026'!$J$2:$J$2649,G$1)</f>
        <v>0</v>
      </c>
      <c r="H67" s="143">
        <f>SUMIFS('февраль 2026'!$G$2:$G$2649,'февраль 2026'!$D$2:$D$2649,$B67,'февраль 2026'!$J$2:$J$2649,H$1)</f>
        <v>0</v>
      </c>
      <c r="I67" s="143">
        <f>SUMIFS('февраль 2026'!$G$2:$G$2649,'февраль 2026'!$D$2:$D$2649,$B67,'февраль 2026'!$J$2:$J$2649,I$1)</f>
        <v>0</v>
      </c>
      <c r="J67" s="143">
        <f>SUMIFS('февраль 2026'!$G$2:$G$2649,'февраль 2026'!$D$2:$D$2649,$B67,'февраль 2026'!$J$2:$J$2649,J$1)</f>
        <v>0</v>
      </c>
      <c r="K67" s="143">
        <f>SUMIFS('февраль 2026'!$G$2:$G$2649,'февраль 2026'!$D$2:$D$2649,$B67,'февраль 2026'!$J$2:$J$2649,K$1)</f>
        <v>0</v>
      </c>
      <c r="L67" s="143">
        <f>SUMIFS('февраль 2026'!$G$2:$G$2649,'февраль 2026'!$D$2:$D$2649,$B67,'февраль 2026'!$J$2:$J$2649,L$1)</f>
        <v>0</v>
      </c>
      <c r="M67" s="143">
        <f>SUMIFS('февраль 2026'!$G$2:$G$2649,'февраль 2026'!$D$2:$D$2649,$B67,'февраль 2026'!$J$2:$J$2649,M$1)</f>
        <v>0</v>
      </c>
      <c r="N67" s="143">
        <f>SUMIFS('февраль 2026'!$G$2:$G$2649,'февраль 2026'!$D$2:$D$2649,$B67,'февраль 2026'!$J$2:$J$2649,N$1)</f>
        <v>0</v>
      </c>
      <c r="O67" s="143">
        <f>SUMIFS('февраль 2026'!$G$2:$G$2649,'февраль 2026'!$D$2:$D$2649,$B67,'февраль 2026'!$J$2:$J$2649,O$1)</f>
        <v>0</v>
      </c>
      <c r="P67" s="143">
        <f>SUMIFS('февраль 2026'!$G$2:$G$2649,'февраль 2026'!$D$2:$D$2649,$B67,'февраль 2026'!$J$2:$J$2649,P$1)</f>
        <v>0</v>
      </c>
      <c r="Q67" s="143">
        <f>SUMIFS('февраль 2026'!$G$2:$G$2649,'февраль 2026'!$D$2:$D$2649,$B67,'февраль 2026'!$J$2:$J$2649,Q$1)</f>
        <v>0</v>
      </c>
      <c r="R67" s="143">
        <f>SUMIFS('февраль 2026'!$G$2:$G$2649,'февраль 2026'!$D$2:$D$2649,$B67,'февраль 2026'!$J$2:$J$2649,R$1)</f>
        <v>0</v>
      </c>
      <c r="S67" s="143">
        <f>SUMIFS('февраль 2026'!$G$2:$G$2649,'февраль 2026'!$D$2:$D$2649,$B67,'февраль 2026'!$J$2:$J$2649,S$1)</f>
        <v>0</v>
      </c>
      <c r="T67" s="143">
        <f>SUMIFS('февраль 2026'!$G$2:$G$2649,'февраль 2026'!$D$2:$D$2649,$B67,'февраль 2026'!$J$2:$J$2649,T$1)</f>
        <v>0</v>
      </c>
      <c r="U67" s="143">
        <f>SUMIFS('февраль 2026'!$G$2:$G$2649,'февраль 2026'!$D$2:$D$2649,$B67,'февраль 2026'!$J$2:$J$2649,U$1)</f>
        <v>0</v>
      </c>
      <c r="V67" s="143">
        <f>SUMIFS('февраль 2026'!$G$2:$G$2649,'февраль 2026'!$D$2:$D$2649,$B67,'февраль 2026'!$J$2:$J$2649,V$1)</f>
        <v>0</v>
      </c>
      <c r="W67" s="143">
        <f>SUMIFS('февраль 2026'!$G$2:$G$2649,'февраль 2026'!$D$2:$D$2649,$B67,'февраль 2026'!$J$2:$J$2649,W$1)</f>
        <v>0</v>
      </c>
      <c r="X67" s="143">
        <f>SUMIFS('февраль 2026'!$G$2:$G$2649,'февраль 2026'!$D$2:$D$2649,$B67,'февраль 2026'!$J$2:$J$2649,X$1)</f>
        <v>0</v>
      </c>
      <c r="Y67" s="143">
        <f>SUMIFS('февраль 2026'!$G$2:$G$2649,'февраль 2026'!$D$2:$D$2649,$B67,'февраль 2026'!$J$2:$J$2649,Y$1)</f>
        <v>0</v>
      </c>
      <c r="Z67" s="143">
        <f>SUMIFS('февраль 2026'!$G$2:$G$2649,'февраль 2026'!$D$2:$D$2649,$B67,'февраль 2026'!$J$2:$J$2649,Z$1)</f>
        <v>0</v>
      </c>
      <c r="AA67" s="143">
        <f>SUMIFS('февраль 2026'!$G$2:$G$2649,'февраль 2026'!$D$2:$D$2649,$B67,'февраль 2026'!$J$2:$J$2649,AA$1)</f>
        <v>0</v>
      </c>
      <c r="AB67" s="143">
        <f>SUMIFS('февраль 2026'!$G$2:$G$2649,'февраль 2026'!$D$2:$D$2649,$B67,'февраль 2026'!$J$2:$J$2649,AB$1)</f>
        <v>0</v>
      </c>
      <c r="AC67" s="143">
        <f>SUMIFS('февраль 2026'!$G$2:$G$2649,'февраль 2026'!$D$2:$D$2649,$B67,'февраль 2026'!$J$2:$J$2649,AC$1)</f>
        <v>0</v>
      </c>
      <c r="AD67" s="143">
        <f>SUMIFS('февраль 2026'!$G$2:$G$2649,'февраль 2026'!$D$2:$D$2649,$B67,'февраль 2026'!$J$2:$J$2649,AD$1)</f>
        <v>0</v>
      </c>
      <c r="AE67" s="143">
        <f>SUMIFS('февраль 2026'!$G$2:$G$2649,'февраль 2026'!$D$2:$D$2649,$B67,'февраль 2026'!$J$2:$J$2649,AE$1)</f>
        <v>0</v>
      </c>
      <c r="AF67" s="143">
        <f>SUMIFS('февраль 2026'!$G$2:$G$2649,'февраль 2026'!$D$2:$D$2649,$B67,'февраль 2026'!$J$2:$J$2649,AF$1)</f>
        <v>0</v>
      </c>
      <c r="AG67" s="143">
        <f>SUMIFS('февраль 2026'!$G$2:$G$2649,'февраль 2026'!$D$2:$D$2649,$B67,'февраль 2026'!$J$2:$J$2649,AG$1)</f>
        <v>0</v>
      </c>
      <c r="AH67" s="143">
        <f>SUMIFS('февраль 2026'!$G$2:$G$2649,'февраль 2026'!$D$2:$D$2649,$B67,'февраль 2026'!$J$2:$J$2649,AH$1)</f>
        <v>0</v>
      </c>
      <c r="AI67" s="20">
        <f t="shared" si="1"/>
        <v>0</v>
      </c>
    </row>
    <row r="68" spans="2:35" ht="15" customHeight="1" x14ac:dyDescent="0.25">
      <c r="B68" s="127" t="s">
        <v>320</v>
      </c>
      <c r="C68" s="123">
        <v>25</v>
      </c>
      <c r="D68" s="143">
        <f>SUMIFS('февраль 2026'!$G$2:$G$2649,'февраль 2026'!$D$2:$D$2649,$B68,'февраль 2026'!$J$2:$J$2649,D$1)</f>
        <v>0</v>
      </c>
      <c r="E68" s="143">
        <f>SUMIFS('февраль 2026'!$G$2:$G$2649,'февраль 2026'!$D$2:$D$2649,$B68,'февраль 2026'!$J$2:$J$2649,E$1)</f>
        <v>0</v>
      </c>
      <c r="F68" s="143">
        <f>SUMIFS('февраль 2026'!$G$2:$G$2649,'февраль 2026'!$D$2:$D$2649,$B68,'февраль 2026'!$J$2:$J$2649,F$1)</f>
        <v>0</v>
      </c>
      <c r="G68" s="143">
        <f>SUMIFS('февраль 2026'!$G$2:$G$2649,'февраль 2026'!$D$2:$D$2649,$B68,'февраль 2026'!$J$2:$J$2649,G$1)</f>
        <v>0</v>
      </c>
      <c r="H68" s="143">
        <f>SUMIFS('февраль 2026'!$G$2:$G$2649,'февраль 2026'!$D$2:$D$2649,$B68,'февраль 2026'!$J$2:$J$2649,H$1)</f>
        <v>0</v>
      </c>
      <c r="I68" s="143">
        <f>SUMIFS('февраль 2026'!$G$2:$G$2649,'февраль 2026'!$D$2:$D$2649,$B68,'февраль 2026'!$J$2:$J$2649,I$1)</f>
        <v>0</v>
      </c>
      <c r="J68" s="143">
        <f>SUMIFS('февраль 2026'!$G$2:$G$2649,'февраль 2026'!$D$2:$D$2649,$B68,'февраль 2026'!$J$2:$J$2649,J$1)</f>
        <v>0</v>
      </c>
      <c r="K68" s="143">
        <f>SUMIFS('февраль 2026'!$G$2:$G$2649,'февраль 2026'!$D$2:$D$2649,$B68,'февраль 2026'!$J$2:$J$2649,K$1)</f>
        <v>0</v>
      </c>
      <c r="L68" s="143">
        <f>SUMIFS('февраль 2026'!$G$2:$G$2649,'февраль 2026'!$D$2:$D$2649,$B68,'февраль 2026'!$J$2:$J$2649,L$1)</f>
        <v>0</v>
      </c>
      <c r="M68" s="143">
        <f>SUMIFS('февраль 2026'!$G$2:$G$2649,'февраль 2026'!$D$2:$D$2649,$B68,'февраль 2026'!$J$2:$J$2649,M$1)</f>
        <v>0</v>
      </c>
      <c r="N68" s="143">
        <f>SUMIFS('февраль 2026'!$G$2:$G$2649,'февраль 2026'!$D$2:$D$2649,$B68,'февраль 2026'!$J$2:$J$2649,N$1)</f>
        <v>0</v>
      </c>
      <c r="O68" s="143">
        <f>SUMIFS('февраль 2026'!$G$2:$G$2649,'февраль 2026'!$D$2:$D$2649,$B68,'февраль 2026'!$J$2:$J$2649,O$1)</f>
        <v>0</v>
      </c>
      <c r="P68" s="143">
        <f>SUMIFS('февраль 2026'!$G$2:$G$2649,'февраль 2026'!$D$2:$D$2649,$B68,'февраль 2026'!$J$2:$J$2649,P$1)</f>
        <v>0</v>
      </c>
      <c r="Q68" s="143">
        <f>SUMIFS('февраль 2026'!$G$2:$G$2649,'февраль 2026'!$D$2:$D$2649,$B68,'февраль 2026'!$J$2:$J$2649,Q$1)</f>
        <v>0</v>
      </c>
      <c r="R68" s="143">
        <f>SUMIFS('февраль 2026'!$G$2:$G$2649,'февраль 2026'!$D$2:$D$2649,$B68,'февраль 2026'!$J$2:$J$2649,R$1)</f>
        <v>0</v>
      </c>
      <c r="S68" s="143">
        <f>SUMIFS('февраль 2026'!$G$2:$G$2649,'февраль 2026'!$D$2:$D$2649,$B68,'февраль 2026'!$J$2:$J$2649,S$1)</f>
        <v>0</v>
      </c>
      <c r="T68" s="143">
        <f>SUMIFS('февраль 2026'!$G$2:$G$2649,'февраль 2026'!$D$2:$D$2649,$B68,'февраль 2026'!$J$2:$J$2649,T$1)</f>
        <v>0</v>
      </c>
      <c r="U68" s="143">
        <f>SUMIFS('февраль 2026'!$G$2:$G$2649,'февраль 2026'!$D$2:$D$2649,$B68,'февраль 2026'!$J$2:$J$2649,U$1)</f>
        <v>0</v>
      </c>
      <c r="V68" s="143">
        <f>SUMIFS('февраль 2026'!$G$2:$G$2649,'февраль 2026'!$D$2:$D$2649,$B68,'февраль 2026'!$J$2:$J$2649,V$1)</f>
        <v>0</v>
      </c>
      <c r="W68" s="143">
        <f>SUMIFS('февраль 2026'!$G$2:$G$2649,'февраль 2026'!$D$2:$D$2649,$B68,'февраль 2026'!$J$2:$J$2649,W$1)</f>
        <v>0</v>
      </c>
      <c r="X68" s="143">
        <f>SUMIFS('февраль 2026'!$G$2:$G$2649,'февраль 2026'!$D$2:$D$2649,$B68,'февраль 2026'!$J$2:$J$2649,X$1)</f>
        <v>0</v>
      </c>
      <c r="Y68" s="143">
        <f>SUMIFS('февраль 2026'!$G$2:$G$2649,'февраль 2026'!$D$2:$D$2649,$B68,'февраль 2026'!$J$2:$J$2649,Y$1)</f>
        <v>0</v>
      </c>
      <c r="Z68" s="143">
        <f>SUMIFS('февраль 2026'!$G$2:$G$2649,'февраль 2026'!$D$2:$D$2649,$B68,'февраль 2026'!$J$2:$J$2649,Z$1)</f>
        <v>0</v>
      </c>
      <c r="AA68" s="143">
        <f>SUMIFS('февраль 2026'!$G$2:$G$2649,'февраль 2026'!$D$2:$D$2649,$B68,'февраль 2026'!$J$2:$J$2649,AA$1)</f>
        <v>0</v>
      </c>
      <c r="AB68" s="143">
        <f>SUMIFS('февраль 2026'!$G$2:$G$2649,'февраль 2026'!$D$2:$D$2649,$B68,'февраль 2026'!$J$2:$J$2649,AB$1)</f>
        <v>0</v>
      </c>
      <c r="AC68" s="143">
        <f>SUMIFS('февраль 2026'!$G$2:$G$2649,'февраль 2026'!$D$2:$D$2649,$B68,'февраль 2026'!$J$2:$J$2649,AC$1)</f>
        <v>0</v>
      </c>
      <c r="AD68" s="143">
        <f>SUMIFS('февраль 2026'!$G$2:$G$2649,'февраль 2026'!$D$2:$D$2649,$B68,'февраль 2026'!$J$2:$J$2649,AD$1)</f>
        <v>0</v>
      </c>
      <c r="AE68" s="143">
        <f>SUMIFS('февраль 2026'!$G$2:$G$2649,'февраль 2026'!$D$2:$D$2649,$B68,'февраль 2026'!$J$2:$J$2649,AE$1)</f>
        <v>0</v>
      </c>
      <c r="AF68" s="143">
        <f>SUMIFS('февраль 2026'!$G$2:$G$2649,'февраль 2026'!$D$2:$D$2649,$B68,'февраль 2026'!$J$2:$J$2649,AF$1)</f>
        <v>0</v>
      </c>
      <c r="AG68" s="143">
        <f>SUMIFS('февраль 2026'!$G$2:$G$2649,'февраль 2026'!$D$2:$D$2649,$B68,'февраль 2026'!$J$2:$J$2649,AG$1)</f>
        <v>0</v>
      </c>
      <c r="AH68" s="143">
        <f>SUMIFS('февраль 2026'!$G$2:$G$2649,'февраль 2026'!$D$2:$D$2649,$B68,'февраль 2026'!$J$2:$J$2649,AH$1)</f>
        <v>0</v>
      </c>
      <c r="AI68" s="20">
        <f t="shared" si="1"/>
        <v>0</v>
      </c>
    </row>
    <row r="69" spans="2:35" ht="15" customHeight="1" x14ac:dyDescent="0.25">
      <c r="B69" s="127" t="s">
        <v>321</v>
      </c>
      <c r="C69" s="123">
        <v>25</v>
      </c>
      <c r="D69" s="143">
        <f>SUMIFS('февраль 2026'!$G$2:$G$2649,'февраль 2026'!$D$2:$D$2649,$B69,'февраль 2026'!$J$2:$J$2649,D$1)</f>
        <v>0</v>
      </c>
      <c r="E69" s="143">
        <f>SUMIFS('февраль 2026'!$G$2:$G$2649,'февраль 2026'!$D$2:$D$2649,$B69,'февраль 2026'!$J$2:$J$2649,E$1)</f>
        <v>0</v>
      </c>
      <c r="F69" s="143">
        <f>SUMIFS('февраль 2026'!$G$2:$G$2649,'февраль 2026'!$D$2:$D$2649,$B69,'февраль 2026'!$J$2:$J$2649,F$1)</f>
        <v>0</v>
      </c>
      <c r="G69" s="143">
        <f>SUMIFS('февраль 2026'!$G$2:$G$2649,'февраль 2026'!$D$2:$D$2649,$B69,'февраль 2026'!$J$2:$J$2649,G$1)</f>
        <v>0</v>
      </c>
      <c r="H69" s="143">
        <f>SUMIFS('февраль 2026'!$G$2:$G$2649,'февраль 2026'!$D$2:$D$2649,$B69,'февраль 2026'!$J$2:$J$2649,H$1)</f>
        <v>0</v>
      </c>
      <c r="I69" s="143">
        <f>SUMIFS('февраль 2026'!$G$2:$G$2649,'февраль 2026'!$D$2:$D$2649,$B69,'февраль 2026'!$J$2:$J$2649,I$1)</f>
        <v>0</v>
      </c>
      <c r="J69" s="143">
        <f>SUMIFS('февраль 2026'!$G$2:$G$2649,'февраль 2026'!$D$2:$D$2649,$B69,'февраль 2026'!$J$2:$J$2649,J$1)</f>
        <v>0</v>
      </c>
      <c r="K69" s="143">
        <f>SUMIFS('февраль 2026'!$G$2:$G$2649,'февраль 2026'!$D$2:$D$2649,$B69,'февраль 2026'!$J$2:$J$2649,K$1)</f>
        <v>0</v>
      </c>
      <c r="L69" s="143">
        <f>SUMIFS('февраль 2026'!$G$2:$G$2649,'февраль 2026'!$D$2:$D$2649,$B69,'февраль 2026'!$J$2:$J$2649,L$1)</f>
        <v>0</v>
      </c>
      <c r="M69" s="143">
        <f>SUMIFS('февраль 2026'!$G$2:$G$2649,'февраль 2026'!$D$2:$D$2649,$B69,'февраль 2026'!$J$2:$J$2649,M$1)</f>
        <v>0</v>
      </c>
      <c r="N69" s="143">
        <f>SUMIFS('февраль 2026'!$G$2:$G$2649,'февраль 2026'!$D$2:$D$2649,$B69,'февраль 2026'!$J$2:$J$2649,N$1)</f>
        <v>0</v>
      </c>
      <c r="O69" s="143">
        <f>SUMIFS('февраль 2026'!$G$2:$G$2649,'февраль 2026'!$D$2:$D$2649,$B69,'февраль 2026'!$J$2:$J$2649,O$1)</f>
        <v>0</v>
      </c>
      <c r="P69" s="143">
        <f>SUMIFS('февраль 2026'!$G$2:$G$2649,'февраль 2026'!$D$2:$D$2649,$B69,'февраль 2026'!$J$2:$J$2649,P$1)</f>
        <v>0</v>
      </c>
      <c r="Q69" s="143">
        <f>SUMIFS('февраль 2026'!$G$2:$G$2649,'февраль 2026'!$D$2:$D$2649,$B69,'февраль 2026'!$J$2:$J$2649,Q$1)</f>
        <v>0</v>
      </c>
      <c r="R69" s="143">
        <f>SUMIFS('февраль 2026'!$G$2:$G$2649,'февраль 2026'!$D$2:$D$2649,$B69,'февраль 2026'!$J$2:$J$2649,R$1)</f>
        <v>0</v>
      </c>
      <c r="S69" s="143">
        <f>SUMIFS('февраль 2026'!$G$2:$G$2649,'февраль 2026'!$D$2:$D$2649,$B69,'февраль 2026'!$J$2:$J$2649,S$1)</f>
        <v>0</v>
      </c>
      <c r="T69" s="143">
        <f>SUMIFS('февраль 2026'!$G$2:$G$2649,'февраль 2026'!$D$2:$D$2649,$B69,'февраль 2026'!$J$2:$J$2649,T$1)</f>
        <v>0</v>
      </c>
      <c r="U69" s="143">
        <f>SUMIFS('февраль 2026'!$G$2:$G$2649,'февраль 2026'!$D$2:$D$2649,$B69,'февраль 2026'!$J$2:$J$2649,U$1)</f>
        <v>0</v>
      </c>
      <c r="V69" s="143">
        <f>SUMIFS('февраль 2026'!$G$2:$G$2649,'февраль 2026'!$D$2:$D$2649,$B69,'февраль 2026'!$J$2:$J$2649,V$1)</f>
        <v>0</v>
      </c>
      <c r="W69" s="143">
        <f>SUMIFS('февраль 2026'!$G$2:$G$2649,'февраль 2026'!$D$2:$D$2649,$B69,'февраль 2026'!$J$2:$J$2649,W$1)</f>
        <v>0</v>
      </c>
      <c r="X69" s="143">
        <f>SUMIFS('февраль 2026'!$G$2:$G$2649,'февраль 2026'!$D$2:$D$2649,$B69,'февраль 2026'!$J$2:$J$2649,X$1)</f>
        <v>0</v>
      </c>
      <c r="Y69" s="143">
        <f>SUMIFS('февраль 2026'!$G$2:$G$2649,'февраль 2026'!$D$2:$D$2649,$B69,'февраль 2026'!$J$2:$J$2649,Y$1)</f>
        <v>0</v>
      </c>
      <c r="Z69" s="143">
        <f>SUMIFS('февраль 2026'!$G$2:$G$2649,'февраль 2026'!$D$2:$D$2649,$B69,'февраль 2026'!$J$2:$J$2649,Z$1)</f>
        <v>0</v>
      </c>
      <c r="AA69" s="143">
        <f>SUMIFS('февраль 2026'!$G$2:$G$2649,'февраль 2026'!$D$2:$D$2649,$B69,'февраль 2026'!$J$2:$J$2649,AA$1)</f>
        <v>0</v>
      </c>
      <c r="AB69" s="143">
        <f>SUMIFS('февраль 2026'!$G$2:$G$2649,'февраль 2026'!$D$2:$D$2649,$B69,'февраль 2026'!$J$2:$J$2649,AB$1)</f>
        <v>0</v>
      </c>
      <c r="AC69" s="143">
        <f>SUMIFS('февраль 2026'!$G$2:$G$2649,'февраль 2026'!$D$2:$D$2649,$B69,'февраль 2026'!$J$2:$J$2649,AC$1)</f>
        <v>0</v>
      </c>
      <c r="AD69" s="143">
        <f>SUMIFS('февраль 2026'!$G$2:$G$2649,'февраль 2026'!$D$2:$D$2649,$B69,'февраль 2026'!$J$2:$J$2649,AD$1)</f>
        <v>0</v>
      </c>
      <c r="AE69" s="143">
        <f>SUMIFS('февраль 2026'!$G$2:$G$2649,'февраль 2026'!$D$2:$D$2649,$B69,'февраль 2026'!$J$2:$J$2649,AE$1)</f>
        <v>0</v>
      </c>
      <c r="AF69" s="143">
        <f>SUMIFS('февраль 2026'!$G$2:$G$2649,'февраль 2026'!$D$2:$D$2649,$B69,'февраль 2026'!$J$2:$J$2649,AF$1)</f>
        <v>0</v>
      </c>
      <c r="AG69" s="143">
        <f>SUMIFS('февраль 2026'!$G$2:$G$2649,'февраль 2026'!$D$2:$D$2649,$B69,'февраль 2026'!$J$2:$J$2649,AG$1)</f>
        <v>0</v>
      </c>
      <c r="AH69" s="143">
        <f>SUMIFS('февраль 2026'!$G$2:$G$2649,'февраль 2026'!$D$2:$D$2649,$B69,'февраль 2026'!$J$2:$J$2649,AH$1)</f>
        <v>0</v>
      </c>
      <c r="AI69" s="20">
        <f t="shared" si="1"/>
        <v>0</v>
      </c>
    </row>
    <row r="70" spans="2:35" ht="15" customHeight="1" x14ac:dyDescent="0.25">
      <c r="B70" s="127"/>
      <c r="C70" s="123"/>
      <c r="D70" s="143">
        <f>SUMIFS('февраль 2026'!$G$2:$G$2649,'февраль 2026'!$D$2:$D$2649,$B70,'февраль 2026'!$J$2:$J$2649,D$1)</f>
        <v>0</v>
      </c>
      <c r="E70" s="143">
        <f>SUMIFS('февраль 2026'!$G$2:$G$2649,'февраль 2026'!$D$2:$D$2649,$B70,'февраль 2026'!$J$2:$J$2649,E$1)</f>
        <v>0</v>
      </c>
      <c r="F70" s="143">
        <f>SUMIFS('февраль 2026'!$G$2:$G$2649,'февраль 2026'!$D$2:$D$2649,$B70,'февраль 2026'!$J$2:$J$2649,F$1)</f>
        <v>0</v>
      </c>
      <c r="G70" s="143">
        <f>SUMIFS('февраль 2026'!$G$2:$G$2649,'февраль 2026'!$D$2:$D$2649,$B70,'февраль 2026'!$J$2:$J$2649,G$1)</f>
        <v>0</v>
      </c>
      <c r="H70" s="143">
        <f>SUMIFS('февраль 2026'!$G$2:$G$2649,'февраль 2026'!$D$2:$D$2649,$B70,'февраль 2026'!$J$2:$J$2649,H$1)</f>
        <v>0</v>
      </c>
      <c r="I70" s="143">
        <f>SUMIFS('февраль 2026'!$G$2:$G$2649,'февраль 2026'!$D$2:$D$2649,$B70,'февраль 2026'!$J$2:$J$2649,I$1)</f>
        <v>0</v>
      </c>
      <c r="J70" s="143">
        <f>SUMIFS('февраль 2026'!$G$2:$G$2649,'февраль 2026'!$D$2:$D$2649,$B70,'февраль 2026'!$J$2:$J$2649,J$1)</f>
        <v>0</v>
      </c>
      <c r="K70" s="143">
        <f>SUMIFS('февраль 2026'!$G$2:$G$2649,'февраль 2026'!$D$2:$D$2649,$B70,'февраль 2026'!$J$2:$J$2649,K$1)</f>
        <v>0</v>
      </c>
      <c r="L70" s="143">
        <f>SUMIFS('февраль 2026'!$G$2:$G$2649,'февраль 2026'!$D$2:$D$2649,$B70,'февраль 2026'!$J$2:$J$2649,L$1)</f>
        <v>0</v>
      </c>
      <c r="M70" s="143">
        <f>SUMIFS('февраль 2026'!$G$2:$G$2649,'февраль 2026'!$D$2:$D$2649,$B70,'февраль 2026'!$J$2:$J$2649,M$1)</f>
        <v>0</v>
      </c>
      <c r="N70" s="143">
        <f>SUMIFS('февраль 2026'!$G$2:$G$2649,'февраль 2026'!$D$2:$D$2649,$B70,'февраль 2026'!$J$2:$J$2649,N$1)</f>
        <v>0</v>
      </c>
      <c r="O70" s="143">
        <f>SUMIFS('февраль 2026'!$G$2:$G$2649,'февраль 2026'!$D$2:$D$2649,$B70,'февраль 2026'!$J$2:$J$2649,O$1)</f>
        <v>0</v>
      </c>
      <c r="P70" s="143">
        <f>SUMIFS('февраль 2026'!$G$2:$G$2649,'февраль 2026'!$D$2:$D$2649,$B70,'февраль 2026'!$J$2:$J$2649,P$1)</f>
        <v>0</v>
      </c>
      <c r="Q70" s="143">
        <f>SUMIFS('февраль 2026'!$G$2:$G$2649,'февраль 2026'!$D$2:$D$2649,$B70,'февраль 2026'!$J$2:$J$2649,Q$1)</f>
        <v>0</v>
      </c>
      <c r="R70" s="143">
        <f>SUMIFS('февраль 2026'!$G$2:$G$2649,'февраль 2026'!$D$2:$D$2649,$B70,'февраль 2026'!$J$2:$J$2649,R$1)</f>
        <v>0</v>
      </c>
      <c r="S70" s="143">
        <f>SUMIFS('февраль 2026'!$G$2:$G$2649,'февраль 2026'!$D$2:$D$2649,$B70,'февраль 2026'!$J$2:$J$2649,S$1)</f>
        <v>0</v>
      </c>
      <c r="T70" s="143">
        <f>SUMIFS('февраль 2026'!$G$2:$G$2649,'февраль 2026'!$D$2:$D$2649,$B70,'февраль 2026'!$J$2:$J$2649,T$1)</f>
        <v>0</v>
      </c>
      <c r="U70" s="143">
        <f>SUMIFS('февраль 2026'!$G$2:$G$2649,'февраль 2026'!$D$2:$D$2649,$B70,'февраль 2026'!$J$2:$J$2649,U$1)</f>
        <v>0</v>
      </c>
      <c r="V70" s="143">
        <f>SUMIFS('февраль 2026'!$G$2:$G$2649,'февраль 2026'!$D$2:$D$2649,$B70,'февраль 2026'!$J$2:$J$2649,V$1)</f>
        <v>0</v>
      </c>
      <c r="W70" s="143">
        <f>SUMIFS('февраль 2026'!$G$2:$G$2649,'февраль 2026'!$D$2:$D$2649,$B70,'февраль 2026'!$J$2:$J$2649,W$1)</f>
        <v>0</v>
      </c>
      <c r="X70" s="143">
        <f>SUMIFS('февраль 2026'!$G$2:$G$2649,'февраль 2026'!$D$2:$D$2649,$B70,'февраль 2026'!$J$2:$J$2649,X$1)</f>
        <v>0</v>
      </c>
      <c r="Y70" s="143">
        <f>SUMIFS('февраль 2026'!$G$2:$G$2649,'февраль 2026'!$D$2:$D$2649,$B70,'февраль 2026'!$J$2:$J$2649,Y$1)</f>
        <v>0</v>
      </c>
      <c r="Z70" s="143">
        <f>SUMIFS('февраль 2026'!$G$2:$G$2649,'февраль 2026'!$D$2:$D$2649,$B70,'февраль 2026'!$J$2:$J$2649,Z$1)</f>
        <v>0</v>
      </c>
      <c r="AA70" s="143">
        <f>SUMIFS('февраль 2026'!$G$2:$G$2649,'февраль 2026'!$D$2:$D$2649,$B70,'февраль 2026'!$J$2:$J$2649,AA$1)</f>
        <v>0</v>
      </c>
      <c r="AB70" s="143">
        <f>SUMIFS('февраль 2026'!$G$2:$G$2649,'февраль 2026'!$D$2:$D$2649,$B70,'февраль 2026'!$J$2:$J$2649,AB$1)</f>
        <v>0</v>
      </c>
      <c r="AC70" s="143">
        <f>SUMIFS('февраль 2026'!$G$2:$G$2649,'февраль 2026'!$D$2:$D$2649,$B70,'февраль 2026'!$J$2:$J$2649,AC$1)</f>
        <v>0</v>
      </c>
      <c r="AD70" s="143">
        <f>SUMIFS('февраль 2026'!$G$2:$G$2649,'февраль 2026'!$D$2:$D$2649,$B70,'февраль 2026'!$J$2:$J$2649,AD$1)</f>
        <v>0</v>
      </c>
      <c r="AE70" s="143">
        <f>SUMIFS('февраль 2026'!$G$2:$G$2649,'февраль 2026'!$D$2:$D$2649,$B70,'февраль 2026'!$J$2:$J$2649,AE$1)</f>
        <v>0</v>
      </c>
      <c r="AF70" s="143">
        <f>SUMIFS('февраль 2026'!$G$2:$G$2649,'февраль 2026'!$D$2:$D$2649,$B70,'февраль 2026'!$J$2:$J$2649,AF$1)</f>
        <v>0</v>
      </c>
      <c r="AG70" s="143">
        <f>SUMIFS('февраль 2026'!$G$2:$G$2649,'февраль 2026'!$D$2:$D$2649,$B70,'февраль 2026'!$J$2:$J$2649,AG$1)</f>
        <v>0</v>
      </c>
      <c r="AH70" s="143">
        <f>SUMIFS('февраль 2026'!$G$2:$G$2649,'февраль 2026'!$D$2:$D$2649,$B70,'февраль 2026'!$J$2:$J$2649,AH$1)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SUMIFS('февраль 2026'!$G$2:$G$2649,'февраль 2026'!$D$2:$D$2649,$B71,'февраль 2026'!$J$2:$J$2649,D$1)</f>
        <v>0</v>
      </c>
      <c r="E71" s="143">
        <f>SUMIFS('февраль 2026'!$G$2:$G$2649,'февраль 2026'!$D$2:$D$2649,$B71,'февраль 2026'!$J$2:$J$2649,E$1)</f>
        <v>0</v>
      </c>
      <c r="F71" s="143">
        <f>SUMIFS('февраль 2026'!$G$2:$G$2649,'февраль 2026'!$D$2:$D$2649,$B71,'февраль 2026'!$J$2:$J$2649,F$1)</f>
        <v>0</v>
      </c>
      <c r="G71" s="143">
        <f>SUMIFS('февраль 2026'!$G$2:$G$2649,'февраль 2026'!$D$2:$D$2649,$B71,'февраль 2026'!$J$2:$J$2649,G$1)</f>
        <v>0</v>
      </c>
      <c r="H71" s="143">
        <f>SUMIFS('февраль 2026'!$G$2:$G$2649,'февраль 2026'!$D$2:$D$2649,$B71,'февраль 2026'!$J$2:$J$2649,H$1)</f>
        <v>0</v>
      </c>
      <c r="I71" s="143">
        <f>SUMIFS('февраль 2026'!$G$2:$G$2649,'февраль 2026'!$D$2:$D$2649,$B71,'февраль 2026'!$J$2:$J$2649,I$1)</f>
        <v>0</v>
      </c>
      <c r="J71" s="143">
        <f>SUMIFS('февраль 2026'!$G$2:$G$2649,'февраль 2026'!$D$2:$D$2649,$B71,'февраль 2026'!$J$2:$J$2649,J$1)</f>
        <v>0</v>
      </c>
      <c r="K71" s="143">
        <f>SUMIFS('февраль 2026'!$G$2:$G$2649,'февраль 2026'!$D$2:$D$2649,$B71,'февраль 2026'!$J$2:$J$2649,K$1)</f>
        <v>0</v>
      </c>
      <c r="L71" s="143">
        <f>SUMIFS('февраль 2026'!$G$2:$G$2649,'февраль 2026'!$D$2:$D$2649,$B71,'февраль 2026'!$J$2:$J$2649,L$1)</f>
        <v>0</v>
      </c>
      <c r="M71" s="143">
        <f>SUMIFS('февраль 2026'!$G$2:$G$2649,'февраль 2026'!$D$2:$D$2649,$B71,'февраль 2026'!$J$2:$J$2649,M$1)</f>
        <v>0</v>
      </c>
      <c r="N71" s="143">
        <f>SUMIFS('февраль 2026'!$G$2:$G$2649,'февраль 2026'!$D$2:$D$2649,$B71,'февраль 2026'!$J$2:$J$2649,N$1)</f>
        <v>0</v>
      </c>
      <c r="O71" s="143">
        <f>SUMIFS('февраль 2026'!$G$2:$G$2649,'февраль 2026'!$D$2:$D$2649,$B71,'февраль 2026'!$J$2:$J$2649,O$1)</f>
        <v>0</v>
      </c>
      <c r="P71" s="143">
        <f>SUMIFS('февраль 2026'!$G$2:$G$2649,'февраль 2026'!$D$2:$D$2649,$B71,'февраль 2026'!$J$2:$J$2649,P$1)</f>
        <v>0</v>
      </c>
      <c r="Q71" s="143">
        <f>SUMIFS('февраль 2026'!$G$2:$G$2649,'февраль 2026'!$D$2:$D$2649,$B71,'февраль 2026'!$J$2:$J$2649,Q$1)</f>
        <v>0</v>
      </c>
      <c r="R71" s="143">
        <f>SUMIFS('февраль 2026'!$G$2:$G$2649,'февраль 2026'!$D$2:$D$2649,$B71,'февраль 2026'!$J$2:$J$2649,R$1)</f>
        <v>0</v>
      </c>
      <c r="S71" s="143">
        <f>SUMIFS('февраль 2026'!$G$2:$G$2649,'февраль 2026'!$D$2:$D$2649,$B71,'февраль 2026'!$J$2:$J$2649,S$1)</f>
        <v>0</v>
      </c>
      <c r="T71" s="143">
        <f>SUMIFS('февраль 2026'!$G$2:$G$2649,'февраль 2026'!$D$2:$D$2649,$B71,'февраль 2026'!$J$2:$J$2649,T$1)</f>
        <v>0</v>
      </c>
      <c r="U71" s="143">
        <f>SUMIFS('февраль 2026'!$G$2:$G$2649,'февраль 2026'!$D$2:$D$2649,$B71,'февраль 2026'!$J$2:$J$2649,U$1)</f>
        <v>0</v>
      </c>
      <c r="V71" s="143">
        <f>SUMIFS('февраль 2026'!$G$2:$G$2649,'февраль 2026'!$D$2:$D$2649,$B71,'февраль 2026'!$J$2:$J$2649,V$1)</f>
        <v>0</v>
      </c>
      <c r="W71" s="143">
        <f>SUMIFS('февраль 2026'!$G$2:$G$2649,'февраль 2026'!$D$2:$D$2649,$B71,'февраль 2026'!$J$2:$J$2649,W$1)</f>
        <v>0</v>
      </c>
      <c r="X71" s="143">
        <f>SUMIFS('февраль 2026'!$G$2:$G$2649,'февраль 2026'!$D$2:$D$2649,$B71,'февраль 2026'!$J$2:$J$2649,X$1)</f>
        <v>0</v>
      </c>
      <c r="Y71" s="143">
        <f>SUMIFS('февраль 2026'!$G$2:$G$2649,'февраль 2026'!$D$2:$D$2649,$B71,'февраль 2026'!$J$2:$J$2649,Y$1)</f>
        <v>0</v>
      </c>
      <c r="Z71" s="143">
        <f>SUMIFS('февраль 2026'!$G$2:$G$2649,'февраль 2026'!$D$2:$D$2649,$B71,'февраль 2026'!$J$2:$J$2649,Z$1)</f>
        <v>0</v>
      </c>
      <c r="AA71" s="143">
        <f>SUMIFS('февраль 2026'!$G$2:$G$2649,'февраль 2026'!$D$2:$D$2649,$B71,'февраль 2026'!$J$2:$J$2649,AA$1)</f>
        <v>0</v>
      </c>
      <c r="AB71" s="143">
        <f>SUMIFS('февраль 2026'!$G$2:$G$2649,'февраль 2026'!$D$2:$D$2649,$B71,'февраль 2026'!$J$2:$J$2649,AB$1)</f>
        <v>0</v>
      </c>
      <c r="AC71" s="143">
        <f>SUMIFS('февраль 2026'!$G$2:$G$2649,'февраль 2026'!$D$2:$D$2649,$B71,'февраль 2026'!$J$2:$J$2649,AC$1)</f>
        <v>0</v>
      </c>
      <c r="AD71" s="143">
        <f>SUMIFS('февраль 2026'!$G$2:$G$2649,'февраль 2026'!$D$2:$D$2649,$B71,'февраль 2026'!$J$2:$J$2649,AD$1)</f>
        <v>0</v>
      </c>
      <c r="AE71" s="143">
        <f>SUMIFS('февраль 2026'!$G$2:$G$2649,'февраль 2026'!$D$2:$D$2649,$B71,'февраль 2026'!$J$2:$J$2649,AE$1)</f>
        <v>0</v>
      </c>
      <c r="AF71" s="143">
        <f>SUMIFS('февраль 2026'!$G$2:$G$2649,'февраль 2026'!$D$2:$D$2649,$B71,'февраль 2026'!$J$2:$J$2649,AF$1)</f>
        <v>0</v>
      </c>
      <c r="AG71" s="143">
        <f>SUMIFS('февраль 2026'!$G$2:$G$2649,'февраль 2026'!$D$2:$D$2649,$B71,'февраль 2026'!$J$2:$J$2649,AG$1)</f>
        <v>0</v>
      </c>
      <c r="AH71" s="143">
        <f>SUMIFS('февраль 2026'!$G$2:$G$2649,'февраль 2026'!$D$2:$D$2649,$B71,'февраль 2026'!$J$2:$J$2649,AH$1)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SUMIFS('февраль 2026'!$G$2:$G$2649,'февраль 2026'!$D$2:$D$2649,$B72,'февраль 2026'!$J$2:$J$2649,D$1)</f>
        <v>0</v>
      </c>
      <c r="E72" s="144">
        <f>SUMIFS('февраль 2026'!$G$2:$G$2649,'февраль 2026'!$D$2:$D$2649,$B72,'февраль 2026'!$J$2:$J$2649,E$1)</f>
        <v>0</v>
      </c>
      <c r="F72" s="144">
        <f>SUMIFS('февраль 2026'!$G$2:$G$2649,'февраль 2026'!$D$2:$D$2649,$B72,'февраль 2026'!$J$2:$J$2649,F$1)</f>
        <v>0</v>
      </c>
      <c r="G72" s="144">
        <f>SUMIFS('февраль 2026'!$G$2:$G$2649,'февраль 2026'!$D$2:$D$2649,$B72,'февраль 2026'!$J$2:$J$2649,G$1)</f>
        <v>0</v>
      </c>
      <c r="H72" s="144">
        <f>SUMIFS('февраль 2026'!$G$2:$G$2649,'февраль 2026'!$D$2:$D$2649,$B72,'февраль 2026'!$J$2:$J$2649,H$1)</f>
        <v>0</v>
      </c>
      <c r="I72" s="144">
        <f>SUMIFS('февраль 2026'!$G$2:$G$2649,'февраль 2026'!$D$2:$D$2649,$B72,'февраль 2026'!$J$2:$J$2649,I$1)</f>
        <v>0</v>
      </c>
      <c r="J72" s="144">
        <f>SUMIFS('февраль 2026'!$G$2:$G$2649,'февраль 2026'!$D$2:$D$2649,$B72,'февраль 2026'!$J$2:$J$2649,J$1)</f>
        <v>0</v>
      </c>
      <c r="K72" s="144">
        <f>SUMIFS('февраль 2026'!$G$2:$G$2649,'февраль 2026'!$D$2:$D$2649,$B72,'февраль 2026'!$J$2:$J$2649,K$1)</f>
        <v>0</v>
      </c>
      <c r="L72" s="144">
        <f>SUMIFS('февраль 2026'!$G$2:$G$2649,'февраль 2026'!$D$2:$D$2649,$B72,'февраль 2026'!$J$2:$J$2649,L$1)</f>
        <v>0</v>
      </c>
      <c r="M72" s="144">
        <f>SUMIFS('февраль 2026'!$G$2:$G$2649,'февраль 2026'!$D$2:$D$2649,$B72,'февраль 2026'!$J$2:$J$2649,M$1)</f>
        <v>0</v>
      </c>
      <c r="N72" s="144">
        <f>SUMIFS('февраль 2026'!$G$2:$G$2649,'февраль 2026'!$D$2:$D$2649,$B72,'февраль 2026'!$J$2:$J$2649,N$1)</f>
        <v>0</v>
      </c>
      <c r="O72" s="144">
        <f>SUMIFS('февраль 2026'!$G$2:$G$2649,'февраль 2026'!$D$2:$D$2649,$B72,'февраль 2026'!$J$2:$J$2649,O$1)</f>
        <v>0</v>
      </c>
      <c r="P72" s="144">
        <f>SUMIFS('февраль 2026'!$G$2:$G$2649,'февраль 2026'!$D$2:$D$2649,$B72,'февраль 2026'!$J$2:$J$2649,P$1)</f>
        <v>0</v>
      </c>
      <c r="Q72" s="144">
        <f>SUMIFS('февраль 2026'!$G$2:$G$2649,'февраль 2026'!$D$2:$D$2649,$B72,'февраль 2026'!$J$2:$J$2649,Q$1)</f>
        <v>0</v>
      </c>
      <c r="R72" s="144">
        <f>SUMIFS('февраль 2026'!$G$2:$G$2649,'февраль 2026'!$D$2:$D$2649,$B72,'февраль 2026'!$J$2:$J$2649,R$1)</f>
        <v>0</v>
      </c>
      <c r="S72" s="144">
        <f>SUMIFS('февраль 2026'!$G$2:$G$2649,'февраль 2026'!$D$2:$D$2649,$B72,'февраль 2026'!$J$2:$J$2649,S$1)</f>
        <v>0</v>
      </c>
      <c r="T72" s="144">
        <f>SUMIFS('февраль 2026'!$G$2:$G$2649,'февраль 2026'!$D$2:$D$2649,$B72,'февраль 2026'!$J$2:$J$2649,T$1)</f>
        <v>0</v>
      </c>
      <c r="U72" s="144">
        <f>SUMIFS('февраль 2026'!$G$2:$G$2649,'февраль 2026'!$D$2:$D$2649,$B72,'февраль 2026'!$J$2:$J$2649,U$1)</f>
        <v>0</v>
      </c>
      <c r="V72" s="144">
        <f>SUMIFS('февраль 2026'!$G$2:$G$2649,'февраль 2026'!$D$2:$D$2649,$B72,'февраль 2026'!$J$2:$J$2649,V$1)</f>
        <v>0</v>
      </c>
      <c r="W72" s="144">
        <f>SUMIFS('февраль 2026'!$G$2:$G$2649,'февраль 2026'!$D$2:$D$2649,$B72,'февраль 2026'!$J$2:$J$2649,W$1)</f>
        <v>0</v>
      </c>
      <c r="X72" s="144">
        <f>SUMIFS('февраль 2026'!$G$2:$G$2649,'февраль 2026'!$D$2:$D$2649,$B72,'февраль 2026'!$J$2:$J$2649,X$1)</f>
        <v>0</v>
      </c>
      <c r="Y72" s="144">
        <f>SUMIFS('февраль 2026'!$G$2:$G$2649,'февраль 2026'!$D$2:$D$2649,$B72,'февраль 2026'!$J$2:$J$2649,Y$1)</f>
        <v>0</v>
      </c>
      <c r="Z72" s="144">
        <f>SUMIFS('февраль 2026'!$G$2:$G$2649,'февраль 2026'!$D$2:$D$2649,$B72,'февраль 2026'!$J$2:$J$2649,Z$1)</f>
        <v>0</v>
      </c>
      <c r="AA72" s="144">
        <f>SUMIFS('февраль 2026'!$G$2:$G$2649,'февраль 2026'!$D$2:$D$2649,$B72,'февраль 2026'!$J$2:$J$2649,AA$1)</f>
        <v>0</v>
      </c>
      <c r="AB72" s="144">
        <f>SUMIFS('февраль 2026'!$G$2:$G$2649,'февраль 2026'!$D$2:$D$2649,$B72,'февраль 2026'!$J$2:$J$2649,AB$1)</f>
        <v>0</v>
      </c>
      <c r="AC72" s="144">
        <f>SUMIFS('февраль 2026'!$G$2:$G$2649,'февраль 2026'!$D$2:$D$2649,$B72,'февраль 2026'!$J$2:$J$2649,AC$1)</f>
        <v>0</v>
      </c>
      <c r="AD72" s="144">
        <f>SUMIFS('февраль 2026'!$G$2:$G$2649,'февраль 2026'!$D$2:$D$2649,$B72,'февраль 2026'!$J$2:$J$2649,AD$1)</f>
        <v>0</v>
      </c>
      <c r="AE72" s="144">
        <f>SUMIFS('февраль 2026'!$G$2:$G$2649,'февраль 2026'!$D$2:$D$2649,$B72,'февраль 2026'!$J$2:$J$2649,AE$1)</f>
        <v>0</v>
      </c>
      <c r="AF72" s="144">
        <f>SUMIFS('февраль 2026'!$G$2:$G$2649,'февраль 2026'!$D$2:$D$2649,$B72,'февраль 2026'!$J$2:$J$2649,AF$1)</f>
        <v>0</v>
      </c>
      <c r="AG72" s="144">
        <f>SUMIFS('февраль 2026'!$G$2:$G$2649,'февраль 2026'!$D$2:$D$2649,$B72,'февраль 2026'!$J$2:$J$2649,AG$1)</f>
        <v>0</v>
      </c>
      <c r="AH72" s="144">
        <f>SUMIFS('февраль 2026'!$G$2:$G$2649,'февраль 2026'!$D$2:$D$2649,$B72,'февраль 2026'!$J$2:$J$2649,AH$1)</f>
        <v>0</v>
      </c>
      <c r="AI72" s="20">
        <f t="shared" si="1"/>
        <v>0</v>
      </c>
    </row>
    <row r="73" spans="2:35" ht="15" customHeight="1" x14ac:dyDescent="0.25">
      <c r="B73" s="84" t="s">
        <v>295</v>
      </c>
      <c r="C73" s="83">
        <v>50</v>
      </c>
      <c r="D73" s="144">
        <f>SUMIFS('февраль 2026'!$G$2:$G$2649,'февраль 2026'!$D$2:$D$2649,$B73,'февраль 2026'!$J$2:$J$2649,D$1)</f>
        <v>0</v>
      </c>
      <c r="E73" s="144">
        <f>SUMIFS('февраль 2026'!$G$2:$G$2649,'февраль 2026'!$D$2:$D$2649,$B73,'февраль 2026'!$J$2:$J$2649,E$1)</f>
        <v>0</v>
      </c>
      <c r="F73" s="144">
        <f>SUMIFS('февраль 2026'!$G$2:$G$2649,'февраль 2026'!$D$2:$D$2649,$B73,'февраль 2026'!$J$2:$J$2649,F$1)</f>
        <v>0</v>
      </c>
      <c r="G73" s="144">
        <f>SUMIFS('февраль 2026'!$G$2:$G$2649,'февраль 2026'!$D$2:$D$2649,$B73,'февраль 2026'!$J$2:$J$2649,G$1)</f>
        <v>0</v>
      </c>
      <c r="H73" s="144">
        <f>SUMIFS('февраль 2026'!$G$2:$G$2649,'февраль 2026'!$D$2:$D$2649,$B73,'февраль 2026'!$J$2:$J$2649,H$1)</f>
        <v>0</v>
      </c>
      <c r="I73" s="144">
        <f>SUMIFS('февраль 2026'!$G$2:$G$2649,'февраль 2026'!$D$2:$D$2649,$B73,'февраль 2026'!$J$2:$J$2649,I$1)</f>
        <v>0</v>
      </c>
      <c r="J73" s="144">
        <f>SUMIFS('февраль 2026'!$G$2:$G$2649,'февраль 2026'!$D$2:$D$2649,$B73,'февраль 2026'!$J$2:$J$2649,J$1)</f>
        <v>0</v>
      </c>
      <c r="K73" s="144">
        <f>SUMIFS('февраль 2026'!$G$2:$G$2649,'февраль 2026'!$D$2:$D$2649,$B73,'февраль 2026'!$J$2:$J$2649,K$1)</f>
        <v>0</v>
      </c>
      <c r="L73" s="144">
        <f>SUMIFS('февраль 2026'!$G$2:$G$2649,'февраль 2026'!$D$2:$D$2649,$B73,'февраль 2026'!$J$2:$J$2649,L$1)</f>
        <v>0</v>
      </c>
      <c r="M73" s="144">
        <f>SUMIFS('февраль 2026'!$G$2:$G$2649,'февраль 2026'!$D$2:$D$2649,$B73,'февраль 2026'!$J$2:$J$2649,M$1)</f>
        <v>0</v>
      </c>
      <c r="N73" s="144">
        <f>SUMIFS('февраль 2026'!$G$2:$G$2649,'февраль 2026'!$D$2:$D$2649,$B73,'февраль 2026'!$J$2:$J$2649,N$1)</f>
        <v>0</v>
      </c>
      <c r="O73" s="144">
        <f>SUMIFS('февраль 2026'!$G$2:$G$2649,'февраль 2026'!$D$2:$D$2649,$B73,'февраль 2026'!$J$2:$J$2649,O$1)</f>
        <v>0</v>
      </c>
      <c r="P73" s="144">
        <f>SUMIFS('февраль 2026'!$G$2:$G$2649,'февраль 2026'!$D$2:$D$2649,$B73,'февраль 2026'!$J$2:$J$2649,P$1)</f>
        <v>0</v>
      </c>
      <c r="Q73" s="144">
        <f>SUMIFS('февраль 2026'!$G$2:$G$2649,'февраль 2026'!$D$2:$D$2649,$B73,'февраль 2026'!$J$2:$J$2649,Q$1)</f>
        <v>0</v>
      </c>
      <c r="R73" s="144">
        <f>SUMIFS('февраль 2026'!$G$2:$G$2649,'февраль 2026'!$D$2:$D$2649,$B73,'февраль 2026'!$J$2:$J$2649,R$1)</f>
        <v>0</v>
      </c>
      <c r="S73" s="144">
        <f>SUMIFS('февраль 2026'!$G$2:$G$2649,'февраль 2026'!$D$2:$D$2649,$B73,'февраль 2026'!$J$2:$J$2649,S$1)</f>
        <v>0</v>
      </c>
      <c r="T73" s="144">
        <f>SUMIFS('февраль 2026'!$G$2:$G$2649,'февраль 2026'!$D$2:$D$2649,$B73,'февраль 2026'!$J$2:$J$2649,T$1)</f>
        <v>0</v>
      </c>
      <c r="U73" s="144">
        <f>SUMIFS('февраль 2026'!$G$2:$G$2649,'февраль 2026'!$D$2:$D$2649,$B73,'февраль 2026'!$J$2:$J$2649,U$1)</f>
        <v>0</v>
      </c>
      <c r="V73" s="144">
        <f>SUMIFS('февраль 2026'!$G$2:$G$2649,'февраль 2026'!$D$2:$D$2649,$B73,'февраль 2026'!$J$2:$J$2649,V$1)</f>
        <v>0</v>
      </c>
      <c r="W73" s="144">
        <f>SUMIFS('февраль 2026'!$G$2:$G$2649,'февраль 2026'!$D$2:$D$2649,$B73,'февраль 2026'!$J$2:$J$2649,W$1)</f>
        <v>0</v>
      </c>
      <c r="X73" s="144">
        <f>SUMIFS('февраль 2026'!$G$2:$G$2649,'февраль 2026'!$D$2:$D$2649,$B73,'февраль 2026'!$J$2:$J$2649,X$1)</f>
        <v>0</v>
      </c>
      <c r="Y73" s="144">
        <f>SUMIFS('февраль 2026'!$G$2:$G$2649,'февраль 2026'!$D$2:$D$2649,$B73,'февраль 2026'!$J$2:$J$2649,Y$1)</f>
        <v>0</v>
      </c>
      <c r="Z73" s="144">
        <f>SUMIFS('февраль 2026'!$G$2:$G$2649,'февраль 2026'!$D$2:$D$2649,$B73,'февраль 2026'!$J$2:$J$2649,Z$1)</f>
        <v>0</v>
      </c>
      <c r="AA73" s="144">
        <f>SUMIFS('февраль 2026'!$G$2:$G$2649,'февраль 2026'!$D$2:$D$2649,$B73,'февраль 2026'!$J$2:$J$2649,AA$1)</f>
        <v>0</v>
      </c>
      <c r="AB73" s="144">
        <f>SUMIFS('февраль 2026'!$G$2:$G$2649,'февраль 2026'!$D$2:$D$2649,$B73,'февраль 2026'!$J$2:$J$2649,AB$1)</f>
        <v>0</v>
      </c>
      <c r="AC73" s="144">
        <f>SUMIFS('февраль 2026'!$G$2:$G$2649,'февраль 2026'!$D$2:$D$2649,$B73,'февраль 2026'!$J$2:$J$2649,AC$1)</f>
        <v>0</v>
      </c>
      <c r="AD73" s="144">
        <f>SUMIFS('февраль 2026'!$G$2:$G$2649,'февраль 2026'!$D$2:$D$2649,$B73,'февраль 2026'!$J$2:$J$2649,AD$1)</f>
        <v>0</v>
      </c>
      <c r="AE73" s="144">
        <f>SUMIFS('февраль 2026'!$G$2:$G$2649,'февраль 2026'!$D$2:$D$2649,$B73,'февраль 2026'!$J$2:$J$2649,AE$1)</f>
        <v>0</v>
      </c>
      <c r="AF73" s="144">
        <f>SUMIFS('февраль 2026'!$G$2:$G$2649,'февраль 2026'!$D$2:$D$2649,$B73,'февраль 2026'!$J$2:$J$2649,AF$1)</f>
        <v>0</v>
      </c>
      <c r="AG73" s="144">
        <f>SUMIFS('февраль 2026'!$G$2:$G$2649,'февраль 2026'!$D$2:$D$2649,$B73,'февраль 2026'!$J$2:$J$2649,AG$1)</f>
        <v>0</v>
      </c>
      <c r="AH73" s="144">
        <f>SUMIFS('февраль 2026'!$G$2:$G$2649,'февраль 2026'!$D$2:$D$2649,$B73,'февраль 2026'!$J$2:$J$2649,AH$1)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SUMIFS('февраль 2026'!$G$2:$G$2649,'февраль 2026'!$D$2:$D$2649,$B74,'февраль 2026'!$J$2:$J$2649,D$1)</f>
        <v>0</v>
      </c>
      <c r="E74" s="144">
        <f>SUMIFS('февраль 2026'!$G$2:$G$2649,'февраль 2026'!$D$2:$D$2649,$B74,'февраль 2026'!$J$2:$J$2649,E$1)</f>
        <v>0</v>
      </c>
      <c r="F74" s="144">
        <f>SUMIFS('февраль 2026'!$G$2:$G$2649,'февраль 2026'!$D$2:$D$2649,$B74,'февраль 2026'!$J$2:$J$2649,F$1)</f>
        <v>0</v>
      </c>
      <c r="G74" s="144">
        <f>SUMIFS('февраль 2026'!$G$2:$G$2649,'февраль 2026'!$D$2:$D$2649,$B74,'февраль 2026'!$J$2:$J$2649,G$1)</f>
        <v>0</v>
      </c>
      <c r="H74" s="144">
        <f>SUMIFS('февраль 2026'!$G$2:$G$2649,'февраль 2026'!$D$2:$D$2649,$B74,'февраль 2026'!$J$2:$J$2649,H$1)</f>
        <v>0</v>
      </c>
      <c r="I74" s="144">
        <f>SUMIFS('февраль 2026'!$G$2:$G$2649,'февраль 2026'!$D$2:$D$2649,$B74,'февраль 2026'!$J$2:$J$2649,I$1)</f>
        <v>0</v>
      </c>
      <c r="J74" s="144">
        <f>SUMIFS('февраль 2026'!$G$2:$G$2649,'февраль 2026'!$D$2:$D$2649,$B74,'февраль 2026'!$J$2:$J$2649,J$1)</f>
        <v>0</v>
      </c>
      <c r="K74" s="144">
        <f>SUMIFS('февраль 2026'!$G$2:$G$2649,'февраль 2026'!$D$2:$D$2649,$B74,'февраль 2026'!$J$2:$J$2649,K$1)</f>
        <v>0</v>
      </c>
      <c r="L74" s="144">
        <f>SUMIFS('февраль 2026'!$G$2:$G$2649,'февраль 2026'!$D$2:$D$2649,$B74,'февраль 2026'!$J$2:$J$2649,L$1)</f>
        <v>0</v>
      </c>
      <c r="M74" s="144">
        <f>SUMIFS('февраль 2026'!$G$2:$G$2649,'февраль 2026'!$D$2:$D$2649,$B74,'февраль 2026'!$J$2:$J$2649,M$1)</f>
        <v>0</v>
      </c>
      <c r="N74" s="144">
        <f>SUMIFS('февраль 2026'!$G$2:$G$2649,'февраль 2026'!$D$2:$D$2649,$B74,'февраль 2026'!$J$2:$J$2649,N$1)</f>
        <v>0</v>
      </c>
      <c r="O74" s="144">
        <f>SUMIFS('февраль 2026'!$G$2:$G$2649,'февраль 2026'!$D$2:$D$2649,$B74,'февраль 2026'!$J$2:$J$2649,O$1)</f>
        <v>0</v>
      </c>
      <c r="P74" s="144">
        <f>SUMIFS('февраль 2026'!$G$2:$G$2649,'февраль 2026'!$D$2:$D$2649,$B74,'февраль 2026'!$J$2:$J$2649,P$1)</f>
        <v>0</v>
      </c>
      <c r="Q74" s="144">
        <f>SUMIFS('февраль 2026'!$G$2:$G$2649,'февраль 2026'!$D$2:$D$2649,$B74,'февраль 2026'!$J$2:$J$2649,Q$1)</f>
        <v>0</v>
      </c>
      <c r="R74" s="144">
        <f>SUMIFS('февраль 2026'!$G$2:$G$2649,'февраль 2026'!$D$2:$D$2649,$B74,'февраль 2026'!$J$2:$J$2649,R$1)</f>
        <v>0</v>
      </c>
      <c r="S74" s="144">
        <f>SUMIFS('февраль 2026'!$G$2:$G$2649,'февраль 2026'!$D$2:$D$2649,$B74,'февраль 2026'!$J$2:$J$2649,S$1)</f>
        <v>0</v>
      </c>
      <c r="T74" s="144">
        <f>SUMIFS('февраль 2026'!$G$2:$G$2649,'февраль 2026'!$D$2:$D$2649,$B74,'февраль 2026'!$J$2:$J$2649,T$1)</f>
        <v>0</v>
      </c>
      <c r="U74" s="144">
        <f>SUMIFS('февраль 2026'!$G$2:$G$2649,'февраль 2026'!$D$2:$D$2649,$B74,'февраль 2026'!$J$2:$J$2649,U$1)</f>
        <v>0</v>
      </c>
      <c r="V74" s="144">
        <f>SUMIFS('февраль 2026'!$G$2:$G$2649,'февраль 2026'!$D$2:$D$2649,$B74,'февраль 2026'!$J$2:$J$2649,V$1)</f>
        <v>0</v>
      </c>
      <c r="W74" s="144">
        <f>SUMIFS('февраль 2026'!$G$2:$G$2649,'февраль 2026'!$D$2:$D$2649,$B74,'февраль 2026'!$J$2:$J$2649,W$1)</f>
        <v>0</v>
      </c>
      <c r="X74" s="144">
        <f>SUMIFS('февраль 2026'!$G$2:$G$2649,'февраль 2026'!$D$2:$D$2649,$B74,'февраль 2026'!$J$2:$J$2649,X$1)</f>
        <v>0</v>
      </c>
      <c r="Y74" s="144">
        <f>SUMIFS('февраль 2026'!$G$2:$G$2649,'февраль 2026'!$D$2:$D$2649,$B74,'февраль 2026'!$J$2:$J$2649,Y$1)</f>
        <v>0</v>
      </c>
      <c r="Z74" s="144">
        <f>SUMIFS('февраль 2026'!$G$2:$G$2649,'февраль 2026'!$D$2:$D$2649,$B74,'февраль 2026'!$J$2:$J$2649,Z$1)</f>
        <v>0</v>
      </c>
      <c r="AA74" s="144">
        <f>SUMIFS('февраль 2026'!$G$2:$G$2649,'февраль 2026'!$D$2:$D$2649,$B74,'февраль 2026'!$J$2:$J$2649,AA$1)</f>
        <v>0</v>
      </c>
      <c r="AB74" s="144">
        <f>SUMIFS('февраль 2026'!$G$2:$G$2649,'февраль 2026'!$D$2:$D$2649,$B74,'февраль 2026'!$J$2:$J$2649,AB$1)</f>
        <v>0</v>
      </c>
      <c r="AC74" s="144">
        <f>SUMIFS('февраль 2026'!$G$2:$G$2649,'февраль 2026'!$D$2:$D$2649,$B74,'февраль 2026'!$J$2:$J$2649,AC$1)</f>
        <v>0</v>
      </c>
      <c r="AD74" s="144">
        <f>SUMIFS('февраль 2026'!$G$2:$G$2649,'февраль 2026'!$D$2:$D$2649,$B74,'февраль 2026'!$J$2:$J$2649,AD$1)</f>
        <v>0</v>
      </c>
      <c r="AE74" s="144">
        <f>SUMIFS('февраль 2026'!$G$2:$G$2649,'февраль 2026'!$D$2:$D$2649,$B74,'февраль 2026'!$J$2:$J$2649,AE$1)</f>
        <v>0</v>
      </c>
      <c r="AF74" s="144">
        <f>SUMIFS('февраль 2026'!$G$2:$G$2649,'февраль 2026'!$D$2:$D$2649,$B74,'февраль 2026'!$J$2:$J$2649,AF$1)</f>
        <v>0</v>
      </c>
      <c r="AG74" s="144">
        <f>SUMIFS('февраль 2026'!$G$2:$G$2649,'февраль 2026'!$D$2:$D$2649,$B74,'февраль 2026'!$J$2:$J$2649,AG$1)</f>
        <v>0</v>
      </c>
      <c r="AH74" s="144">
        <f>SUMIFS('февраль 2026'!$G$2:$G$2649,'февраль 2026'!$D$2:$D$2649,$B74,'февраль 2026'!$J$2:$J$2649,AH$1)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SUMIFS('февраль 2026'!$G$2:$G$2649,'февраль 2026'!$D$2:$D$2649,$B75,'февраль 2026'!$J$2:$J$2649,D$1)</f>
        <v>0</v>
      </c>
      <c r="E75" s="144">
        <f>SUMIFS('февраль 2026'!$G$2:$G$2649,'февраль 2026'!$D$2:$D$2649,$B75,'февраль 2026'!$J$2:$J$2649,E$1)</f>
        <v>0</v>
      </c>
      <c r="F75" s="144">
        <f>SUMIFS('февраль 2026'!$G$2:$G$2649,'февраль 2026'!$D$2:$D$2649,$B75,'февраль 2026'!$J$2:$J$2649,F$1)</f>
        <v>0</v>
      </c>
      <c r="G75" s="144">
        <f>SUMIFS('февраль 2026'!$G$2:$G$2649,'февраль 2026'!$D$2:$D$2649,$B75,'февраль 2026'!$J$2:$J$2649,G$1)</f>
        <v>0</v>
      </c>
      <c r="H75" s="144">
        <f>SUMIFS('февраль 2026'!$G$2:$G$2649,'февраль 2026'!$D$2:$D$2649,$B75,'февраль 2026'!$J$2:$J$2649,H$1)</f>
        <v>0</v>
      </c>
      <c r="I75" s="144">
        <f>SUMIFS('февраль 2026'!$G$2:$G$2649,'февраль 2026'!$D$2:$D$2649,$B75,'февраль 2026'!$J$2:$J$2649,I$1)</f>
        <v>0</v>
      </c>
      <c r="J75" s="144">
        <f>SUMIFS('февраль 2026'!$G$2:$G$2649,'февраль 2026'!$D$2:$D$2649,$B75,'февраль 2026'!$J$2:$J$2649,J$1)</f>
        <v>0</v>
      </c>
      <c r="K75" s="144">
        <f>SUMIFS('февраль 2026'!$G$2:$G$2649,'февраль 2026'!$D$2:$D$2649,$B75,'февраль 2026'!$J$2:$J$2649,K$1)</f>
        <v>0</v>
      </c>
      <c r="L75" s="144">
        <f>SUMIFS('февраль 2026'!$G$2:$G$2649,'февраль 2026'!$D$2:$D$2649,$B75,'февраль 2026'!$J$2:$J$2649,L$1)</f>
        <v>0</v>
      </c>
      <c r="M75" s="144">
        <f>SUMIFS('февраль 2026'!$G$2:$G$2649,'февраль 2026'!$D$2:$D$2649,$B75,'февраль 2026'!$J$2:$J$2649,M$1)</f>
        <v>0</v>
      </c>
      <c r="N75" s="144">
        <f>SUMIFS('февраль 2026'!$G$2:$G$2649,'февраль 2026'!$D$2:$D$2649,$B75,'февраль 2026'!$J$2:$J$2649,N$1)</f>
        <v>0</v>
      </c>
      <c r="O75" s="144">
        <f>SUMIFS('февраль 2026'!$G$2:$G$2649,'февраль 2026'!$D$2:$D$2649,$B75,'февраль 2026'!$J$2:$J$2649,O$1)</f>
        <v>0</v>
      </c>
      <c r="P75" s="144">
        <f>SUMIFS('февраль 2026'!$G$2:$G$2649,'февраль 2026'!$D$2:$D$2649,$B75,'февраль 2026'!$J$2:$J$2649,P$1)</f>
        <v>0</v>
      </c>
      <c r="Q75" s="144">
        <f>SUMIFS('февраль 2026'!$G$2:$G$2649,'февраль 2026'!$D$2:$D$2649,$B75,'февраль 2026'!$J$2:$J$2649,Q$1)</f>
        <v>0</v>
      </c>
      <c r="R75" s="144">
        <f>SUMIFS('февраль 2026'!$G$2:$G$2649,'февраль 2026'!$D$2:$D$2649,$B75,'февраль 2026'!$J$2:$J$2649,R$1)</f>
        <v>0</v>
      </c>
      <c r="S75" s="144">
        <f>SUMIFS('февраль 2026'!$G$2:$G$2649,'февраль 2026'!$D$2:$D$2649,$B75,'февраль 2026'!$J$2:$J$2649,S$1)</f>
        <v>0</v>
      </c>
      <c r="T75" s="144">
        <f>SUMIFS('февраль 2026'!$G$2:$G$2649,'февраль 2026'!$D$2:$D$2649,$B75,'февраль 2026'!$J$2:$J$2649,T$1)</f>
        <v>0</v>
      </c>
      <c r="U75" s="144">
        <f>SUMIFS('февраль 2026'!$G$2:$G$2649,'февраль 2026'!$D$2:$D$2649,$B75,'февраль 2026'!$J$2:$J$2649,U$1)</f>
        <v>0</v>
      </c>
      <c r="V75" s="144">
        <f>SUMIFS('февраль 2026'!$G$2:$G$2649,'февраль 2026'!$D$2:$D$2649,$B75,'февраль 2026'!$J$2:$J$2649,V$1)</f>
        <v>0</v>
      </c>
      <c r="W75" s="144">
        <f>SUMIFS('февраль 2026'!$G$2:$G$2649,'февраль 2026'!$D$2:$D$2649,$B75,'февраль 2026'!$J$2:$J$2649,W$1)</f>
        <v>0</v>
      </c>
      <c r="X75" s="144">
        <f>SUMIFS('февраль 2026'!$G$2:$G$2649,'февраль 2026'!$D$2:$D$2649,$B75,'февраль 2026'!$J$2:$J$2649,X$1)</f>
        <v>0</v>
      </c>
      <c r="Y75" s="144">
        <f>SUMIFS('февраль 2026'!$G$2:$G$2649,'февраль 2026'!$D$2:$D$2649,$B75,'февраль 2026'!$J$2:$J$2649,Y$1)</f>
        <v>0</v>
      </c>
      <c r="Z75" s="144">
        <f>SUMIFS('февраль 2026'!$G$2:$G$2649,'февраль 2026'!$D$2:$D$2649,$B75,'февраль 2026'!$J$2:$J$2649,Z$1)</f>
        <v>0</v>
      </c>
      <c r="AA75" s="144">
        <f>SUMIFS('февраль 2026'!$G$2:$G$2649,'февраль 2026'!$D$2:$D$2649,$B75,'февраль 2026'!$J$2:$J$2649,AA$1)</f>
        <v>0</v>
      </c>
      <c r="AB75" s="144">
        <f>SUMIFS('февраль 2026'!$G$2:$G$2649,'февраль 2026'!$D$2:$D$2649,$B75,'февраль 2026'!$J$2:$J$2649,AB$1)</f>
        <v>0</v>
      </c>
      <c r="AC75" s="144">
        <f>SUMIFS('февраль 2026'!$G$2:$G$2649,'февраль 2026'!$D$2:$D$2649,$B75,'февраль 2026'!$J$2:$J$2649,AC$1)</f>
        <v>0</v>
      </c>
      <c r="AD75" s="144">
        <f>SUMIFS('февраль 2026'!$G$2:$G$2649,'февраль 2026'!$D$2:$D$2649,$B75,'февраль 2026'!$J$2:$J$2649,AD$1)</f>
        <v>0</v>
      </c>
      <c r="AE75" s="144">
        <f>SUMIFS('февраль 2026'!$G$2:$G$2649,'февраль 2026'!$D$2:$D$2649,$B75,'февраль 2026'!$J$2:$J$2649,AE$1)</f>
        <v>0</v>
      </c>
      <c r="AF75" s="144">
        <f>SUMIFS('февраль 2026'!$G$2:$G$2649,'февраль 2026'!$D$2:$D$2649,$B75,'февраль 2026'!$J$2:$J$2649,AF$1)</f>
        <v>0</v>
      </c>
      <c r="AG75" s="144">
        <f>SUMIFS('февраль 2026'!$G$2:$G$2649,'февраль 2026'!$D$2:$D$2649,$B75,'февраль 2026'!$J$2:$J$2649,AG$1)</f>
        <v>0</v>
      </c>
      <c r="AH75" s="144">
        <f>SUMIFS('февраль 2026'!$G$2:$G$2649,'февраль 2026'!$D$2:$D$2649,$B75,'февраль 2026'!$J$2:$J$2649,AH$1)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SUMIFS('февраль 2026'!$G$2:$G$2649,'февраль 2026'!$D$2:$D$2649,$B76,'февраль 2026'!$J$2:$J$2649,D$1)</f>
        <v>0</v>
      </c>
      <c r="E76" s="144">
        <f>SUMIFS('февраль 2026'!$G$2:$G$2649,'февраль 2026'!$D$2:$D$2649,$B76,'февраль 2026'!$J$2:$J$2649,E$1)</f>
        <v>0</v>
      </c>
      <c r="F76" s="144">
        <f>SUMIFS('февраль 2026'!$G$2:$G$2649,'февраль 2026'!$D$2:$D$2649,$B76,'февраль 2026'!$J$2:$J$2649,F$1)</f>
        <v>0</v>
      </c>
      <c r="G76" s="144">
        <f>SUMIFS('февраль 2026'!$G$2:$G$2649,'февраль 2026'!$D$2:$D$2649,$B76,'февраль 2026'!$J$2:$J$2649,G$1)</f>
        <v>0</v>
      </c>
      <c r="H76" s="144">
        <f>SUMIFS('февраль 2026'!$G$2:$G$2649,'февраль 2026'!$D$2:$D$2649,$B76,'февраль 2026'!$J$2:$J$2649,H$1)</f>
        <v>0</v>
      </c>
      <c r="I76" s="144">
        <f>SUMIFS('февраль 2026'!$G$2:$G$2649,'февраль 2026'!$D$2:$D$2649,$B76,'февраль 2026'!$J$2:$J$2649,I$1)</f>
        <v>0</v>
      </c>
      <c r="J76" s="144">
        <f>SUMIFS('февраль 2026'!$G$2:$G$2649,'февраль 2026'!$D$2:$D$2649,$B76,'февраль 2026'!$J$2:$J$2649,J$1)</f>
        <v>0</v>
      </c>
      <c r="K76" s="144">
        <f>SUMIFS('февраль 2026'!$G$2:$G$2649,'февраль 2026'!$D$2:$D$2649,$B76,'февраль 2026'!$J$2:$J$2649,K$1)</f>
        <v>0</v>
      </c>
      <c r="L76" s="144">
        <f>SUMIFS('февраль 2026'!$G$2:$G$2649,'февраль 2026'!$D$2:$D$2649,$B76,'февраль 2026'!$J$2:$J$2649,L$1)</f>
        <v>0</v>
      </c>
      <c r="M76" s="144">
        <f>SUMIFS('февраль 2026'!$G$2:$G$2649,'февраль 2026'!$D$2:$D$2649,$B76,'февраль 2026'!$J$2:$J$2649,M$1)</f>
        <v>0</v>
      </c>
      <c r="N76" s="144">
        <f>SUMIFS('февраль 2026'!$G$2:$G$2649,'февраль 2026'!$D$2:$D$2649,$B76,'февраль 2026'!$J$2:$J$2649,N$1)</f>
        <v>0</v>
      </c>
      <c r="O76" s="144">
        <f>SUMIFS('февраль 2026'!$G$2:$G$2649,'февраль 2026'!$D$2:$D$2649,$B76,'февраль 2026'!$J$2:$J$2649,O$1)</f>
        <v>0</v>
      </c>
      <c r="P76" s="144">
        <f>SUMIFS('февраль 2026'!$G$2:$G$2649,'февраль 2026'!$D$2:$D$2649,$B76,'февраль 2026'!$J$2:$J$2649,P$1)</f>
        <v>0</v>
      </c>
      <c r="Q76" s="144">
        <f>SUMIFS('февраль 2026'!$G$2:$G$2649,'февраль 2026'!$D$2:$D$2649,$B76,'февраль 2026'!$J$2:$J$2649,Q$1)</f>
        <v>0</v>
      </c>
      <c r="R76" s="144">
        <f>SUMIFS('февраль 2026'!$G$2:$G$2649,'февраль 2026'!$D$2:$D$2649,$B76,'февраль 2026'!$J$2:$J$2649,R$1)</f>
        <v>0</v>
      </c>
      <c r="S76" s="144">
        <f>SUMIFS('февраль 2026'!$G$2:$G$2649,'февраль 2026'!$D$2:$D$2649,$B76,'февраль 2026'!$J$2:$J$2649,S$1)</f>
        <v>0</v>
      </c>
      <c r="T76" s="144">
        <f>SUMIFS('февраль 2026'!$G$2:$G$2649,'февраль 2026'!$D$2:$D$2649,$B76,'февраль 2026'!$J$2:$J$2649,T$1)</f>
        <v>0</v>
      </c>
      <c r="U76" s="144">
        <f>SUMIFS('февраль 2026'!$G$2:$G$2649,'февраль 2026'!$D$2:$D$2649,$B76,'февраль 2026'!$J$2:$J$2649,U$1)</f>
        <v>0</v>
      </c>
      <c r="V76" s="144">
        <f>SUMIFS('февраль 2026'!$G$2:$G$2649,'февраль 2026'!$D$2:$D$2649,$B76,'февраль 2026'!$J$2:$J$2649,V$1)</f>
        <v>0</v>
      </c>
      <c r="W76" s="144">
        <f>SUMIFS('февраль 2026'!$G$2:$G$2649,'февраль 2026'!$D$2:$D$2649,$B76,'февраль 2026'!$J$2:$J$2649,W$1)</f>
        <v>0</v>
      </c>
      <c r="X76" s="144">
        <f>SUMIFS('февраль 2026'!$G$2:$G$2649,'февраль 2026'!$D$2:$D$2649,$B76,'февраль 2026'!$J$2:$J$2649,X$1)</f>
        <v>0</v>
      </c>
      <c r="Y76" s="144">
        <f>SUMIFS('февраль 2026'!$G$2:$G$2649,'февраль 2026'!$D$2:$D$2649,$B76,'февраль 2026'!$J$2:$J$2649,Y$1)</f>
        <v>0</v>
      </c>
      <c r="Z76" s="144">
        <f>SUMIFS('февраль 2026'!$G$2:$G$2649,'февраль 2026'!$D$2:$D$2649,$B76,'февраль 2026'!$J$2:$J$2649,Z$1)</f>
        <v>0</v>
      </c>
      <c r="AA76" s="144">
        <f>SUMIFS('февраль 2026'!$G$2:$G$2649,'февраль 2026'!$D$2:$D$2649,$B76,'февраль 2026'!$J$2:$J$2649,AA$1)</f>
        <v>0</v>
      </c>
      <c r="AB76" s="144">
        <f>SUMIFS('февраль 2026'!$G$2:$G$2649,'февраль 2026'!$D$2:$D$2649,$B76,'февраль 2026'!$J$2:$J$2649,AB$1)</f>
        <v>0</v>
      </c>
      <c r="AC76" s="144">
        <f>SUMIFS('февраль 2026'!$G$2:$G$2649,'февраль 2026'!$D$2:$D$2649,$B76,'февраль 2026'!$J$2:$J$2649,AC$1)</f>
        <v>0</v>
      </c>
      <c r="AD76" s="144">
        <f>SUMIFS('февраль 2026'!$G$2:$G$2649,'февраль 2026'!$D$2:$D$2649,$B76,'февраль 2026'!$J$2:$J$2649,AD$1)</f>
        <v>0</v>
      </c>
      <c r="AE76" s="144">
        <f>SUMIFS('февраль 2026'!$G$2:$G$2649,'февраль 2026'!$D$2:$D$2649,$B76,'февраль 2026'!$J$2:$J$2649,AE$1)</f>
        <v>0</v>
      </c>
      <c r="AF76" s="144">
        <f>SUMIFS('февраль 2026'!$G$2:$G$2649,'февраль 2026'!$D$2:$D$2649,$B76,'февраль 2026'!$J$2:$J$2649,AF$1)</f>
        <v>0</v>
      </c>
      <c r="AG76" s="144">
        <f>SUMIFS('февраль 2026'!$G$2:$G$2649,'февраль 2026'!$D$2:$D$2649,$B76,'февраль 2026'!$J$2:$J$2649,AG$1)</f>
        <v>0</v>
      </c>
      <c r="AH76" s="144">
        <f>SUMIFS('февраль 2026'!$G$2:$G$2649,'февраль 2026'!$D$2:$D$2649,$B76,'февраль 2026'!$J$2:$J$2649,AH$1)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SUMIFS('февраль 2026'!$G$2:$G$2649,'февраль 2026'!$D$2:$D$2649,$B77,'февраль 2026'!$J$2:$J$2649,D$1)</f>
        <v>0</v>
      </c>
      <c r="E77" s="144">
        <f>SUMIFS('февраль 2026'!$G$2:$G$2649,'февраль 2026'!$D$2:$D$2649,$B77,'февраль 2026'!$J$2:$J$2649,E$1)</f>
        <v>0</v>
      </c>
      <c r="F77" s="144">
        <f>SUMIFS('февраль 2026'!$G$2:$G$2649,'февраль 2026'!$D$2:$D$2649,$B77,'февраль 2026'!$J$2:$J$2649,F$1)</f>
        <v>0</v>
      </c>
      <c r="G77" s="144">
        <f>SUMIFS('февраль 2026'!$G$2:$G$2649,'февраль 2026'!$D$2:$D$2649,$B77,'февраль 2026'!$J$2:$J$2649,G$1)</f>
        <v>0</v>
      </c>
      <c r="H77" s="144">
        <f>SUMIFS('февраль 2026'!$G$2:$G$2649,'февраль 2026'!$D$2:$D$2649,$B77,'февраль 2026'!$J$2:$J$2649,H$1)</f>
        <v>0</v>
      </c>
      <c r="I77" s="144">
        <f>SUMIFS('февраль 2026'!$G$2:$G$2649,'февраль 2026'!$D$2:$D$2649,$B77,'февраль 2026'!$J$2:$J$2649,I$1)</f>
        <v>0</v>
      </c>
      <c r="J77" s="144">
        <f>SUMIFS('февраль 2026'!$G$2:$G$2649,'февраль 2026'!$D$2:$D$2649,$B77,'февраль 2026'!$J$2:$J$2649,J$1)</f>
        <v>0</v>
      </c>
      <c r="K77" s="144">
        <f>SUMIFS('февраль 2026'!$G$2:$G$2649,'февраль 2026'!$D$2:$D$2649,$B77,'февраль 2026'!$J$2:$J$2649,K$1)</f>
        <v>0</v>
      </c>
      <c r="L77" s="144">
        <f>SUMIFS('февраль 2026'!$G$2:$G$2649,'февраль 2026'!$D$2:$D$2649,$B77,'февраль 2026'!$J$2:$J$2649,L$1)</f>
        <v>0</v>
      </c>
      <c r="M77" s="144">
        <f>SUMIFS('февраль 2026'!$G$2:$G$2649,'февраль 2026'!$D$2:$D$2649,$B77,'февраль 2026'!$J$2:$J$2649,M$1)</f>
        <v>0</v>
      </c>
      <c r="N77" s="144">
        <f>SUMIFS('февраль 2026'!$G$2:$G$2649,'февраль 2026'!$D$2:$D$2649,$B77,'февраль 2026'!$J$2:$J$2649,N$1)</f>
        <v>0</v>
      </c>
      <c r="O77" s="144">
        <f>SUMIFS('февраль 2026'!$G$2:$G$2649,'февраль 2026'!$D$2:$D$2649,$B77,'февраль 2026'!$J$2:$J$2649,O$1)</f>
        <v>0</v>
      </c>
      <c r="P77" s="144">
        <f>SUMIFS('февраль 2026'!$G$2:$G$2649,'февраль 2026'!$D$2:$D$2649,$B77,'февраль 2026'!$J$2:$J$2649,P$1)</f>
        <v>0</v>
      </c>
      <c r="Q77" s="144">
        <f>SUMIFS('февраль 2026'!$G$2:$G$2649,'февраль 2026'!$D$2:$D$2649,$B77,'февраль 2026'!$J$2:$J$2649,Q$1)</f>
        <v>0</v>
      </c>
      <c r="R77" s="144">
        <f>SUMIFS('февраль 2026'!$G$2:$G$2649,'февраль 2026'!$D$2:$D$2649,$B77,'февраль 2026'!$J$2:$J$2649,R$1)</f>
        <v>0</v>
      </c>
      <c r="S77" s="144">
        <f>SUMIFS('февраль 2026'!$G$2:$G$2649,'февраль 2026'!$D$2:$D$2649,$B77,'февраль 2026'!$J$2:$J$2649,S$1)</f>
        <v>0</v>
      </c>
      <c r="T77" s="144">
        <f>SUMIFS('февраль 2026'!$G$2:$G$2649,'февраль 2026'!$D$2:$D$2649,$B77,'февраль 2026'!$J$2:$J$2649,T$1)</f>
        <v>0</v>
      </c>
      <c r="U77" s="144">
        <f>SUMIFS('февраль 2026'!$G$2:$G$2649,'февраль 2026'!$D$2:$D$2649,$B77,'февраль 2026'!$J$2:$J$2649,U$1)</f>
        <v>0</v>
      </c>
      <c r="V77" s="144">
        <f>SUMIFS('февраль 2026'!$G$2:$G$2649,'февраль 2026'!$D$2:$D$2649,$B77,'февраль 2026'!$J$2:$J$2649,V$1)</f>
        <v>0</v>
      </c>
      <c r="W77" s="144">
        <f>SUMIFS('февраль 2026'!$G$2:$G$2649,'февраль 2026'!$D$2:$D$2649,$B77,'февраль 2026'!$J$2:$J$2649,W$1)</f>
        <v>0</v>
      </c>
      <c r="X77" s="144">
        <f>SUMIFS('февраль 2026'!$G$2:$G$2649,'февраль 2026'!$D$2:$D$2649,$B77,'февраль 2026'!$J$2:$J$2649,X$1)</f>
        <v>0</v>
      </c>
      <c r="Y77" s="144">
        <f>SUMIFS('февраль 2026'!$G$2:$G$2649,'февраль 2026'!$D$2:$D$2649,$B77,'февраль 2026'!$J$2:$J$2649,Y$1)</f>
        <v>0</v>
      </c>
      <c r="Z77" s="144">
        <f>SUMIFS('февраль 2026'!$G$2:$G$2649,'февраль 2026'!$D$2:$D$2649,$B77,'февраль 2026'!$J$2:$J$2649,Z$1)</f>
        <v>0</v>
      </c>
      <c r="AA77" s="144">
        <f>SUMIFS('февраль 2026'!$G$2:$G$2649,'февраль 2026'!$D$2:$D$2649,$B77,'февраль 2026'!$J$2:$J$2649,AA$1)</f>
        <v>0</v>
      </c>
      <c r="AB77" s="144">
        <f>SUMIFS('февраль 2026'!$G$2:$G$2649,'февраль 2026'!$D$2:$D$2649,$B77,'февраль 2026'!$J$2:$J$2649,AB$1)</f>
        <v>0</v>
      </c>
      <c r="AC77" s="144">
        <f>SUMIFS('февраль 2026'!$G$2:$G$2649,'февраль 2026'!$D$2:$D$2649,$B77,'февраль 2026'!$J$2:$J$2649,AC$1)</f>
        <v>0</v>
      </c>
      <c r="AD77" s="144">
        <f>SUMIFS('февраль 2026'!$G$2:$G$2649,'февраль 2026'!$D$2:$D$2649,$B77,'февраль 2026'!$J$2:$J$2649,AD$1)</f>
        <v>0</v>
      </c>
      <c r="AE77" s="144">
        <f>SUMIFS('февраль 2026'!$G$2:$G$2649,'февраль 2026'!$D$2:$D$2649,$B77,'февраль 2026'!$J$2:$J$2649,AE$1)</f>
        <v>0</v>
      </c>
      <c r="AF77" s="144">
        <f>SUMIFS('февраль 2026'!$G$2:$G$2649,'февраль 2026'!$D$2:$D$2649,$B77,'февраль 2026'!$J$2:$J$2649,AF$1)</f>
        <v>0</v>
      </c>
      <c r="AG77" s="144">
        <f>SUMIFS('февраль 2026'!$G$2:$G$2649,'февраль 2026'!$D$2:$D$2649,$B77,'февраль 2026'!$J$2:$J$2649,AG$1)</f>
        <v>0</v>
      </c>
      <c r="AH77" s="144">
        <f>SUMIFS('февраль 2026'!$G$2:$G$2649,'февраль 2026'!$D$2:$D$2649,$B77,'февраль 2026'!$J$2:$J$2649,AH$1)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SUMIFS('февраль 2026'!$G$2:$G$2649,'февраль 2026'!$D$2:$D$2649,$B78,'февраль 2026'!$J$2:$J$2649,D$1)</f>
        <v>0</v>
      </c>
      <c r="E78" s="144">
        <f>SUMIFS('февраль 2026'!$G$2:$G$2649,'февраль 2026'!$D$2:$D$2649,$B78,'февраль 2026'!$J$2:$J$2649,E$1)</f>
        <v>88</v>
      </c>
      <c r="F78" s="144">
        <f>SUMIFS('февраль 2026'!$G$2:$G$2649,'февраль 2026'!$D$2:$D$2649,$B78,'февраль 2026'!$J$2:$J$2649,F$1)</f>
        <v>88</v>
      </c>
      <c r="G78" s="144">
        <f>SUMIFS('февраль 2026'!$G$2:$G$2649,'февраль 2026'!$D$2:$D$2649,$B78,'февраль 2026'!$J$2:$J$2649,G$1)</f>
        <v>0</v>
      </c>
      <c r="H78" s="144">
        <f>SUMIFS('февраль 2026'!$G$2:$G$2649,'февраль 2026'!$D$2:$D$2649,$B78,'февраль 2026'!$J$2:$J$2649,H$1)</f>
        <v>88</v>
      </c>
      <c r="I78" s="144">
        <f>SUMIFS('февраль 2026'!$G$2:$G$2649,'февраль 2026'!$D$2:$D$2649,$B78,'февраль 2026'!$J$2:$J$2649,I$1)</f>
        <v>12</v>
      </c>
      <c r="J78" s="144">
        <f>SUMIFS('февраль 2026'!$G$2:$G$2649,'февраль 2026'!$D$2:$D$2649,$B78,'февраль 2026'!$J$2:$J$2649,J$1)</f>
        <v>0</v>
      </c>
      <c r="K78" s="144">
        <f>SUMIFS('февраль 2026'!$G$2:$G$2649,'февраль 2026'!$D$2:$D$2649,$B78,'февраль 2026'!$J$2:$J$2649,K$1)</f>
        <v>0</v>
      </c>
      <c r="L78" s="144">
        <f>SUMIFS('февраль 2026'!$G$2:$G$2649,'февраль 2026'!$D$2:$D$2649,$B78,'февраль 2026'!$J$2:$J$2649,L$1)</f>
        <v>0</v>
      </c>
      <c r="M78" s="144">
        <f>SUMIFS('февраль 2026'!$G$2:$G$2649,'февраль 2026'!$D$2:$D$2649,$B78,'февраль 2026'!$J$2:$J$2649,M$1)</f>
        <v>88</v>
      </c>
      <c r="N78" s="144">
        <f>SUMIFS('февраль 2026'!$G$2:$G$2649,'февраль 2026'!$D$2:$D$2649,$B78,'февраль 2026'!$J$2:$J$2649,N$1)</f>
        <v>0</v>
      </c>
      <c r="O78" s="144">
        <f>SUMIFS('февраль 2026'!$G$2:$G$2649,'февраль 2026'!$D$2:$D$2649,$B78,'февраль 2026'!$J$2:$J$2649,O$1)</f>
        <v>0</v>
      </c>
      <c r="P78" s="144">
        <f>SUMIFS('февраль 2026'!$G$2:$G$2649,'февраль 2026'!$D$2:$D$2649,$B78,'февраль 2026'!$J$2:$J$2649,P$1)</f>
        <v>0</v>
      </c>
      <c r="Q78" s="144">
        <f>SUMIFS('февраль 2026'!$G$2:$G$2649,'февраль 2026'!$D$2:$D$2649,$B78,'февраль 2026'!$J$2:$J$2649,Q$1)</f>
        <v>0</v>
      </c>
      <c r="R78" s="144">
        <f>SUMIFS('февраль 2026'!$G$2:$G$2649,'февраль 2026'!$D$2:$D$2649,$B78,'февраль 2026'!$J$2:$J$2649,R$1)</f>
        <v>0</v>
      </c>
      <c r="S78" s="144">
        <f>SUMIFS('февраль 2026'!$G$2:$G$2649,'февраль 2026'!$D$2:$D$2649,$B78,'февраль 2026'!$J$2:$J$2649,S$1)</f>
        <v>0</v>
      </c>
      <c r="T78" s="144">
        <f>SUMIFS('февраль 2026'!$G$2:$G$2649,'февраль 2026'!$D$2:$D$2649,$B78,'февраль 2026'!$J$2:$J$2649,T$1)</f>
        <v>0</v>
      </c>
      <c r="U78" s="144">
        <f>SUMIFS('февраль 2026'!$G$2:$G$2649,'февраль 2026'!$D$2:$D$2649,$B78,'февраль 2026'!$J$2:$J$2649,U$1)</f>
        <v>0</v>
      </c>
      <c r="V78" s="144">
        <f>SUMIFS('февраль 2026'!$G$2:$G$2649,'февраль 2026'!$D$2:$D$2649,$B78,'февраль 2026'!$J$2:$J$2649,V$1)</f>
        <v>0</v>
      </c>
      <c r="W78" s="144">
        <f>SUMIFS('февраль 2026'!$G$2:$G$2649,'февраль 2026'!$D$2:$D$2649,$B78,'февраль 2026'!$J$2:$J$2649,W$1)</f>
        <v>0</v>
      </c>
      <c r="X78" s="144">
        <f>SUMIFS('февраль 2026'!$G$2:$G$2649,'февраль 2026'!$D$2:$D$2649,$B78,'февраль 2026'!$J$2:$J$2649,X$1)</f>
        <v>0</v>
      </c>
      <c r="Y78" s="144">
        <f>SUMIFS('февраль 2026'!$G$2:$G$2649,'февраль 2026'!$D$2:$D$2649,$B78,'февраль 2026'!$J$2:$J$2649,Y$1)</f>
        <v>0</v>
      </c>
      <c r="Z78" s="144">
        <f>SUMIFS('февраль 2026'!$G$2:$G$2649,'февраль 2026'!$D$2:$D$2649,$B78,'февраль 2026'!$J$2:$J$2649,Z$1)</f>
        <v>0</v>
      </c>
      <c r="AA78" s="144">
        <f>SUMIFS('февраль 2026'!$G$2:$G$2649,'февраль 2026'!$D$2:$D$2649,$B78,'февраль 2026'!$J$2:$J$2649,AA$1)</f>
        <v>0</v>
      </c>
      <c r="AB78" s="144">
        <f>SUMIFS('февраль 2026'!$G$2:$G$2649,'февраль 2026'!$D$2:$D$2649,$B78,'февраль 2026'!$J$2:$J$2649,AB$1)</f>
        <v>0</v>
      </c>
      <c r="AC78" s="144">
        <f>SUMIFS('февраль 2026'!$G$2:$G$2649,'февраль 2026'!$D$2:$D$2649,$B78,'февраль 2026'!$J$2:$J$2649,AC$1)</f>
        <v>0</v>
      </c>
      <c r="AD78" s="144">
        <f>SUMIFS('февраль 2026'!$G$2:$G$2649,'февраль 2026'!$D$2:$D$2649,$B78,'февраль 2026'!$J$2:$J$2649,AD$1)</f>
        <v>0</v>
      </c>
      <c r="AE78" s="144">
        <f>SUMIFS('февраль 2026'!$G$2:$G$2649,'февраль 2026'!$D$2:$D$2649,$B78,'февраль 2026'!$J$2:$J$2649,AE$1)</f>
        <v>0</v>
      </c>
      <c r="AF78" s="144">
        <f>SUMIFS('февраль 2026'!$G$2:$G$2649,'февраль 2026'!$D$2:$D$2649,$B78,'февраль 2026'!$J$2:$J$2649,AF$1)</f>
        <v>0</v>
      </c>
      <c r="AG78" s="144">
        <f>SUMIFS('февраль 2026'!$G$2:$G$2649,'февраль 2026'!$D$2:$D$2649,$B78,'февраль 2026'!$J$2:$J$2649,AG$1)</f>
        <v>0</v>
      </c>
      <c r="AH78" s="144">
        <f>SUMIFS('февраль 2026'!$G$2:$G$2649,'февраль 2026'!$D$2:$D$2649,$B78,'февраль 2026'!$J$2:$J$2649,AH$1)</f>
        <v>0</v>
      </c>
      <c r="AI78" s="20">
        <f t="shared" si="1"/>
        <v>364</v>
      </c>
    </row>
    <row r="79" spans="2:35" ht="15.75" x14ac:dyDescent="0.25">
      <c r="B79" s="85" t="s">
        <v>287</v>
      </c>
      <c r="C79" s="83">
        <v>200</v>
      </c>
      <c r="D79" s="144">
        <f>SUMIFS('февраль 2026'!$G$2:$G$2649,'февраль 2026'!$D$2:$D$2649,$B79,'февраль 2026'!$J$2:$J$2649,D$1)</f>
        <v>0</v>
      </c>
      <c r="E79" s="144">
        <f>SUMIFS('февраль 2026'!$G$2:$G$2649,'февраль 2026'!$D$2:$D$2649,$B79,'февраль 2026'!$J$2:$J$2649,E$1)</f>
        <v>0</v>
      </c>
      <c r="F79" s="144">
        <f>SUMIFS('февраль 2026'!$G$2:$G$2649,'февраль 2026'!$D$2:$D$2649,$B79,'февраль 2026'!$J$2:$J$2649,F$1)</f>
        <v>0</v>
      </c>
      <c r="G79" s="144">
        <f>SUMIFS('февраль 2026'!$G$2:$G$2649,'февраль 2026'!$D$2:$D$2649,$B79,'февраль 2026'!$J$2:$J$2649,G$1)</f>
        <v>0</v>
      </c>
      <c r="H79" s="144">
        <f>SUMIFS('февраль 2026'!$G$2:$G$2649,'февраль 2026'!$D$2:$D$2649,$B79,'февраль 2026'!$J$2:$J$2649,H$1)</f>
        <v>0</v>
      </c>
      <c r="I79" s="144">
        <f>SUMIFS('февраль 2026'!$G$2:$G$2649,'февраль 2026'!$D$2:$D$2649,$B79,'февраль 2026'!$J$2:$J$2649,I$1)</f>
        <v>0</v>
      </c>
      <c r="J79" s="144">
        <f>SUMIFS('февраль 2026'!$G$2:$G$2649,'февраль 2026'!$D$2:$D$2649,$B79,'февраль 2026'!$J$2:$J$2649,J$1)</f>
        <v>0</v>
      </c>
      <c r="K79" s="144">
        <f>SUMIFS('февраль 2026'!$G$2:$G$2649,'февраль 2026'!$D$2:$D$2649,$B79,'февраль 2026'!$J$2:$J$2649,K$1)</f>
        <v>0</v>
      </c>
      <c r="L79" s="144">
        <f>SUMIFS('февраль 2026'!$G$2:$G$2649,'февраль 2026'!$D$2:$D$2649,$B79,'февраль 2026'!$J$2:$J$2649,L$1)</f>
        <v>0</v>
      </c>
      <c r="M79" s="144">
        <f>SUMIFS('февраль 2026'!$G$2:$G$2649,'февраль 2026'!$D$2:$D$2649,$B79,'февраль 2026'!$J$2:$J$2649,M$1)</f>
        <v>0</v>
      </c>
      <c r="N79" s="144">
        <f>SUMIFS('февраль 2026'!$G$2:$G$2649,'февраль 2026'!$D$2:$D$2649,$B79,'февраль 2026'!$J$2:$J$2649,N$1)</f>
        <v>0</v>
      </c>
      <c r="O79" s="144">
        <f>SUMIFS('февраль 2026'!$G$2:$G$2649,'февраль 2026'!$D$2:$D$2649,$B79,'февраль 2026'!$J$2:$J$2649,O$1)</f>
        <v>0</v>
      </c>
      <c r="P79" s="144">
        <f>SUMIFS('февраль 2026'!$G$2:$G$2649,'февраль 2026'!$D$2:$D$2649,$B79,'февраль 2026'!$J$2:$J$2649,P$1)</f>
        <v>0</v>
      </c>
      <c r="Q79" s="144">
        <f>SUMIFS('февраль 2026'!$G$2:$G$2649,'февраль 2026'!$D$2:$D$2649,$B79,'февраль 2026'!$J$2:$J$2649,Q$1)</f>
        <v>0</v>
      </c>
      <c r="R79" s="144">
        <f>SUMIFS('февраль 2026'!$G$2:$G$2649,'февраль 2026'!$D$2:$D$2649,$B79,'февраль 2026'!$J$2:$J$2649,R$1)</f>
        <v>0</v>
      </c>
      <c r="S79" s="144">
        <f>SUMIFS('февраль 2026'!$G$2:$G$2649,'февраль 2026'!$D$2:$D$2649,$B79,'февраль 2026'!$J$2:$J$2649,S$1)</f>
        <v>0</v>
      </c>
      <c r="T79" s="144">
        <f>SUMIFS('февраль 2026'!$G$2:$G$2649,'февраль 2026'!$D$2:$D$2649,$B79,'февраль 2026'!$J$2:$J$2649,T$1)</f>
        <v>0</v>
      </c>
      <c r="U79" s="144">
        <f>SUMIFS('февраль 2026'!$G$2:$G$2649,'февраль 2026'!$D$2:$D$2649,$B79,'февраль 2026'!$J$2:$J$2649,U$1)</f>
        <v>0</v>
      </c>
      <c r="V79" s="144">
        <f>SUMIFS('февраль 2026'!$G$2:$G$2649,'февраль 2026'!$D$2:$D$2649,$B79,'февраль 2026'!$J$2:$J$2649,V$1)</f>
        <v>0</v>
      </c>
      <c r="W79" s="144">
        <f>SUMIFS('февраль 2026'!$G$2:$G$2649,'февраль 2026'!$D$2:$D$2649,$B79,'февраль 2026'!$J$2:$J$2649,W$1)</f>
        <v>0</v>
      </c>
      <c r="X79" s="144">
        <f>SUMIFS('февраль 2026'!$G$2:$G$2649,'февраль 2026'!$D$2:$D$2649,$B79,'февраль 2026'!$J$2:$J$2649,X$1)</f>
        <v>0</v>
      </c>
      <c r="Y79" s="144">
        <f>SUMIFS('февраль 2026'!$G$2:$G$2649,'февраль 2026'!$D$2:$D$2649,$B79,'февраль 2026'!$J$2:$J$2649,Y$1)</f>
        <v>0</v>
      </c>
      <c r="Z79" s="144">
        <f>SUMIFS('февраль 2026'!$G$2:$G$2649,'февраль 2026'!$D$2:$D$2649,$B79,'февраль 2026'!$J$2:$J$2649,Z$1)</f>
        <v>0</v>
      </c>
      <c r="AA79" s="144">
        <f>SUMIFS('февраль 2026'!$G$2:$G$2649,'февраль 2026'!$D$2:$D$2649,$B79,'февраль 2026'!$J$2:$J$2649,AA$1)</f>
        <v>0</v>
      </c>
      <c r="AB79" s="144">
        <f>SUMIFS('февраль 2026'!$G$2:$G$2649,'февраль 2026'!$D$2:$D$2649,$B79,'февраль 2026'!$J$2:$J$2649,AB$1)</f>
        <v>0</v>
      </c>
      <c r="AC79" s="144">
        <f>SUMIFS('февраль 2026'!$G$2:$G$2649,'февраль 2026'!$D$2:$D$2649,$B79,'февраль 2026'!$J$2:$J$2649,AC$1)</f>
        <v>0</v>
      </c>
      <c r="AD79" s="144">
        <f>SUMIFS('февраль 2026'!$G$2:$G$2649,'февраль 2026'!$D$2:$D$2649,$B79,'февраль 2026'!$J$2:$J$2649,AD$1)</f>
        <v>0</v>
      </c>
      <c r="AE79" s="144">
        <f>SUMIFS('февраль 2026'!$G$2:$G$2649,'февраль 2026'!$D$2:$D$2649,$B79,'февраль 2026'!$J$2:$J$2649,AE$1)</f>
        <v>0</v>
      </c>
      <c r="AF79" s="144">
        <f>SUMIFS('февраль 2026'!$G$2:$G$2649,'февраль 2026'!$D$2:$D$2649,$B79,'февраль 2026'!$J$2:$J$2649,AF$1)</f>
        <v>0</v>
      </c>
      <c r="AG79" s="144">
        <f>SUMIFS('февраль 2026'!$G$2:$G$2649,'февраль 2026'!$D$2:$D$2649,$B79,'февраль 2026'!$J$2:$J$2649,AG$1)</f>
        <v>0</v>
      </c>
      <c r="AH79" s="144">
        <f>SUMIFS('февраль 2026'!$G$2:$G$2649,'февраль 2026'!$D$2:$D$2649,$B79,'февраль 2026'!$J$2:$J$2649,AH$1)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SUMIFS('февраль 2026'!$G$2:$G$2649,'февраль 2026'!$D$2:$D$2649,$B80,'февраль 2026'!$J$2:$J$2649,D$1)</f>
        <v>0</v>
      </c>
      <c r="E80" s="144">
        <f>SUMIFS('февраль 2026'!$G$2:$G$2649,'февраль 2026'!$D$2:$D$2649,$B80,'февраль 2026'!$J$2:$J$2649,E$1)</f>
        <v>0</v>
      </c>
      <c r="F80" s="144">
        <f>SUMIFS('февраль 2026'!$G$2:$G$2649,'февраль 2026'!$D$2:$D$2649,$B80,'февраль 2026'!$J$2:$J$2649,F$1)</f>
        <v>0</v>
      </c>
      <c r="G80" s="144">
        <f>SUMIFS('февраль 2026'!$G$2:$G$2649,'февраль 2026'!$D$2:$D$2649,$B80,'февраль 2026'!$J$2:$J$2649,G$1)</f>
        <v>0</v>
      </c>
      <c r="H80" s="144">
        <f>SUMIFS('февраль 2026'!$G$2:$G$2649,'февраль 2026'!$D$2:$D$2649,$B80,'февраль 2026'!$J$2:$J$2649,H$1)</f>
        <v>0</v>
      </c>
      <c r="I80" s="144">
        <f>SUMIFS('февраль 2026'!$G$2:$G$2649,'февраль 2026'!$D$2:$D$2649,$B80,'февраль 2026'!$J$2:$J$2649,I$1)</f>
        <v>0</v>
      </c>
      <c r="J80" s="144">
        <f>SUMIFS('февраль 2026'!$G$2:$G$2649,'февраль 2026'!$D$2:$D$2649,$B80,'февраль 2026'!$J$2:$J$2649,J$1)</f>
        <v>0</v>
      </c>
      <c r="K80" s="144">
        <f>SUMIFS('февраль 2026'!$G$2:$G$2649,'февраль 2026'!$D$2:$D$2649,$B80,'февраль 2026'!$J$2:$J$2649,K$1)</f>
        <v>0</v>
      </c>
      <c r="L80" s="144">
        <f>SUMIFS('февраль 2026'!$G$2:$G$2649,'февраль 2026'!$D$2:$D$2649,$B80,'февраль 2026'!$J$2:$J$2649,L$1)</f>
        <v>0</v>
      </c>
      <c r="M80" s="144">
        <f>SUMIFS('февраль 2026'!$G$2:$G$2649,'февраль 2026'!$D$2:$D$2649,$B80,'февраль 2026'!$J$2:$J$2649,M$1)</f>
        <v>0</v>
      </c>
      <c r="N80" s="144">
        <f>SUMIFS('февраль 2026'!$G$2:$G$2649,'февраль 2026'!$D$2:$D$2649,$B80,'февраль 2026'!$J$2:$J$2649,N$1)</f>
        <v>0</v>
      </c>
      <c r="O80" s="144">
        <f>SUMIFS('февраль 2026'!$G$2:$G$2649,'февраль 2026'!$D$2:$D$2649,$B80,'февраль 2026'!$J$2:$J$2649,O$1)</f>
        <v>0</v>
      </c>
      <c r="P80" s="144">
        <f>SUMIFS('февраль 2026'!$G$2:$G$2649,'февраль 2026'!$D$2:$D$2649,$B80,'февраль 2026'!$J$2:$J$2649,P$1)</f>
        <v>0</v>
      </c>
      <c r="Q80" s="144">
        <f>SUMIFS('февраль 2026'!$G$2:$G$2649,'февраль 2026'!$D$2:$D$2649,$B80,'февраль 2026'!$J$2:$J$2649,Q$1)</f>
        <v>0</v>
      </c>
      <c r="R80" s="144">
        <f>SUMIFS('февраль 2026'!$G$2:$G$2649,'февраль 2026'!$D$2:$D$2649,$B80,'февраль 2026'!$J$2:$J$2649,R$1)</f>
        <v>0</v>
      </c>
      <c r="S80" s="144">
        <f>SUMIFS('февраль 2026'!$G$2:$G$2649,'февраль 2026'!$D$2:$D$2649,$B80,'февраль 2026'!$J$2:$J$2649,S$1)</f>
        <v>0</v>
      </c>
      <c r="T80" s="144">
        <f>SUMIFS('февраль 2026'!$G$2:$G$2649,'февраль 2026'!$D$2:$D$2649,$B80,'февраль 2026'!$J$2:$J$2649,T$1)</f>
        <v>0</v>
      </c>
      <c r="U80" s="144">
        <f>SUMIFS('февраль 2026'!$G$2:$G$2649,'февраль 2026'!$D$2:$D$2649,$B80,'февраль 2026'!$J$2:$J$2649,U$1)</f>
        <v>0</v>
      </c>
      <c r="V80" s="144">
        <f>SUMIFS('февраль 2026'!$G$2:$G$2649,'февраль 2026'!$D$2:$D$2649,$B80,'февраль 2026'!$J$2:$J$2649,V$1)</f>
        <v>0</v>
      </c>
      <c r="W80" s="144">
        <f>SUMIFS('февраль 2026'!$G$2:$G$2649,'февраль 2026'!$D$2:$D$2649,$B80,'февраль 2026'!$J$2:$J$2649,W$1)</f>
        <v>0</v>
      </c>
      <c r="X80" s="144">
        <f>SUMIFS('февраль 2026'!$G$2:$G$2649,'февраль 2026'!$D$2:$D$2649,$B80,'февраль 2026'!$J$2:$J$2649,X$1)</f>
        <v>0</v>
      </c>
      <c r="Y80" s="144">
        <f>SUMIFS('февраль 2026'!$G$2:$G$2649,'февраль 2026'!$D$2:$D$2649,$B80,'февраль 2026'!$J$2:$J$2649,Y$1)</f>
        <v>0</v>
      </c>
      <c r="Z80" s="144">
        <f>SUMIFS('февраль 2026'!$G$2:$G$2649,'февраль 2026'!$D$2:$D$2649,$B80,'февраль 2026'!$J$2:$J$2649,Z$1)</f>
        <v>0</v>
      </c>
      <c r="AA80" s="144">
        <f>SUMIFS('февраль 2026'!$G$2:$G$2649,'февраль 2026'!$D$2:$D$2649,$B80,'февраль 2026'!$J$2:$J$2649,AA$1)</f>
        <v>0</v>
      </c>
      <c r="AB80" s="144">
        <f>SUMIFS('февраль 2026'!$G$2:$G$2649,'февраль 2026'!$D$2:$D$2649,$B80,'февраль 2026'!$J$2:$J$2649,AB$1)</f>
        <v>0</v>
      </c>
      <c r="AC80" s="144">
        <f>SUMIFS('февраль 2026'!$G$2:$G$2649,'февраль 2026'!$D$2:$D$2649,$B80,'февраль 2026'!$J$2:$J$2649,AC$1)</f>
        <v>0</v>
      </c>
      <c r="AD80" s="144">
        <f>SUMIFS('февраль 2026'!$G$2:$G$2649,'февраль 2026'!$D$2:$D$2649,$B80,'февраль 2026'!$J$2:$J$2649,AD$1)</f>
        <v>0</v>
      </c>
      <c r="AE80" s="144">
        <f>SUMIFS('февраль 2026'!$G$2:$G$2649,'февраль 2026'!$D$2:$D$2649,$B80,'февраль 2026'!$J$2:$J$2649,AE$1)</f>
        <v>0</v>
      </c>
      <c r="AF80" s="144">
        <f>SUMIFS('февраль 2026'!$G$2:$G$2649,'февраль 2026'!$D$2:$D$2649,$B80,'февраль 2026'!$J$2:$J$2649,AF$1)</f>
        <v>0</v>
      </c>
      <c r="AG80" s="144">
        <f>SUMIFS('февраль 2026'!$G$2:$G$2649,'февраль 2026'!$D$2:$D$2649,$B80,'февраль 2026'!$J$2:$J$2649,AG$1)</f>
        <v>0</v>
      </c>
      <c r="AH80" s="144">
        <f>SUMIFS('февраль 2026'!$G$2:$G$2649,'февраль 2026'!$D$2:$D$2649,$B80,'февраль 2026'!$J$2:$J$2649,AH$1)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SUMIFS('февраль 2026'!$G$2:$G$2649,'февраль 2026'!$D$2:$D$2649,$B81,'февраль 2026'!$J$2:$J$2649,D$1)</f>
        <v>0</v>
      </c>
      <c r="E81" s="144">
        <f>SUMIFS('февраль 2026'!$G$2:$G$2649,'февраль 2026'!$D$2:$D$2649,$B81,'февраль 2026'!$J$2:$J$2649,E$1)</f>
        <v>0</v>
      </c>
      <c r="F81" s="144">
        <f>SUMIFS('февраль 2026'!$G$2:$G$2649,'февраль 2026'!$D$2:$D$2649,$B81,'февраль 2026'!$J$2:$J$2649,F$1)</f>
        <v>0</v>
      </c>
      <c r="G81" s="144">
        <f>SUMIFS('февраль 2026'!$G$2:$G$2649,'февраль 2026'!$D$2:$D$2649,$B81,'февраль 2026'!$J$2:$J$2649,G$1)</f>
        <v>0</v>
      </c>
      <c r="H81" s="144">
        <f>SUMIFS('февраль 2026'!$G$2:$G$2649,'февраль 2026'!$D$2:$D$2649,$B81,'февраль 2026'!$J$2:$J$2649,H$1)</f>
        <v>0</v>
      </c>
      <c r="I81" s="144">
        <f>SUMIFS('февраль 2026'!$G$2:$G$2649,'февраль 2026'!$D$2:$D$2649,$B81,'февраль 2026'!$J$2:$J$2649,I$1)</f>
        <v>0</v>
      </c>
      <c r="J81" s="144">
        <f>SUMIFS('февраль 2026'!$G$2:$G$2649,'февраль 2026'!$D$2:$D$2649,$B81,'февраль 2026'!$J$2:$J$2649,J$1)</f>
        <v>0</v>
      </c>
      <c r="K81" s="144">
        <f>SUMIFS('февраль 2026'!$G$2:$G$2649,'февраль 2026'!$D$2:$D$2649,$B81,'февраль 2026'!$J$2:$J$2649,K$1)</f>
        <v>0</v>
      </c>
      <c r="L81" s="144">
        <f>SUMIFS('февраль 2026'!$G$2:$G$2649,'февраль 2026'!$D$2:$D$2649,$B81,'февраль 2026'!$J$2:$J$2649,L$1)</f>
        <v>0</v>
      </c>
      <c r="M81" s="144">
        <f>SUMIFS('февраль 2026'!$G$2:$G$2649,'февраль 2026'!$D$2:$D$2649,$B81,'февраль 2026'!$J$2:$J$2649,M$1)</f>
        <v>0</v>
      </c>
      <c r="N81" s="144">
        <f>SUMIFS('февраль 2026'!$G$2:$G$2649,'февраль 2026'!$D$2:$D$2649,$B81,'февраль 2026'!$J$2:$J$2649,N$1)</f>
        <v>0</v>
      </c>
      <c r="O81" s="144">
        <f>SUMIFS('февраль 2026'!$G$2:$G$2649,'февраль 2026'!$D$2:$D$2649,$B81,'февраль 2026'!$J$2:$J$2649,O$1)</f>
        <v>0</v>
      </c>
      <c r="P81" s="144">
        <f>SUMIFS('февраль 2026'!$G$2:$G$2649,'февраль 2026'!$D$2:$D$2649,$B81,'февраль 2026'!$J$2:$J$2649,P$1)</f>
        <v>0</v>
      </c>
      <c r="Q81" s="144">
        <f>SUMIFS('февраль 2026'!$G$2:$G$2649,'февраль 2026'!$D$2:$D$2649,$B81,'февраль 2026'!$J$2:$J$2649,Q$1)</f>
        <v>0</v>
      </c>
      <c r="R81" s="144">
        <f>SUMIFS('февраль 2026'!$G$2:$G$2649,'февраль 2026'!$D$2:$D$2649,$B81,'февраль 2026'!$J$2:$J$2649,R$1)</f>
        <v>0</v>
      </c>
      <c r="S81" s="144">
        <f>SUMIFS('февраль 2026'!$G$2:$G$2649,'февраль 2026'!$D$2:$D$2649,$B81,'февраль 2026'!$J$2:$J$2649,S$1)</f>
        <v>0</v>
      </c>
      <c r="T81" s="144">
        <f>SUMIFS('февраль 2026'!$G$2:$G$2649,'февраль 2026'!$D$2:$D$2649,$B81,'февраль 2026'!$J$2:$J$2649,T$1)</f>
        <v>0</v>
      </c>
      <c r="U81" s="144">
        <f>SUMIFS('февраль 2026'!$G$2:$G$2649,'февраль 2026'!$D$2:$D$2649,$B81,'февраль 2026'!$J$2:$J$2649,U$1)</f>
        <v>0</v>
      </c>
      <c r="V81" s="144">
        <f>SUMIFS('февраль 2026'!$G$2:$G$2649,'февраль 2026'!$D$2:$D$2649,$B81,'февраль 2026'!$J$2:$J$2649,V$1)</f>
        <v>0</v>
      </c>
      <c r="W81" s="144">
        <f>SUMIFS('февраль 2026'!$G$2:$G$2649,'февраль 2026'!$D$2:$D$2649,$B81,'февраль 2026'!$J$2:$J$2649,W$1)</f>
        <v>0</v>
      </c>
      <c r="X81" s="144">
        <f>SUMIFS('февраль 2026'!$G$2:$G$2649,'февраль 2026'!$D$2:$D$2649,$B81,'февраль 2026'!$J$2:$J$2649,X$1)</f>
        <v>0</v>
      </c>
      <c r="Y81" s="144">
        <f>SUMIFS('февраль 2026'!$G$2:$G$2649,'февраль 2026'!$D$2:$D$2649,$B81,'февраль 2026'!$J$2:$J$2649,Y$1)</f>
        <v>0</v>
      </c>
      <c r="Z81" s="144">
        <f>SUMIFS('февраль 2026'!$G$2:$G$2649,'февраль 2026'!$D$2:$D$2649,$B81,'февраль 2026'!$J$2:$J$2649,Z$1)</f>
        <v>0</v>
      </c>
      <c r="AA81" s="144">
        <f>SUMIFS('февраль 2026'!$G$2:$G$2649,'февраль 2026'!$D$2:$D$2649,$B81,'февраль 2026'!$J$2:$J$2649,AA$1)</f>
        <v>0</v>
      </c>
      <c r="AB81" s="144">
        <f>SUMIFS('февраль 2026'!$G$2:$G$2649,'февраль 2026'!$D$2:$D$2649,$B81,'февраль 2026'!$J$2:$J$2649,AB$1)</f>
        <v>0</v>
      </c>
      <c r="AC81" s="144">
        <f>SUMIFS('февраль 2026'!$G$2:$G$2649,'февраль 2026'!$D$2:$D$2649,$B81,'февраль 2026'!$J$2:$J$2649,AC$1)</f>
        <v>0</v>
      </c>
      <c r="AD81" s="144">
        <f>SUMIFS('февраль 2026'!$G$2:$G$2649,'февраль 2026'!$D$2:$D$2649,$B81,'февраль 2026'!$J$2:$J$2649,AD$1)</f>
        <v>0</v>
      </c>
      <c r="AE81" s="144">
        <f>SUMIFS('февраль 2026'!$G$2:$G$2649,'февраль 2026'!$D$2:$D$2649,$B81,'февраль 2026'!$J$2:$J$2649,AE$1)</f>
        <v>0</v>
      </c>
      <c r="AF81" s="144">
        <f>SUMIFS('февраль 2026'!$G$2:$G$2649,'февраль 2026'!$D$2:$D$2649,$B81,'февраль 2026'!$J$2:$J$2649,AF$1)</f>
        <v>0</v>
      </c>
      <c r="AG81" s="144">
        <f>SUMIFS('февраль 2026'!$G$2:$G$2649,'февраль 2026'!$D$2:$D$2649,$B81,'февраль 2026'!$J$2:$J$2649,AG$1)</f>
        <v>0</v>
      </c>
      <c r="AH81" s="144">
        <f>SUMIFS('февраль 2026'!$G$2:$G$2649,'февраль 2026'!$D$2:$D$2649,$B81,'февраль 2026'!$J$2:$J$2649,AH$1)</f>
        <v>0</v>
      </c>
      <c r="AI81" s="20">
        <f t="shared" si="1"/>
        <v>0</v>
      </c>
    </row>
    <row r="82" spans="2:35" ht="15" customHeight="1" x14ac:dyDescent="0.25">
      <c r="B82" s="85" t="s">
        <v>515</v>
      </c>
      <c r="C82" s="83">
        <v>180</v>
      </c>
      <c r="D82" s="144">
        <f>SUMIFS('февраль 2026'!$G$2:$G$2649,'февраль 2026'!$D$2:$D$2649,$B82,'февраль 2026'!$J$2:$J$2649,D$1)</f>
        <v>0</v>
      </c>
      <c r="E82" s="144">
        <f>SUMIFS('февраль 2026'!$G$2:$G$2649,'февраль 2026'!$D$2:$D$2649,$B82,'февраль 2026'!$J$2:$J$2649,E$1)</f>
        <v>0</v>
      </c>
      <c r="F82" s="144">
        <f>SUMIFS('февраль 2026'!$G$2:$G$2649,'февраль 2026'!$D$2:$D$2649,$B82,'февраль 2026'!$J$2:$J$2649,F$1)</f>
        <v>0</v>
      </c>
      <c r="G82" s="144">
        <f>SUMIFS('февраль 2026'!$G$2:$G$2649,'февраль 2026'!$D$2:$D$2649,$B82,'февраль 2026'!$J$2:$J$2649,G$1)</f>
        <v>0</v>
      </c>
      <c r="H82" s="144">
        <f>SUMIFS('февраль 2026'!$G$2:$G$2649,'февраль 2026'!$D$2:$D$2649,$B82,'февраль 2026'!$J$2:$J$2649,H$1)</f>
        <v>16</v>
      </c>
      <c r="I82" s="144">
        <f>SUMIFS('февраль 2026'!$G$2:$G$2649,'февраль 2026'!$D$2:$D$2649,$B82,'февраль 2026'!$J$2:$J$2649,I$1)</f>
        <v>0</v>
      </c>
      <c r="J82" s="144">
        <f>SUMIFS('февраль 2026'!$G$2:$G$2649,'февраль 2026'!$D$2:$D$2649,$B82,'февраль 2026'!$J$2:$J$2649,J$1)</f>
        <v>0</v>
      </c>
      <c r="K82" s="144">
        <f>SUMIFS('февраль 2026'!$G$2:$G$2649,'февраль 2026'!$D$2:$D$2649,$B82,'февраль 2026'!$J$2:$J$2649,K$1)</f>
        <v>0</v>
      </c>
      <c r="L82" s="144">
        <f>SUMIFS('февраль 2026'!$G$2:$G$2649,'февраль 2026'!$D$2:$D$2649,$B82,'февраль 2026'!$J$2:$J$2649,L$1)</f>
        <v>0</v>
      </c>
      <c r="M82" s="144">
        <f>SUMIFS('февраль 2026'!$G$2:$G$2649,'февраль 2026'!$D$2:$D$2649,$B82,'февраль 2026'!$J$2:$J$2649,M$1)</f>
        <v>0</v>
      </c>
      <c r="N82" s="144">
        <f>SUMIFS('февраль 2026'!$G$2:$G$2649,'февраль 2026'!$D$2:$D$2649,$B82,'февраль 2026'!$J$2:$J$2649,N$1)</f>
        <v>0</v>
      </c>
      <c r="O82" s="144">
        <f>SUMIFS('февраль 2026'!$G$2:$G$2649,'февраль 2026'!$D$2:$D$2649,$B82,'февраль 2026'!$J$2:$J$2649,O$1)</f>
        <v>0</v>
      </c>
      <c r="P82" s="144">
        <f>SUMIFS('февраль 2026'!$G$2:$G$2649,'февраль 2026'!$D$2:$D$2649,$B82,'февраль 2026'!$J$2:$J$2649,P$1)</f>
        <v>0</v>
      </c>
      <c r="Q82" s="144">
        <f>SUMIFS('февраль 2026'!$G$2:$G$2649,'февраль 2026'!$D$2:$D$2649,$B82,'февраль 2026'!$J$2:$J$2649,Q$1)</f>
        <v>0</v>
      </c>
      <c r="R82" s="144">
        <f>SUMIFS('февраль 2026'!$G$2:$G$2649,'февраль 2026'!$D$2:$D$2649,$B82,'февраль 2026'!$J$2:$J$2649,R$1)</f>
        <v>0</v>
      </c>
      <c r="S82" s="144">
        <f>SUMIFS('февраль 2026'!$G$2:$G$2649,'февраль 2026'!$D$2:$D$2649,$B82,'февраль 2026'!$J$2:$J$2649,S$1)</f>
        <v>0</v>
      </c>
      <c r="T82" s="144">
        <f>SUMIFS('февраль 2026'!$G$2:$G$2649,'февраль 2026'!$D$2:$D$2649,$B82,'февраль 2026'!$J$2:$J$2649,T$1)</f>
        <v>0</v>
      </c>
      <c r="U82" s="144">
        <f>SUMIFS('февраль 2026'!$G$2:$G$2649,'февраль 2026'!$D$2:$D$2649,$B82,'февраль 2026'!$J$2:$J$2649,U$1)</f>
        <v>0</v>
      </c>
      <c r="V82" s="144">
        <f>SUMIFS('февраль 2026'!$G$2:$G$2649,'февраль 2026'!$D$2:$D$2649,$B82,'февраль 2026'!$J$2:$J$2649,V$1)</f>
        <v>0</v>
      </c>
      <c r="W82" s="144">
        <f>SUMIFS('февраль 2026'!$G$2:$G$2649,'февраль 2026'!$D$2:$D$2649,$B82,'февраль 2026'!$J$2:$J$2649,W$1)</f>
        <v>0</v>
      </c>
      <c r="X82" s="144">
        <f>SUMIFS('февраль 2026'!$G$2:$G$2649,'февраль 2026'!$D$2:$D$2649,$B82,'февраль 2026'!$J$2:$J$2649,X$1)</f>
        <v>0</v>
      </c>
      <c r="Y82" s="144">
        <f>SUMIFS('февраль 2026'!$G$2:$G$2649,'февраль 2026'!$D$2:$D$2649,$B82,'февраль 2026'!$J$2:$J$2649,Y$1)</f>
        <v>0</v>
      </c>
      <c r="Z82" s="144">
        <f>SUMIFS('февраль 2026'!$G$2:$G$2649,'февраль 2026'!$D$2:$D$2649,$B82,'февраль 2026'!$J$2:$J$2649,Z$1)</f>
        <v>0</v>
      </c>
      <c r="AA82" s="144">
        <f>SUMIFS('февраль 2026'!$G$2:$G$2649,'февраль 2026'!$D$2:$D$2649,$B82,'февраль 2026'!$J$2:$J$2649,AA$1)</f>
        <v>0</v>
      </c>
      <c r="AB82" s="144">
        <f>SUMIFS('февраль 2026'!$G$2:$G$2649,'февраль 2026'!$D$2:$D$2649,$B82,'февраль 2026'!$J$2:$J$2649,AB$1)</f>
        <v>0</v>
      </c>
      <c r="AC82" s="144">
        <f>SUMIFS('февраль 2026'!$G$2:$G$2649,'февраль 2026'!$D$2:$D$2649,$B82,'февраль 2026'!$J$2:$J$2649,AC$1)</f>
        <v>0</v>
      </c>
      <c r="AD82" s="144">
        <f>SUMIFS('февраль 2026'!$G$2:$G$2649,'февраль 2026'!$D$2:$D$2649,$B82,'февраль 2026'!$J$2:$J$2649,AD$1)</f>
        <v>0</v>
      </c>
      <c r="AE82" s="144">
        <f>SUMIFS('февраль 2026'!$G$2:$G$2649,'февраль 2026'!$D$2:$D$2649,$B82,'февраль 2026'!$J$2:$J$2649,AE$1)</f>
        <v>0</v>
      </c>
      <c r="AF82" s="144">
        <f>SUMIFS('февраль 2026'!$G$2:$G$2649,'февраль 2026'!$D$2:$D$2649,$B82,'февраль 2026'!$J$2:$J$2649,AF$1)</f>
        <v>0</v>
      </c>
      <c r="AG82" s="144">
        <f>SUMIFS('февраль 2026'!$G$2:$G$2649,'февраль 2026'!$D$2:$D$2649,$B82,'февраль 2026'!$J$2:$J$2649,AG$1)</f>
        <v>0</v>
      </c>
      <c r="AH82" s="144">
        <f>SUMIFS('февраль 2026'!$G$2:$G$2649,'февраль 2026'!$D$2:$D$2649,$B82,'февраль 2026'!$J$2:$J$2649,AH$1)</f>
        <v>0</v>
      </c>
      <c r="AI82" s="20">
        <f>SUM(D82:AH82)</f>
        <v>16</v>
      </c>
    </row>
    <row r="83" spans="2:35" ht="15" customHeight="1" x14ac:dyDescent="0.25">
      <c r="B83" s="85" t="s">
        <v>185</v>
      </c>
      <c r="C83" s="83">
        <v>200</v>
      </c>
      <c r="D83" s="144">
        <f>SUMIFS('февраль 2026'!$G$2:$G$2649,'февраль 2026'!$D$2:$D$2649,$B83,'февраль 2026'!$J$2:$J$2649,D$1)</f>
        <v>0</v>
      </c>
      <c r="E83" s="144">
        <f>SUMIFS('февраль 2026'!$G$2:$G$2649,'февраль 2026'!$D$2:$D$2649,$B83,'февраль 2026'!$J$2:$J$2649,E$1)</f>
        <v>0</v>
      </c>
      <c r="F83" s="144">
        <f>SUMIFS('февраль 2026'!$G$2:$G$2649,'февраль 2026'!$D$2:$D$2649,$B83,'февраль 2026'!$J$2:$J$2649,F$1)</f>
        <v>0</v>
      </c>
      <c r="G83" s="144">
        <f>SUMIFS('февраль 2026'!$G$2:$G$2649,'февраль 2026'!$D$2:$D$2649,$B83,'февраль 2026'!$J$2:$J$2649,G$1)</f>
        <v>0</v>
      </c>
      <c r="H83" s="144">
        <f>SUMIFS('февраль 2026'!$G$2:$G$2649,'февраль 2026'!$D$2:$D$2649,$B83,'февраль 2026'!$J$2:$J$2649,H$1)</f>
        <v>0</v>
      </c>
      <c r="I83" s="144">
        <f>SUMIFS('февраль 2026'!$G$2:$G$2649,'февраль 2026'!$D$2:$D$2649,$B83,'февраль 2026'!$J$2:$J$2649,I$1)</f>
        <v>0</v>
      </c>
      <c r="J83" s="144">
        <f>SUMIFS('февраль 2026'!$G$2:$G$2649,'февраль 2026'!$D$2:$D$2649,$B83,'февраль 2026'!$J$2:$J$2649,J$1)</f>
        <v>0</v>
      </c>
      <c r="K83" s="144">
        <f>SUMIFS('февраль 2026'!$G$2:$G$2649,'февраль 2026'!$D$2:$D$2649,$B83,'февраль 2026'!$J$2:$J$2649,K$1)</f>
        <v>0</v>
      </c>
      <c r="L83" s="144">
        <f>SUMIFS('февраль 2026'!$G$2:$G$2649,'февраль 2026'!$D$2:$D$2649,$B83,'февраль 2026'!$J$2:$J$2649,L$1)</f>
        <v>0</v>
      </c>
      <c r="M83" s="144">
        <f>SUMIFS('февраль 2026'!$G$2:$G$2649,'февраль 2026'!$D$2:$D$2649,$B83,'февраль 2026'!$J$2:$J$2649,M$1)</f>
        <v>0</v>
      </c>
      <c r="N83" s="144">
        <f>SUMIFS('февраль 2026'!$G$2:$G$2649,'февраль 2026'!$D$2:$D$2649,$B83,'февраль 2026'!$J$2:$J$2649,N$1)</f>
        <v>0</v>
      </c>
      <c r="O83" s="144">
        <f>SUMIFS('февраль 2026'!$G$2:$G$2649,'февраль 2026'!$D$2:$D$2649,$B83,'февраль 2026'!$J$2:$J$2649,O$1)</f>
        <v>0</v>
      </c>
      <c r="P83" s="144">
        <f>SUMIFS('февраль 2026'!$G$2:$G$2649,'февраль 2026'!$D$2:$D$2649,$B83,'февраль 2026'!$J$2:$J$2649,P$1)</f>
        <v>0</v>
      </c>
      <c r="Q83" s="144">
        <f>SUMIFS('февраль 2026'!$G$2:$G$2649,'февраль 2026'!$D$2:$D$2649,$B83,'февраль 2026'!$J$2:$J$2649,Q$1)</f>
        <v>0</v>
      </c>
      <c r="R83" s="144">
        <f>SUMIFS('февраль 2026'!$G$2:$G$2649,'февраль 2026'!$D$2:$D$2649,$B83,'февраль 2026'!$J$2:$J$2649,R$1)</f>
        <v>0</v>
      </c>
      <c r="S83" s="144">
        <f>SUMIFS('февраль 2026'!$G$2:$G$2649,'февраль 2026'!$D$2:$D$2649,$B83,'февраль 2026'!$J$2:$J$2649,S$1)</f>
        <v>0</v>
      </c>
      <c r="T83" s="144">
        <f>SUMIFS('февраль 2026'!$G$2:$G$2649,'февраль 2026'!$D$2:$D$2649,$B83,'февраль 2026'!$J$2:$J$2649,T$1)</f>
        <v>0</v>
      </c>
      <c r="U83" s="144">
        <f>SUMIFS('февраль 2026'!$G$2:$G$2649,'февраль 2026'!$D$2:$D$2649,$B83,'февраль 2026'!$J$2:$J$2649,U$1)</f>
        <v>0</v>
      </c>
      <c r="V83" s="144">
        <f>SUMIFS('февраль 2026'!$G$2:$G$2649,'февраль 2026'!$D$2:$D$2649,$B83,'февраль 2026'!$J$2:$J$2649,V$1)</f>
        <v>0</v>
      </c>
      <c r="W83" s="144">
        <f>SUMIFS('февраль 2026'!$G$2:$G$2649,'февраль 2026'!$D$2:$D$2649,$B83,'февраль 2026'!$J$2:$J$2649,W$1)</f>
        <v>0</v>
      </c>
      <c r="X83" s="144">
        <f>SUMIFS('февраль 2026'!$G$2:$G$2649,'февраль 2026'!$D$2:$D$2649,$B83,'февраль 2026'!$J$2:$J$2649,X$1)</f>
        <v>0</v>
      </c>
      <c r="Y83" s="144">
        <f>SUMIFS('февраль 2026'!$G$2:$G$2649,'февраль 2026'!$D$2:$D$2649,$B83,'февраль 2026'!$J$2:$J$2649,Y$1)</f>
        <v>0</v>
      </c>
      <c r="Z83" s="144">
        <f>SUMIFS('февраль 2026'!$G$2:$G$2649,'февраль 2026'!$D$2:$D$2649,$B83,'февраль 2026'!$J$2:$J$2649,Z$1)</f>
        <v>0</v>
      </c>
      <c r="AA83" s="144">
        <f>SUMIFS('февраль 2026'!$G$2:$G$2649,'февраль 2026'!$D$2:$D$2649,$B83,'февраль 2026'!$J$2:$J$2649,AA$1)</f>
        <v>0</v>
      </c>
      <c r="AB83" s="144">
        <f>SUMIFS('февраль 2026'!$G$2:$G$2649,'февраль 2026'!$D$2:$D$2649,$B83,'февраль 2026'!$J$2:$J$2649,AB$1)</f>
        <v>0</v>
      </c>
      <c r="AC83" s="144">
        <f>SUMIFS('февраль 2026'!$G$2:$G$2649,'февраль 2026'!$D$2:$D$2649,$B83,'февраль 2026'!$J$2:$J$2649,AC$1)</f>
        <v>0</v>
      </c>
      <c r="AD83" s="144">
        <f>SUMIFS('февраль 2026'!$G$2:$G$2649,'февраль 2026'!$D$2:$D$2649,$B83,'февраль 2026'!$J$2:$J$2649,AD$1)</f>
        <v>0</v>
      </c>
      <c r="AE83" s="144">
        <f>SUMIFS('февраль 2026'!$G$2:$G$2649,'февраль 2026'!$D$2:$D$2649,$B83,'февраль 2026'!$J$2:$J$2649,AE$1)</f>
        <v>0</v>
      </c>
      <c r="AF83" s="144">
        <f>SUMIFS('февраль 2026'!$G$2:$G$2649,'февраль 2026'!$D$2:$D$2649,$B83,'февраль 2026'!$J$2:$J$2649,AF$1)</f>
        <v>0</v>
      </c>
      <c r="AG83" s="144">
        <f>SUMIFS('февраль 2026'!$G$2:$G$2649,'февраль 2026'!$D$2:$D$2649,$B83,'февраль 2026'!$J$2:$J$2649,AG$1)</f>
        <v>0</v>
      </c>
      <c r="AH83" s="144">
        <f>SUMIFS('февраль 2026'!$G$2:$G$2649,'февраль 2026'!$D$2:$D$2649,$B83,'февраль 2026'!$J$2:$J$2649,AH$1)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SUMIFS('февраль 2026'!$G$2:$G$2649,'февраль 2026'!$D$2:$D$2649,$B84,'февраль 2026'!$J$2:$J$2649,D$1)</f>
        <v>0</v>
      </c>
      <c r="E84" s="144">
        <f>SUMIFS('февраль 2026'!$G$2:$G$2649,'февраль 2026'!$D$2:$D$2649,$B84,'февраль 2026'!$J$2:$J$2649,E$1)</f>
        <v>0</v>
      </c>
      <c r="F84" s="144">
        <f>SUMIFS('февраль 2026'!$G$2:$G$2649,'февраль 2026'!$D$2:$D$2649,$B84,'февраль 2026'!$J$2:$J$2649,F$1)</f>
        <v>0</v>
      </c>
      <c r="G84" s="144">
        <f>SUMIFS('февраль 2026'!$G$2:$G$2649,'февраль 2026'!$D$2:$D$2649,$B84,'февраль 2026'!$J$2:$J$2649,G$1)</f>
        <v>0</v>
      </c>
      <c r="H84" s="144">
        <f>SUMIFS('февраль 2026'!$G$2:$G$2649,'февраль 2026'!$D$2:$D$2649,$B84,'февраль 2026'!$J$2:$J$2649,H$1)</f>
        <v>0</v>
      </c>
      <c r="I84" s="144">
        <f>SUMIFS('февраль 2026'!$G$2:$G$2649,'февраль 2026'!$D$2:$D$2649,$B84,'февраль 2026'!$J$2:$J$2649,I$1)</f>
        <v>0</v>
      </c>
      <c r="J84" s="144">
        <f>SUMIFS('февраль 2026'!$G$2:$G$2649,'февраль 2026'!$D$2:$D$2649,$B84,'февраль 2026'!$J$2:$J$2649,J$1)</f>
        <v>0</v>
      </c>
      <c r="K84" s="144">
        <f>SUMIFS('февраль 2026'!$G$2:$G$2649,'февраль 2026'!$D$2:$D$2649,$B84,'февраль 2026'!$J$2:$J$2649,K$1)</f>
        <v>0</v>
      </c>
      <c r="L84" s="144">
        <f>SUMIFS('февраль 2026'!$G$2:$G$2649,'февраль 2026'!$D$2:$D$2649,$B84,'февраль 2026'!$J$2:$J$2649,L$1)</f>
        <v>0</v>
      </c>
      <c r="M84" s="144">
        <f>SUMIFS('февраль 2026'!$G$2:$G$2649,'февраль 2026'!$D$2:$D$2649,$B84,'февраль 2026'!$J$2:$J$2649,M$1)</f>
        <v>0</v>
      </c>
      <c r="N84" s="144">
        <f>SUMIFS('февраль 2026'!$G$2:$G$2649,'февраль 2026'!$D$2:$D$2649,$B84,'февраль 2026'!$J$2:$J$2649,N$1)</f>
        <v>0</v>
      </c>
      <c r="O84" s="144">
        <f>SUMIFS('февраль 2026'!$G$2:$G$2649,'февраль 2026'!$D$2:$D$2649,$B84,'февраль 2026'!$J$2:$J$2649,O$1)</f>
        <v>0</v>
      </c>
      <c r="P84" s="144">
        <f>SUMIFS('февраль 2026'!$G$2:$G$2649,'февраль 2026'!$D$2:$D$2649,$B84,'февраль 2026'!$J$2:$J$2649,P$1)</f>
        <v>0</v>
      </c>
      <c r="Q84" s="144">
        <f>SUMIFS('февраль 2026'!$G$2:$G$2649,'февраль 2026'!$D$2:$D$2649,$B84,'февраль 2026'!$J$2:$J$2649,Q$1)</f>
        <v>0</v>
      </c>
      <c r="R84" s="144">
        <f>SUMIFS('февраль 2026'!$G$2:$G$2649,'февраль 2026'!$D$2:$D$2649,$B84,'февраль 2026'!$J$2:$J$2649,R$1)</f>
        <v>0</v>
      </c>
      <c r="S84" s="144">
        <f>SUMIFS('февраль 2026'!$G$2:$G$2649,'февраль 2026'!$D$2:$D$2649,$B84,'февраль 2026'!$J$2:$J$2649,S$1)</f>
        <v>0</v>
      </c>
      <c r="T84" s="144">
        <f>SUMIFS('февраль 2026'!$G$2:$G$2649,'февраль 2026'!$D$2:$D$2649,$B84,'февраль 2026'!$J$2:$J$2649,T$1)</f>
        <v>0</v>
      </c>
      <c r="U84" s="144">
        <f>SUMIFS('февраль 2026'!$G$2:$G$2649,'февраль 2026'!$D$2:$D$2649,$B84,'февраль 2026'!$J$2:$J$2649,U$1)</f>
        <v>0</v>
      </c>
      <c r="V84" s="144">
        <f>SUMIFS('февраль 2026'!$G$2:$G$2649,'февраль 2026'!$D$2:$D$2649,$B84,'февраль 2026'!$J$2:$J$2649,V$1)</f>
        <v>0</v>
      </c>
      <c r="W84" s="144">
        <f>SUMIFS('февраль 2026'!$G$2:$G$2649,'февраль 2026'!$D$2:$D$2649,$B84,'февраль 2026'!$J$2:$J$2649,W$1)</f>
        <v>0</v>
      </c>
      <c r="X84" s="144">
        <f>SUMIFS('февраль 2026'!$G$2:$G$2649,'февраль 2026'!$D$2:$D$2649,$B84,'февраль 2026'!$J$2:$J$2649,X$1)</f>
        <v>0</v>
      </c>
      <c r="Y84" s="144">
        <f>SUMIFS('февраль 2026'!$G$2:$G$2649,'февраль 2026'!$D$2:$D$2649,$B84,'февраль 2026'!$J$2:$J$2649,Y$1)</f>
        <v>0</v>
      </c>
      <c r="Z84" s="144">
        <f>SUMIFS('февраль 2026'!$G$2:$G$2649,'февраль 2026'!$D$2:$D$2649,$B84,'февраль 2026'!$J$2:$J$2649,Z$1)</f>
        <v>0</v>
      </c>
      <c r="AA84" s="144">
        <f>SUMIFS('февраль 2026'!$G$2:$G$2649,'февраль 2026'!$D$2:$D$2649,$B84,'февраль 2026'!$J$2:$J$2649,AA$1)</f>
        <v>0</v>
      </c>
      <c r="AB84" s="144">
        <f>SUMIFS('февраль 2026'!$G$2:$G$2649,'февраль 2026'!$D$2:$D$2649,$B84,'февраль 2026'!$J$2:$J$2649,AB$1)</f>
        <v>0</v>
      </c>
      <c r="AC84" s="144">
        <f>SUMIFS('февраль 2026'!$G$2:$G$2649,'февраль 2026'!$D$2:$D$2649,$B84,'февраль 2026'!$J$2:$J$2649,AC$1)</f>
        <v>0</v>
      </c>
      <c r="AD84" s="144">
        <f>SUMIFS('февраль 2026'!$G$2:$G$2649,'февраль 2026'!$D$2:$D$2649,$B84,'февраль 2026'!$J$2:$J$2649,AD$1)</f>
        <v>0</v>
      </c>
      <c r="AE84" s="144">
        <f>SUMIFS('февраль 2026'!$G$2:$G$2649,'февраль 2026'!$D$2:$D$2649,$B84,'февраль 2026'!$J$2:$J$2649,AE$1)</f>
        <v>0</v>
      </c>
      <c r="AF84" s="144">
        <f>SUMIFS('февраль 2026'!$G$2:$G$2649,'февраль 2026'!$D$2:$D$2649,$B84,'февраль 2026'!$J$2:$J$2649,AF$1)</f>
        <v>0</v>
      </c>
      <c r="AG84" s="144">
        <f>SUMIFS('февраль 2026'!$G$2:$G$2649,'февраль 2026'!$D$2:$D$2649,$B84,'февраль 2026'!$J$2:$J$2649,AG$1)</f>
        <v>0</v>
      </c>
      <c r="AH84" s="144">
        <f>SUMIFS('февраль 2026'!$G$2:$G$2649,'февраль 2026'!$D$2:$D$2649,$B84,'февраль 2026'!$J$2:$J$2649,AH$1)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SUMIFS('февраль 2026'!$G$2:$G$2649,'февраль 2026'!$D$2:$D$2649,$B85,'февраль 2026'!$J$2:$J$2649,D$1)</f>
        <v>0</v>
      </c>
      <c r="E85" s="144">
        <f>SUMIFS('февраль 2026'!$G$2:$G$2649,'февраль 2026'!$D$2:$D$2649,$B85,'февраль 2026'!$J$2:$J$2649,E$1)</f>
        <v>0</v>
      </c>
      <c r="F85" s="144">
        <f>SUMIFS('февраль 2026'!$G$2:$G$2649,'февраль 2026'!$D$2:$D$2649,$B85,'февраль 2026'!$J$2:$J$2649,F$1)</f>
        <v>0</v>
      </c>
      <c r="G85" s="144">
        <f>SUMIFS('февраль 2026'!$G$2:$G$2649,'февраль 2026'!$D$2:$D$2649,$B85,'февраль 2026'!$J$2:$J$2649,G$1)</f>
        <v>0</v>
      </c>
      <c r="H85" s="144">
        <f>SUMIFS('февраль 2026'!$G$2:$G$2649,'февраль 2026'!$D$2:$D$2649,$B85,'февраль 2026'!$J$2:$J$2649,H$1)</f>
        <v>0</v>
      </c>
      <c r="I85" s="144">
        <f>SUMIFS('февраль 2026'!$G$2:$G$2649,'февраль 2026'!$D$2:$D$2649,$B85,'февраль 2026'!$J$2:$J$2649,I$1)</f>
        <v>0</v>
      </c>
      <c r="J85" s="144">
        <f>SUMIFS('февраль 2026'!$G$2:$G$2649,'февраль 2026'!$D$2:$D$2649,$B85,'февраль 2026'!$J$2:$J$2649,J$1)</f>
        <v>0</v>
      </c>
      <c r="K85" s="144">
        <f>SUMIFS('февраль 2026'!$G$2:$G$2649,'февраль 2026'!$D$2:$D$2649,$B85,'февраль 2026'!$J$2:$J$2649,K$1)</f>
        <v>0</v>
      </c>
      <c r="L85" s="144">
        <f>SUMIFS('февраль 2026'!$G$2:$G$2649,'февраль 2026'!$D$2:$D$2649,$B85,'февраль 2026'!$J$2:$J$2649,L$1)</f>
        <v>0</v>
      </c>
      <c r="M85" s="144">
        <f>SUMIFS('февраль 2026'!$G$2:$G$2649,'февраль 2026'!$D$2:$D$2649,$B85,'февраль 2026'!$J$2:$J$2649,M$1)</f>
        <v>0</v>
      </c>
      <c r="N85" s="144">
        <f>SUMIFS('февраль 2026'!$G$2:$G$2649,'февраль 2026'!$D$2:$D$2649,$B85,'февраль 2026'!$J$2:$J$2649,N$1)</f>
        <v>0</v>
      </c>
      <c r="O85" s="144">
        <f>SUMIFS('февраль 2026'!$G$2:$G$2649,'февраль 2026'!$D$2:$D$2649,$B85,'февраль 2026'!$J$2:$J$2649,O$1)</f>
        <v>0</v>
      </c>
      <c r="P85" s="144">
        <f>SUMIFS('февраль 2026'!$G$2:$G$2649,'февраль 2026'!$D$2:$D$2649,$B85,'февраль 2026'!$J$2:$J$2649,P$1)</f>
        <v>0</v>
      </c>
      <c r="Q85" s="144">
        <f>SUMIFS('февраль 2026'!$G$2:$G$2649,'февраль 2026'!$D$2:$D$2649,$B85,'февраль 2026'!$J$2:$J$2649,Q$1)</f>
        <v>0</v>
      </c>
      <c r="R85" s="144">
        <f>SUMIFS('февраль 2026'!$G$2:$G$2649,'февраль 2026'!$D$2:$D$2649,$B85,'февраль 2026'!$J$2:$J$2649,R$1)</f>
        <v>0</v>
      </c>
      <c r="S85" s="144">
        <f>SUMIFS('февраль 2026'!$G$2:$G$2649,'февраль 2026'!$D$2:$D$2649,$B85,'февраль 2026'!$J$2:$J$2649,S$1)</f>
        <v>0</v>
      </c>
      <c r="T85" s="144">
        <f>SUMIFS('февраль 2026'!$G$2:$G$2649,'февраль 2026'!$D$2:$D$2649,$B85,'февраль 2026'!$J$2:$J$2649,T$1)</f>
        <v>0</v>
      </c>
      <c r="U85" s="144">
        <f>SUMIFS('февраль 2026'!$G$2:$G$2649,'февраль 2026'!$D$2:$D$2649,$B85,'февраль 2026'!$J$2:$J$2649,U$1)</f>
        <v>0</v>
      </c>
      <c r="V85" s="144">
        <f>SUMIFS('февраль 2026'!$G$2:$G$2649,'февраль 2026'!$D$2:$D$2649,$B85,'февраль 2026'!$J$2:$J$2649,V$1)</f>
        <v>0</v>
      </c>
      <c r="W85" s="144">
        <f>SUMIFS('февраль 2026'!$G$2:$G$2649,'февраль 2026'!$D$2:$D$2649,$B85,'февраль 2026'!$J$2:$J$2649,W$1)</f>
        <v>0</v>
      </c>
      <c r="X85" s="144">
        <f>SUMIFS('февраль 2026'!$G$2:$G$2649,'февраль 2026'!$D$2:$D$2649,$B85,'февраль 2026'!$J$2:$J$2649,X$1)</f>
        <v>0</v>
      </c>
      <c r="Y85" s="144">
        <f>SUMIFS('февраль 2026'!$G$2:$G$2649,'февраль 2026'!$D$2:$D$2649,$B85,'февраль 2026'!$J$2:$J$2649,Y$1)</f>
        <v>0</v>
      </c>
      <c r="Z85" s="144">
        <f>SUMIFS('февраль 2026'!$G$2:$G$2649,'февраль 2026'!$D$2:$D$2649,$B85,'февраль 2026'!$J$2:$J$2649,Z$1)</f>
        <v>0</v>
      </c>
      <c r="AA85" s="144">
        <f>SUMIFS('февраль 2026'!$G$2:$G$2649,'февраль 2026'!$D$2:$D$2649,$B85,'февраль 2026'!$J$2:$J$2649,AA$1)</f>
        <v>0</v>
      </c>
      <c r="AB85" s="144">
        <f>SUMIFS('февраль 2026'!$G$2:$G$2649,'февраль 2026'!$D$2:$D$2649,$B85,'февраль 2026'!$J$2:$J$2649,AB$1)</f>
        <v>0</v>
      </c>
      <c r="AC85" s="144">
        <f>SUMIFS('февраль 2026'!$G$2:$G$2649,'февраль 2026'!$D$2:$D$2649,$B85,'февраль 2026'!$J$2:$J$2649,AC$1)</f>
        <v>0</v>
      </c>
      <c r="AD85" s="144">
        <f>SUMIFS('февраль 2026'!$G$2:$G$2649,'февраль 2026'!$D$2:$D$2649,$B85,'февраль 2026'!$J$2:$J$2649,AD$1)</f>
        <v>0</v>
      </c>
      <c r="AE85" s="144">
        <f>SUMIFS('февраль 2026'!$G$2:$G$2649,'февраль 2026'!$D$2:$D$2649,$B85,'февраль 2026'!$J$2:$J$2649,AE$1)</f>
        <v>0</v>
      </c>
      <c r="AF85" s="144">
        <f>SUMIFS('февраль 2026'!$G$2:$G$2649,'февраль 2026'!$D$2:$D$2649,$B85,'февраль 2026'!$J$2:$J$2649,AF$1)</f>
        <v>0</v>
      </c>
      <c r="AG85" s="144">
        <f>SUMIFS('февраль 2026'!$G$2:$G$2649,'февраль 2026'!$D$2:$D$2649,$B85,'февраль 2026'!$J$2:$J$2649,AG$1)</f>
        <v>0</v>
      </c>
      <c r="AH85" s="144">
        <f>SUMIFS('февраль 2026'!$G$2:$G$2649,'февраль 2026'!$D$2:$D$2649,$B85,'февраль 2026'!$J$2:$J$2649,AH$1)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SUMIFS('февраль 2026'!$G$2:$G$2649,'февраль 2026'!$D$2:$D$2649,$B86,'февраль 2026'!$J$2:$J$2649,D$1)</f>
        <v>0</v>
      </c>
      <c r="E86" s="144">
        <f>SUMIFS('февраль 2026'!$G$2:$G$2649,'февраль 2026'!$D$2:$D$2649,$B86,'февраль 2026'!$J$2:$J$2649,E$1)</f>
        <v>0</v>
      </c>
      <c r="F86" s="144">
        <f>SUMIFS('февраль 2026'!$G$2:$G$2649,'февраль 2026'!$D$2:$D$2649,$B86,'февраль 2026'!$J$2:$J$2649,F$1)</f>
        <v>0</v>
      </c>
      <c r="G86" s="144">
        <f>SUMIFS('февраль 2026'!$G$2:$G$2649,'февраль 2026'!$D$2:$D$2649,$B86,'февраль 2026'!$J$2:$J$2649,G$1)</f>
        <v>0</v>
      </c>
      <c r="H86" s="144">
        <f>SUMIFS('февраль 2026'!$G$2:$G$2649,'февраль 2026'!$D$2:$D$2649,$B86,'февраль 2026'!$J$2:$J$2649,H$1)</f>
        <v>0</v>
      </c>
      <c r="I86" s="144">
        <f>SUMIFS('февраль 2026'!$G$2:$G$2649,'февраль 2026'!$D$2:$D$2649,$B86,'февраль 2026'!$J$2:$J$2649,I$1)</f>
        <v>0</v>
      </c>
      <c r="J86" s="144">
        <f>SUMIFS('февраль 2026'!$G$2:$G$2649,'февраль 2026'!$D$2:$D$2649,$B86,'февраль 2026'!$J$2:$J$2649,J$1)</f>
        <v>0</v>
      </c>
      <c r="K86" s="144">
        <f>SUMIFS('февраль 2026'!$G$2:$G$2649,'февраль 2026'!$D$2:$D$2649,$B86,'февраль 2026'!$J$2:$J$2649,K$1)</f>
        <v>0</v>
      </c>
      <c r="L86" s="144">
        <f>SUMIFS('февраль 2026'!$G$2:$G$2649,'февраль 2026'!$D$2:$D$2649,$B86,'февраль 2026'!$J$2:$J$2649,L$1)</f>
        <v>0</v>
      </c>
      <c r="M86" s="144">
        <f>SUMIFS('февраль 2026'!$G$2:$G$2649,'февраль 2026'!$D$2:$D$2649,$B86,'февраль 2026'!$J$2:$J$2649,M$1)</f>
        <v>0</v>
      </c>
      <c r="N86" s="144">
        <f>SUMIFS('февраль 2026'!$G$2:$G$2649,'февраль 2026'!$D$2:$D$2649,$B86,'февраль 2026'!$J$2:$J$2649,N$1)</f>
        <v>0</v>
      </c>
      <c r="O86" s="144">
        <f>SUMIFS('февраль 2026'!$G$2:$G$2649,'февраль 2026'!$D$2:$D$2649,$B86,'февраль 2026'!$J$2:$J$2649,O$1)</f>
        <v>0</v>
      </c>
      <c r="P86" s="144">
        <f>SUMIFS('февраль 2026'!$G$2:$G$2649,'февраль 2026'!$D$2:$D$2649,$B86,'февраль 2026'!$J$2:$J$2649,P$1)</f>
        <v>0</v>
      </c>
      <c r="Q86" s="144">
        <f>SUMIFS('февраль 2026'!$G$2:$G$2649,'февраль 2026'!$D$2:$D$2649,$B86,'февраль 2026'!$J$2:$J$2649,Q$1)</f>
        <v>0</v>
      </c>
      <c r="R86" s="144">
        <f>SUMIFS('февраль 2026'!$G$2:$G$2649,'февраль 2026'!$D$2:$D$2649,$B86,'февраль 2026'!$J$2:$J$2649,R$1)</f>
        <v>0</v>
      </c>
      <c r="S86" s="144">
        <f>SUMIFS('февраль 2026'!$G$2:$G$2649,'февраль 2026'!$D$2:$D$2649,$B86,'февраль 2026'!$J$2:$J$2649,S$1)</f>
        <v>0</v>
      </c>
      <c r="T86" s="144">
        <f>SUMIFS('февраль 2026'!$G$2:$G$2649,'февраль 2026'!$D$2:$D$2649,$B86,'февраль 2026'!$J$2:$J$2649,T$1)</f>
        <v>0</v>
      </c>
      <c r="U86" s="144">
        <f>SUMIFS('февраль 2026'!$G$2:$G$2649,'февраль 2026'!$D$2:$D$2649,$B86,'февраль 2026'!$J$2:$J$2649,U$1)</f>
        <v>0</v>
      </c>
      <c r="V86" s="144">
        <f>SUMIFS('февраль 2026'!$G$2:$G$2649,'февраль 2026'!$D$2:$D$2649,$B86,'февраль 2026'!$J$2:$J$2649,V$1)</f>
        <v>0</v>
      </c>
      <c r="W86" s="144">
        <f>SUMIFS('февраль 2026'!$G$2:$G$2649,'февраль 2026'!$D$2:$D$2649,$B86,'февраль 2026'!$J$2:$J$2649,W$1)</f>
        <v>0</v>
      </c>
      <c r="X86" s="144">
        <f>SUMIFS('февраль 2026'!$G$2:$G$2649,'февраль 2026'!$D$2:$D$2649,$B86,'февраль 2026'!$J$2:$J$2649,X$1)</f>
        <v>0</v>
      </c>
      <c r="Y86" s="144">
        <f>SUMIFS('февраль 2026'!$G$2:$G$2649,'февраль 2026'!$D$2:$D$2649,$B86,'февраль 2026'!$J$2:$J$2649,Y$1)</f>
        <v>0</v>
      </c>
      <c r="Z86" s="144">
        <f>SUMIFS('февраль 2026'!$G$2:$G$2649,'февраль 2026'!$D$2:$D$2649,$B86,'февраль 2026'!$J$2:$J$2649,Z$1)</f>
        <v>0</v>
      </c>
      <c r="AA86" s="144">
        <f>SUMIFS('февраль 2026'!$G$2:$G$2649,'февраль 2026'!$D$2:$D$2649,$B86,'февраль 2026'!$J$2:$J$2649,AA$1)</f>
        <v>0</v>
      </c>
      <c r="AB86" s="144">
        <f>SUMIFS('февраль 2026'!$G$2:$G$2649,'февраль 2026'!$D$2:$D$2649,$B86,'февраль 2026'!$J$2:$J$2649,AB$1)</f>
        <v>0</v>
      </c>
      <c r="AC86" s="144">
        <f>SUMIFS('февраль 2026'!$G$2:$G$2649,'февраль 2026'!$D$2:$D$2649,$B86,'февраль 2026'!$J$2:$J$2649,AC$1)</f>
        <v>0</v>
      </c>
      <c r="AD86" s="144">
        <f>SUMIFS('февраль 2026'!$G$2:$G$2649,'февраль 2026'!$D$2:$D$2649,$B86,'февраль 2026'!$J$2:$J$2649,AD$1)</f>
        <v>0</v>
      </c>
      <c r="AE86" s="144">
        <f>SUMIFS('февраль 2026'!$G$2:$G$2649,'февраль 2026'!$D$2:$D$2649,$B86,'февраль 2026'!$J$2:$J$2649,AE$1)</f>
        <v>0</v>
      </c>
      <c r="AF86" s="144">
        <f>SUMIFS('февраль 2026'!$G$2:$G$2649,'февраль 2026'!$D$2:$D$2649,$B86,'февраль 2026'!$J$2:$J$2649,AF$1)</f>
        <v>0</v>
      </c>
      <c r="AG86" s="144">
        <f>SUMIFS('февраль 2026'!$G$2:$G$2649,'февраль 2026'!$D$2:$D$2649,$B86,'февраль 2026'!$J$2:$J$2649,AG$1)</f>
        <v>0</v>
      </c>
      <c r="AH86" s="144">
        <f>SUMIFS('февраль 2026'!$G$2:$G$2649,'февраль 2026'!$D$2:$D$2649,$B86,'февраль 2026'!$J$2:$J$2649,AH$1)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SUMIFS('февраль 2026'!$G$2:$G$2649,'февраль 2026'!$D$2:$D$2649,$B87,'февраль 2026'!$J$2:$J$2649,D$1)</f>
        <v>0</v>
      </c>
      <c r="E87" s="144">
        <f>SUMIFS('февраль 2026'!$G$2:$G$2649,'февраль 2026'!$D$2:$D$2649,$B87,'февраль 2026'!$J$2:$J$2649,E$1)</f>
        <v>0</v>
      </c>
      <c r="F87" s="144">
        <f>SUMIFS('февраль 2026'!$G$2:$G$2649,'февраль 2026'!$D$2:$D$2649,$B87,'февраль 2026'!$J$2:$J$2649,F$1)</f>
        <v>0</v>
      </c>
      <c r="G87" s="144">
        <f>SUMIFS('февраль 2026'!$G$2:$G$2649,'февраль 2026'!$D$2:$D$2649,$B87,'февраль 2026'!$J$2:$J$2649,G$1)</f>
        <v>0</v>
      </c>
      <c r="H87" s="144">
        <f>SUMIFS('февраль 2026'!$G$2:$G$2649,'февраль 2026'!$D$2:$D$2649,$B87,'февраль 2026'!$J$2:$J$2649,H$1)</f>
        <v>0</v>
      </c>
      <c r="I87" s="144">
        <f>SUMIFS('февраль 2026'!$G$2:$G$2649,'февраль 2026'!$D$2:$D$2649,$B87,'февраль 2026'!$J$2:$J$2649,I$1)</f>
        <v>0</v>
      </c>
      <c r="J87" s="144">
        <f>SUMIFS('февраль 2026'!$G$2:$G$2649,'февраль 2026'!$D$2:$D$2649,$B87,'февраль 2026'!$J$2:$J$2649,J$1)</f>
        <v>0</v>
      </c>
      <c r="K87" s="144">
        <f>SUMIFS('февраль 2026'!$G$2:$G$2649,'февраль 2026'!$D$2:$D$2649,$B87,'февраль 2026'!$J$2:$J$2649,K$1)</f>
        <v>0</v>
      </c>
      <c r="L87" s="144">
        <f>SUMIFS('февраль 2026'!$G$2:$G$2649,'февраль 2026'!$D$2:$D$2649,$B87,'февраль 2026'!$J$2:$J$2649,L$1)</f>
        <v>0</v>
      </c>
      <c r="M87" s="144">
        <f>SUMIFS('февраль 2026'!$G$2:$G$2649,'февраль 2026'!$D$2:$D$2649,$B87,'февраль 2026'!$J$2:$J$2649,M$1)</f>
        <v>0</v>
      </c>
      <c r="N87" s="144">
        <f>SUMIFS('февраль 2026'!$G$2:$G$2649,'февраль 2026'!$D$2:$D$2649,$B87,'февраль 2026'!$J$2:$J$2649,N$1)</f>
        <v>0</v>
      </c>
      <c r="O87" s="144">
        <f>SUMIFS('февраль 2026'!$G$2:$G$2649,'февраль 2026'!$D$2:$D$2649,$B87,'февраль 2026'!$J$2:$J$2649,O$1)</f>
        <v>0</v>
      </c>
      <c r="P87" s="144">
        <f>SUMIFS('февраль 2026'!$G$2:$G$2649,'февраль 2026'!$D$2:$D$2649,$B87,'февраль 2026'!$J$2:$J$2649,P$1)</f>
        <v>0</v>
      </c>
      <c r="Q87" s="144">
        <f>SUMIFS('февраль 2026'!$G$2:$G$2649,'февраль 2026'!$D$2:$D$2649,$B87,'февраль 2026'!$J$2:$J$2649,Q$1)</f>
        <v>0</v>
      </c>
      <c r="R87" s="144">
        <f>SUMIFS('февраль 2026'!$G$2:$G$2649,'февраль 2026'!$D$2:$D$2649,$B87,'февраль 2026'!$J$2:$J$2649,R$1)</f>
        <v>0</v>
      </c>
      <c r="S87" s="144">
        <f>SUMIFS('февраль 2026'!$G$2:$G$2649,'февраль 2026'!$D$2:$D$2649,$B87,'февраль 2026'!$J$2:$J$2649,S$1)</f>
        <v>0</v>
      </c>
      <c r="T87" s="144">
        <f>SUMIFS('февраль 2026'!$G$2:$G$2649,'февраль 2026'!$D$2:$D$2649,$B87,'февраль 2026'!$J$2:$J$2649,T$1)</f>
        <v>0</v>
      </c>
      <c r="U87" s="144">
        <f>SUMIFS('февраль 2026'!$G$2:$G$2649,'февраль 2026'!$D$2:$D$2649,$B87,'февраль 2026'!$J$2:$J$2649,U$1)</f>
        <v>0</v>
      </c>
      <c r="V87" s="144">
        <f>SUMIFS('февраль 2026'!$G$2:$G$2649,'февраль 2026'!$D$2:$D$2649,$B87,'февраль 2026'!$J$2:$J$2649,V$1)</f>
        <v>0</v>
      </c>
      <c r="W87" s="144">
        <f>SUMIFS('февраль 2026'!$G$2:$G$2649,'февраль 2026'!$D$2:$D$2649,$B87,'февраль 2026'!$J$2:$J$2649,W$1)</f>
        <v>0</v>
      </c>
      <c r="X87" s="144">
        <f>SUMIFS('февраль 2026'!$G$2:$G$2649,'февраль 2026'!$D$2:$D$2649,$B87,'февраль 2026'!$J$2:$J$2649,X$1)</f>
        <v>0</v>
      </c>
      <c r="Y87" s="144">
        <f>SUMIFS('февраль 2026'!$G$2:$G$2649,'февраль 2026'!$D$2:$D$2649,$B87,'февраль 2026'!$J$2:$J$2649,Y$1)</f>
        <v>0</v>
      </c>
      <c r="Z87" s="144">
        <f>SUMIFS('февраль 2026'!$G$2:$G$2649,'февраль 2026'!$D$2:$D$2649,$B87,'февраль 2026'!$J$2:$J$2649,Z$1)</f>
        <v>0</v>
      </c>
      <c r="AA87" s="144">
        <f>SUMIFS('февраль 2026'!$G$2:$G$2649,'февраль 2026'!$D$2:$D$2649,$B87,'февраль 2026'!$J$2:$J$2649,AA$1)</f>
        <v>0</v>
      </c>
      <c r="AB87" s="144">
        <f>SUMIFS('февраль 2026'!$G$2:$G$2649,'февраль 2026'!$D$2:$D$2649,$B87,'февраль 2026'!$J$2:$J$2649,AB$1)</f>
        <v>0</v>
      </c>
      <c r="AC87" s="144">
        <f>SUMIFS('февраль 2026'!$G$2:$G$2649,'февраль 2026'!$D$2:$D$2649,$B87,'февраль 2026'!$J$2:$J$2649,AC$1)</f>
        <v>0</v>
      </c>
      <c r="AD87" s="144">
        <f>SUMIFS('февраль 2026'!$G$2:$G$2649,'февраль 2026'!$D$2:$D$2649,$B87,'февраль 2026'!$J$2:$J$2649,AD$1)</f>
        <v>0</v>
      </c>
      <c r="AE87" s="144">
        <f>SUMIFS('февраль 2026'!$G$2:$G$2649,'февраль 2026'!$D$2:$D$2649,$B87,'февраль 2026'!$J$2:$J$2649,AE$1)</f>
        <v>0</v>
      </c>
      <c r="AF87" s="144">
        <f>SUMIFS('февраль 2026'!$G$2:$G$2649,'февраль 2026'!$D$2:$D$2649,$B87,'февраль 2026'!$J$2:$J$2649,AF$1)</f>
        <v>0</v>
      </c>
      <c r="AG87" s="144">
        <f>SUMIFS('февраль 2026'!$G$2:$G$2649,'февраль 2026'!$D$2:$D$2649,$B87,'февраль 2026'!$J$2:$J$2649,AG$1)</f>
        <v>0</v>
      </c>
      <c r="AH87" s="144">
        <f>SUMIFS('февраль 2026'!$G$2:$G$2649,'февраль 2026'!$D$2:$D$2649,$B87,'февраль 2026'!$J$2:$J$2649,AH$1)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SUMIFS('февраль 2026'!$G$2:$G$2649,'февраль 2026'!$D$2:$D$2649,$B88,'февраль 2026'!$J$2:$J$2649,D$1)</f>
        <v>0</v>
      </c>
      <c r="E88" s="144">
        <f>SUMIFS('февраль 2026'!$G$2:$G$2649,'февраль 2026'!$D$2:$D$2649,$B88,'февраль 2026'!$J$2:$J$2649,E$1)</f>
        <v>0</v>
      </c>
      <c r="F88" s="144">
        <f>SUMIFS('февраль 2026'!$G$2:$G$2649,'февраль 2026'!$D$2:$D$2649,$B88,'февраль 2026'!$J$2:$J$2649,F$1)</f>
        <v>0</v>
      </c>
      <c r="G88" s="144">
        <f>SUMIFS('февраль 2026'!$G$2:$G$2649,'февраль 2026'!$D$2:$D$2649,$B88,'февраль 2026'!$J$2:$J$2649,G$1)</f>
        <v>0</v>
      </c>
      <c r="H88" s="144">
        <f>SUMIFS('февраль 2026'!$G$2:$G$2649,'февраль 2026'!$D$2:$D$2649,$B88,'февраль 2026'!$J$2:$J$2649,H$1)</f>
        <v>0</v>
      </c>
      <c r="I88" s="144">
        <f>SUMIFS('февраль 2026'!$G$2:$G$2649,'февраль 2026'!$D$2:$D$2649,$B88,'февраль 2026'!$J$2:$J$2649,I$1)</f>
        <v>0</v>
      </c>
      <c r="J88" s="144">
        <f>SUMIFS('февраль 2026'!$G$2:$G$2649,'февраль 2026'!$D$2:$D$2649,$B88,'февраль 2026'!$J$2:$J$2649,J$1)</f>
        <v>0</v>
      </c>
      <c r="K88" s="144">
        <f>SUMIFS('февраль 2026'!$G$2:$G$2649,'февраль 2026'!$D$2:$D$2649,$B88,'февраль 2026'!$J$2:$J$2649,K$1)</f>
        <v>0</v>
      </c>
      <c r="L88" s="144">
        <f>SUMIFS('февраль 2026'!$G$2:$G$2649,'февраль 2026'!$D$2:$D$2649,$B88,'февраль 2026'!$J$2:$J$2649,L$1)</f>
        <v>0</v>
      </c>
      <c r="M88" s="144">
        <f>SUMIFS('февраль 2026'!$G$2:$G$2649,'февраль 2026'!$D$2:$D$2649,$B88,'февраль 2026'!$J$2:$J$2649,M$1)</f>
        <v>0</v>
      </c>
      <c r="N88" s="144">
        <f>SUMIFS('февраль 2026'!$G$2:$G$2649,'февраль 2026'!$D$2:$D$2649,$B88,'февраль 2026'!$J$2:$J$2649,N$1)</f>
        <v>0</v>
      </c>
      <c r="O88" s="144">
        <f>SUMIFS('февраль 2026'!$G$2:$G$2649,'февраль 2026'!$D$2:$D$2649,$B88,'февраль 2026'!$J$2:$J$2649,O$1)</f>
        <v>0</v>
      </c>
      <c r="P88" s="144">
        <f>SUMIFS('февраль 2026'!$G$2:$G$2649,'февраль 2026'!$D$2:$D$2649,$B88,'февраль 2026'!$J$2:$J$2649,P$1)</f>
        <v>0</v>
      </c>
      <c r="Q88" s="144">
        <f>SUMIFS('февраль 2026'!$G$2:$G$2649,'февраль 2026'!$D$2:$D$2649,$B88,'февраль 2026'!$J$2:$J$2649,Q$1)</f>
        <v>0</v>
      </c>
      <c r="R88" s="144">
        <f>SUMIFS('февраль 2026'!$G$2:$G$2649,'февраль 2026'!$D$2:$D$2649,$B88,'февраль 2026'!$J$2:$J$2649,R$1)</f>
        <v>0</v>
      </c>
      <c r="S88" s="144">
        <f>SUMIFS('февраль 2026'!$G$2:$G$2649,'февраль 2026'!$D$2:$D$2649,$B88,'февраль 2026'!$J$2:$J$2649,S$1)</f>
        <v>0</v>
      </c>
      <c r="T88" s="144">
        <f>SUMIFS('февраль 2026'!$G$2:$G$2649,'февраль 2026'!$D$2:$D$2649,$B88,'февраль 2026'!$J$2:$J$2649,T$1)</f>
        <v>0</v>
      </c>
      <c r="U88" s="144">
        <f>SUMIFS('февраль 2026'!$G$2:$G$2649,'февраль 2026'!$D$2:$D$2649,$B88,'февраль 2026'!$J$2:$J$2649,U$1)</f>
        <v>0</v>
      </c>
      <c r="V88" s="144">
        <f>SUMIFS('февраль 2026'!$G$2:$G$2649,'февраль 2026'!$D$2:$D$2649,$B88,'февраль 2026'!$J$2:$J$2649,V$1)</f>
        <v>0</v>
      </c>
      <c r="W88" s="144">
        <f>SUMIFS('февраль 2026'!$G$2:$G$2649,'февраль 2026'!$D$2:$D$2649,$B88,'февраль 2026'!$J$2:$J$2649,W$1)</f>
        <v>0</v>
      </c>
      <c r="X88" s="144">
        <f>SUMIFS('февраль 2026'!$G$2:$G$2649,'февраль 2026'!$D$2:$D$2649,$B88,'февраль 2026'!$J$2:$J$2649,X$1)</f>
        <v>0</v>
      </c>
      <c r="Y88" s="144">
        <f>SUMIFS('февраль 2026'!$G$2:$G$2649,'февраль 2026'!$D$2:$D$2649,$B88,'февраль 2026'!$J$2:$J$2649,Y$1)</f>
        <v>0</v>
      </c>
      <c r="Z88" s="144">
        <f>SUMIFS('февраль 2026'!$G$2:$G$2649,'февраль 2026'!$D$2:$D$2649,$B88,'февраль 2026'!$J$2:$J$2649,Z$1)</f>
        <v>0</v>
      </c>
      <c r="AA88" s="144">
        <f>SUMIFS('февраль 2026'!$G$2:$G$2649,'февраль 2026'!$D$2:$D$2649,$B88,'февраль 2026'!$J$2:$J$2649,AA$1)</f>
        <v>0</v>
      </c>
      <c r="AB88" s="144">
        <f>SUMIFS('февраль 2026'!$G$2:$G$2649,'февраль 2026'!$D$2:$D$2649,$B88,'февраль 2026'!$J$2:$J$2649,AB$1)</f>
        <v>0</v>
      </c>
      <c r="AC88" s="144">
        <f>SUMIFS('февраль 2026'!$G$2:$G$2649,'февраль 2026'!$D$2:$D$2649,$B88,'февраль 2026'!$J$2:$J$2649,AC$1)</f>
        <v>0</v>
      </c>
      <c r="AD88" s="144">
        <f>SUMIFS('февраль 2026'!$G$2:$G$2649,'февраль 2026'!$D$2:$D$2649,$B88,'февраль 2026'!$J$2:$J$2649,AD$1)</f>
        <v>0</v>
      </c>
      <c r="AE88" s="144">
        <f>SUMIFS('февраль 2026'!$G$2:$G$2649,'февраль 2026'!$D$2:$D$2649,$B88,'февраль 2026'!$J$2:$J$2649,AE$1)</f>
        <v>0</v>
      </c>
      <c r="AF88" s="144">
        <f>SUMIFS('февраль 2026'!$G$2:$G$2649,'февраль 2026'!$D$2:$D$2649,$B88,'февраль 2026'!$J$2:$J$2649,AF$1)</f>
        <v>0</v>
      </c>
      <c r="AG88" s="144">
        <f>SUMIFS('февраль 2026'!$G$2:$G$2649,'февраль 2026'!$D$2:$D$2649,$B88,'февраль 2026'!$J$2:$J$2649,AG$1)</f>
        <v>0</v>
      </c>
      <c r="AH88" s="144">
        <f>SUMIFS('февраль 2026'!$G$2:$G$2649,'февраль 2026'!$D$2:$D$2649,$B88,'февраль 2026'!$J$2:$J$2649,AH$1)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SUMIFS('февраль 2026'!$G$2:$G$2649,'февраль 2026'!$D$2:$D$2649,$B89,'февраль 2026'!$J$2:$J$2649,D$1)</f>
        <v>0</v>
      </c>
      <c r="E89" s="144">
        <f>SUMIFS('февраль 2026'!$G$2:$G$2649,'февраль 2026'!$D$2:$D$2649,$B89,'февраль 2026'!$J$2:$J$2649,E$1)</f>
        <v>0</v>
      </c>
      <c r="F89" s="144">
        <f>SUMIFS('февраль 2026'!$G$2:$G$2649,'февраль 2026'!$D$2:$D$2649,$B89,'февраль 2026'!$J$2:$J$2649,F$1)</f>
        <v>0</v>
      </c>
      <c r="G89" s="144">
        <f>SUMIFS('февраль 2026'!$G$2:$G$2649,'февраль 2026'!$D$2:$D$2649,$B89,'февраль 2026'!$J$2:$J$2649,G$1)</f>
        <v>0</v>
      </c>
      <c r="H89" s="144">
        <f>SUMIFS('февраль 2026'!$G$2:$G$2649,'февраль 2026'!$D$2:$D$2649,$B89,'февраль 2026'!$J$2:$J$2649,H$1)</f>
        <v>0</v>
      </c>
      <c r="I89" s="144">
        <f>SUMIFS('февраль 2026'!$G$2:$G$2649,'февраль 2026'!$D$2:$D$2649,$B89,'февраль 2026'!$J$2:$J$2649,I$1)</f>
        <v>0</v>
      </c>
      <c r="J89" s="144">
        <f>SUMIFS('февраль 2026'!$G$2:$G$2649,'февраль 2026'!$D$2:$D$2649,$B89,'февраль 2026'!$J$2:$J$2649,J$1)</f>
        <v>0</v>
      </c>
      <c r="K89" s="144">
        <f>SUMIFS('февраль 2026'!$G$2:$G$2649,'февраль 2026'!$D$2:$D$2649,$B89,'февраль 2026'!$J$2:$J$2649,K$1)</f>
        <v>0</v>
      </c>
      <c r="L89" s="144">
        <f>SUMIFS('февраль 2026'!$G$2:$G$2649,'февраль 2026'!$D$2:$D$2649,$B89,'февраль 2026'!$J$2:$J$2649,L$1)</f>
        <v>0</v>
      </c>
      <c r="M89" s="144">
        <f>SUMIFS('февраль 2026'!$G$2:$G$2649,'февраль 2026'!$D$2:$D$2649,$B89,'февраль 2026'!$J$2:$J$2649,M$1)</f>
        <v>0</v>
      </c>
      <c r="N89" s="144">
        <f>SUMIFS('февраль 2026'!$G$2:$G$2649,'февраль 2026'!$D$2:$D$2649,$B89,'февраль 2026'!$J$2:$J$2649,N$1)</f>
        <v>0</v>
      </c>
      <c r="O89" s="144">
        <f>SUMIFS('февраль 2026'!$G$2:$G$2649,'февраль 2026'!$D$2:$D$2649,$B89,'февраль 2026'!$J$2:$J$2649,O$1)</f>
        <v>0</v>
      </c>
      <c r="P89" s="144">
        <f>SUMIFS('февраль 2026'!$G$2:$G$2649,'февраль 2026'!$D$2:$D$2649,$B89,'февраль 2026'!$J$2:$J$2649,P$1)</f>
        <v>0</v>
      </c>
      <c r="Q89" s="144">
        <f>SUMIFS('февраль 2026'!$G$2:$G$2649,'февраль 2026'!$D$2:$D$2649,$B89,'февраль 2026'!$J$2:$J$2649,Q$1)</f>
        <v>0</v>
      </c>
      <c r="R89" s="144">
        <f>SUMIFS('февраль 2026'!$G$2:$G$2649,'февраль 2026'!$D$2:$D$2649,$B89,'февраль 2026'!$J$2:$J$2649,R$1)</f>
        <v>0</v>
      </c>
      <c r="S89" s="144">
        <f>SUMIFS('февраль 2026'!$G$2:$G$2649,'февраль 2026'!$D$2:$D$2649,$B89,'февраль 2026'!$J$2:$J$2649,S$1)</f>
        <v>0</v>
      </c>
      <c r="T89" s="144">
        <f>SUMIFS('февраль 2026'!$G$2:$G$2649,'февраль 2026'!$D$2:$D$2649,$B89,'февраль 2026'!$J$2:$J$2649,T$1)</f>
        <v>0</v>
      </c>
      <c r="U89" s="144">
        <f>SUMIFS('февраль 2026'!$G$2:$G$2649,'февраль 2026'!$D$2:$D$2649,$B89,'февраль 2026'!$J$2:$J$2649,U$1)</f>
        <v>0</v>
      </c>
      <c r="V89" s="144">
        <f>SUMIFS('февраль 2026'!$G$2:$G$2649,'февраль 2026'!$D$2:$D$2649,$B89,'февраль 2026'!$J$2:$J$2649,V$1)</f>
        <v>0</v>
      </c>
      <c r="W89" s="144">
        <f>SUMIFS('февраль 2026'!$G$2:$G$2649,'февраль 2026'!$D$2:$D$2649,$B89,'февраль 2026'!$J$2:$J$2649,W$1)</f>
        <v>0</v>
      </c>
      <c r="X89" s="144">
        <f>SUMIFS('февраль 2026'!$G$2:$G$2649,'февраль 2026'!$D$2:$D$2649,$B89,'февраль 2026'!$J$2:$J$2649,X$1)</f>
        <v>0</v>
      </c>
      <c r="Y89" s="144">
        <f>SUMIFS('февраль 2026'!$G$2:$G$2649,'февраль 2026'!$D$2:$D$2649,$B89,'февраль 2026'!$J$2:$J$2649,Y$1)</f>
        <v>0</v>
      </c>
      <c r="Z89" s="144">
        <f>SUMIFS('февраль 2026'!$G$2:$G$2649,'февраль 2026'!$D$2:$D$2649,$B89,'февраль 2026'!$J$2:$J$2649,Z$1)</f>
        <v>0</v>
      </c>
      <c r="AA89" s="144">
        <f>SUMIFS('февраль 2026'!$G$2:$G$2649,'февраль 2026'!$D$2:$D$2649,$B89,'февраль 2026'!$J$2:$J$2649,AA$1)</f>
        <v>0</v>
      </c>
      <c r="AB89" s="144">
        <f>SUMIFS('февраль 2026'!$G$2:$G$2649,'февраль 2026'!$D$2:$D$2649,$B89,'февраль 2026'!$J$2:$J$2649,AB$1)</f>
        <v>0</v>
      </c>
      <c r="AC89" s="144">
        <f>SUMIFS('февраль 2026'!$G$2:$G$2649,'февраль 2026'!$D$2:$D$2649,$B89,'февраль 2026'!$J$2:$J$2649,AC$1)</f>
        <v>0</v>
      </c>
      <c r="AD89" s="144">
        <f>SUMIFS('февраль 2026'!$G$2:$G$2649,'февраль 2026'!$D$2:$D$2649,$B89,'февраль 2026'!$J$2:$J$2649,AD$1)</f>
        <v>0</v>
      </c>
      <c r="AE89" s="144">
        <f>SUMIFS('февраль 2026'!$G$2:$G$2649,'февраль 2026'!$D$2:$D$2649,$B89,'февраль 2026'!$J$2:$J$2649,AE$1)</f>
        <v>0</v>
      </c>
      <c r="AF89" s="144">
        <f>SUMIFS('февраль 2026'!$G$2:$G$2649,'февраль 2026'!$D$2:$D$2649,$B89,'февраль 2026'!$J$2:$J$2649,AF$1)</f>
        <v>0</v>
      </c>
      <c r="AG89" s="144">
        <f>SUMIFS('февраль 2026'!$G$2:$G$2649,'февраль 2026'!$D$2:$D$2649,$B89,'февраль 2026'!$J$2:$J$2649,AG$1)</f>
        <v>0</v>
      </c>
      <c r="AH89" s="144">
        <f>SUMIFS('февраль 2026'!$G$2:$G$2649,'февраль 2026'!$D$2:$D$2649,$B89,'февраль 2026'!$J$2:$J$2649,AH$1)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SUMIFS('февраль 2026'!$G$2:$G$2649,'февраль 2026'!$D$2:$D$2649,$B90,'февраль 2026'!$J$2:$J$2649,D$1)</f>
        <v>0</v>
      </c>
      <c r="E90" s="144">
        <f>SUMIFS('февраль 2026'!$G$2:$G$2649,'февраль 2026'!$D$2:$D$2649,$B90,'февраль 2026'!$J$2:$J$2649,E$1)</f>
        <v>48</v>
      </c>
      <c r="F90" s="144">
        <f>SUMIFS('февраль 2026'!$G$2:$G$2649,'февраль 2026'!$D$2:$D$2649,$B90,'февраль 2026'!$J$2:$J$2649,F$1)</f>
        <v>0</v>
      </c>
      <c r="G90" s="144">
        <f>SUMIFS('февраль 2026'!$G$2:$G$2649,'февраль 2026'!$D$2:$D$2649,$B90,'февраль 2026'!$J$2:$J$2649,G$1)</f>
        <v>0</v>
      </c>
      <c r="H90" s="144">
        <f>SUMIFS('февраль 2026'!$G$2:$G$2649,'февраль 2026'!$D$2:$D$2649,$B90,'февраль 2026'!$J$2:$J$2649,H$1)</f>
        <v>0</v>
      </c>
      <c r="I90" s="144">
        <f>SUMIFS('февраль 2026'!$G$2:$G$2649,'февраль 2026'!$D$2:$D$2649,$B90,'февраль 2026'!$J$2:$J$2649,I$1)</f>
        <v>76</v>
      </c>
      <c r="J90" s="144">
        <f>SUMIFS('февраль 2026'!$G$2:$G$2649,'февраль 2026'!$D$2:$D$2649,$B90,'февраль 2026'!$J$2:$J$2649,J$1)</f>
        <v>0</v>
      </c>
      <c r="K90" s="144">
        <f>SUMIFS('февраль 2026'!$G$2:$G$2649,'февраль 2026'!$D$2:$D$2649,$B90,'февраль 2026'!$J$2:$J$2649,K$1)</f>
        <v>0</v>
      </c>
      <c r="L90" s="144">
        <f>SUMIFS('февраль 2026'!$G$2:$G$2649,'февраль 2026'!$D$2:$D$2649,$B90,'февраль 2026'!$J$2:$J$2649,L$1)</f>
        <v>0</v>
      </c>
      <c r="M90" s="144">
        <f>SUMIFS('февраль 2026'!$G$2:$G$2649,'февраль 2026'!$D$2:$D$2649,$B90,'февраль 2026'!$J$2:$J$2649,M$1)</f>
        <v>0</v>
      </c>
      <c r="N90" s="144">
        <f>SUMIFS('февраль 2026'!$G$2:$G$2649,'февраль 2026'!$D$2:$D$2649,$B90,'февраль 2026'!$J$2:$J$2649,N$1)</f>
        <v>0</v>
      </c>
      <c r="O90" s="144">
        <f>SUMIFS('февраль 2026'!$G$2:$G$2649,'февраль 2026'!$D$2:$D$2649,$B90,'февраль 2026'!$J$2:$J$2649,O$1)</f>
        <v>0</v>
      </c>
      <c r="P90" s="144">
        <f>SUMIFS('февраль 2026'!$G$2:$G$2649,'февраль 2026'!$D$2:$D$2649,$B90,'февраль 2026'!$J$2:$J$2649,P$1)</f>
        <v>10</v>
      </c>
      <c r="Q90" s="144">
        <f>SUMIFS('февраль 2026'!$G$2:$G$2649,'февраль 2026'!$D$2:$D$2649,$B90,'февраль 2026'!$J$2:$J$2649,Q$1)</f>
        <v>0</v>
      </c>
      <c r="R90" s="144">
        <f>SUMIFS('февраль 2026'!$G$2:$G$2649,'февраль 2026'!$D$2:$D$2649,$B90,'февраль 2026'!$J$2:$J$2649,R$1)</f>
        <v>0</v>
      </c>
      <c r="S90" s="144">
        <f>SUMIFS('февраль 2026'!$G$2:$G$2649,'февраль 2026'!$D$2:$D$2649,$B90,'февраль 2026'!$J$2:$J$2649,S$1)</f>
        <v>0</v>
      </c>
      <c r="T90" s="144">
        <f>SUMIFS('февраль 2026'!$G$2:$G$2649,'февраль 2026'!$D$2:$D$2649,$B90,'февраль 2026'!$J$2:$J$2649,T$1)</f>
        <v>0</v>
      </c>
      <c r="U90" s="144">
        <f>SUMIFS('февраль 2026'!$G$2:$G$2649,'февраль 2026'!$D$2:$D$2649,$B90,'февраль 2026'!$J$2:$J$2649,U$1)</f>
        <v>0</v>
      </c>
      <c r="V90" s="144">
        <f>SUMIFS('февраль 2026'!$G$2:$G$2649,'февраль 2026'!$D$2:$D$2649,$B90,'февраль 2026'!$J$2:$J$2649,V$1)</f>
        <v>0</v>
      </c>
      <c r="W90" s="144">
        <f>SUMIFS('февраль 2026'!$G$2:$G$2649,'февраль 2026'!$D$2:$D$2649,$B90,'февраль 2026'!$J$2:$J$2649,W$1)</f>
        <v>48</v>
      </c>
      <c r="X90" s="144">
        <f>SUMIFS('февраль 2026'!$G$2:$G$2649,'февраль 2026'!$D$2:$D$2649,$B90,'февраль 2026'!$J$2:$J$2649,X$1)</f>
        <v>0</v>
      </c>
      <c r="Y90" s="144">
        <f>SUMIFS('февраль 2026'!$G$2:$G$2649,'февраль 2026'!$D$2:$D$2649,$B90,'февраль 2026'!$J$2:$J$2649,Y$1)</f>
        <v>0</v>
      </c>
      <c r="Z90" s="144">
        <f>SUMIFS('февраль 2026'!$G$2:$G$2649,'февраль 2026'!$D$2:$D$2649,$B90,'февраль 2026'!$J$2:$J$2649,Z$1)</f>
        <v>0</v>
      </c>
      <c r="AA90" s="144">
        <f>SUMIFS('февраль 2026'!$G$2:$G$2649,'февраль 2026'!$D$2:$D$2649,$B90,'февраль 2026'!$J$2:$J$2649,AA$1)</f>
        <v>0</v>
      </c>
      <c r="AB90" s="144">
        <f>SUMIFS('февраль 2026'!$G$2:$G$2649,'февраль 2026'!$D$2:$D$2649,$B90,'февраль 2026'!$J$2:$J$2649,AB$1)</f>
        <v>0</v>
      </c>
      <c r="AC90" s="144">
        <f>SUMIFS('февраль 2026'!$G$2:$G$2649,'февраль 2026'!$D$2:$D$2649,$B90,'февраль 2026'!$J$2:$J$2649,AC$1)</f>
        <v>0</v>
      </c>
      <c r="AD90" s="144">
        <f>SUMIFS('февраль 2026'!$G$2:$G$2649,'февраль 2026'!$D$2:$D$2649,$B90,'февраль 2026'!$J$2:$J$2649,AD$1)</f>
        <v>32</v>
      </c>
      <c r="AE90" s="144">
        <f>SUMIFS('февраль 2026'!$G$2:$G$2649,'февраль 2026'!$D$2:$D$2649,$B90,'февраль 2026'!$J$2:$J$2649,AE$1)</f>
        <v>0</v>
      </c>
      <c r="AF90" s="144">
        <f>SUMIFS('февраль 2026'!$G$2:$G$2649,'февраль 2026'!$D$2:$D$2649,$B90,'февраль 2026'!$J$2:$J$2649,AF$1)</f>
        <v>0</v>
      </c>
      <c r="AG90" s="144">
        <f>SUMIFS('февраль 2026'!$G$2:$G$2649,'февраль 2026'!$D$2:$D$2649,$B90,'февраль 2026'!$J$2:$J$2649,AG$1)</f>
        <v>0</v>
      </c>
      <c r="AH90" s="144">
        <f>SUMIFS('февраль 2026'!$G$2:$G$2649,'февраль 2026'!$D$2:$D$2649,$B90,'февраль 2026'!$J$2:$J$2649,AH$1)</f>
        <v>0</v>
      </c>
      <c r="AI90" s="20">
        <f t="shared" si="1"/>
        <v>214</v>
      </c>
    </row>
    <row r="91" spans="2:35" ht="15" customHeight="1" x14ac:dyDescent="0.25">
      <c r="B91" s="85" t="s">
        <v>346</v>
      </c>
      <c r="C91" s="83">
        <v>215.5</v>
      </c>
      <c r="D91" s="144">
        <f>SUMIFS('февраль 2026'!$G$2:$G$2649,'февраль 2026'!$D$2:$D$2649,$B91,'февраль 2026'!$J$2:$J$2649,D$1)</f>
        <v>0</v>
      </c>
      <c r="E91" s="144">
        <f>SUMIFS('февраль 2026'!$G$2:$G$2649,'февраль 2026'!$D$2:$D$2649,$B91,'февраль 2026'!$J$2:$J$2649,E$1)</f>
        <v>0</v>
      </c>
      <c r="F91" s="144">
        <f>SUMIFS('февраль 2026'!$G$2:$G$2649,'февраль 2026'!$D$2:$D$2649,$B91,'февраль 2026'!$J$2:$J$2649,F$1)</f>
        <v>0</v>
      </c>
      <c r="G91" s="144">
        <f>SUMIFS('февраль 2026'!$G$2:$G$2649,'февраль 2026'!$D$2:$D$2649,$B91,'февраль 2026'!$J$2:$J$2649,G$1)</f>
        <v>0</v>
      </c>
      <c r="H91" s="144">
        <f>SUMIFS('февраль 2026'!$G$2:$G$2649,'февраль 2026'!$D$2:$D$2649,$B91,'февраль 2026'!$J$2:$J$2649,H$1)</f>
        <v>0</v>
      </c>
      <c r="I91" s="144">
        <f>SUMIFS('февраль 2026'!$G$2:$G$2649,'февраль 2026'!$D$2:$D$2649,$B91,'февраль 2026'!$J$2:$J$2649,I$1)</f>
        <v>0</v>
      </c>
      <c r="J91" s="144">
        <f>SUMIFS('февраль 2026'!$G$2:$G$2649,'февраль 2026'!$D$2:$D$2649,$B91,'февраль 2026'!$J$2:$J$2649,J$1)</f>
        <v>0</v>
      </c>
      <c r="K91" s="144">
        <f>SUMIFS('февраль 2026'!$G$2:$G$2649,'февраль 2026'!$D$2:$D$2649,$B91,'февраль 2026'!$J$2:$J$2649,K$1)</f>
        <v>0</v>
      </c>
      <c r="L91" s="144">
        <f>SUMIFS('февраль 2026'!$G$2:$G$2649,'февраль 2026'!$D$2:$D$2649,$B91,'февраль 2026'!$J$2:$J$2649,L$1)</f>
        <v>0</v>
      </c>
      <c r="M91" s="144">
        <f>SUMIFS('февраль 2026'!$G$2:$G$2649,'февраль 2026'!$D$2:$D$2649,$B91,'февраль 2026'!$J$2:$J$2649,M$1)</f>
        <v>0</v>
      </c>
      <c r="N91" s="144">
        <f>SUMIFS('февраль 2026'!$G$2:$G$2649,'февраль 2026'!$D$2:$D$2649,$B91,'февраль 2026'!$J$2:$J$2649,N$1)</f>
        <v>0</v>
      </c>
      <c r="O91" s="144">
        <f>SUMIFS('февраль 2026'!$G$2:$G$2649,'февраль 2026'!$D$2:$D$2649,$B91,'февраль 2026'!$J$2:$J$2649,O$1)</f>
        <v>0</v>
      </c>
      <c r="P91" s="144">
        <f>SUMIFS('февраль 2026'!$G$2:$G$2649,'февраль 2026'!$D$2:$D$2649,$B91,'февраль 2026'!$J$2:$J$2649,P$1)</f>
        <v>0</v>
      </c>
      <c r="Q91" s="144">
        <f>SUMIFS('февраль 2026'!$G$2:$G$2649,'февраль 2026'!$D$2:$D$2649,$B91,'февраль 2026'!$J$2:$J$2649,Q$1)</f>
        <v>0</v>
      </c>
      <c r="R91" s="144">
        <f>SUMIFS('февраль 2026'!$G$2:$G$2649,'февраль 2026'!$D$2:$D$2649,$B91,'февраль 2026'!$J$2:$J$2649,R$1)</f>
        <v>0</v>
      </c>
      <c r="S91" s="144">
        <f>SUMIFS('февраль 2026'!$G$2:$G$2649,'февраль 2026'!$D$2:$D$2649,$B91,'февраль 2026'!$J$2:$J$2649,S$1)</f>
        <v>0</v>
      </c>
      <c r="T91" s="144">
        <f>SUMIFS('февраль 2026'!$G$2:$G$2649,'февраль 2026'!$D$2:$D$2649,$B91,'февраль 2026'!$J$2:$J$2649,T$1)</f>
        <v>0</v>
      </c>
      <c r="U91" s="144">
        <f>SUMIFS('февраль 2026'!$G$2:$G$2649,'февраль 2026'!$D$2:$D$2649,$B91,'февраль 2026'!$J$2:$J$2649,U$1)</f>
        <v>0</v>
      </c>
      <c r="V91" s="144">
        <f>SUMIFS('февраль 2026'!$G$2:$G$2649,'февраль 2026'!$D$2:$D$2649,$B91,'февраль 2026'!$J$2:$J$2649,V$1)</f>
        <v>0</v>
      </c>
      <c r="W91" s="144">
        <f>SUMIFS('февраль 2026'!$G$2:$G$2649,'февраль 2026'!$D$2:$D$2649,$B91,'февраль 2026'!$J$2:$J$2649,W$1)</f>
        <v>0</v>
      </c>
      <c r="X91" s="144">
        <f>SUMIFS('февраль 2026'!$G$2:$G$2649,'февраль 2026'!$D$2:$D$2649,$B91,'февраль 2026'!$J$2:$J$2649,X$1)</f>
        <v>0</v>
      </c>
      <c r="Y91" s="144">
        <f>SUMIFS('февраль 2026'!$G$2:$G$2649,'февраль 2026'!$D$2:$D$2649,$B91,'февраль 2026'!$J$2:$J$2649,Y$1)</f>
        <v>0</v>
      </c>
      <c r="Z91" s="144">
        <f>SUMIFS('февраль 2026'!$G$2:$G$2649,'февраль 2026'!$D$2:$D$2649,$B91,'февраль 2026'!$J$2:$J$2649,Z$1)</f>
        <v>0</v>
      </c>
      <c r="AA91" s="144">
        <f>SUMIFS('февраль 2026'!$G$2:$G$2649,'февраль 2026'!$D$2:$D$2649,$B91,'февраль 2026'!$J$2:$J$2649,AA$1)</f>
        <v>0</v>
      </c>
      <c r="AB91" s="144">
        <f>SUMIFS('февраль 2026'!$G$2:$G$2649,'февраль 2026'!$D$2:$D$2649,$B91,'февраль 2026'!$J$2:$J$2649,AB$1)</f>
        <v>0</v>
      </c>
      <c r="AC91" s="144">
        <f>SUMIFS('февраль 2026'!$G$2:$G$2649,'февраль 2026'!$D$2:$D$2649,$B91,'февраль 2026'!$J$2:$J$2649,AC$1)</f>
        <v>0</v>
      </c>
      <c r="AD91" s="144">
        <f>SUMIFS('февраль 2026'!$G$2:$G$2649,'февраль 2026'!$D$2:$D$2649,$B91,'февраль 2026'!$J$2:$J$2649,AD$1)</f>
        <v>0</v>
      </c>
      <c r="AE91" s="144">
        <f>SUMIFS('февраль 2026'!$G$2:$G$2649,'февраль 2026'!$D$2:$D$2649,$B91,'февраль 2026'!$J$2:$J$2649,AE$1)</f>
        <v>0</v>
      </c>
      <c r="AF91" s="144">
        <f>SUMIFS('февраль 2026'!$G$2:$G$2649,'февраль 2026'!$D$2:$D$2649,$B91,'февраль 2026'!$J$2:$J$2649,AF$1)</f>
        <v>0</v>
      </c>
      <c r="AG91" s="144">
        <f>SUMIFS('февраль 2026'!$G$2:$G$2649,'февраль 2026'!$D$2:$D$2649,$B91,'февраль 2026'!$J$2:$J$2649,AG$1)</f>
        <v>0</v>
      </c>
      <c r="AH91" s="144">
        <f>SUMIFS('февраль 2026'!$G$2:$G$2649,'февраль 2026'!$D$2:$D$2649,$B91,'февраль 2026'!$J$2:$J$2649,AH$1)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SUMIFS('февраль 2026'!$G$2:$G$2649,'февраль 2026'!$D$2:$D$2649,$B92,'февраль 2026'!$J$2:$J$2649,D$1)</f>
        <v>0</v>
      </c>
      <c r="E92" s="144">
        <f>SUMIFS('февраль 2026'!$G$2:$G$2649,'февраль 2026'!$D$2:$D$2649,$B92,'февраль 2026'!$J$2:$J$2649,E$1)</f>
        <v>0</v>
      </c>
      <c r="F92" s="144">
        <f>SUMIFS('февраль 2026'!$G$2:$G$2649,'февраль 2026'!$D$2:$D$2649,$B92,'февраль 2026'!$J$2:$J$2649,F$1)</f>
        <v>0</v>
      </c>
      <c r="G92" s="144">
        <f>SUMIFS('февраль 2026'!$G$2:$G$2649,'февраль 2026'!$D$2:$D$2649,$B92,'февраль 2026'!$J$2:$J$2649,G$1)</f>
        <v>0</v>
      </c>
      <c r="H92" s="144">
        <f>SUMIFS('февраль 2026'!$G$2:$G$2649,'февраль 2026'!$D$2:$D$2649,$B92,'февраль 2026'!$J$2:$J$2649,H$1)</f>
        <v>0</v>
      </c>
      <c r="I92" s="144">
        <f>SUMIFS('февраль 2026'!$G$2:$G$2649,'февраль 2026'!$D$2:$D$2649,$B92,'февраль 2026'!$J$2:$J$2649,I$1)</f>
        <v>0</v>
      </c>
      <c r="J92" s="144">
        <f>SUMIFS('февраль 2026'!$G$2:$G$2649,'февраль 2026'!$D$2:$D$2649,$B92,'февраль 2026'!$J$2:$J$2649,J$1)</f>
        <v>0</v>
      </c>
      <c r="K92" s="144">
        <f>SUMIFS('февраль 2026'!$G$2:$G$2649,'февраль 2026'!$D$2:$D$2649,$B92,'февраль 2026'!$J$2:$J$2649,K$1)</f>
        <v>0</v>
      </c>
      <c r="L92" s="144">
        <f>SUMIFS('февраль 2026'!$G$2:$G$2649,'февраль 2026'!$D$2:$D$2649,$B92,'февраль 2026'!$J$2:$J$2649,L$1)</f>
        <v>0</v>
      </c>
      <c r="M92" s="144">
        <f>SUMIFS('февраль 2026'!$G$2:$G$2649,'февраль 2026'!$D$2:$D$2649,$B92,'февраль 2026'!$J$2:$J$2649,M$1)</f>
        <v>0</v>
      </c>
      <c r="N92" s="144">
        <f>SUMIFS('февраль 2026'!$G$2:$G$2649,'февраль 2026'!$D$2:$D$2649,$B92,'февраль 2026'!$J$2:$J$2649,N$1)</f>
        <v>0</v>
      </c>
      <c r="O92" s="144">
        <f>SUMIFS('февраль 2026'!$G$2:$G$2649,'февраль 2026'!$D$2:$D$2649,$B92,'февраль 2026'!$J$2:$J$2649,O$1)</f>
        <v>0</v>
      </c>
      <c r="P92" s="144">
        <f>SUMIFS('февраль 2026'!$G$2:$G$2649,'февраль 2026'!$D$2:$D$2649,$B92,'февраль 2026'!$J$2:$J$2649,P$1)</f>
        <v>0</v>
      </c>
      <c r="Q92" s="144">
        <f>SUMIFS('февраль 2026'!$G$2:$G$2649,'февраль 2026'!$D$2:$D$2649,$B92,'февраль 2026'!$J$2:$J$2649,Q$1)</f>
        <v>0</v>
      </c>
      <c r="R92" s="144">
        <f>SUMIFS('февраль 2026'!$G$2:$G$2649,'февраль 2026'!$D$2:$D$2649,$B92,'февраль 2026'!$J$2:$J$2649,R$1)</f>
        <v>0</v>
      </c>
      <c r="S92" s="144">
        <f>SUMIFS('февраль 2026'!$G$2:$G$2649,'февраль 2026'!$D$2:$D$2649,$B92,'февраль 2026'!$J$2:$J$2649,S$1)</f>
        <v>0</v>
      </c>
      <c r="T92" s="144">
        <f>SUMIFS('февраль 2026'!$G$2:$G$2649,'февраль 2026'!$D$2:$D$2649,$B92,'февраль 2026'!$J$2:$J$2649,T$1)</f>
        <v>0</v>
      </c>
      <c r="U92" s="144">
        <f>SUMIFS('февраль 2026'!$G$2:$G$2649,'февраль 2026'!$D$2:$D$2649,$B92,'февраль 2026'!$J$2:$J$2649,U$1)</f>
        <v>0</v>
      </c>
      <c r="V92" s="144">
        <f>SUMIFS('февраль 2026'!$G$2:$G$2649,'февраль 2026'!$D$2:$D$2649,$B92,'февраль 2026'!$J$2:$J$2649,V$1)</f>
        <v>0</v>
      </c>
      <c r="W92" s="144">
        <f>SUMIFS('февраль 2026'!$G$2:$G$2649,'февраль 2026'!$D$2:$D$2649,$B92,'февраль 2026'!$J$2:$J$2649,W$1)</f>
        <v>0</v>
      </c>
      <c r="X92" s="144">
        <f>SUMIFS('февраль 2026'!$G$2:$G$2649,'февраль 2026'!$D$2:$D$2649,$B92,'февраль 2026'!$J$2:$J$2649,X$1)</f>
        <v>0</v>
      </c>
      <c r="Y92" s="144">
        <f>SUMIFS('февраль 2026'!$G$2:$G$2649,'февраль 2026'!$D$2:$D$2649,$B92,'февраль 2026'!$J$2:$J$2649,Y$1)</f>
        <v>0</v>
      </c>
      <c r="Z92" s="144">
        <f>SUMIFS('февраль 2026'!$G$2:$G$2649,'февраль 2026'!$D$2:$D$2649,$B92,'февраль 2026'!$J$2:$J$2649,Z$1)</f>
        <v>0</v>
      </c>
      <c r="AA92" s="144">
        <f>SUMIFS('февраль 2026'!$G$2:$G$2649,'февраль 2026'!$D$2:$D$2649,$B92,'февраль 2026'!$J$2:$J$2649,AA$1)</f>
        <v>0</v>
      </c>
      <c r="AB92" s="144">
        <f>SUMIFS('февраль 2026'!$G$2:$G$2649,'февраль 2026'!$D$2:$D$2649,$B92,'февраль 2026'!$J$2:$J$2649,AB$1)</f>
        <v>0</v>
      </c>
      <c r="AC92" s="144">
        <f>SUMIFS('февраль 2026'!$G$2:$G$2649,'февраль 2026'!$D$2:$D$2649,$B92,'февраль 2026'!$J$2:$J$2649,AC$1)</f>
        <v>0</v>
      </c>
      <c r="AD92" s="144">
        <f>SUMIFS('февраль 2026'!$G$2:$G$2649,'февраль 2026'!$D$2:$D$2649,$B92,'февраль 2026'!$J$2:$J$2649,AD$1)</f>
        <v>0</v>
      </c>
      <c r="AE92" s="144">
        <f>SUMIFS('февраль 2026'!$G$2:$G$2649,'февраль 2026'!$D$2:$D$2649,$B92,'февраль 2026'!$J$2:$J$2649,AE$1)</f>
        <v>0</v>
      </c>
      <c r="AF92" s="144">
        <f>SUMIFS('февраль 2026'!$G$2:$G$2649,'февраль 2026'!$D$2:$D$2649,$B92,'февраль 2026'!$J$2:$J$2649,AF$1)</f>
        <v>0</v>
      </c>
      <c r="AG92" s="144">
        <f>SUMIFS('февраль 2026'!$G$2:$G$2649,'февраль 2026'!$D$2:$D$2649,$B92,'февраль 2026'!$J$2:$J$2649,AG$1)</f>
        <v>0</v>
      </c>
      <c r="AH92" s="144">
        <f>SUMIFS('февраль 2026'!$G$2:$G$2649,'февраль 2026'!$D$2:$D$2649,$B92,'февраль 2026'!$J$2:$J$2649,AH$1)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SUMIFS('февраль 2026'!$G$2:$G$2649,'февраль 2026'!$D$2:$D$2649,$B93,'февраль 2026'!$J$2:$J$2649,D$1)</f>
        <v>0</v>
      </c>
      <c r="E93" s="144">
        <f>SUMIFS('февраль 2026'!$G$2:$G$2649,'февраль 2026'!$D$2:$D$2649,$B93,'февраль 2026'!$J$2:$J$2649,E$1)</f>
        <v>0</v>
      </c>
      <c r="F93" s="144">
        <f>SUMIFS('февраль 2026'!$G$2:$G$2649,'февраль 2026'!$D$2:$D$2649,$B93,'февраль 2026'!$J$2:$J$2649,F$1)</f>
        <v>0</v>
      </c>
      <c r="G93" s="144">
        <f>SUMIFS('февраль 2026'!$G$2:$G$2649,'февраль 2026'!$D$2:$D$2649,$B93,'февраль 2026'!$J$2:$J$2649,G$1)</f>
        <v>0</v>
      </c>
      <c r="H93" s="144">
        <f>SUMIFS('февраль 2026'!$G$2:$G$2649,'февраль 2026'!$D$2:$D$2649,$B93,'февраль 2026'!$J$2:$J$2649,H$1)</f>
        <v>0</v>
      </c>
      <c r="I93" s="144">
        <f>SUMIFS('февраль 2026'!$G$2:$G$2649,'февраль 2026'!$D$2:$D$2649,$B93,'февраль 2026'!$J$2:$J$2649,I$1)</f>
        <v>0</v>
      </c>
      <c r="J93" s="144">
        <f>SUMIFS('февраль 2026'!$G$2:$G$2649,'февраль 2026'!$D$2:$D$2649,$B93,'февраль 2026'!$J$2:$J$2649,J$1)</f>
        <v>0</v>
      </c>
      <c r="K93" s="144">
        <f>SUMIFS('февраль 2026'!$G$2:$G$2649,'февраль 2026'!$D$2:$D$2649,$B93,'февраль 2026'!$J$2:$J$2649,K$1)</f>
        <v>0</v>
      </c>
      <c r="L93" s="144">
        <f>SUMIFS('февраль 2026'!$G$2:$G$2649,'февраль 2026'!$D$2:$D$2649,$B93,'февраль 2026'!$J$2:$J$2649,L$1)</f>
        <v>0</v>
      </c>
      <c r="M93" s="144">
        <f>SUMIFS('февраль 2026'!$G$2:$G$2649,'февраль 2026'!$D$2:$D$2649,$B93,'февраль 2026'!$J$2:$J$2649,M$1)</f>
        <v>0</v>
      </c>
      <c r="N93" s="144">
        <f>SUMIFS('февраль 2026'!$G$2:$G$2649,'февраль 2026'!$D$2:$D$2649,$B93,'февраль 2026'!$J$2:$J$2649,N$1)</f>
        <v>0</v>
      </c>
      <c r="O93" s="144">
        <f>SUMIFS('февраль 2026'!$G$2:$G$2649,'февраль 2026'!$D$2:$D$2649,$B93,'февраль 2026'!$J$2:$J$2649,O$1)</f>
        <v>0</v>
      </c>
      <c r="P93" s="144">
        <f>SUMIFS('февраль 2026'!$G$2:$G$2649,'февраль 2026'!$D$2:$D$2649,$B93,'февраль 2026'!$J$2:$J$2649,P$1)</f>
        <v>0</v>
      </c>
      <c r="Q93" s="144">
        <f>SUMIFS('февраль 2026'!$G$2:$G$2649,'февраль 2026'!$D$2:$D$2649,$B93,'февраль 2026'!$J$2:$J$2649,Q$1)</f>
        <v>0</v>
      </c>
      <c r="R93" s="144">
        <f>SUMIFS('февраль 2026'!$G$2:$G$2649,'февраль 2026'!$D$2:$D$2649,$B93,'февраль 2026'!$J$2:$J$2649,R$1)</f>
        <v>0</v>
      </c>
      <c r="S93" s="144">
        <f>SUMIFS('февраль 2026'!$G$2:$G$2649,'февраль 2026'!$D$2:$D$2649,$B93,'февраль 2026'!$J$2:$J$2649,S$1)</f>
        <v>0</v>
      </c>
      <c r="T93" s="144">
        <f>SUMIFS('февраль 2026'!$G$2:$G$2649,'февраль 2026'!$D$2:$D$2649,$B93,'февраль 2026'!$J$2:$J$2649,T$1)</f>
        <v>0</v>
      </c>
      <c r="U93" s="144">
        <f>SUMIFS('февраль 2026'!$G$2:$G$2649,'февраль 2026'!$D$2:$D$2649,$B93,'февраль 2026'!$J$2:$J$2649,U$1)</f>
        <v>0</v>
      </c>
      <c r="V93" s="144">
        <f>SUMIFS('февраль 2026'!$G$2:$G$2649,'февраль 2026'!$D$2:$D$2649,$B93,'февраль 2026'!$J$2:$J$2649,V$1)</f>
        <v>0</v>
      </c>
      <c r="W93" s="144">
        <f>SUMIFS('февраль 2026'!$G$2:$G$2649,'февраль 2026'!$D$2:$D$2649,$B93,'февраль 2026'!$J$2:$J$2649,W$1)</f>
        <v>0</v>
      </c>
      <c r="X93" s="144">
        <f>SUMIFS('февраль 2026'!$G$2:$G$2649,'февраль 2026'!$D$2:$D$2649,$B93,'февраль 2026'!$J$2:$J$2649,X$1)</f>
        <v>0</v>
      </c>
      <c r="Y93" s="144">
        <f>SUMIFS('февраль 2026'!$G$2:$G$2649,'февраль 2026'!$D$2:$D$2649,$B93,'февраль 2026'!$J$2:$J$2649,Y$1)</f>
        <v>0</v>
      </c>
      <c r="Z93" s="144">
        <f>SUMIFS('февраль 2026'!$G$2:$G$2649,'февраль 2026'!$D$2:$D$2649,$B93,'февраль 2026'!$J$2:$J$2649,Z$1)</f>
        <v>0</v>
      </c>
      <c r="AA93" s="144">
        <f>SUMIFS('февраль 2026'!$G$2:$G$2649,'февраль 2026'!$D$2:$D$2649,$B93,'февраль 2026'!$J$2:$J$2649,AA$1)</f>
        <v>0</v>
      </c>
      <c r="AB93" s="144">
        <f>SUMIFS('февраль 2026'!$G$2:$G$2649,'февраль 2026'!$D$2:$D$2649,$B93,'февраль 2026'!$J$2:$J$2649,AB$1)</f>
        <v>0</v>
      </c>
      <c r="AC93" s="144">
        <f>SUMIFS('февраль 2026'!$G$2:$G$2649,'февраль 2026'!$D$2:$D$2649,$B93,'февраль 2026'!$J$2:$J$2649,AC$1)</f>
        <v>0</v>
      </c>
      <c r="AD93" s="144">
        <f>SUMIFS('февраль 2026'!$G$2:$G$2649,'февраль 2026'!$D$2:$D$2649,$B93,'февраль 2026'!$J$2:$J$2649,AD$1)</f>
        <v>0</v>
      </c>
      <c r="AE93" s="144">
        <f>SUMIFS('февраль 2026'!$G$2:$G$2649,'февраль 2026'!$D$2:$D$2649,$B93,'февраль 2026'!$J$2:$J$2649,AE$1)</f>
        <v>0</v>
      </c>
      <c r="AF93" s="144">
        <f>SUMIFS('февраль 2026'!$G$2:$G$2649,'февраль 2026'!$D$2:$D$2649,$B93,'февраль 2026'!$J$2:$J$2649,AF$1)</f>
        <v>0</v>
      </c>
      <c r="AG93" s="144">
        <f>SUMIFS('февраль 2026'!$G$2:$G$2649,'февраль 2026'!$D$2:$D$2649,$B93,'февраль 2026'!$J$2:$J$2649,AG$1)</f>
        <v>0</v>
      </c>
      <c r="AH93" s="144">
        <f>SUMIFS('февраль 2026'!$G$2:$G$2649,'февраль 2026'!$D$2:$D$2649,$B93,'февраль 2026'!$J$2:$J$2649,AH$1)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SUMIFS('февраль 2026'!$G$2:$G$2649,'февраль 2026'!$D$2:$D$2649,$B94,'февраль 2026'!$J$2:$J$2649,D$1)</f>
        <v>0</v>
      </c>
      <c r="E94" s="144">
        <f>SUMIFS('февраль 2026'!$G$2:$G$2649,'февраль 2026'!$D$2:$D$2649,$B94,'февраль 2026'!$J$2:$J$2649,E$1)</f>
        <v>0</v>
      </c>
      <c r="F94" s="144">
        <f>SUMIFS('февраль 2026'!$G$2:$G$2649,'февраль 2026'!$D$2:$D$2649,$B94,'февраль 2026'!$J$2:$J$2649,F$1)</f>
        <v>0</v>
      </c>
      <c r="G94" s="144">
        <f>SUMIFS('февраль 2026'!$G$2:$G$2649,'февраль 2026'!$D$2:$D$2649,$B94,'февраль 2026'!$J$2:$J$2649,G$1)</f>
        <v>0</v>
      </c>
      <c r="H94" s="144">
        <f>SUMIFS('февраль 2026'!$G$2:$G$2649,'февраль 2026'!$D$2:$D$2649,$B94,'февраль 2026'!$J$2:$J$2649,H$1)</f>
        <v>0</v>
      </c>
      <c r="I94" s="144">
        <f>SUMIFS('февраль 2026'!$G$2:$G$2649,'февраль 2026'!$D$2:$D$2649,$B94,'февраль 2026'!$J$2:$J$2649,I$1)</f>
        <v>0</v>
      </c>
      <c r="J94" s="144">
        <f>SUMIFS('февраль 2026'!$G$2:$G$2649,'февраль 2026'!$D$2:$D$2649,$B94,'февраль 2026'!$J$2:$J$2649,J$1)</f>
        <v>0</v>
      </c>
      <c r="K94" s="144">
        <f>SUMIFS('февраль 2026'!$G$2:$G$2649,'февраль 2026'!$D$2:$D$2649,$B94,'февраль 2026'!$J$2:$J$2649,K$1)</f>
        <v>0</v>
      </c>
      <c r="L94" s="144">
        <f>SUMIFS('февраль 2026'!$G$2:$G$2649,'февраль 2026'!$D$2:$D$2649,$B94,'февраль 2026'!$J$2:$J$2649,L$1)</f>
        <v>0</v>
      </c>
      <c r="M94" s="144">
        <f>SUMIFS('февраль 2026'!$G$2:$G$2649,'февраль 2026'!$D$2:$D$2649,$B94,'февраль 2026'!$J$2:$J$2649,M$1)</f>
        <v>0</v>
      </c>
      <c r="N94" s="144">
        <f>SUMIFS('февраль 2026'!$G$2:$G$2649,'февраль 2026'!$D$2:$D$2649,$B94,'февраль 2026'!$J$2:$J$2649,N$1)</f>
        <v>0</v>
      </c>
      <c r="O94" s="144">
        <f>SUMIFS('февраль 2026'!$G$2:$G$2649,'февраль 2026'!$D$2:$D$2649,$B94,'февраль 2026'!$J$2:$J$2649,O$1)</f>
        <v>0</v>
      </c>
      <c r="P94" s="144">
        <f>SUMIFS('февраль 2026'!$G$2:$G$2649,'февраль 2026'!$D$2:$D$2649,$B94,'февраль 2026'!$J$2:$J$2649,P$1)</f>
        <v>0</v>
      </c>
      <c r="Q94" s="144">
        <f>SUMIFS('февраль 2026'!$G$2:$G$2649,'февраль 2026'!$D$2:$D$2649,$B94,'февраль 2026'!$J$2:$J$2649,Q$1)</f>
        <v>0</v>
      </c>
      <c r="R94" s="144">
        <f>SUMIFS('февраль 2026'!$G$2:$G$2649,'февраль 2026'!$D$2:$D$2649,$B94,'февраль 2026'!$J$2:$J$2649,R$1)</f>
        <v>0</v>
      </c>
      <c r="S94" s="144">
        <f>SUMIFS('февраль 2026'!$G$2:$G$2649,'февраль 2026'!$D$2:$D$2649,$B94,'февраль 2026'!$J$2:$J$2649,S$1)</f>
        <v>0</v>
      </c>
      <c r="T94" s="144">
        <f>SUMIFS('февраль 2026'!$G$2:$G$2649,'февраль 2026'!$D$2:$D$2649,$B94,'февраль 2026'!$J$2:$J$2649,T$1)</f>
        <v>0</v>
      </c>
      <c r="U94" s="144">
        <f>SUMIFS('февраль 2026'!$G$2:$G$2649,'февраль 2026'!$D$2:$D$2649,$B94,'февраль 2026'!$J$2:$J$2649,U$1)</f>
        <v>0</v>
      </c>
      <c r="V94" s="144">
        <f>SUMIFS('февраль 2026'!$G$2:$G$2649,'февраль 2026'!$D$2:$D$2649,$B94,'февраль 2026'!$J$2:$J$2649,V$1)</f>
        <v>0</v>
      </c>
      <c r="W94" s="144">
        <f>SUMIFS('февраль 2026'!$G$2:$G$2649,'февраль 2026'!$D$2:$D$2649,$B94,'февраль 2026'!$J$2:$J$2649,W$1)</f>
        <v>0</v>
      </c>
      <c r="X94" s="144">
        <f>SUMIFS('февраль 2026'!$G$2:$G$2649,'февраль 2026'!$D$2:$D$2649,$B94,'февраль 2026'!$J$2:$J$2649,X$1)</f>
        <v>0</v>
      </c>
      <c r="Y94" s="144">
        <f>SUMIFS('февраль 2026'!$G$2:$G$2649,'февраль 2026'!$D$2:$D$2649,$B94,'февраль 2026'!$J$2:$J$2649,Y$1)</f>
        <v>0</v>
      </c>
      <c r="Z94" s="144">
        <f>SUMIFS('февраль 2026'!$G$2:$G$2649,'февраль 2026'!$D$2:$D$2649,$B94,'февраль 2026'!$J$2:$J$2649,Z$1)</f>
        <v>0</v>
      </c>
      <c r="AA94" s="144">
        <f>SUMIFS('февраль 2026'!$G$2:$G$2649,'февраль 2026'!$D$2:$D$2649,$B94,'февраль 2026'!$J$2:$J$2649,AA$1)</f>
        <v>0</v>
      </c>
      <c r="AB94" s="144">
        <f>SUMIFS('февраль 2026'!$G$2:$G$2649,'февраль 2026'!$D$2:$D$2649,$B94,'февраль 2026'!$J$2:$J$2649,AB$1)</f>
        <v>0</v>
      </c>
      <c r="AC94" s="144">
        <f>SUMIFS('февраль 2026'!$G$2:$G$2649,'февраль 2026'!$D$2:$D$2649,$B94,'февраль 2026'!$J$2:$J$2649,AC$1)</f>
        <v>0</v>
      </c>
      <c r="AD94" s="144">
        <f>SUMIFS('февраль 2026'!$G$2:$G$2649,'февраль 2026'!$D$2:$D$2649,$B94,'февраль 2026'!$J$2:$J$2649,AD$1)</f>
        <v>0</v>
      </c>
      <c r="AE94" s="144">
        <f>SUMIFS('февраль 2026'!$G$2:$G$2649,'февраль 2026'!$D$2:$D$2649,$B94,'февраль 2026'!$J$2:$J$2649,AE$1)</f>
        <v>0</v>
      </c>
      <c r="AF94" s="144">
        <f>SUMIFS('февраль 2026'!$G$2:$G$2649,'февраль 2026'!$D$2:$D$2649,$B94,'февраль 2026'!$J$2:$J$2649,AF$1)</f>
        <v>0</v>
      </c>
      <c r="AG94" s="144">
        <f>SUMIFS('февраль 2026'!$G$2:$G$2649,'февраль 2026'!$D$2:$D$2649,$B94,'февраль 2026'!$J$2:$J$2649,AG$1)</f>
        <v>0</v>
      </c>
      <c r="AH94" s="144">
        <f>SUMIFS('февраль 2026'!$G$2:$G$2649,'февраль 2026'!$D$2:$D$2649,$B94,'февраль 2026'!$J$2:$J$2649,AH$1)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SUMIFS('февраль 2026'!$G$2:$G$2649,'февраль 2026'!$D$2:$D$2649,$B95,'февраль 2026'!$J$2:$J$2649,D$1)</f>
        <v>0</v>
      </c>
      <c r="E95" s="144">
        <f>SUMIFS('февраль 2026'!$G$2:$G$2649,'февраль 2026'!$D$2:$D$2649,$B95,'февраль 2026'!$J$2:$J$2649,E$1)</f>
        <v>0</v>
      </c>
      <c r="F95" s="144">
        <f>SUMIFS('февраль 2026'!$G$2:$G$2649,'февраль 2026'!$D$2:$D$2649,$B95,'февраль 2026'!$J$2:$J$2649,F$1)</f>
        <v>0</v>
      </c>
      <c r="G95" s="144">
        <f>SUMIFS('февраль 2026'!$G$2:$G$2649,'февраль 2026'!$D$2:$D$2649,$B95,'февраль 2026'!$J$2:$J$2649,G$1)</f>
        <v>0</v>
      </c>
      <c r="H95" s="144">
        <f>SUMIFS('февраль 2026'!$G$2:$G$2649,'февраль 2026'!$D$2:$D$2649,$B95,'февраль 2026'!$J$2:$J$2649,H$1)</f>
        <v>0</v>
      </c>
      <c r="I95" s="144">
        <f>SUMIFS('февраль 2026'!$G$2:$G$2649,'февраль 2026'!$D$2:$D$2649,$B95,'февраль 2026'!$J$2:$J$2649,I$1)</f>
        <v>0</v>
      </c>
      <c r="J95" s="144">
        <f>SUMIFS('февраль 2026'!$G$2:$G$2649,'февраль 2026'!$D$2:$D$2649,$B95,'февраль 2026'!$J$2:$J$2649,J$1)</f>
        <v>0</v>
      </c>
      <c r="K95" s="144">
        <f>SUMIFS('февраль 2026'!$G$2:$G$2649,'февраль 2026'!$D$2:$D$2649,$B95,'февраль 2026'!$J$2:$J$2649,K$1)</f>
        <v>0</v>
      </c>
      <c r="L95" s="144">
        <f>SUMIFS('февраль 2026'!$G$2:$G$2649,'февраль 2026'!$D$2:$D$2649,$B95,'февраль 2026'!$J$2:$J$2649,L$1)</f>
        <v>0</v>
      </c>
      <c r="M95" s="144">
        <f>SUMIFS('февраль 2026'!$G$2:$G$2649,'февраль 2026'!$D$2:$D$2649,$B95,'февраль 2026'!$J$2:$J$2649,M$1)</f>
        <v>0</v>
      </c>
      <c r="N95" s="144">
        <f>SUMIFS('февраль 2026'!$G$2:$G$2649,'февраль 2026'!$D$2:$D$2649,$B95,'февраль 2026'!$J$2:$J$2649,N$1)</f>
        <v>0</v>
      </c>
      <c r="O95" s="144">
        <f>SUMIFS('февраль 2026'!$G$2:$G$2649,'февраль 2026'!$D$2:$D$2649,$B95,'февраль 2026'!$J$2:$J$2649,O$1)</f>
        <v>0</v>
      </c>
      <c r="P95" s="144">
        <f>SUMIFS('февраль 2026'!$G$2:$G$2649,'февраль 2026'!$D$2:$D$2649,$B95,'февраль 2026'!$J$2:$J$2649,P$1)</f>
        <v>0</v>
      </c>
      <c r="Q95" s="144">
        <f>SUMIFS('февраль 2026'!$G$2:$G$2649,'февраль 2026'!$D$2:$D$2649,$B95,'февраль 2026'!$J$2:$J$2649,Q$1)</f>
        <v>0</v>
      </c>
      <c r="R95" s="144">
        <f>SUMIFS('февраль 2026'!$G$2:$G$2649,'февраль 2026'!$D$2:$D$2649,$B95,'февраль 2026'!$J$2:$J$2649,R$1)</f>
        <v>0</v>
      </c>
      <c r="S95" s="144">
        <f>SUMIFS('февраль 2026'!$G$2:$G$2649,'февраль 2026'!$D$2:$D$2649,$B95,'февраль 2026'!$J$2:$J$2649,S$1)</f>
        <v>0</v>
      </c>
      <c r="T95" s="144">
        <f>SUMIFS('февраль 2026'!$G$2:$G$2649,'февраль 2026'!$D$2:$D$2649,$B95,'февраль 2026'!$J$2:$J$2649,T$1)</f>
        <v>0</v>
      </c>
      <c r="U95" s="144">
        <f>SUMIFS('февраль 2026'!$G$2:$G$2649,'февраль 2026'!$D$2:$D$2649,$B95,'февраль 2026'!$J$2:$J$2649,U$1)</f>
        <v>0</v>
      </c>
      <c r="V95" s="144">
        <f>SUMIFS('февраль 2026'!$G$2:$G$2649,'февраль 2026'!$D$2:$D$2649,$B95,'февраль 2026'!$J$2:$J$2649,V$1)</f>
        <v>0</v>
      </c>
      <c r="W95" s="144">
        <f>SUMIFS('февраль 2026'!$G$2:$G$2649,'февраль 2026'!$D$2:$D$2649,$B95,'февраль 2026'!$J$2:$J$2649,W$1)</f>
        <v>0</v>
      </c>
      <c r="X95" s="144">
        <f>SUMIFS('февраль 2026'!$G$2:$G$2649,'февраль 2026'!$D$2:$D$2649,$B95,'февраль 2026'!$J$2:$J$2649,X$1)</f>
        <v>0</v>
      </c>
      <c r="Y95" s="144">
        <f>SUMIFS('февраль 2026'!$G$2:$G$2649,'февраль 2026'!$D$2:$D$2649,$B95,'февраль 2026'!$J$2:$J$2649,Y$1)</f>
        <v>0</v>
      </c>
      <c r="Z95" s="144">
        <f>SUMIFS('февраль 2026'!$G$2:$G$2649,'февраль 2026'!$D$2:$D$2649,$B95,'февраль 2026'!$J$2:$J$2649,Z$1)</f>
        <v>0</v>
      </c>
      <c r="AA95" s="144">
        <f>SUMIFS('февраль 2026'!$G$2:$G$2649,'февраль 2026'!$D$2:$D$2649,$B95,'февраль 2026'!$J$2:$J$2649,AA$1)</f>
        <v>0</v>
      </c>
      <c r="AB95" s="144">
        <f>SUMIFS('февраль 2026'!$G$2:$G$2649,'февраль 2026'!$D$2:$D$2649,$B95,'февраль 2026'!$J$2:$J$2649,AB$1)</f>
        <v>0</v>
      </c>
      <c r="AC95" s="144">
        <f>SUMIFS('февраль 2026'!$G$2:$G$2649,'февраль 2026'!$D$2:$D$2649,$B95,'февраль 2026'!$J$2:$J$2649,AC$1)</f>
        <v>0</v>
      </c>
      <c r="AD95" s="144">
        <f>SUMIFS('февраль 2026'!$G$2:$G$2649,'февраль 2026'!$D$2:$D$2649,$B95,'февраль 2026'!$J$2:$J$2649,AD$1)</f>
        <v>0</v>
      </c>
      <c r="AE95" s="144">
        <f>SUMIFS('февраль 2026'!$G$2:$G$2649,'февраль 2026'!$D$2:$D$2649,$B95,'февраль 2026'!$J$2:$J$2649,AE$1)</f>
        <v>0</v>
      </c>
      <c r="AF95" s="144">
        <f>SUMIFS('февраль 2026'!$G$2:$G$2649,'февраль 2026'!$D$2:$D$2649,$B95,'февраль 2026'!$J$2:$J$2649,AF$1)</f>
        <v>0</v>
      </c>
      <c r="AG95" s="144">
        <f>SUMIFS('февраль 2026'!$G$2:$G$2649,'февраль 2026'!$D$2:$D$2649,$B95,'февраль 2026'!$J$2:$J$2649,AG$1)</f>
        <v>0</v>
      </c>
      <c r="AH95" s="144">
        <f>SUMIFS('февраль 2026'!$G$2:$G$2649,'февраль 2026'!$D$2:$D$2649,$B95,'февраль 2026'!$J$2:$J$2649,AH$1)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SUMIFS('февраль 2026'!$G$2:$G$2649,'февраль 2026'!$D$2:$D$2649,$B96,'февраль 2026'!$J$2:$J$2649,D$1)</f>
        <v>0</v>
      </c>
      <c r="E96" s="144">
        <f>SUMIFS('февраль 2026'!$G$2:$G$2649,'февраль 2026'!$D$2:$D$2649,$B96,'февраль 2026'!$J$2:$J$2649,E$1)</f>
        <v>0</v>
      </c>
      <c r="F96" s="144">
        <f>SUMIFS('февраль 2026'!$G$2:$G$2649,'февраль 2026'!$D$2:$D$2649,$B96,'февраль 2026'!$J$2:$J$2649,F$1)</f>
        <v>0</v>
      </c>
      <c r="G96" s="144">
        <f>SUMIFS('февраль 2026'!$G$2:$G$2649,'февраль 2026'!$D$2:$D$2649,$B96,'февраль 2026'!$J$2:$J$2649,G$1)</f>
        <v>0</v>
      </c>
      <c r="H96" s="144">
        <f>SUMIFS('февраль 2026'!$G$2:$G$2649,'февраль 2026'!$D$2:$D$2649,$B96,'февраль 2026'!$J$2:$J$2649,H$1)</f>
        <v>0</v>
      </c>
      <c r="I96" s="144">
        <f>SUMIFS('февраль 2026'!$G$2:$G$2649,'февраль 2026'!$D$2:$D$2649,$B96,'февраль 2026'!$J$2:$J$2649,I$1)</f>
        <v>0</v>
      </c>
      <c r="J96" s="144">
        <f>SUMIFS('февраль 2026'!$G$2:$G$2649,'февраль 2026'!$D$2:$D$2649,$B96,'февраль 2026'!$J$2:$J$2649,J$1)</f>
        <v>0</v>
      </c>
      <c r="K96" s="144">
        <f>SUMIFS('февраль 2026'!$G$2:$G$2649,'февраль 2026'!$D$2:$D$2649,$B96,'февраль 2026'!$J$2:$J$2649,K$1)</f>
        <v>0</v>
      </c>
      <c r="L96" s="144">
        <f>SUMIFS('февраль 2026'!$G$2:$G$2649,'февраль 2026'!$D$2:$D$2649,$B96,'февраль 2026'!$J$2:$J$2649,L$1)</f>
        <v>0</v>
      </c>
      <c r="M96" s="144">
        <f>SUMIFS('февраль 2026'!$G$2:$G$2649,'февраль 2026'!$D$2:$D$2649,$B96,'февраль 2026'!$J$2:$J$2649,M$1)</f>
        <v>0</v>
      </c>
      <c r="N96" s="144">
        <f>SUMIFS('февраль 2026'!$G$2:$G$2649,'февраль 2026'!$D$2:$D$2649,$B96,'февраль 2026'!$J$2:$J$2649,N$1)</f>
        <v>0</v>
      </c>
      <c r="O96" s="144">
        <f>SUMIFS('февраль 2026'!$G$2:$G$2649,'февраль 2026'!$D$2:$D$2649,$B96,'февраль 2026'!$J$2:$J$2649,O$1)</f>
        <v>0</v>
      </c>
      <c r="P96" s="144">
        <f>SUMIFS('февраль 2026'!$G$2:$G$2649,'февраль 2026'!$D$2:$D$2649,$B96,'февраль 2026'!$J$2:$J$2649,P$1)</f>
        <v>0</v>
      </c>
      <c r="Q96" s="144">
        <f>SUMIFS('февраль 2026'!$G$2:$G$2649,'февраль 2026'!$D$2:$D$2649,$B96,'февраль 2026'!$J$2:$J$2649,Q$1)</f>
        <v>0</v>
      </c>
      <c r="R96" s="144">
        <f>SUMIFS('февраль 2026'!$G$2:$G$2649,'февраль 2026'!$D$2:$D$2649,$B96,'февраль 2026'!$J$2:$J$2649,R$1)</f>
        <v>0</v>
      </c>
      <c r="S96" s="144">
        <f>SUMIFS('февраль 2026'!$G$2:$G$2649,'февраль 2026'!$D$2:$D$2649,$B96,'февраль 2026'!$J$2:$J$2649,S$1)</f>
        <v>0</v>
      </c>
      <c r="T96" s="144">
        <f>SUMIFS('февраль 2026'!$G$2:$G$2649,'февраль 2026'!$D$2:$D$2649,$B96,'февраль 2026'!$J$2:$J$2649,T$1)</f>
        <v>0</v>
      </c>
      <c r="U96" s="144">
        <f>SUMIFS('февраль 2026'!$G$2:$G$2649,'февраль 2026'!$D$2:$D$2649,$B96,'февраль 2026'!$J$2:$J$2649,U$1)</f>
        <v>0</v>
      </c>
      <c r="V96" s="144">
        <f>SUMIFS('февраль 2026'!$G$2:$G$2649,'февраль 2026'!$D$2:$D$2649,$B96,'февраль 2026'!$J$2:$J$2649,V$1)</f>
        <v>0</v>
      </c>
      <c r="W96" s="144">
        <f>SUMIFS('февраль 2026'!$G$2:$G$2649,'февраль 2026'!$D$2:$D$2649,$B96,'февраль 2026'!$J$2:$J$2649,W$1)</f>
        <v>0</v>
      </c>
      <c r="X96" s="144">
        <f>SUMIFS('февраль 2026'!$G$2:$G$2649,'февраль 2026'!$D$2:$D$2649,$B96,'февраль 2026'!$J$2:$J$2649,X$1)</f>
        <v>0</v>
      </c>
      <c r="Y96" s="144">
        <f>SUMIFS('февраль 2026'!$G$2:$G$2649,'февраль 2026'!$D$2:$D$2649,$B96,'февраль 2026'!$J$2:$J$2649,Y$1)</f>
        <v>0</v>
      </c>
      <c r="Z96" s="144">
        <f>SUMIFS('февраль 2026'!$G$2:$G$2649,'февраль 2026'!$D$2:$D$2649,$B96,'февраль 2026'!$J$2:$J$2649,Z$1)</f>
        <v>0</v>
      </c>
      <c r="AA96" s="144">
        <f>SUMIFS('февраль 2026'!$G$2:$G$2649,'февраль 2026'!$D$2:$D$2649,$B96,'февраль 2026'!$J$2:$J$2649,AA$1)</f>
        <v>0</v>
      </c>
      <c r="AB96" s="144">
        <f>SUMIFS('февраль 2026'!$G$2:$G$2649,'февраль 2026'!$D$2:$D$2649,$B96,'февраль 2026'!$J$2:$J$2649,AB$1)</f>
        <v>0</v>
      </c>
      <c r="AC96" s="144">
        <f>SUMIFS('февраль 2026'!$G$2:$G$2649,'февраль 2026'!$D$2:$D$2649,$B96,'февраль 2026'!$J$2:$J$2649,AC$1)</f>
        <v>0</v>
      </c>
      <c r="AD96" s="144">
        <f>SUMIFS('февраль 2026'!$G$2:$G$2649,'февраль 2026'!$D$2:$D$2649,$B96,'февраль 2026'!$J$2:$J$2649,AD$1)</f>
        <v>0</v>
      </c>
      <c r="AE96" s="144">
        <f>SUMIFS('февраль 2026'!$G$2:$G$2649,'февраль 2026'!$D$2:$D$2649,$B96,'февраль 2026'!$J$2:$J$2649,AE$1)</f>
        <v>0</v>
      </c>
      <c r="AF96" s="144">
        <f>SUMIFS('февраль 2026'!$G$2:$G$2649,'февраль 2026'!$D$2:$D$2649,$B96,'февраль 2026'!$J$2:$J$2649,AF$1)</f>
        <v>0</v>
      </c>
      <c r="AG96" s="144">
        <f>SUMIFS('февраль 2026'!$G$2:$G$2649,'февраль 2026'!$D$2:$D$2649,$B96,'февраль 2026'!$J$2:$J$2649,AG$1)</f>
        <v>0</v>
      </c>
      <c r="AH96" s="144">
        <f>SUMIFS('февраль 2026'!$G$2:$G$2649,'февраль 2026'!$D$2:$D$2649,$B96,'февраль 2026'!$J$2:$J$2649,AH$1)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SUMIFS('февраль 2026'!$G$2:$G$2649,'февраль 2026'!$D$2:$D$2649,$B97,'февраль 2026'!$J$2:$J$2649,D$1)</f>
        <v>0</v>
      </c>
      <c r="E97" s="144">
        <f>SUMIFS('февраль 2026'!$G$2:$G$2649,'февраль 2026'!$D$2:$D$2649,$B97,'февраль 2026'!$J$2:$J$2649,E$1)</f>
        <v>0</v>
      </c>
      <c r="F97" s="144">
        <f>SUMIFS('февраль 2026'!$G$2:$G$2649,'февраль 2026'!$D$2:$D$2649,$B97,'февраль 2026'!$J$2:$J$2649,F$1)</f>
        <v>0</v>
      </c>
      <c r="G97" s="144">
        <f>SUMIFS('февраль 2026'!$G$2:$G$2649,'февраль 2026'!$D$2:$D$2649,$B97,'февраль 2026'!$J$2:$J$2649,G$1)</f>
        <v>0</v>
      </c>
      <c r="H97" s="144">
        <f>SUMIFS('февраль 2026'!$G$2:$G$2649,'февраль 2026'!$D$2:$D$2649,$B97,'февраль 2026'!$J$2:$J$2649,H$1)</f>
        <v>64</v>
      </c>
      <c r="I97" s="144">
        <f>SUMIFS('февраль 2026'!$G$2:$G$2649,'февраль 2026'!$D$2:$D$2649,$B97,'февраль 2026'!$J$2:$J$2649,I$1)</f>
        <v>0</v>
      </c>
      <c r="J97" s="144">
        <f>SUMIFS('февраль 2026'!$G$2:$G$2649,'февраль 2026'!$D$2:$D$2649,$B97,'февраль 2026'!$J$2:$J$2649,J$1)</f>
        <v>0</v>
      </c>
      <c r="K97" s="144">
        <f>SUMIFS('февраль 2026'!$G$2:$G$2649,'февраль 2026'!$D$2:$D$2649,$B97,'февраль 2026'!$J$2:$J$2649,K$1)</f>
        <v>0</v>
      </c>
      <c r="L97" s="144">
        <f>SUMIFS('февраль 2026'!$G$2:$G$2649,'февраль 2026'!$D$2:$D$2649,$B97,'февраль 2026'!$J$2:$J$2649,L$1)</f>
        <v>0</v>
      </c>
      <c r="M97" s="144">
        <f>SUMIFS('февраль 2026'!$G$2:$G$2649,'февраль 2026'!$D$2:$D$2649,$B97,'февраль 2026'!$J$2:$J$2649,M$1)</f>
        <v>0</v>
      </c>
      <c r="N97" s="144">
        <f>SUMIFS('февраль 2026'!$G$2:$G$2649,'февраль 2026'!$D$2:$D$2649,$B97,'февраль 2026'!$J$2:$J$2649,N$1)</f>
        <v>0</v>
      </c>
      <c r="O97" s="144">
        <f>SUMIFS('февраль 2026'!$G$2:$G$2649,'февраль 2026'!$D$2:$D$2649,$B97,'февраль 2026'!$J$2:$J$2649,O$1)</f>
        <v>0</v>
      </c>
      <c r="P97" s="144">
        <f>SUMIFS('февраль 2026'!$G$2:$G$2649,'февраль 2026'!$D$2:$D$2649,$B97,'февраль 2026'!$J$2:$J$2649,P$1)</f>
        <v>0</v>
      </c>
      <c r="Q97" s="144">
        <f>SUMIFS('февраль 2026'!$G$2:$G$2649,'февраль 2026'!$D$2:$D$2649,$B97,'февраль 2026'!$J$2:$J$2649,Q$1)</f>
        <v>0</v>
      </c>
      <c r="R97" s="144">
        <f>SUMIFS('февраль 2026'!$G$2:$G$2649,'февраль 2026'!$D$2:$D$2649,$B97,'февраль 2026'!$J$2:$J$2649,R$1)</f>
        <v>0</v>
      </c>
      <c r="S97" s="144">
        <f>SUMIFS('февраль 2026'!$G$2:$G$2649,'февраль 2026'!$D$2:$D$2649,$B97,'февраль 2026'!$J$2:$J$2649,S$1)</f>
        <v>0</v>
      </c>
      <c r="T97" s="144">
        <f>SUMIFS('февраль 2026'!$G$2:$G$2649,'февраль 2026'!$D$2:$D$2649,$B97,'февраль 2026'!$J$2:$J$2649,T$1)</f>
        <v>0</v>
      </c>
      <c r="U97" s="144">
        <f>SUMIFS('февраль 2026'!$G$2:$G$2649,'февраль 2026'!$D$2:$D$2649,$B97,'февраль 2026'!$J$2:$J$2649,U$1)</f>
        <v>0</v>
      </c>
      <c r="V97" s="144">
        <f>SUMIFS('февраль 2026'!$G$2:$G$2649,'февраль 2026'!$D$2:$D$2649,$B97,'февраль 2026'!$J$2:$J$2649,V$1)</f>
        <v>0</v>
      </c>
      <c r="W97" s="144">
        <f>SUMIFS('февраль 2026'!$G$2:$G$2649,'февраль 2026'!$D$2:$D$2649,$B97,'февраль 2026'!$J$2:$J$2649,W$1)</f>
        <v>0</v>
      </c>
      <c r="X97" s="144">
        <f>SUMIFS('февраль 2026'!$G$2:$G$2649,'февраль 2026'!$D$2:$D$2649,$B97,'февраль 2026'!$J$2:$J$2649,X$1)</f>
        <v>0</v>
      </c>
      <c r="Y97" s="144">
        <f>SUMIFS('февраль 2026'!$G$2:$G$2649,'февраль 2026'!$D$2:$D$2649,$B97,'февраль 2026'!$J$2:$J$2649,Y$1)</f>
        <v>0</v>
      </c>
      <c r="Z97" s="144">
        <f>SUMIFS('февраль 2026'!$G$2:$G$2649,'февраль 2026'!$D$2:$D$2649,$B97,'февраль 2026'!$J$2:$J$2649,Z$1)</f>
        <v>0</v>
      </c>
      <c r="AA97" s="144">
        <f>SUMIFS('февраль 2026'!$G$2:$G$2649,'февраль 2026'!$D$2:$D$2649,$B97,'февраль 2026'!$J$2:$J$2649,AA$1)</f>
        <v>0</v>
      </c>
      <c r="AB97" s="144">
        <f>SUMIFS('февраль 2026'!$G$2:$G$2649,'февраль 2026'!$D$2:$D$2649,$B97,'февраль 2026'!$J$2:$J$2649,AB$1)</f>
        <v>0</v>
      </c>
      <c r="AC97" s="144">
        <f>SUMIFS('февраль 2026'!$G$2:$G$2649,'февраль 2026'!$D$2:$D$2649,$B97,'февраль 2026'!$J$2:$J$2649,AC$1)</f>
        <v>0</v>
      </c>
      <c r="AD97" s="144">
        <f>SUMIFS('февраль 2026'!$G$2:$G$2649,'февраль 2026'!$D$2:$D$2649,$B97,'февраль 2026'!$J$2:$J$2649,AD$1)</f>
        <v>0</v>
      </c>
      <c r="AE97" s="144">
        <f>SUMIFS('февраль 2026'!$G$2:$G$2649,'февраль 2026'!$D$2:$D$2649,$B97,'февраль 2026'!$J$2:$J$2649,AE$1)</f>
        <v>0</v>
      </c>
      <c r="AF97" s="144">
        <f>SUMIFS('февраль 2026'!$G$2:$G$2649,'февраль 2026'!$D$2:$D$2649,$B97,'февраль 2026'!$J$2:$J$2649,AF$1)</f>
        <v>0</v>
      </c>
      <c r="AG97" s="144">
        <f>SUMIFS('февраль 2026'!$G$2:$G$2649,'февраль 2026'!$D$2:$D$2649,$B97,'февраль 2026'!$J$2:$J$2649,AG$1)</f>
        <v>0</v>
      </c>
      <c r="AH97" s="144">
        <f>SUMIFS('февраль 2026'!$G$2:$G$2649,'февраль 2026'!$D$2:$D$2649,$B97,'февраль 2026'!$J$2:$J$2649,AH$1)</f>
        <v>0</v>
      </c>
      <c r="AI97" s="20">
        <f t="shared" si="1"/>
        <v>64</v>
      </c>
    </row>
    <row r="98" spans="2:35" ht="15" customHeight="1" x14ac:dyDescent="0.25">
      <c r="B98" s="85" t="s">
        <v>188</v>
      </c>
      <c r="C98" s="83">
        <v>190</v>
      </c>
      <c r="D98" s="144">
        <f>SUMIFS('февраль 2026'!$G$2:$G$2649,'февраль 2026'!$D$2:$D$2649,$B98,'февраль 2026'!$J$2:$J$2649,D$1)</f>
        <v>0</v>
      </c>
      <c r="E98" s="144">
        <f>SUMIFS('февраль 2026'!$G$2:$G$2649,'февраль 2026'!$D$2:$D$2649,$B98,'февраль 2026'!$J$2:$J$2649,E$1)</f>
        <v>0</v>
      </c>
      <c r="F98" s="144">
        <f>SUMIFS('февраль 2026'!$G$2:$G$2649,'февраль 2026'!$D$2:$D$2649,$B98,'февраль 2026'!$J$2:$J$2649,F$1)</f>
        <v>0</v>
      </c>
      <c r="G98" s="144">
        <f>SUMIFS('февраль 2026'!$G$2:$G$2649,'февраль 2026'!$D$2:$D$2649,$B98,'февраль 2026'!$J$2:$J$2649,G$1)</f>
        <v>0</v>
      </c>
      <c r="H98" s="144">
        <f>SUMIFS('февраль 2026'!$G$2:$G$2649,'февраль 2026'!$D$2:$D$2649,$B98,'февраль 2026'!$J$2:$J$2649,H$1)</f>
        <v>0</v>
      </c>
      <c r="I98" s="144">
        <f>SUMIFS('февраль 2026'!$G$2:$G$2649,'февраль 2026'!$D$2:$D$2649,$B98,'февраль 2026'!$J$2:$J$2649,I$1)</f>
        <v>0</v>
      </c>
      <c r="J98" s="144">
        <f>SUMIFS('февраль 2026'!$G$2:$G$2649,'февраль 2026'!$D$2:$D$2649,$B98,'февраль 2026'!$J$2:$J$2649,J$1)</f>
        <v>0</v>
      </c>
      <c r="K98" s="144">
        <f>SUMIFS('февраль 2026'!$G$2:$G$2649,'февраль 2026'!$D$2:$D$2649,$B98,'февраль 2026'!$J$2:$J$2649,K$1)</f>
        <v>0</v>
      </c>
      <c r="L98" s="144">
        <f>SUMIFS('февраль 2026'!$G$2:$G$2649,'февраль 2026'!$D$2:$D$2649,$B98,'февраль 2026'!$J$2:$J$2649,L$1)</f>
        <v>0</v>
      </c>
      <c r="M98" s="144">
        <f>SUMIFS('февраль 2026'!$G$2:$G$2649,'февраль 2026'!$D$2:$D$2649,$B98,'февраль 2026'!$J$2:$J$2649,M$1)</f>
        <v>0</v>
      </c>
      <c r="N98" s="144">
        <f>SUMIFS('февраль 2026'!$G$2:$G$2649,'февраль 2026'!$D$2:$D$2649,$B98,'февраль 2026'!$J$2:$J$2649,N$1)</f>
        <v>0</v>
      </c>
      <c r="O98" s="144">
        <f>SUMIFS('февраль 2026'!$G$2:$G$2649,'февраль 2026'!$D$2:$D$2649,$B98,'февраль 2026'!$J$2:$J$2649,O$1)</f>
        <v>0</v>
      </c>
      <c r="P98" s="144">
        <f>SUMIFS('февраль 2026'!$G$2:$G$2649,'февраль 2026'!$D$2:$D$2649,$B98,'февраль 2026'!$J$2:$J$2649,P$1)</f>
        <v>0</v>
      </c>
      <c r="Q98" s="144">
        <f>SUMIFS('февраль 2026'!$G$2:$G$2649,'февраль 2026'!$D$2:$D$2649,$B98,'февраль 2026'!$J$2:$J$2649,Q$1)</f>
        <v>0</v>
      </c>
      <c r="R98" s="144">
        <f>SUMIFS('февраль 2026'!$G$2:$G$2649,'февраль 2026'!$D$2:$D$2649,$B98,'февраль 2026'!$J$2:$J$2649,R$1)</f>
        <v>0</v>
      </c>
      <c r="S98" s="144">
        <f>SUMIFS('февраль 2026'!$G$2:$G$2649,'февраль 2026'!$D$2:$D$2649,$B98,'февраль 2026'!$J$2:$J$2649,S$1)</f>
        <v>0</v>
      </c>
      <c r="T98" s="144">
        <f>SUMIFS('февраль 2026'!$G$2:$G$2649,'февраль 2026'!$D$2:$D$2649,$B98,'февраль 2026'!$J$2:$J$2649,T$1)</f>
        <v>0</v>
      </c>
      <c r="U98" s="144">
        <f>SUMIFS('февраль 2026'!$G$2:$G$2649,'февраль 2026'!$D$2:$D$2649,$B98,'февраль 2026'!$J$2:$J$2649,U$1)</f>
        <v>0</v>
      </c>
      <c r="V98" s="144">
        <f>SUMIFS('февраль 2026'!$G$2:$G$2649,'февраль 2026'!$D$2:$D$2649,$B98,'февраль 2026'!$J$2:$J$2649,V$1)</f>
        <v>0</v>
      </c>
      <c r="W98" s="144">
        <f>SUMIFS('февраль 2026'!$G$2:$G$2649,'февраль 2026'!$D$2:$D$2649,$B98,'февраль 2026'!$J$2:$J$2649,W$1)</f>
        <v>0</v>
      </c>
      <c r="X98" s="144">
        <f>SUMIFS('февраль 2026'!$G$2:$G$2649,'февраль 2026'!$D$2:$D$2649,$B98,'февраль 2026'!$J$2:$J$2649,X$1)</f>
        <v>0</v>
      </c>
      <c r="Y98" s="144">
        <f>SUMIFS('февраль 2026'!$G$2:$G$2649,'февраль 2026'!$D$2:$D$2649,$B98,'февраль 2026'!$J$2:$J$2649,Y$1)</f>
        <v>0</v>
      </c>
      <c r="Z98" s="144">
        <f>SUMIFS('февраль 2026'!$G$2:$G$2649,'февраль 2026'!$D$2:$D$2649,$B98,'февраль 2026'!$J$2:$J$2649,Z$1)</f>
        <v>0</v>
      </c>
      <c r="AA98" s="144">
        <f>SUMIFS('февраль 2026'!$G$2:$G$2649,'февраль 2026'!$D$2:$D$2649,$B98,'февраль 2026'!$J$2:$J$2649,AA$1)</f>
        <v>0</v>
      </c>
      <c r="AB98" s="144">
        <f>SUMIFS('февраль 2026'!$G$2:$G$2649,'февраль 2026'!$D$2:$D$2649,$B98,'февраль 2026'!$J$2:$J$2649,AB$1)</f>
        <v>0</v>
      </c>
      <c r="AC98" s="144">
        <f>SUMIFS('февраль 2026'!$G$2:$G$2649,'февраль 2026'!$D$2:$D$2649,$B98,'февраль 2026'!$J$2:$J$2649,AC$1)</f>
        <v>0</v>
      </c>
      <c r="AD98" s="144">
        <f>SUMIFS('февраль 2026'!$G$2:$G$2649,'февраль 2026'!$D$2:$D$2649,$B98,'февраль 2026'!$J$2:$J$2649,AD$1)</f>
        <v>0</v>
      </c>
      <c r="AE98" s="144">
        <f>SUMIFS('февраль 2026'!$G$2:$G$2649,'февраль 2026'!$D$2:$D$2649,$B98,'февраль 2026'!$J$2:$J$2649,AE$1)</f>
        <v>0</v>
      </c>
      <c r="AF98" s="144">
        <f>SUMIFS('февраль 2026'!$G$2:$G$2649,'февраль 2026'!$D$2:$D$2649,$B98,'февраль 2026'!$J$2:$J$2649,AF$1)</f>
        <v>0</v>
      </c>
      <c r="AG98" s="144">
        <f>SUMIFS('февраль 2026'!$G$2:$G$2649,'февраль 2026'!$D$2:$D$2649,$B98,'февраль 2026'!$J$2:$J$2649,AG$1)</f>
        <v>0</v>
      </c>
      <c r="AH98" s="144">
        <f>SUMIFS('февраль 2026'!$G$2:$G$2649,'февраль 2026'!$D$2:$D$2649,$B98,'февраль 2026'!$J$2:$J$2649,AH$1)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SUMIFS('февраль 2026'!$G$2:$G$2649,'февраль 2026'!$D$2:$D$2649,$B99,'февраль 2026'!$J$2:$J$2649,D$1)</f>
        <v>0</v>
      </c>
      <c r="E99" s="144">
        <f>SUMIFS('февраль 2026'!$G$2:$G$2649,'февраль 2026'!$D$2:$D$2649,$B99,'февраль 2026'!$J$2:$J$2649,E$1)</f>
        <v>0</v>
      </c>
      <c r="F99" s="144">
        <f>SUMIFS('февраль 2026'!$G$2:$G$2649,'февраль 2026'!$D$2:$D$2649,$B99,'февраль 2026'!$J$2:$J$2649,F$1)</f>
        <v>0</v>
      </c>
      <c r="G99" s="144">
        <f>SUMIFS('февраль 2026'!$G$2:$G$2649,'февраль 2026'!$D$2:$D$2649,$B99,'февраль 2026'!$J$2:$J$2649,G$1)</f>
        <v>0</v>
      </c>
      <c r="H99" s="144">
        <f>SUMIFS('февраль 2026'!$G$2:$G$2649,'февраль 2026'!$D$2:$D$2649,$B99,'февраль 2026'!$J$2:$J$2649,H$1)</f>
        <v>0</v>
      </c>
      <c r="I99" s="144">
        <f>SUMIFS('февраль 2026'!$G$2:$G$2649,'февраль 2026'!$D$2:$D$2649,$B99,'февраль 2026'!$J$2:$J$2649,I$1)</f>
        <v>0</v>
      </c>
      <c r="J99" s="144">
        <f>SUMIFS('февраль 2026'!$G$2:$G$2649,'февраль 2026'!$D$2:$D$2649,$B99,'февраль 2026'!$J$2:$J$2649,J$1)</f>
        <v>0</v>
      </c>
      <c r="K99" s="144">
        <f>SUMIFS('февраль 2026'!$G$2:$G$2649,'февраль 2026'!$D$2:$D$2649,$B99,'февраль 2026'!$J$2:$J$2649,K$1)</f>
        <v>0</v>
      </c>
      <c r="L99" s="144">
        <f>SUMIFS('февраль 2026'!$G$2:$G$2649,'февраль 2026'!$D$2:$D$2649,$B99,'февраль 2026'!$J$2:$J$2649,L$1)</f>
        <v>0</v>
      </c>
      <c r="M99" s="144">
        <f>SUMIFS('февраль 2026'!$G$2:$G$2649,'февраль 2026'!$D$2:$D$2649,$B99,'февраль 2026'!$J$2:$J$2649,M$1)</f>
        <v>0</v>
      </c>
      <c r="N99" s="144">
        <f>SUMIFS('февраль 2026'!$G$2:$G$2649,'февраль 2026'!$D$2:$D$2649,$B99,'февраль 2026'!$J$2:$J$2649,N$1)</f>
        <v>0</v>
      </c>
      <c r="O99" s="144">
        <f>SUMIFS('февраль 2026'!$G$2:$G$2649,'февраль 2026'!$D$2:$D$2649,$B99,'февраль 2026'!$J$2:$J$2649,O$1)</f>
        <v>0</v>
      </c>
      <c r="P99" s="144">
        <f>SUMIFS('февраль 2026'!$G$2:$G$2649,'февраль 2026'!$D$2:$D$2649,$B99,'февраль 2026'!$J$2:$J$2649,P$1)</f>
        <v>0</v>
      </c>
      <c r="Q99" s="144">
        <f>SUMIFS('февраль 2026'!$G$2:$G$2649,'февраль 2026'!$D$2:$D$2649,$B99,'февраль 2026'!$J$2:$J$2649,Q$1)</f>
        <v>0</v>
      </c>
      <c r="R99" s="144">
        <f>SUMIFS('февраль 2026'!$G$2:$G$2649,'февраль 2026'!$D$2:$D$2649,$B99,'февраль 2026'!$J$2:$J$2649,R$1)</f>
        <v>0</v>
      </c>
      <c r="S99" s="144">
        <f>SUMIFS('февраль 2026'!$G$2:$G$2649,'февраль 2026'!$D$2:$D$2649,$B99,'февраль 2026'!$J$2:$J$2649,S$1)</f>
        <v>0</v>
      </c>
      <c r="T99" s="144">
        <f>SUMIFS('февраль 2026'!$G$2:$G$2649,'февраль 2026'!$D$2:$D$2649,$B99,'февраль 2026'!$J$2:$J$2649,T$1)</f>
        <v>0</v>
      </c>
      <c r="U99" s="144">
        <f>SUMIFS('февраль 2026'!$G$2:$G$2649,'февраль 2026'!$D$2:$D$2649,$B99,'февраль 2026'!$J$2:$J$2649,U$1)</f>
        <v>0</v>
      </c>
      <c r="V99" s="144">
        <f>SUMIFS('февраль 2026'!$G$2:$G$2649,'февраль 2026'!$D$2:$D$2649,$B99,'февраль 2026'!$J$2:$J$2649,V$1)</f>
        <v>0</v>
      </c>
      <c r="W99" s="144">
        <f>SUMIFS('февраль 2026'!$G$2:$G$2649,'февраль 2026'!$D$2:$D$2649,$B99,'февраль 2026'!$J$2:$J$2649,W$1)</f>
        <v>0</v>
      </c>
      <c r="X99" s="144">
        <f>SUMIFS('февраль 2026'!$G$2:$G$2649,'февраль 2026'!$D$2:$D$2649,$B99,'февраль 2026'!$J$2:$J$2649,X$1)</f>
        <v>0</v>
      </c>
      <c r="Y99" s="144">
        <f>SUMIFS('февраль 2026'!$G$2:$G$2649,'февраль 2026'!$D$2:$D$2649,$B99,'февраль 2026'!$J$2:$J$2649,Y$1)</f>
        <v>0</v>
      </c>
      <c r="Z99" s="144">
        <f>SUMIFS('февраль 2026'!$G$2:$G$2649,'февраль 2026'!$D$2:$D$2649,$B99,'февраль 2026'!$J$2:$J$2649,Z$1)</f>
        <v>0</v>
      </c>
      <c r="AA99" s="144">
        <f>SUMIFS('февраль 2026'!$G$2:$G$2649,'февраль 2026'!$D$2:$D$2649,$B99,'февраль 2026'!$J$2:$J$2649,AA$1)</f>
        <v>0</v>
      </c>
      <c r="AB99" s="144">
        <f>SUMIFS('февраль 2026'!$G$2:$G$2649,'февраль 2026'!$D$2:$D$2649,$B99,'февраль 2026'!$J$2:$J$2649,AB$1)</f>
        <v>0</v>
      </c>
      <c r="AC99" s="144">
        <f>SUMIFS('февраль 2026'!$G$2:$G$2649,'февраль 2026'!$D$2:$D$2649,$B99,'февраль 2026'!$J$2:$J$2649,AC$1)</f>
        <v>0</v>
      </c>
      <c r="AD99" s="144">
        <f>SUMIFS('февраль 2026'!$G$2:$G$2649,'февраль 2026'!$D$2:$D$2649,$B99,'февраль 2026'!$J$2:$J$2649,AD$1)</f>
        <v>0</v>
      </c>
      <c r="AE99" s="144">
        <f>SUMIFS('февраль 2026'!$G$2:$G$2649,'февраль 2026'!$D$2:$D$2649,$B99,'февраль 2026'!$J$2:$J$2649,AE$1)</f>
        <v>0</v>
      </c>
      <c r="AF99" s="144">
        <f>SUMIFS('февраль 2026'!$G$2:$G$2649,'февраль 2026'!$D$2:$D$2649,$B99,'февраль 2026'!$J$2:$J$2649,AF$1)</f>
        <v>0</v>
      </c>
      <c r="AG99" s="144">
        <f>SUMIFS('февраль 2026'!$G$2:$G$2649,'февраль 2026'!$D$2:$D$2649,$B99,'февраль 2026'!$J$2:$J$2649,AG$1)</f>
        <v>0</v>
      </c>
      <c r="AH99" s="144">
        <f>SUMIFS('февраль 2026'!$G$2:$G$2649,'февраль 2026'!$D$2:$D$2649,$B99,'февраль 2026'!$J$2:$J$2649,AH$1)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SUMIFS('февраль 2026'!$G$2:$G$2649,'февраль 2026'!$D$2:$D$2649,$B100,'февраль 2026'!$J$2:$J$2649,D$1)</f>
        <v>0</v>
      </c>
      <c r="E100" s="144">
        <f>SUMIFS('февраль 2026'!$G$2:$G$2649,'февраль 2026'!$D$2:$D$2649,$B100,'февраль 2026'!$J$2:$J$2649,E$1)</f>
        <v>0</v>
      </c>
      <c r="F100" s="144">
        <f>SUMIFS('февраль 2026'!$G$2:$G$2649,'февраль 2026'!$D$2:$D$2649,$B100,'февраль 2026'!$J$2:$J$2649,F$1)</f>
        <v>0</v>
      </c>
      <c r="G100" s="144">
        <f>SUMIFS('февраль 2026'!$G$2:$G$2649,'февраль 2026'!$D$2:$D$2649,$B100,'февраль 2026'!$J$2:$J$2649,G$1)</f>
        <v>0</v>
      </c>
      <c r="H100" s="144">
        <f>SUMIFS('февраль 2026'!$G$2:$G$2649,'февраль 2026'!$D$2:$D$2649,$B100,'февраль 2026'!$J$2:$J$2649,H$1)</f>
        <v>0</v>
      </c>
      <c r="I100" s="144">
        <f>SUMIFS('февраль 2026'!$G$2:$G$2649,'февраль 2026'!$D$2:$D$2649,$B100,'февраль 2026'!$J$2:$J$2649,I$1)</f>
        <v>0</v>
      </c>
      <c r="J100" s="144">
        <f>SUMIFS('февраль 2026'!$G$2:$G$2649,'февраль 2026'!$D$2:$D$2649,$B100,'февраль 2026'!$J$2:$J$2649,J$1)</f>
        <v>0</v>
      </c>
      <c r="K100" s="144">
        <f>SUMIFS('февраль 2026'!$G$2:$G$2649,'февраль 2026'!$D$2:$D$2649,$B100,'февраль 2026'!$J$2:$J$2649,K$1)</f>
        <v>0</v>
      </c>
      <c r="L100" s="144">
        <f>SUMIFS('февраль 2026'!$G$2:$G$2649,'февраль 2026'!$D$2:$D$2649,$B100,'февраль 2026'!$J$2:$J$2649,L$1)</f>
        <v>0</v>
      </c>
      <c r="M100" s="144">
        <f>SUMIFS('февраль 2026'!$G$2:$G$2649,'февраль 2026'!$D$2:$D$2649,$B100,'февраль 2026'!$J$2:$J$2649,M$1)</f>
        <v>0</v>
      </c>
      <c r="N100" s="144">
        <f>SUMIFS('февраль 2026'!$G$2:$G$2649,'февраль 2026'!$D$2:$D$2649,$B100,'февраль 2026'!$J$2:$J$2649,N$1)</f>
        <v>0</v>
      </c>
      <c r="O100" s="144">
        <f>SUMIFS('февраль 2026'!$G$2:$G$2649,'февраль 2026'!$D$2:$D$2649,$B100,'февраль 2026'!$J$2:$J$2649,O$1)</f>
        <v>0</v>
      </c>
      <c r="P100" s="144">
        <f>SUMIFS('февраль 2026'!$G$2:$G$2649,'февраль 2026'!$D$2:$D$2649,$B100,'февраль 2026'!$J$2:$J$2649,P$1)</f>
        <v>0</v>
      </c>
      <c r="Q100" s="144">
        <f>SUMIFS('февраль 2026'!$G$2:$G$2649,'февраль 2026'!$D$2:$D$2649,$B100,'февраль 2026'!$J$2:$J$2649,Q$1)</f>
        <v>0</v>
      </c>
      <c r="R100" s="144">
        <f>SUMIFS('февраль 2026'!$G$2:$G$2649,'февраль 2026'!$D$2:$D$2649,$B100,'февраль 2026'!$J$2:$J$2649,R$1)</f>
        <v>0</v>
      </c>
      <c r="S100" s="144">
        <f>SUMIFS('февраль 2026'!$G$2:$G$2649,'февраль 2026'!$D$2:$D$2649,$B100,'февраль 2026'!$J$2:$J$2649,S$1)</f>
        <v>60</v>
      </c>
      <c r="T100" s="144">
        <f>SUMIFS('февраль 2026'!$G$2:$G$2649,'февраль 2026'!$D$2:$D$2649,$B100,'февраль 2026'!$J$2:$J$2649,T$1)</f>
        <v>0</v>
      </c>
      <c r="U100" s="144">
        <f>SUMIFS('февраль 2026'!$G$2:$G$2649,'февраль 2026'!$D$2:$D$2649,$B100,'февраль 2026'!$J$2:$J$2649,U$1)</f>
        <v>0</v>
      </c>
      <c r="V100" s="144">
        <f>SUMIFS('февраль 2026'!$G$2:$G$2649,'февраль 2026'!$D$2:$D$2649,$B100,'февраль 2026'!$J$2:$J$2649,V$1)</f>
        <v>0</v>
      </c>
      <c r="W100" s="144">
        <f>SUMIFS('февраль 2026'!$G$2:$G$2649,'февраль 2026'!$D$2:$D$2649,$B100,'февраль 2026'!$J$2:$J$2649,W$1)</f>
        <v>0</v>
      </c>
      <c r="X100" s="144">
        <f>SUMIFS('февраль 2026'!$G$2:$G$2649,'февраль 2026'!$D$2:$D$2649,$B100,'февраль 2026'!$J$2:$J$2649,X$1)</f>
        <v>0</v>
      </c>
      <c r="Y100" s="144">
        <f>SUMIFS('февраль 2026'!$G$2:$G$2649,'февраль 2026'!$D$2:$D$2649,$B100,'февраль 2026'!$J$2:$J$2649,Y$1)</f>
        <v>0</v>
      </c>
      <c r="Z100" s="144">
        <f>SUMIFS('февраль 2026'!$G$2:$G$2649,'февраль 2026'!$D$2:$D$2649,$B100,'февраль 2026'!$J$2:$J$2649,Z$1)</f>
        <v>0</v>
      </c>
      <c r="AA100" s="144">
        <f>SUMIFS('февраль 2026'!$G$2:$G$2649,'февраль 2026'!$D$2:$D$2649,$B100,'февраль 2026'!$J$2:$J$2649,AA$1)</f>
        <v>64</v>
      </c>
      <c r="AB100" s="144">
        <f>SUMIFS('февраль 2026'!$G$2:$G$2649,'февраль 2026'!$D$2:$D$2649,$B100,'февраль 2026'!$J$2:$J$2649,AB$1)</f>
        <v>0</v>
      </c>
      <c r="AC100" s="144">
        <f>SUMIFS('февраль 2026'!$G$2:$G$2649,'февраль 2026'!$D$2:$D$2649,$B100,'февраль 2026'!$J$2:$J$2649,AC$1)</f>
        <v>0</v>
      </c>
      <c r="AD100" s="144">
        <f>SUMIFS('февраль 2026'!$G$2:$G$2649,'февраль 2026'!$D$2:$D$2649,$B100,'февраль 2026'!$J$2:$J$2649,AD$1)</f>
        <v>0</v>
      </c>
      <c r="AE100" s="144">
        <f>SUMIFS('февраль 2026'!$G$2:$G$2649,'февраль 2026'!$D$2:$D$2649,$B100,'февраль 2026'!$J$2:$J$2649,AE$1)</f>
        <v>0</v>
      </c>
      <c r="AF100" s="144">
        <f>SUMIFS('февраль 2026'!$G$2:$G$2649,'февраль 2026'!$D$2:$D$2649,$B100,'февраль 2026'!$J$2:$J$2649,AF$1)</f>
        <v>0</v>
      </c>
      <c r="AG100" s="144">
        <f>SUMIFS('февраль 2026'!$G$2:$G$2649,'февраль 2026'!$D$2:$D$2649,$B100,'февраль 2026'!$J$2:$J$2649,AG$1)</f>
        <v>0</v>
      </c>
      <c r="AH100" s="144">
        <f>SUMIFS('февраль 2026'!$G$2:$G$2649,'февраль 2026'!$D$2:$D$2649,$B100,'февраль 2026'!$J$2:$J$2649,AH$1)</f>
        <v>0</v>
      </c>
      <c r="AI100" s="20">
        <f t="shared" si="1"/>
        <v>124</v>
      </c>
    </row>
    <row r="101" spans="2:35" ht="15" customHeight="1" x14ac:dyDescent="0.25">
      <c r="B101" s="85" t="s">
        <v>190</v>
      </c>
      <c r="C101" s="83">
        <v>900</v>
      </c>
      <c r="D101" s="144">
        <f>SUMIFS('февраль 2026'!$G$2:$G$2649,'февраль 2026'!$D$2:$D$2649,$B101,'февраль 2026'!$J$2:$J$2649,D$1)</f>
        <v>0</v>
      </c>
      <c r="E101" s="144">
        <f>SUMIFS('февраль 2026'!$G$2:$G$2649,'февраль 2026'!$D$2:$D$2649,$B101,'февраль 2026'!$J$2:$J$2649,E$1)</f>
        <v>0</v>
      </c>
      <c r="F101" s="144">
        <f>SUMIFS('февраль 2026'!$G$2:$G$2649,'февраль 2026'!$D$2:$D$2649,$B101,'февраль 2026'!$J$2:$J$2649,F$1)</f>
        <v>0</v>
      </c>
      <c r="G101" s="144">
        <f>SUMIFS('февраль 2026'!$G$2:$G$2649,'февраль 2026'!$D$2:$D$2649,$B101,'февраль 2026'!$J$2:$J$2649,G$1)</f>
        <v>0</v>
      </c>
      <c r="H101" s="144">
        <f>SUMIFS('февраль 2026'!$G$2:$G$2649,'февраль 2026'!$D$2:$D$2649,$B101,'февраль 2026'!$J$2:$J$2649,H$1)</f>
        <v>0</v>
      </c>
      <c r="I101" s="144">
        <f>SUMIFS('февраль 2026'!$G$2:$G$2649,'февраль 2026'!$D$2:$D$2649,$B101,'февраль 2026'!$J$2:$J$2649,I$1)</f>
        <v>0</v>
      </c>
      <c r="J101" s="144">
        <f>SUMIFS('февраль 2026'!$G$2:$G$2649,'февраль 2026'!$D$2:$D$2649,$B101,'февраль 2026'!$J$2:$J$2649,J$1)</f>
        <v>0</v>
      </c>
      <c r="K101" s="144">
        <f>SUMIFS('февраль 2026'!$G$2:$G$2649,'февраль 2026'!$D$2:$D$2649,$B101,'февраль 2026'!$J$2:$J$2649,K$1)</f>
        <v>0</v>
      </c>
      <c r="L101" s="144">
        <f>SUMIFS('февраль 2026'!$G$2:$G$2649,'февраль 2026'!$D$2:$D$2649,$B101,'февраль 2026'!$J$2:$J$2649,L$1)</f>
        <v>0</v>
      </c>
      <c r="M101" s="144">
        <f>SUMIFS('февраль 2026'!$G$2:$G$2649,'февраль 2026'!$D$2:$D$2649,$B101,'февраль 2026'!$J$2:$J$2649,M$1)</f>
        <v>0</v>
      </c>
      <c r="N101" s="144">
        <f>SUMIFS('февраль 2026'!$G$2:$G$2649,'февраль 2026'!$D$2:$D$2649,$B101,'февраль 2026'!$J$2:$J$2649,N$1)</f>
        <v>0</v>
      </c>
      <c r="O101" s="144">
        <f>SUMIFS('февраль 2026'!$G$2:$G$2649,'февраль 2026'!$D$2:$D$2649,$B101,'февраль 2026'!$J$2:$J$2649,O$1)</f>
        <v>0</v>
      </c>
      <c r="P101" s="144">
        <f>SUMIFS('февраль 2026'!$G$2:$G$2649,'февраль 2026'!$D$2:$D$2649,$B101,'февраль 2026'!$J$2:$J$2649,P$1)</f>
        <v>0</v>
      </c>
      <c r="Q101" s="144">
        <f>SUMIFS('февраль 2026'!$G$2:$G$2649,'февраль 2026'!$D$2:$D$2649,$B101,'февраль 2026'!$J$2:$J$2649,Q$1)</f>
        <v>0</v>
      </c>
      <c r="R101" s="144">
        <f>SUMIFS('февраль 2026'!$G$2:$G$2649,'февраль 2026'!$D$2:$D$2649,$B101,'февраль 2026'!$J$2:$J$2649,R$1)</f>
        <v>0</v>
      </c>
      <c r="S101" s="144">
        <f>SUMIFS('февраль 2026'!$G$2:$G$2649,'февраль 2026'!$D$2:$D$2649,$B101,'февраль 2026'!$J$2:$J$2649,S$1)</f>
        <v>0</v>
      </c>
      <c r="T101" s="144">
        <f>SUMIFS('февраль 2026'!$G$2:$G$2649,'февраль 2026'!$D$2:$D$2649,$B101,'февраль 2026'!$J$2:$J$2649,T$1)</f>
        <v>0</v>
      </c>
      <c r="U101" s="144">
        <f>SUMIFS('февраль 2026'!$G$2:$G$2649,'февраль 2026'!$D$2:$D$2649,$B101,'февраль 2026'!$J$2:$J$2649,U$1)</f>
        <v>0</v>
      </c>
      <c r="V101" s="144">
        <f>SUMIFS('февраль 2026'!$G$2:$G$2649,'февраль 2026'!$D$2:$D$2649,$B101,'февраль 2026'!$J$2:$J$2649,V$1)</f>
        <v>0</v>
      </c>
      <c r="W101" s="144">
        <f>SUMIFS('февраль 2026'!$G$2:$G$2649,'февраль 2026'!$D$2:$D$2649,$B101,'февраль 2026'!$J$2:$J$2649,W$1)</f>
        <v>0</v>
      </c>
      <c r="X101" s="144">
        <f>SUMIFS('февраль 2026'!$G$2:$G$2649,'февраль 2026'!$D$2:$D$2649,$B101,'февраль 2026'!$J$2:$J$2649,X$1)</f>
        <v>0</v>
      </c>
      <c r="Y101" s="144">
        <f>SUMIFS('февраль 2026'!$G$2:$G$2649,'февраль 2026'!$D$2:$D$2649,$B101,'февраль 2026'!$J$2:$J$2649,Y$1)</f>
        <v>0</v>
      </c>
      <c r="Z101" s="144">
        <f>SUMIFS('февраль 2026'!$G$2:$G$2649,'февраль 2026'!$D$2:$D$2649,$B101,'февраль 2026'!$J$2:$J$2649,Z$1)</f>
        <v>0</v>
      </c>
      <c r="AA101" s="144">
        <f>SUMIFS('февраль 2026'!$G$2:$G$2649,'февраль 2026'!$D$2:$D$2649,$B101,'февраль 2026'!$J$2:$J$2649,AA$1)</f>
        <v>0</v>
      </c>
      <c r="AB101" s="144">
        <f>SUMIFS('февраль 2026'!$G$2:$G$2649,'февраль 2026'!$D$2:$D$2649,$B101,'февраль 2026'!$J$2:$J$2649,AB$1)</f>
        <v>0</v>
      </c>
      <c r="AC101" s="144">
        <f>SUMIFS('февраль 2026'!$G$2:$G$2649,'февраль 2026'!$D$2:$D$2649,$B101,'февраль 2026'!$J$2:$J$2649,AC$1)</f>
        <v>0</v>
      </c>
      <c r="AD101" s="144">
        <f>SUMIFS('февраль 2026'!$G$2:$G$2649,'февраль 2026'!$D$2:$D$2649,$B101,'февраль 2026'!$J$2:$J$2649,AD$1)</f>
        <v>0</v>
      </c>
      <c r="AE101" s="144">
        <f>SUMIFS('февраль 2026'!$G$2:$G$2649,'февраль 2026'!$D$2:$D$2649,$B101,'февраль 2026'!$J$2:$J$2649,AE$1)</f>
        <v>0</v>
      </c>
      <c r="AF101" s="144">
        <f>SUMIFS('февраль 2026'!$G$2:$G$2649,'февраль 2026'!$D$2:$D$2649,$B101,'февраль 2026'!$J$2:$J$2649,AF$1)</f>
        <v>0</v>
      </c>
      <c r="AG101" s="144">
        <f>SUMIFS('февраль 2026'!$G$2:$G$2649,'февраль 2026'!$D$2:$D$2649,$B101,'февраль 2026'!$J$2:$J$2649,AG$1)</f>
        <v>0</v>
      </c>
      <c r="AH101" s="144">
        <f>SUMIFS('февраль 2026'!$G$2:$G$2649,'февраль 2026'!$D$2:$D$2649,$B101,'февраль 2026'!$J$2:$J$2649,AH$1)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SUMIFS('февраль 2026'!$G$2:$G$2649,'февраль 2026'!$D$2:$D$2649,$B102,'февраль 2026'!$J$2:$J$2649,D$1)</f>
        <v>0</v>
      </c>
      <c r="E102" s="144">
        <f>SUMIFS('февраль 2026'!$G$2:$G$2649,'февраль 2026'!$D$2:$D$2649,$B102,'февраль 2026'!$J$2:$J$2649,E$1)</f>
        <v>0</v>
      </c>
      <c r="F102" s="144">
        <f>SUMIFS('февраль 2026'!$G$2:$G$2649,'февраль 2026'!$D$2:$D$2649,$B102,'февраль 2026'!$J$2:$J$2649,F$1)</f>
        <v>0</v>
      </c>
      <c r="G102" s="144">
        <f>SUMIFS('февраль 2026'!$G$2:$G$2649,'февраль 2026'!$D$2:$D$2649,$B102,'февраль 2026'!$J$2:$J$2649,G$1)</f>
        <v>0</v>
      </c>
      <c r="H102" s="144">
        <f>SUMIFS('февраль 2026'!$G$2:$G$2649,'февраль 2026'!$D$2:$D$2649,$B102,'февраль 2026'!$J$2:$J$2649,H$1)</f>
        <v>0</v>
      </c>
      <c r="I102" s="144">
        <f>SUMIFS('февраль 2026'!$G$2:$G$2649,'февраль 2026'!$D$2:$D$2649,$B102,'февраль 2026'!$J$2:$J$2649,I$1)</f>
        <v>0</v>
      </c>
      <c r="J102" s="144">
        <f>SUMIFS('февраль 2026'!$G$2:$G$2649,'февраль 2026'!$D$2:$D$2649,$B102,'февраль 2026'!$J$2:$J$2649,J$1)</f>
        <v>0</v>
      </c>
      <c r="K102" s="144">
        <f>SUMIFS('февраль 2026'!$G$2:$G$2649,'февраль 2026'!$D$2:$D$2649,$B102,'февраль 2026'!$J$2:$J$2649,K$1)</f>
        <v>0</v>
      </c>
      <c r="L102" s="144">
        <f>SUMIFS('февраль 2026'!$G$2:$G$2649,'февраль 2026'!$D$2:$D$2649,$B102,'февраль 2026'!$J$2:$J$2649,L$1)</f>
        <v>0</v>
      </c>
      <c r="M102" s="144">
        <f>SUMIFS('февраль 2026'!$G$2:$G$2649,'февраль 2026'!$D$2:$D$2649,$B102,'февраль 2026'!$J$2:$J$2649,M$1)</f>
        <v>0</v>
      </c>
      <c r="N102" s="144">
        <f>SUMIFS('февраль 2026'!$G$2:$G$2649,'февраль 2026'!$D$2:$D$2649,$B102,'февраль 2026'!$J$2:$J$2649,N$1)</f>
        <v>0</v>
      </c>
      <c r="O102" s="144">
        <f>SUMIFS('февраль 2026'!$G$2:$G$2649,'февраль 2026'!$D$2:$D$2649,$B102,'февраль 2026'!$J$2:$J$2649,O$1)</f>
        <v>0</v>
      </c>
      <c r="P102" s="144">
        <f>SUMIFS('февраль 2026'!$G$2:$G$2649,'февраль 2026'!$D$2:$D$2649,$B102,'февраль 2026'!$J$2:$J$2649,P$1)</f>
        <v>0</v>
      </c>
      <c r="Q102" s="144">
        <f>SUMIFS('февраль 2026'!$G$2:$G$2649,'февраль 2026'!$D$2:$D$2649,$B102,'февраль 2026'!$J$2:$J$2649,Q$1)</f>
        <v>0</v>
      </c>
      <c r="R102" s="144">
        <f>SUMIFS('февраль 2026'!$G$2:$G$2649,'февраль 2026'!$D$2:$D$2649,$B102,'февраль 2026'!$J$2:$J$2649,R$1)</f>
        <v>0</v>
      </c>
      <c r="S102" s="144">
        <f>SUMIFS('февраль 2026'!$G$2:$G$2649,'февраль 2026'!$D$2:$D$2649,$B102,'февраль 2026'!$J$2:$J$2649,S$1)</f>
        <v>0</v>
      </c>
      <c r="T102" s="144">
        <f>SUMIFS('февраль 2026'!$G$2:$G$2649,'февраль 2026'!$D$2:$D$2649,$B102,'февраль 2026'!$J$2:$J$2649,T$1)</f>
        <v>0</v>
      </c>
      <c r="U102" s="144">
        <f>SUMIFS('февраль 2026'!$G$2:$G$2649,'февраль 2026'!$D$2:$D$2649,$B102,'февраль 2026'!$J$2:$J$2649,U$1)</f>
        <v>0</v>
      </c>
      <c r="V102" s="144">
        <f>SUMIFS('февраль 2026'!$G$2:$G$2649,'февраль 2026'!$D$2:$D$2649,$B102,'февраль 2026'!$J$2:$J$2649,V$1)</f>
        <v>0</v>
      </c>
      <c r="W102" s="144">
        <f>SUMIFS('февраль 2026'!$G$2:$G$2649,'февраль 2026'!$D$2:$D$2649,$B102,'февраль 2026'!$J$2:$J$2649,W$1)</f>
        <v>0</v>
      </c>
      <c r="X102" s="144">
        <f>SUMIFS('февраль 2026'!$G$2:$G$2649,'февраль 2026'!$D$2:$D$2649,$B102,'февраль 2026'!$J$2:$J$2649,X$1)</f>
        <v>0</v>
      </c>
      <c r="Y102" s="144">
        <f>SUMIFS('февраль 2026'!$G$2:$G$2649,'февраль 2026'!$D$2:$D$2649,$B102,'февраль 2026'!$J$2:$J$2649,Y$1)</f>
        <v>0</v>
      </c>
      <c r="Z102" s="144">
        <f>SUMIFS('февраль 2026'!$G$2:$G$2649,'февраль 2026'!$D$2:$D$2649,$B102,'февраль 2026'!$J$2:$J$2649,Z$1)</f>
        <v>0</v>
      </c>
      <c r="AA102" s="144">
        <f>SUMIFS('февраль 2026'!$G$2:$G$2649,'февраль 2026'!$D$2:$D$2649,$B102,'февраль 2026'!$J$2:$J$2649,AA$1)</f>
        <v>0</v>
      </c>
      <c r="AB102" s="144">
        <f>SUMIFS('февраль 2026'!$G$2:$G$2649,'февраль 2026'!$D$2:$D$2649,$B102,'февраль 2026'!$J$2:$J$2649,AB$1)</f>
        <v>0</v>
      </c>
      <c r="AC102" s="144">
        <f>SUMIFS('февраль 2026'!$G$2:$G$2649,'февраль 2026'!$D$2:$D$2649,$B102,'февраль 2026'!$J$2:$J$2649,AC$1)</f>
        <v>0</v>
      </c>
      <c r="AD102" s="144">
        <f>SUMIFS('февраль 2026'!$G$2:$G$2649,'февраль 2026'!$D$2:$D$2649,$B102,'февраль 2026'!$J$2:$J$2649,AD$1)</f>
        <v>0</v>
      </c>
      <c r="AE102" s="144">
        <f>SUMIFS('февраль 2026'!$G$2:$G$2649,'февраль 2026'!$D$2:$D$2649,$B102,'февраль 2026'!$J$2:$J$2649,AE$1)</f>
        <v>0</v>
      </c>
      <c r="AF102" s="144">
        <f>SUMIFS('февраль 2026'!$G$2:$G$2649,'февраль 2026'!$D$2:$D$2649,$B102,'февраль 2026'!$J$2:$J$2649,AF$1)</f>
        <v>0</v>
      </c>
      <c r="AG102" s="144">
        <f>SUMIFS('февраль 2026'!$G$2:$G$2649,'февраль 2026'!$D$2:$D$2649,$B102,'февраль 2026'!$J$2:$J$2649,AG$1)</f>
        <v>0</v>
      </c>
      <c r="AH102" s="144">
        <f>SUMIFS('февраль 2026'!$G$2:$G$2649,'февраль 2026'!$D$2:$D$2649,$B102,'февраль 2026'!$J$2:$J$2649,AH$1)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SUMIFS('февраль 2026'!$G$2:$G$2649,'февраль 2026'!$D$2:$D$2649,$B103,'февраль 2026'!$J$2:$J$2649,D$1)</f>
        <v>0</v>
      </c>
      <c r="E103" s="144">
        <f>SUMIFS('февраль 2026'!$G$2:$G$2649,'февраль 2026'!$D$2:$D$2649,$B103,'февраль 2026'!$J$2:$J$2649,E$1)</f>
        <v>0</v>
      </c>
      <c r="F103" s="144">
        <f>SUMIFS('февраль 2026'!$G$2:$G$2649,'февраль 2026'!$D$2:$D$2649,$B103,'февраль 2026'!$J$2:$J$2649,F$1)</f>
        <v>0</v>
      </c>
      <c r="G103" s="144">
        <f>SUMIFS('февраль 2026'!$G$2:$G$2649,'февраль 2026'!$D$2:$D$2649,$B103,'февраль 2026'!$J$2:$J$2649,G$1)</f>
        <v>0</v>
      </c>
      <c r="H103" s="144">
        <f>SUMIFS('февраль 2026'!$G$2:$G$2649,'февраль 2026'!$D$2:$D$2649,$B103,'февраль 2026'!$J$2:$J$2649,H$1)</f>
        <v>0</v>
      </c>
      <c r="I103" s="144">
        <f>SUMIFS('февраль 2026'!$G$2:$G$2649,'февраль 2026'!$D$2:$D$2649,$B103,'февраль 2026'!$J$2:$J$2649,I$1)</f>
        <v>0</v>
      </c>
      <c r="J103" s="144">
        <f>SUMIFS('февраль 2026'!$G$2:$G$2649,'февраль 2026'!$D$2:$D$2649,$B103,'февраль 2026'!$J$2:$J$2649,J$1)</f>
        <v>0</v>
      </c>
      <c r="K103" s="144">
        <f>SUMIFS('февраль 2026'!$G$2:$G$2649,'февраль 2026'!$D$2:$D$2649,$B103,'февраль 2026'!$J$2:$J$2649,K$1)</f>
        <v>0</v>
      </c>
      <c r="L103" s="144">
        <f>SUMIFS('февраль 2026'!$G$2:$G$2649,'февраль 2026'!$D$2:$D$2649,$B103,'февраль 2026'!$J$2:$J$2649,L$1)</f>
        <v>0</v>
      </c>
      <c r="M103" s="144">
        <f>SUMIFS('февраль 2026'!$G$2:$G$2649,'февраль 2026'!$D$2:$D$2649,$B103,'февраль 2026'!$J$2:$J$2649,M$1)</f>
        <v>0</v>
      </c>
      <c r="N103" s="144">
        <f>SUMIFS('февраль 2026'!$G$2:$G$2649,'февраль 2026'!$D$2:$D$2649,$B103,'февраль 2026'!$J$2:$J$2649,N$1)</f>
        <v>0</v>
      </c>
      <c r="O103" s="144">
        <f>SUMIFS('февраль 2026'!$G$2:$G$2649,'февраль 2026'!$D$2:$D$2649,$B103,'февраль 2026'!$J$2:$J$2649,O$1)</f>
        <v>0</v>
      </c>
      <c r="P103" s="144">
        <f>SUMIFS('февраль 2026'!$G$2:$G$2649,'февраль 2026'!$D$2:$D$2649,$B103,'февраль 2026'!$J$2:$J$2649,P$1)</f>
        <v>0</v>
      </c>
      <c r="Q103" s="144">
        <f>SUMIFS('февраль 2026'!$G$2:$G$2649,'февраль 2026'!$D$2:$D$2649,$B103,'февраль 2026'!$J$2:$J$2649,Q$1)</f>
        <v>0</v>
      </c>
      <c r="R103" s="144">
        <f>SUMIFS('февраль 2026'!$G$2:$G$2649,'февраль 2026'!$D$2:$D$2649,$B103,'февраль 2026'!$J$2:$J$2649,R$1)</f>
        <v>0</v>
      </c>
      <c r="S103" s="144">
        <f>SUMIFS('февраль 2026'!$G$2:$G$2649,'февраль 2026'!$D$2:$D$2649,$B103,'февраль 2026'!$J$2:$J$2649,S$1)</f>
        <v>0</v>
      </c>
      <c r="T103" s="144">
        <f>SUMIFS('февраль 2026'!$G$2:$G$2649,'февраль 2026'!$D$2:$D$2649,$B103,'февраль 2026'!$J$2:$J$2649,T$1)</f>
        <v>0</v>
      </c>
      <c r="U103" s="144">
        <f>SUMIFS('февраль 2026'!$G$2:$G$2649,'февраль 2026'!$D$2:$D$2649,$B103,'февраль 2026'!$J$2:$J$2649,U$1)</f>
        <v>0</v>
      </c>
      <c r="V103" s="144">
        <f>SUMIFS('февраль 2026'!$G$2:$G$2649,'февраль 2026'!$D$2:$D$2649,$B103,'февраль 2026'!$J$2:$J$2649,V$1)</f>
        <v>0</v>
      </c>
      <c r="W103" s="144">
        <f>SUMIFS('февраль 2026'!$G$2:$G$2649,'февраль 2026'!$D$2:$D$2649,$B103,'февраль 2026'!$J$2:$J$2649,W$1)</f>
        <v>0</v>
      </c>
      <c r="X103" s="144">
        <f>SUMIFS('февраль 2026'!$G$2:$G$2649,'февраль 2026'!$D$2:$D$2649,$B103,'февраль 2026'!$J$2:$J$2649,X$1)</f>
        <v>0</v>
      </c>
      <c r="Y103" s="144">
        <f>SUMIFS('февраль 2026'!$G$2:$G$2649,'февраль 2026'!$D$2:$D$2649,$B103,'февраль 2026'!$J$2:$J$2649,Y$1)</f>
        <v>0</v>
      </c>
      <c r="Z103" s="144">
        <f>SUMIFS('февраль 2026'!$G$2:$G$2649,'февраль 2026'!$D$2:$D$2649,$B103,'февраль 2026'!$J$2:$J$2649,Z$1)</f>
        <v>0</v>
      </c>
      <c r="AA103" s="144">
        <f>SUMIFS('февраль 2026'!$G$2:$G$2649,'февраль 2026'!$D$2:$D$2649,$B103,'февраль 2026'!$J$2:$J$2649,AA$1)</f>
        <v>0</v>
      </c>
      <c r="AB103" s="144">
        <f>SUMIFS('февраль 2026'!$G$2:$G$2649,'февраль 2026'!$D$2:$D$2649,$B103,'февраль 2026'!$J$2:$J$2649,AB$1)</f>
        <v>0</v>
      </c>
      <c r="AC103" s="144">
        <f>SUMIFS('февраль 2026'!$G$2:$G$2649,'февраль 2026'!$D$2:$D$2649,$B103,'февраль 2026'!$J$2:$J$2649,AC$1)</f>
        <v>0</v>
      </c>
      <c r="AD103" s="144">
        <f>SUMIFS('февраль 2026'!$G$2:$G$2649,'февраль 2026'!$D$2:$D$2649,$B103,'февраль 2026'!$J$2:$J$2649,AD$1)</f>
        <v>0</v>
      </c>
      <c r="AE103" s="144">
        <f>SUMIFS('февраль 2026'!$G$2:$G$2649,'февраль 2026'!$D$2:$D$2649,$B103,'февраль 2026'!$J$2:$J$2649,AE$1)</f>
        <v>0</v>
      </c>
      <c r="AF103" s="144">
        <f>SUMIFS('февраль 2026'!$G$2:$G$2649,'февраль 2026'!$D$2:$D$2649,$B103,'февраль 2026'!$J$2:$J$2649,AF$1)</f>
        <v>0</v>
      </c>
      <c r="AG103" s="144">
        <f>SUMIFS('февраль 2026'!$G$2:$G$2649,'февраль 2026'!$D$2:$D$2649,$B103,'февраль 2026'!$J$2:$J$2649,AG$1)</f>
        <v>0</v>
      </c>
      <c r="AH103" s="144">
        <f>SUMIFS('февраль 2026'!$G$2:$G$2649,'февраль 2026'!$D$2:$D$2649,$B103,'февраль 2026'!$J$2:$J$2649,AH$1)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SUMIFS('февраль 2026'!$G$2:$G$2649,'февраль 2026'!$D$2:$D$2649,$B104,'февраль 2026'!$J$2:$J$2649,D$1)</f>
        <v>0</v>
      </c>
      <c r="E104" s="144">
        <f>SUMIFS('февраль 2026'!$G$2:$G$2649,'февраль 2026'!$D$2:$D$2649,$B104,'февраль 2026'!$J$2:$J$2649,E$1)</f>
        <v>0</v>
      </c>
      <c r="F104" s="144">
        <f>SUMIFS('февраль 2026'!$G$2:$G$2649,'февраль 2026'!$D$2:$D$2649,$B104,'февраль 2026'!$J$2:$J$2649,F$1)</f>
        <v>0</v>
      </c>
      <c r="G104" s="144">
        <f>SUMIFS('февраль 2026'!$G$2:$G$2649,'февраль 2026'!$D$2:$D$2649,$B104,'февраль 2026'!$J$2:$J$2649,G$1)</f>
        <v>0</v>
      </c>
      <c r="H104" s="144">
        <f>SUMIFS('февраль 2026'!$G$2:$G$2649,'февраль 2026'!$D$2:$D$2649,$B104,'февраль 2026'!$J$2:$J$2649,H$1)</f>
        <v>0</v>
      </c>
      <c r="I104" s="144">
        <f>SUMIFS('февраль 2026'!$G$2:$G$2649,'февраль 2026'!$D$2:$D$2649,$B104,'февраль 2026'!$J$2:$J$2649,I$1)</f>
        <v>0</v>
      </c>
      <c r="J104" s="144">
        <f>SUMIFS('февраль 2026'!$G$2:$G$2649,'февраль 2026'!$D$2:$D$2649,$B104,'февраль 2026'!$J$2:$J$2649,J$1)</f>
        <v>0</v>
      </c>
      <c r="K104" s="144">
        <f>SUMIFS('февраль 2026'!$G$2:$G$2649,'февраль 2026'!$D$2:$D$2649,$B104,'февраль 2026'!$J$2:$J$2649,K$1)</f>
        <v>0</v>
      </c>
      <c r="L104" s="144">
        <f>SUMIFS('февраль 2026'!$G$2:$G$2649,'февраль 2026'!$D$2:$D$2649,$B104,'февраль 2026'!$J$2:$J$2649,L$1)</f>
        <v>0</v>
      </c>
      <c r="M104" s="144">
        <f>SUMIFS('февраль 2026'!$G$2:$G$2649,'февраль 2026'!$D$2:$D$2649,$B104,'февраль 2026'!$J$2:$J$2649,M$1)</f>
        <v>0</v>
      </c>
      <c r="N104" s="144">
        <f>SUMIFS('февраль 2026'!$G$2:$G$2649,'февраль 2026'!$D$2:$D$2649,$B104,'февраль 2026'!$J$2:$J$2649,N$1)</f>
        <v>0</v>
      </c>
      <c r="O104" s="144">
        <f>SUMIFS('февраль 2026'!$G$2:$G$2649,'февраль 2026'!$D$2:$D$2649,$B104,'февраль 2026'!$J$2:$J$2649,O$1)</f>
        <v>0</v>
      </c>
      <c r="P104" s="144">
        <f>SUMIFS('февраль 2026'!$G$2:$G$2649,'февраль 2026'!$D$2:$D$2649,$B104,'февраль 2026'!$J$2:$J$2649,P$1)</f>
        <v>0</v>
      </c>
      <c r="Q104" s="144">
        <f>SUMIFS('февраль 2026'!$G$2:$G$2649,'февраль 2026'!$D$2:$D$2649,$B104,'февраль 2026'!$J$2:$J$2649,Q$1)</f>
        <v>0</v>
      </c>
      <c r="R104" s="144">
        <f>SUMIFS('февраль 2026'!$G$2:$G$2649,'февраль 2026'!$D$2:$D$2649,$B104,'февраль 2026'!$J$2:$J$2649,R$1)</f>
        <v>0</v>
      </c>
      <c r="S104" s="144">
        <f>SUMIFS('февраль 2026'!$G$2:$G$2649,'февраль 2026'!$D$2:$D$2649,$B104,'февраль 2026'!$J$2:$J$2649,S$1)</f>
        <v>0</v>
      </c>
      <c r="T104" s="144">
        <f>SUMIFS('февраль 2026'!$G$2:$G$2649,'февраль 2026'!$D$2:$D$2649,$B104,'февраль 2026'!$J$2:$J$2649,T$1)</f>
        <v>0</v>
      </c>
      <c r="U104" s="144">
        <f>SUMIFS('февраль 2026'!$G$2:$G$2649,'февраль 2026'!$D$2:$D$2649,$B104,'февраль 2026'!$J$2:$J$2649,U$1)</f>
        <v>0</v>
      </c>
      <c r="V104" s="144">
        <f>SUMIFS('февраль 2026'!$G$2:$G$2649,'февраль 2026'!$D$2:$D$2649,$B104,'февраль 2026'!$J$2:$J$2649,V$1)</f>
        <v>0</v>
      </c>
      <c r="W104" s="144">
        <f>SUMIFS('февраль 2026'!$G$2:$G$2649,'февраль 2026'!$D$2:$D$2649,$B104,'февраль 2026'!$J$2:$J$2649,W$1)</f>
        <v>0</v>
      </c>
      <c r="X104" s="144">
        <f>SUMIFS('февраль 2026'!$G$2:$G$2649,'февраль 2026'!$D$2:$D$2649,$B104,'февраль 2026'!$J$2:$J$2649,X$1)</f>
        <v>0</v>
      </c>
      <c r="Y104" s="144">
        <f>SUMIFS('февраль 2026'!$G$2:$G$2649,'февраль 2026'!$D$2:$D$2649,$B104,'февраль 2026'!$J$2:$J$2649,Y$1)</f>
        <v>0</v>
      </c>
      <c r="Z104" s="144">
        <f>SUMIFS('февраль 2026'!$G$2:$G$2649,'февраль 2026'!$D$2:$D$2649,$B104,'февраль 2026'!$J$2:$J$2649,Z$1)</f>
        <v>0</v>
      </c>
      <c r="AA104" s="144">
        <f>SUMIFS('февраль 2026'!$G$2:$G$2649,'февраль 2026'!$D$2:$D$2649,$B104,'февраль 2026'!$J$2:$J$2649,AA$1)</f>
        <v>0</v>
      </c>
      <c r="AB104" s="144">
        <f>SUMIFS('февраль 2026'!$G$2:$G$2649,'февраль 2026'!$D$2:$D$2649,$B104,'февраль 2026'!$J$2:$J$2649,AB$1)</f>
        <v>0</v>
      </c>
      <c r="AC104" s="144">
        <f>SUMIFS('февраль 2026'!$G$2:$G$2649,'февраль 2026'!$D$2:$D$2649,$B104,'февраль 2026'!$J$2:$J$2649,AC$1)</f>
        <v>0</v>
      </c>
      <c r="AD104" s="144">
        <f>SUMIFS('февраль 2026'!$G$2:$G$2649,'февраль 2026'!$D$2:$D$2649,$B104,'февраль 2026'!$J$2:$J$2649,AD$1)</f>
        <v>0</v>
      </c>
      <c r="AE104" s="144">
        <f>SUMIFS('февраль 2026'!$G$2:$G$2649,'февраль 2026'!$D$2:$D$2649,$B104,'февраль 2026'!$J$2:$J$2649,AE$1)</f>
        <v>0</v>
      </c>
      <c r="AF104" s="144">
        <f>SUMIFS('февраль 2026'!$G$2:$G$2649,'февраль 2026'!$D$2:$D$2649,$B104,'февраль 2026'!$J$2:$J$2649,AF$1)</f>
        <v>0</v>
      </c>
      <c r="AG104" s="144">
        <f>SUMIFS('февраль 2026'!$G$2:$G$2649,'февраль 2026'!$D$2:$D$2649,$B104,'февраль 2026'!$J$2:$J$2649,AG$1)</f>
        <v>0</v>
      </c>
      <c r="AH104" s="144">
        <f>SUMIFS('февраль 2026'!$G$2:$G$2649,'февраль 2026'!$D$2:$D$2649,$B104,'февраль 2026'!$J$2:$J$2649,AH$1)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SUMIFS('февраль 2026'!$G$2:$G$2649,'февраль 2026'!$D$2:$D$2649,$B105,'февраль 2026'!$J$2:$J$2649,D$1)</f>
        <v>0</v>
      </c>
      <c r="E105" s="144">
        <f>SUMIFS('февраль 2026'!$G$2:$G$2649,'февраль 2026'!$D$2:$D$2649,$B105,'февраль 2026'!$J$2:$J$2649,E$1)</f>
        <v>0</v>
      </c>
      <c r="F105" s="144">
        <f>SUMIFS('февраль 2026'!$G$2:$G$2649,'февраль 2026'!$D$2:$D$2649,$B105,'февраль 2026'!$J$2:$J$2649,F$1)</f>
        <v>0</v>
      </c>
      <c r="G105" s="144">
        <f>SUMIFS('февраль 2026'!$G$2:$G$2649,'февраль 2026'!$D$2:$D$2649,$B105,'февраль 2026'!$J$2:$J$2649,G$1)</f>
        <v>0</v>
      </c>
      <c r="H105" s="144">
        <f>SUMIFS('февраль 2026'!$G$2:$G$2649,'февраль 2026'!$D$2:$D$2649,$B105,'февраль 2026'!$J$2:$J$2649,H$1)</f>
        <v>0</v>
      </c>
      <c r="I105" s="144">
        <f>SUMIFS('февраль 2026'!$G$2:$G$2649,'февраль 2026'!$D$2:$D$2649,$B105,'февраль 2026'!$J$2:$J$2649,I$1)</f>
        <v>0</v>
      </c>
      <c r="J105" s="144">
        <f>SUMIFS('февраль 2026'!$G$2:$G$2649,'февраль 2026'!$D$2:$D$2649,$B105,'февраль 2026'!$J$2:$J$2649,J$1)</f>
        <v>0</v>
      </c>
      <c r="K105" s="144">
        <f>SUMIFS('февраль 2026'!$G$2:$G$2649,'февраль 2026'!$D$2:$D$2649,$B105,'февраль 2026'!$J$2:$J$2649,K$1)</f>
        <v>0</v>
      </c>
      <c r="L105" s="144">
        <f>SUMIFS('февраль 2026'!$G$2:$G$2649,'февраль 2026'!$D$2:$D$2649,$B105,'февраль 2026'!$J$2:$J$2649,L$1)</f>
        <v>0</v>
      </c>
      <c r="M105" s="144">
        <f>SUMIFS('февраль 2026'!$G$2:$G$2649,'февраль 2026'!$D$2:$D$2649,$B105,'февраль 2026'!$J$2:$J$2649,M$1)</f>
        <v>0</v>
      </c>
      <c r="N105" s="144">
        <f>SUMIFS('февраль 2026'!$G$2:$G$2649,'февраль 2026'!$D$2:$D$2649,$B105,'февраль 2026'!$J$2:$J$2649,N$1)</f>
        <v>0</v>
      </c>
      <c r="O105" s="144">
        <f>SUMIFS('февраль 2026'!$G$2:$G$2649,'февраль 2026'!$D$2:$D$2649,$B105,'февраль 2026'!$J$2:$J$2649,O$1)</f>
        <v>0</v>
      </c>
      <c r="P105" s="144">
        <f>SUMIFS('февраль 2026'!$G$2:$G$2649,'февраль 2026'!$D$2:$D$2649,$B105,'февраль 2026'!$J$2:$J$2649,P$1)</f>
        <v>0</v>
      </c>
      <c r="Q105" s="144">
        <f>SUMIFS('февраль 2026'!$G$2:$G$2649,'февраль 2026'!$D$2:$D$2649,$B105,'февраль 2026'!$J$2:$J$2649,Q$1)</f>
        <v>0</v>
      </c>
      <c r="R105" s="144">
        <f>SUMIFS('февраль 2026'!$G$2:$G$2649,'февраль 2026'!$D$2:$D$2649,$B105,'февраль 2026'!$J$2:$J$2649,R$1)</f>
        <v>0</v>
      </c>
      <c r="S105" s="144">
        <f>SUMIFS('февраль 2026'!$G$2:$G$2649,'февраль 2026'!$D$2:$D$2649,$B105,'февраль 2026'!$J$2:$J$2649,S$1)</f>
        <v>0</v>
      </c>
      <c r="T105" s="144">
        <f>SUMIFS('февраль 2026'!$G$2:$G$2649,'февраль 2026'!$D$2:$D$2649,$B105,'февраль 2026'!$J$2:$J$2649,T$1)</f>
        <v>0</v>
      </c>
      <c r="U105" s="144">
        <f>SUMIFS('февраль 2026'!$G$2:$G$2649,'февраль 2026'!$D$2:$D$2649,$B105,'февраль 2026'!$J$2:$J$2649,U$1)</f>
        <v>0</v>
      </c>
      <c r="V105" s="144">
        <f>SUMIFS('февраль 2026'!$G$2:$G$2649,'февраль 2026'!$D$2:$D$2649,$B105,'февраль 2026'!$J$2:$J$2649,V$1)</f>
        <v>0</v>
      </c>
      <c r="W105" s="144">
        <f>SUMIFS('февраль 2026'!$G$2:$G$2649,'февраль 2026'!$D$2:$D$2649,$B105,'февраль 2026'!$J$2:$J$2649,W$1)</f>
        <v>0</v>
      </c>
      <c r="X105" s="144">
        <f>SUMIFS('февраль 2026'!$G$2:$G$2649,'февраль 2026'!$D$2:$D$2649,$B105,'февраль 2026'!$J$2:$J$2649,X$1)</f>
        <v>0</v>
      </c>
      <c r="Y105" s="144">
        <f>SUMIFS('февраль 2026'!$G$2:$G$2649,'февраль 2026'!$D$2:$D$2649,$B105,'февраль 2026'!$J$2:$J$2649,Y$1)</f>
        <v>0</v>
      </c>
      <c r="Z105" s="144">
        <f>SUMIFS('февраль 2026'!$G$2:$G$2649,'февраль 2026'!$D$2:$D$2649,$B105,'февраль 2026'!$J$2:$J$2649,Z$1)</f>
        <v>0</v>
      </c>
      <c r="AA105" s="144">
        <f>SUMIFS('февраль 2026'!$G$2:$G$2649,'февраль 2026'!$D$2:$D$2649,$B105,'февраль 2026'!$J$2:$J$2649,AA$1)</f>
        <v>0</v>
      </c>
      <c r="AB105" s="144">
        <f>SUMIFS('февраль 2026'!$G$2:$G$2649,'февраль 2026'!$D$2:$D$2649,$B105,'февраль 2026'!$J$2:$J$2649,AB$1)</f>
        <v>0</v>
      </c>
      <c r="AC105" s="144">
        <f>SUMIFS('февраль 2026'!$G$2:$G$2649,'февраль 2026'!$D$2:$D$2649,$B105,'февраль 2026'!$J$2:$J$2649,AC$1)</f>
        <v>0</v>
      </c>
      <c r="AD105" s="144">
        <f>SUMIFS('февраль 2026'!$G$2:$G$2649,'февраль 2026'!$D$2:$D$2649,$B105,'февраль 2026'!$J$2:$J$2649,AD$1)</f>
        <v>0</v>
      </c>
      <c r="AE105" s="144">
        <f>SUMIFS('февраль 2026'!$G$2:$G$2649,'февраль 2026'!$D$2:$D$2649,$B105,'февраль 2026'!$J$2:$J$2649,AE$1)</f>
        <v>0</v>
      </c>
      <c r="AF105" s="144">
        <f>SUMIFS('февраль 2026'!$G$2:$G$2649,'февраль 2026'!$D$2:$D$2649,$B105,'февраль 2026'!$J$2:$J$2649,AF$1)</f>
        <v>0</v>
      </c>
      <c r="AG105" s="144">
        <f>SUMIFS('февраль 2026'!$G$2:$G$2649,'февраль 2026'!$D$2:$D$2649,$B105,'февраль 2026'!$J$2:$J$2649,AG$1)</f>
        <v>0</v>
      </c>
      <c r="AH105" s="144">
        <f>SUMIFS('февраль 2026'!$G$2:$G$2649,'февраль 2026'!$D$2:$D$2649,$B105,'февраль 2026'!$J$2:$J$2649,AH$1)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SUMIFS('февраль 2026'!$G$2:$G$2649,'февраль 2026'!$D$2:$D$2649,$B106,'февраль 2026'!$J$2:$J$2649,D$1)</f>
        <v>0</v>
      </c>
      <c r="E106" s="144">
        <f>SUMIFS('февраль 2026'!$G$2:$G$2649,'февраль 2026'!$D$2:$D$2649,$B106,'февраль 2026'!$J$2:$J$2649,E$1)</f>
        <v>0</v>
      </c>
      <c r="F106" s="144">
        <f>SUMIFS('февраль 2026'!$G$2:$G$2649,'февраль 2026'!$D$2:$D$2649,$B106,'февраль 2026'!$J$2:$J$2649,F$1)</f>
        <v>0</v>
      </c>
      <c r="G106" s="144">
        <f>SUMIFS('февраль 2026'!$G$2:$G$2649,'февраль 2026'!$D$2:$D$2649,$B106,'февраль 2026'!$J$2:$J$2649,G$1)</f>
        <v>0</v>
      </c>
      <c r="H106" s="144">
        <f>SUMIFS('февраль 2026'!$G$2:$G$2649,'февраль 2026'!$D$2:$D$2649,$B106,'февраль 2026'!$J$2:$J$2649,H$1)</f>
        <v>0</v>
      </c>
      <c r="I106" s="144">
        <f>SUMIFS('февраль 2026'!$G$2:$G$2649,'февраль 2026'!$D$2:$D$2649,$B106,'февраль 2026'!$J$2:$J$2649,I$1)</f>
        <v>0</v>
      </c>
      <c r="J106" s="144">
        <f>SUMIFS('февраль 2026'!$G$2:$G$2649,'февраль 2026'!$D$2:$D$2649,$B106,'февраль 2026'!$J$2:$J$2649,J$1)</f>
        <v>0</v>
      </c>
      <c r="K106" s="144">
        <f>SUMIFS('февраль 2026'!$G$2:$G$2649,'февраль 2026'!$D$2:$D$2649,$B106,'февраль 2026'!$J$2:$J$2649,K$1)</f>
        <v>0</v>
      </c>
      <c r="L106" s="144">
        <f>SUMIFS('февраль 2026'!$G$2:$G$2649,'февраль 2026'!$D$2:$D$2649,$B106,'февраль 2026'!$J$2:$J$2649,L$1)</f>
        <v>0</v>
      </c>
      <c r="M106" s="144">
        <f>SUMIFS('февраль 2026'!$G$2:$G$2649,'февраль 2026'!$D$2:$D$2649,$B106,'февраль 2026'!$J$2:$J$2649,M$1)</f>
        <v>0</v>
      </c>
      <c r="N106" s="144">
        <f>SUMIFS('февраль 2026'!$G$2:$G$2649,'февраль 2026'!$D$2:$D$2649,$B106,'февраль 2026'!$J$2:$J$2649,N$1)</f>
        <v>0</v>
      </c>
      <c r="O106" s="144">
        <f>SUMIFS('февраль 2026'!$G$2:$G$2649,'февраль 2026'!$D$2:$D$2649,$B106,'февраль 2026'!$J$2:$J$2649,O$1)</f>
        <v>0</v>
      </c>
      <c r="P106" s="144">
        <f>SUMIFS('февраль 2026'!$G$2:$G$2649,'февраль 2026'!$D$2:$D$2649,$B106,'февраль 2026'!$J$2:$J$2649,P$1)</f>
        <v>0</v>
      </c>
      <c r="Q106" s="144">
        <f>SUMIFS('февраль 2026'!$G$2:$G$2649,'февраль 2026'!$D$2:$D$2649,$B106,'февраль 2026'!$J$2:$J$2649,Q$1)</f>
        <v>0</v>
      </c>
      <c r="R106" s="144">
        <f>SUMIFS('февраль 2026'!$G$2:$G$2649,'февраль 2026'!$D$2:$D$2649,$B106,'февраль 2026'!$J$2:$J$2649,R$1)</f>
        <v>0</v>
      </c>
      <c r="S106" s="144">
        <f>SUMIFS('февраль 2026'!$G$2:$G$2649,'февраль 2026'!$D$2:$D$2649,$B106,'февраль 2026'!$J$2:$J$2649,S$1)</f>
        <v>0</v>
      </c>
      <c r="T106" s="144">
        <f>SUMIFS('февраль 2026'!$G$2:$G$2649,'февраль 2026'!$D$2:$D$2649,$B106,'февраль 2026'!$J$2:$J$2649,T$1)</f>
        <v>0</v>
      </c>
      <c r="U106" s="144">
        <f>SUMIFS('февраль 2026'!$G$2:$G$2649,'февраль 2026'!$D$2:$D$2649,$B106,'февраль 2026'!$J$2:$J$2649,U$1)</f>
        <v>0</v>
      </c>
      <c r="V106" s="144">
        <f>SUMIFS('февраль 2026'!$G$2:$G$2649,'февраль 2026'!$D$2:$D$2649,$B106,'февраль 2026'!$J$2:$J$2649,V$1)</f>
        <v>0</v>
      </c>
      <c r="W106" s="144">
        <f>SUMIFS('февраль 2026'!$G$2:$G$2649,'февраль 2026'!$D$2:$D$2649,$B106,'февраль 2026'!$J$2:$J$2649,W$1)</f>
        <v>0</v>
      </c>
      <c r="X106" s="144">
        <f>SUMIFS('февраль 2026'!$G$2:$G$2649,'февраль 2026'!$D$2:$D$2649,$B106,'февраль 2026'!$J$2:$J$2649,X$1)</f>
        <v>0</v>
      </c>
      <c r="Y106" s="144">
        <f>SUMIFS('февраль 2026'!$G$2:$G$2649,'февраль 2026'!$D$2:$D$2649,$B106,'февраль 2026'!$J$2:$J$2649,Y$1)</f>
        <v>0</v>
      </c>
      <c r="Z106" s="144">
        <f>SUMIFS('февраль 2026'!$G$2:$G$2649,'февраль 2026'!$D$2:$D$2649,$B106,'февраль 2026'!$J$2:$J$2649,Z$1)</f>
        <v>0</v>
      </c>
      <c r="AA106" s="144">
        <f>SUMIFS('февраль 2026'!$G$2:$G$2649,'февраль 2026'!$D$2:$D$2649,$B106,'февраль 2026'!$J$2:$J$2649,AA$1)</f>
        <v>0</v>
      </c>
      <c r="AB106" s="144">
        <f>SUMIFS('февраль 2026'!$G$2:$G$2649,'февраль 2026'!$D$2:$D$2649,$B106,'февраль 2026'!$J$2:$J$2649,AB$1)</f>
        <v>0</v>
      </c>
      <c r="AC106" s="144">
        <f>SUMIFS('февраль 2026'!$G$2:$G$2649,'февраль 2026'!$D$2:$D$2649,$B106,'февраль 2026'!$J$2:$J$2649,AC$1)</f>
        <v>0</v>
      </c>
      <c r="AD106" s="144">
        <f>SUMIFS('февраль 2026'!$G$2:$G$2649,'февраль 2026'!$D$2:$D$2649,$B106,'февраль 2026'!$J$2:$J$2649,AD$1)</f>
        <v>0</v>
      </c>
      <c r="AE106" s="144">
        <f>SUMIFS('февраль 2026'!$G$2:$G$2649,'февраль 2026'!$D$2:$D$2649,$B106,'февраль 2026'!$J$2:$J$2649,AE$1)</f>
        <v>0</v>
      </c>
      <c r="AF106" s="144">
        <f>SUMIFS('февраль 2026'!$G$2:$G$2649,'февраль 2026'!$D$2:$D$2649,$B106,'февраль 2026'!$J$2:$J$2649,AF$1)</f>
        <v>0</v>
      </c>
      <c r="AG106" s="144">
        <f>SUMIFS('февраль 2026'!$G$2:$G$2649,'февраль 2026'!$D$2:$D$2649,$B106,'февраль 2026'!$J$2:$J$2649,AG$1)</f>
        <v>0</v>
      </c>
      <c r="AH106" s="144">
        <f>SUMIFS('февраль 2026'!$G$2:$G$2649,'февраль 2026'!$D$2:$D$2649,$B106,'февраль 2026'!$J$2:$J$2649,AH$1)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SUMIFS('февраль 2026'!$G$2:$G$2649,'февраль 2026'!$D$2:$D$2649,$B107,'февраль 2026'!$J$2:$J$2649,D$1)</f>
        <v>0</v>
      </c>
      <c r="E107" s="144">
        <f>SUMIFS('февраль 2026'!$G$2:$G$2649,'февраль 2026'!$D$2:$D$2649,$B107,'февраль 2026'!$J$2:$J$2649,E$1)</f>
        <v>0</v>
      </c>
      <c r="F107" s="144">
        <f>SUMIFS('февраль 2026'!$G$2:$G$2649,'февраль 2026'!$D$2:$D$2649,$B107,'февраль 2026'!$J$2:$J$2649,F$1)</f>
        <v>0</v>
      </c>
      <c r="G107" s="144">
        <f>SUMIFS('февраль 2026'!$G$2:$G$2649,'февраль 2026'!$D$2:$D$2649,$B107,'февраль 2026'!$J$2:$J$2649,G$1)</f>
        <v>0</v>
      </c>
      <c r="H107" s="144">
        <f>SUMIFS('февраль 2026'!$G$2:$G$2649,'февраль 2026'!$D$2:$D$2649,$B107,'февраль 2026'!$J$2:$J$2649,H$1)</f>
        <v>0</v>
      </c>
      <c r="I107" s="144">
        <f>SUMIFS('февраль 2026'!$G$2:$G$2649,'февраль 2026'!$D$2:$D$2649,$B107,'февраль 2026'!$J$2:$J$2649,I$1)</f>
        <v>0</v>
      </c>
      <c r="J107" s="144">
        <f>SUMIFS('февраль 2026'!$G$2:$G$2649,'февраль 2026'!$D$2:$D$2649,$B107,'февраль 2026'!$J$2:$J$2649,J$1)</f>
        <v>0</v>
      </c>
      <c r="K107" s="144">
        <f>SUMIFS('февраль 2026'!$G$2:$G$2649,'февраль 2026'!$D$2:$D$2649,$B107,'февраль 2026'!$J$2:$J$2649,K$1)</f>
        <v>0</v>
      </c>
      <c r="L107" s="144">
        <f>SUMIFS('февраль 2026'!$G$2:$G$2649,'февраль 2026'!$D$2:$D$2649,$B107,'февраль 2026'!$J$2:$J$2649,L$1)</f>
        <v>0</v>
      </c>
      <c r="M107" s="144">
        <f>SUMIFS('февраль 2026'!$G$2:$G$2649,'февраль 2026'!$D$2:$D$2649,$B107,'февраль 2026'!$J$2:$J$2649,M$1)</f>
        <v>0</v>
      </c>
      <c r="N107" s="144">
        <f>SUMIFS('февраль 2026'!$G$2:$G$2649,'февраль 2026'!$D$2:$D$2649,$B107,'февраль 2026'!$J$2:$J$2649,N$1)</f>
        <v>0</v>
      </c>
      <c r="O107" s="144">
        <f>SUMIFS('февраль 2026'!$G$2:$G$2649,'февраль 2026'!$D$2:$D$2649,$B107,'февраль 2026'!$J$2:$J$2649,O$1)</f>
        <v>0</v>
      </c>
      <c r="P107" s="144">
        <f>SUMIFS('февраль 2026'!$G$2:$G$2649,'февраль 2026'!$D$2:$D$2649,$B107,'февраль 2026'!$J$2:$J$2649,P$1)</f>
        <v>0</v>
      </c>
      <c r="Q107" s="144">
        <f>SUMIFS('февраль 2026'!$G$2:$G$2649,'февраль 2026'!$D$2:$D$2649,$B107,'февраль 2026'!$J$2:$J$2649,Q$1)</f>
        <v>0</v>
      </c>
      <c r="R107" s="144">
        <f>SUMIFS('февраль 2026'!$G$2:$G$2649,'февраль 2026'!$D$2:$D$2649,$B107,'февраль 2026'!$J$2:$J$2649,R$1)</f>
        <v>0</v>
      </c>
      <c r="S107" s="144">
        <f>SUMIFS('февраль 2026'!$G$2:$G$2649,'февраль 2026'!$D$2:$D$2649,$B107,'февраль 2026'!$J$2:$J$2649,S$1)</f>
        <v>0</v>
      </c>
      <c r="T107" s="144">
        <f>SUMIFS('февраль 2026'!$G$2:$G$2649,'февраль 2026'!$D$2:$D$2649,$B107,'февраль 2026'!$J$2:$J$2649,T$1)</f>
        <v>0</v>
      </c>
      <c r="U107" s="144">
        <f>SUMIFS('февраль 2026'!$G$2:$G$2649,'февраль 2026'!$D$2:$D$2649,$B107,'февраль 2026'!$J$2:$J$2649,U$1)</f>
        <v>0</v>
      </c>
      <c r="V107" s="144">
        <f>SUMIFS('февраль 2026'!$G$2:$G$2649,'февраль 2026'!$D$2:$D$2649,$B107,'февраль 2026'!$J$2:$J$2649,V$1)</f>
        <v>0</v>
      </c>
      <c r="W107" s="144">
        <f>SUMIFS('февраль 2026'!$G$2:$G$2649,'февраль 2026'!$D$2:$D$2649,$B107,'февраль 2026'!$J$2:$J$2649,W$1)</f>
        <v>0</v>
      </c>
      <c r="X107" s="144">
        <f>SUMIFS('февраль 2026'!$G$2:$G$2649,'февраль 2026'!$D$2:$D$2649,$B107,'февраль 2026'!$J$2:$J$2649,X$1)</f>
        <v>0</v>
      </c>
      <c r="Y107" s="144">
        <f>SUMIFS('февраль 2026'!$G$2:$G$2649,'февраль 2026'!$D$2:$D$2649,$B107,'февраль 2026'!$J$2:$J$2649,Y$1)</f>
        <v>0</v>
      </c>
      <c r="Z107" s="144">
        <f>SUMIFS('февраль 2026'!$G$2:$G$2649,'февраль 2026'!$D$2:$D$2649,$B107,'февраль 2026'!$J$2:$J$2649,Z$1)</f>
        <v>0</v>
      </c>
      <c r="AA107" s="144">
        <f>SUMIFS('февраль 2026'!$G$2:$G$2649,'февраль 2026'!$D$2:$D$2649,$B107,'февраль 2026'!$J$2:$J$2649,AA$1)</f>
        <v>0</v>
      </c>
      <c r="AB107" s="144">
        <f>SUMIFS('февраль 2026'!$G$2:$G$2649,'февраль 2026'!$D$2:$D$2649,$B107,'февраль 2026'!$J$2:$J$2649,AB$1)</f>
        <v>0</v>
      </c>
      <c r="AC107" s="144">
        <f>SUMIFS('февраль 2026'!$G$2:$G$2649,'февраль 2026'!$D$2:$D$2649,$B107,'февраль 2026'!$J$2:$J$2649,AC$1)</f>
        <v>0</v>
      </c>
      <c r="AD107" s="144">
        <f>SUMIFS('февраль 2026'!$G$2:$G$2649,'февраль 2026'!$D$2:$D$2649,$B107,'февраль 2026'!$J$2:$J$2649,AD$1)</f>
        <v>0</v>
      </c>
      <c r="AE107" s="144">
        <f>SUMIFS('февраль 2026'!$G$2:$G$2649,'февраль 2026'!$D$2:$D$2649,$B107,'февраль 2026'!$J$2:$J$2649,AE$1)</f>
        <v>0</v>
      </c>
      <c r="AF107" s="144">
        <f>SUMIFS('февраль 2026'!$G$2:$G$2649,'февраль 2026'!$D$2:$D$2649,$B107,'февраль 2026'!$J$2:$J$2649,AF$1)</f>
        <v>0</v>
      </c>
      <c r="AG107" s="144">
        <f>SUMIFS('февраль 2026'!$G$2:$G$2649,'февраль 2026'!$D$2:$D$2649,$B107,'февраль 2026'!$J$2:$J$2649,AG$1)</f>
        <v>0</v>
      </c>
      <c r="AH107" s="144">
        <f>SUMIFS('февраль 2026'!$G$2:$G$2649,'февраль 2026'!$D$2:$D$2649,$B107,'февраль 2026'!$J$2:$J$2649,AH$1)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SUMIFS('февраль 2026'!$G$2:$G$2649,'февраль 2026'!$D$2:$D$2649,$B108,'февраль 2026'!$J$2:$J$2649,D$1)</f>
        <v>0</v>
      </c>
      <c r="E108" s="144">
        <f>SUMIFS('февраль 2026'!$G$2:$G$2649,'февраль 2026'!$D$2:$D$2649,$B108,'февраль 2026'!$J$2:$J$2649,E$1)</f>
        <v>0</v>
      </c>
      <c r="F108" s="144">
        <f>SUMIFS('февраль 2026'!$G$2:$G$2649,'февраль 2026'!$D$2:$D$2649,$B108,'февраль 2026'!$J$2:$J$2649,F$1)</f>
        <v>0</v>
      </c>
      <c r="G108" s="144">
        <f>SUMIFS('февраль 2026'!$G$2:$G$2649,'февраль 2026'!$D$2:$D$2649,$B108,'февраль 2026'!$J$2:$J$2649,G$1)</f>
        <v>0</v>
      </c>
      <c r="H108" s="144">
        <f>SUMIFS('февраль 2026'!$G$2:$G$2649,'февраль 2026'!$D$2:$D$2649,$B108,'февраль 2026'!$J$2:$J$2649,H$1)</f>
        <v>0</v>
      </c>
      <c r="I108" s="144">
        <f>SUMIFS('февраль 2026'!$G$2:$G$2649,'февраль 2026'!$D$2:$D$2649,$B108,'февраль 2026'!$J$2:$J$2649,I$1)</f>
        <v>0</v>
      </c>
      <c r="J108" s="144">
        <f>SUMIFS('февраль 2026'!$G$2:$G$2649,'февраль 2026'!$D$2:$D$2649,$B108,'февраль 2026'!$J$2:$J$2649,J$1)</f>
        <v>0</v>
      </c>
      <c r="K108" s="144">
        <f>SUMIFS('февраль 2026'!$G$2:$G$2649,'февраль 2026'!$D$2:$D$2649,$B108,'февраль 2026'!$J$2:$J$2649,K$1)</f>
        <v>0</v>
      </c>
      <c r="L108" s="144">
        <f>SUMIFS('февраль 2026'!$G$2:$G$2649,'февраль 2026'!$D$2:$D$2649,$B108,'февраль 2026'!$J$2:$J$2649,L$1)</f>
        <v>0</v>
      </c>
      <c r="M108" s="144">
        <f>SUMIFS('февраль 2026'!$G$2:$G$2649,'февраль 2026'!$D$2:$D$2649,$B108,'февраль 2026'!$J$2:$J$2649,M$1)</f>
        <v>0</v>
      </c>
      <c r="N108" s="144">
        <f>SUMIFS('февраль 2026'!$G$2:$G$2649,'февраль 2026'!$D$2:$D$2649,$B108,'февраль 2026'!$J$2:$J$2649,N$1)</f>
        <v>0</v>
      </c>
      <c r="O108" s="144">
        <f>SUMIFS('февраль 2026'!$G$2:$G$2649,'февраль 2026'!$D$2:$D$2649,$B108,'февраль 2026'!$J$2:$J$2649,O$1)</f>
        <v>0</v>
      </c>
      <c r="P108" s="144">
        <f>SUMIFS('февраль 2026'!$G$2:$G$2649,'февраль 2026'!$D$2:$D$2649,$B108,'февраль 2026'!$J$2:$J$2649,P$1)</f>
        <v>0</v>
      </c>
      <c r="Q108" s="144">
        <f>SUMIFS('февраль 2026'!$G$2:$G$2649,'февраль 2026'!$D$2:$D$2649,$B108,'февраль 2026'!$J$2:$J$2649,Q$1)</f>
        <v>0</v>
      </c>
      <c r="R108" s="144">
        <f>SUMIFS('февраль 2026'!$G$2:$G$2649,'февраль 2026'!$D$2:$D$2649,$B108,'февраль 2026'!$J$2:$J$2649,R$1)</f>
        <v>0</v>
      </c>
      <c r="S108" s="144">
        <f>SUMIFS('февраль 2026'!$G$2:$G$2649,'февраль 2026'!$D$2:$D$2649,$B108,'февраль 2026'!$J$2:$J$2649,S$1)</f>
        <v>0</v>
      </c>
      <c r="T108" s="144">
        <f>SUMIFS('февраль 2026'!$G$2:$G$2649,'февраль 2026'!$D$2:$D$2649,$B108,'февраль 2026'!$J$2:$J$2649,T$1)</f>
        <v>0</v>
      </c>
      <c r="U108" s="144">
        <f>SUMIFS('февраль 2026'!$G$2:$G$2649,'февраль 2026'!$D$2:$D$2649,$B108,'февраль 2026'!$J$2:$J$2649,U$1)</f>
        <v>0</v>
      </c>
      <c r="V108" s="144">
        <f>SUMIFS('февраль 2026'!$G$2:$G$2649,'февраль 2026'!$D$2:$D$2649,$B108,'февраль 2026'!$J$2:$J$2649,V$1)</f>
        <v>0</v>
      </c>
      <c r="W108" s="144">
        <f>SUMIFS('февраль 2026'!$G$2:$G$2649,'февраль 2026'!$D$2:$D$2649,$B108,'февраль 2026'!$J$2:$J$2649,W$1)</f>
        <v>0</v>
      </c>
      <c r="X108" s="144">
        <f>SUMIFS('февраль 2026'!$G$2:$G$2649,'февраль 2026'!$D$2:$D$2649,$B108,'февраль 2026'!$J$2:$J$2649,X$1)</f>
        <v>0</v>
      </c>
      <c r="Y108" s="144">
        <f>SUMIFS('февраль 2026'!$G$2:$G$2649,'февраль 2026'!$D$2:$D$2649,$B108,'февраль 2026'!$J$2:$J$2649,Y$1)</f>
        <v>0</v>
      </c>
      <c r="Z108" s="144">
        <f>SUMIFS('февраль 2026'!$G$2:$G$2649,'февраль 2026'!$D$2:$D$2649,$B108,'февраль 2026'!$J$2:$J$2649,Z$1)</f>
        <v>0</v>
      </c>
      <c r="AA108" s="144">
        <f>SUMIFS('февраль 2026'!$G$2:$G$2649,'февраль 2026'!$D$2:$D$2649,$B108,'февраль 2026'!$J$2:$J$2649,AA$1)</f>
        <v>0</v>
      </c>
      <c r="AB108" s="144">
        <f>SUMIFS('февраль 2026'!$G$2:$G$2649,'февраль 2026'!$D$2:$D$2649,$B108,'февраль 2026'!$J$2:$J$2649,AB$1)</f>
        <v>0</v>
      </c>
      <c r="AC108" s="144">
        <f>SUMIFS('февраль 2026'!$G$2:$G$2649,'февраль 2026'!$D$2:$D$2649,$B108,'февраль 2026'!$J$2:$J$2649,AC$1)</f>
        <v>0</v>
      </c>
      <c r="AD108" s="144">
        <f>SUMIFS('февраль 2026'!$G$2:$G$2649,'февраль 2026'!$D$2:$D$2649,$B108,'февраль 2026'!$J$2:$J$2649,AD$1)</f>
        <v>0</v>
      </c>
      <c r="AE108" s="144">
        <f>SUMIFS('февраль 2026'!$G$2:$G$2649,'февраль 2026'!$D$2:$D$2649,$B108,'февраль 2026'!$J$2:$J$2649,AE$1)</f>
        <v>0</v>
      </c>
      <c r="AF108" s="144">
        <f>SUMIFS('февраль 2026'!$G$2:$G$2649,'февраль 2026'!$D$2:$D$2649,$B108,'февраль 2026'!$J$2:$J$2649,AF$1)</f>
        <v>0</v>
      </c>
      <c r="AG108" s="144">
        <f>SUMIFS('февраль 2026'!$G$2:$G$2649,'февраль 2026'!$D$2:$D$2649,$B108,'февраль 2026'!$J$2:$J$2649,AG$1)</f>
        <v>0</v>
      </c>
      <c r="AH108" s="144">
        <f>SUMIFS('февраль 2026'!$G$2:$G$2649,'февраль 2026'!$D$2:$D$2649,$B108,'февраль 2026'!$J$2:$J$2649,AH$1)</f>
        <v>0</v>
      </c>
      <c r="AI108" s="20">
        <f t="shared" si="1"/>
        <v>0</v>
      </c>
    </row>
    <row r="109" spans="2:35" ht="15" customHeight="1" x14ac:dyDescent="0.25">
      <c r="B109" s="85" t="s">
        <v>347</v>
      </c>
      <c r="C109" s="83">
        <v>190</v>
      </c>
      <c r="D109" s="144">
        <f>SUMIFS('февраль 2026'!$G$2:$G$2649,'февраль 2026'!$D$2:$D$2649,$B109,'февраль 2026'!$J$2:$J$2649,D$1)</f>
        <v>0</v>
      </c>
      <c r="E109" s="144">
        <f>SUMIFS('февраль 2026'!$G$2:$G$2649,'февраль 2026'!$D$2:$D$2649,$B109,'февраль 2026'!$J$2:$J$2649,E$1)</f>
        <v>0</v>
      </c>
      <c r="F109" s="144">
        <f>SUMIFS('февраль 2026'!$G$2:$G$2649,'февраль 2026'!$D$2:$D$2649,$B109,'февраль 2026'!$J$2:$J$2649,F$1)</f>
        <v>0</v>
      </c>
      <c r="G109" s="144">
        <f>SUMIFS('февраль 2026'!$G$2:$G$2649,'февраль 2026'!$D$2:$D$2649,$B109,'февраль 2026'!$J$2:$J$2649,G$1)</f>
        <v>0</v>
      </c>
      <c r="H109" s="144">
        <f>SUMIFS('февраль 2026'!$G$2:$G$2649,'февраль 2026'!$D$2:$D$2649,$B109,'февраль 2026'!$J$2:$J$2649,H$1)</f>
        <v>0</v>
      </c>
      <c r="I109" s="144">
        <f>SUMIFS('февраль 2026'!$G$2:$G$2649,'февраль 2026'!$D$2:$D$2649,$B109,'февраль 2026'!$J$2:$J$2649,I$1)</f>
        <v>0</v>
      </c>
      <c r="J109" s="144">
        <f>SUMIFS('февраль 2026'!$G$2:$G$2649,'февраль 2026'!$D$2:$D$2649,$B109,'февраль 2026'!$J$2:$J$2649,J$1)</f>
        <v>0</v>
      </c>
      <c r="K109" s="144">
        <f>SUMIFS('февраль 2026'!$G$2:$G$2649,'февраль 2026'!$D$2:$D$2649,$B109,'февраль 2026'!$J$2:$J$2649,K$1)</f>
        <v>0</v>
      </c>
      <c r="L109" s="144">
        <f>SUMIFS('февраль 2026'!$G$2:$G$2649,'февраль 2026'!$D$2:$D$2649,$B109,'февраль 2026'!$J$2:$J$2649,L$1)</f>
        <v>0</v>
      </c>
      <c r="M109" s="144">
        <f>SUMIFS('февраль 2026'!$G$2:$G$2649,'февраль 2026'!$D$2:$D$2649,$B109,'февраль 2026'!$J$2:$J$2649,M$1)</f>
        <v>0</v>
      </c>
      <c r="N109" s="144">
        <f>SUMIFS('февраль 2026'!$G$2:$G$2649,'февраль 2026'!$D$2:$D$2649,$B109,'февраль 2026'!$J$2:$J$2649,N$1)</f>
        <v>0</v>
      </c>
      <c r="O109" s="144">
        <f>SUMIFS('февраль 2026'!$G$2:$G$2649,'февраль 2026'!$D$2:$D$2649,$B109,'февраль 2026'!$J$2:$J$2649,O$1)</f>
        <v>0</v>
      </c>
      <c r="P109" s="144">
        <f>SUMIFS('февраль 2026'!$G$2:$G$2649,'февраль 2026'!$D$2:$D$2649,$B109,'февраль 2026'!$J$2:$J$2649,P$1)</f>
        <v>0</v>
      </c>
      <c r="Q109" s="144">
        <f>SUMIFS('февраль 2026'!$G$2:$G$2649,'февраль 2026'!$D$2:$D$2649,$B109,'февраль 2026'!$J$2:$J$2649,Q$1)</f>
        <v>0</v>
      </c>
      <c r="R109" s="144">
        <f>SUMIFS('февраль 2026'!$G$2:$G$2649,'февраль 2026'!$D$2:$D$2649,$B109,'февраль 2026'!$J$2:$J$2649,R$1)</f>
        <v>0</v>
      </c>
      <c r="S109" s="144">
        <f>SUMIFS('февраль 2026'!$G$2:$G$2649,'февраль 2026'!$D$2:$D$2649,$B109,'февраль 2026'!$J$2:$J$2649,S$1)</f>
        <v>0</v>
      </c>
      <c r="T109" s="144">
        <f>SUMIFS('февраль 2026'!$G$2:$G$2649,'февраль 2026'!$D$2:$D$2649,$B109,'февраль 2026'!$J$2:$J$2649,T$1)</f>
        <v>0</v>
      </c>
      <c r="U109" s="144">
        <f>SUMIFS('февраль 2026'!$G$2:$G$2649,'февраль 2026'!$D$2:$D$2649,$B109,'февраль 2026'!$J$2:$J$2649,U$1)</f>
        <v>0</v>
      </c>
      <c r="V109" s="144">
        <f>SUMIFS('февраль 2026'!$G$2:$G$2649,'февраль 2026'!$D$2:$D$2649,$B109,'февраль 2026'!$J$2:$J$2649,V$1)</f>
        <v>0</v>
      </c>
      <c r="W109" s="144">
        <f>SUMIFS('февраль 2026'!$G$2:$G$2649,'февраль 2026'!$D$2:$D$2649,$B109,'февраль 2026'!$J$2:$J$2649,W$1)</f>
        <v>0</v>
      </c>
      <c r="X109" s="144">
        <f>SUMIFS('февраль 2026'!$G$2:$G$2649,'февраль 2026'!$D$2:$D$2649,$B109,'февраль 2026'!$J$2:$J$2649,X$1)</f>
        <v>0</v>
      </c>
      <c r="Y109" s="144">
        <f>SUMIFS('февраль 2026'!$G$2:$G$2649,'февраль 2026'!$D$2:$D$2649,$B109,'февраль 2026'!$J$2:$J$2649,Y$1)</f>
        <v>0</v>
      </c>
      <c r="Z109" s="144">
        <f>SUMIFS('февраль 2026'!$G$2:$G$2649,'февраль 2026'!$D$2:$D$2649,$B109,'февраль 2026'!$J$2:$J$2649,Z$1)</f>
        <v>0</v>
      </c>
      <c r="AA109" s="144">
        <f>SUMIFS('февраль 2026'!$G$2:$G$2649,'февраль 2026'!$D$2:$D$2649,$B109,'февраль 2026'!$J$2:$J$2649,AA$1)</f>
        <v>0</v>
      </c>
      <c r="AB109" s="144">
        <f>SUMIFS('февраль 2026'!$G$2:$G$2649,'февраль 2026'!$D$2:$D$2649,$B109,'февраль 2026'!$J$2:$J$2649,AB$1)</f>
        <v>0</v>
      </c>
      <c r="AC109" s="144">
        <f>SUMIFS('февраль 2026'!$G$2:$G$2649,'февраль 2026'!$D$2:$D$2649,$B109,'февраль 2026'!$J$2:$J$2649,AC$1)</f>
        <v>0</v>
      </c>
      <c r="AD109" s="144">
        <f>SUMIFS('февраль 2026'!$G$2:$G$2649,'февраль 2026'!$D$2:$D$2649,$B109,'февраль 2026'!$J$2:$J$2649,AD$1)</f>
        <v>0</v>
      </c>
      <c r="AE109" s="144">
        <f>SUMIFS('февраль 2026'!$G$2:$G$2649,'февраль 2026'!$D$2:$D$2649,$B109,'февраль 2026'!$J$2:$J$2649,AE$1)</f>
        <v>0</v>
      </c>
      <c r="AF109" s="144">
        <f>SUMIFS('февраль 2026'!$G$2:$G$2649,'февраль 2026'!$D$2:$D$2649,$B109,'февраль 2026'!$J$2:$J$2649,AF$1)</f>
        <v>0</v>
      </c>
      <c r="AG109" s="144">
        <f>SUMIFS('февраль 2026'!$G$2:$G$2649,'февраль 2026'!$D$2:$D$2649,$B109,'февраль 2026'!$J$2:$J$2649,AG$1)</f>
        <v>0</v>
      </c>
      <c r="AH109" s="144">
        <f>SUMIFS('февраль 2026'!$G$2:$G$2649,'февраль 2026'!$D$2:$D$2649,$B109,'февраль 2026'!$J$2:$J$2649,AH$1)</f>
        <v>0</v>
      </c>
      <c r="AI109" s="20">
        <f t="shared" si="1"/>
        <v>0</v>
      </c>
    </row>
    <row r="110" spans="2:35" ht="15" customHeight="1" x14ac:dyDescent="0.25">
      <c r="B110" s="85" t="s">
        <v>277</v>
      </c>
      <c r="C110" s="83">
        <v>190</v>
      </c>
      <c r="D110" s="144">
        <f>SUMIFS('февраль 2026'!$G$2:$G$2649,'февраль 2026'!$D$2:$D$2649,$B110,'февраль 2026'!$J$2:$J$2649,D$1)</f>
        <v>0</v>
      </c>
      <c r="E110" s="144">
        <f>SUMIFS('февраль 2026'!$G$2:$G$2649,'февраль 2026'!$D$2:$D$2649,$B110,'февраль 2026'!$J$2:$J$2649,E$1)</f>
        <v>0</v>
      </c>
      <c r="F110" s="144">
        <f>SUMIFS('февраль 2026'!$G$2:$G$2649,'февраль 2026'!$D$2:$D$2649,$B110,'февраль 2026'!$J$2:$J$2649,F$1)</f>
        <v>0</v>
      </c>
      <c r="G110" s="144">
        <f>SUMIFS('февраль 2026'!$G$2:$G$2649,'февраль 2026'!$D$2:$D$2649,$B110,'февраль 2026'!$J$2:$J$2649,G$1)</f>
        <v>0</v>
      </c>
      <c r="H110" s="144">
        <f>SUMIFS('февраль 2026'!$G$2:$G$2649,'февраль 2026'!$D$2:$D$2649,$B110,'февраль 2026'!$J$2:$J$2649,H$1)</f>
        <v>0</v>
      </c>
      <c r="I110" s="144">
        <f>SUMIFS('февраль 2026'!$G$2:$G$2649,'февраль 2026'!$D$2:$D$2649,$B110,'февраль 2026'!$J$2:$J$2649,I$1)</f>
        <v>0</v>
      </c>
      <c r="J110" s="144">
        <f>SUMIFS('февраль 2026'!$G$2:$G$2649,'февраль 2026'!$D$2:$D$2649,$B110,'февраль 2026'!$J$2:$J$2649,J$1)</f>
        <v>0</v>
      </c>
      <c r="K110" s="144">
        <f>SUMIFS('февраль 2026'!$G$2:$G$2649,'февраль 2026'!$D$2:$D$2649,$B110,'февраль 2026'!$J$2:$J$2649,K$1)</f>
        <v>0</v>
      </c>
      <c r="L110" s="144">
        <f>SUMIFS('февраль 2026'!$G$2:$G$2649,'февраль 2026'!$D$2:$D$2649,$B110,'февраль 2026'!$J$2:$J$2649,L$1)</f>
        <v>0</v>
      </c>
      <c r="M110" s="144">
        <f>SUMIFS('февраль 2026'!$G$2:$G$2649,'февраль 2026'!$D$2:$D$2649,$B110,'февраль 2026'!$J$2:$J$2649,M$1)</f>
        <v>0</v>
      </c>
      <c r="N110" s="144">
        <f>SUMIFS('февраль 2026'!$G$2:$G$2649,'февраль 2026'!$D$2:$D$2649,$B110,'февраль 2026'!$J$2:$J$2649,N$1)</f>
        <v>0</v>
      </c>
      <c r="O110" s="144">
        <f>SUMIFS('февраль 2026'!$G$2:$G$2649,'февраль 2026'!$D$2:$D$2649,$B110,'февраль 2026'!$J$2:$J$2649,O$1)</f>
        <v>0</v>
      </c>
      <c r="P110" s="144">
        <f>SUMIFS('февраль 2026'!$G$2:$G$2649,'февраль 2026'!$D$2:$D$2649,$B110,'февраль 2026'!$J$2:$J$2649,P$1)</f>
        <v>0</v>
      </c>
      <c r="Q110" s="144">
        <f>SUMIFS('февраль 2026'!$G$2:$G$2649,'февраль 2026'!$D$2:$D$2649,$B110,'февраль 2026'!$J$2:$J$2649,Q$1)</f>
        <v>0</v>
      </c>
      <c r="R110" s="144">
        <f>SUMIFS('февраль 2026'!$G$2:$G$2649,'февраль 2026'!$D$2:$D$2649,$B110,'февраль 2026'!$J$2:$J$2649,R$1)</f>
        <v>0</v>
      </c>
      <c r="S110" s="144">
        <f>SUMIFS('февраль 2026'!$G$2:$G$2649,'февраль 2026'!$D$2:$D$2649,$B110,'февраль 2026'!$J$2:$J$2649,S$1)</f>
        <v>0</v>
      </c>
      <c r="T110" s="144">
        <f>SUMIFS('февраль 2026'!$G$2:$G$2649,'февраль 2026'!$D$2:$D$2649,$B110,'февраль 2026'!$J$2:$J$2649,T$1)</f>
        <v>0</v>
      </c>
      <c r="U110" s="144">
        <f>SUMIFS('февраль 2026'!$G$2:$G$2649,'февраль 2026'!$D$2:$D$2649,$B110,'февраль 2026'!$J$2:$J$2649,U$1)</f>
        <v>0</v>
      </c>
      <c r="V110" s="144">
        <f>SUMIFS('февраль 2026'!$G$2:$G$2649,'февраль 2026'!$D$2:$D$2649,$B110,'февраль 2026'!$J$2:$J$2649,V$1)</f>
        <v>0</v>
      </c>
      <c r="W110" s="144">
        <f>SUMIFS('февраль 2026'!$G$2:$G$2649,'февраль 2026'!$D$2:$D$2649,$B110,'февраль 2026'!$J$2:$J$2649,W$1)</f>
        <v>0</v>
      </c>
      <c r="X110" s="144">
        <f>SUMIFS('февраль 2026'!$G$2:$G$2649,'февраль 2026'!$D$2:$D$2649,$B110,'февраль 2026'!$J$2:$J$2649,X$1)</f>
        <v>0</v>
      </c>
      <c r="Y110" s="144">
        <f>SUMIFS('февраль 2026'!$G$2:$G$2649,'февраль 2026'!$D$2:$D$2649,$B110,'февраль 2026'!$J$2:$J$2649,Y$1)</f>
        <v>0</v>
      </c>
      <c r="Z110" s="144">
        <f>SUMIFS('февраль 2026'!$G$2:$G$2649,'февраль 2026'!$D$2:$D$2649,$B110,'февраль 2026'!$J$2:$J$2649,Z$1)</f>
        <v>0</v>
      </c>
      <c r="AA110" s="144">
        <f>SUMIFS('февраль 2026'!$G$2:$G$2649,'февраль 2026'!$D$2:$D$2649,$B110,'февраль 2026'!$J$2:$J$2649,AA$1)</f>
        <v>0</v>
      </c>
      <c r="AB110" s="144">
        <f>SUMIFS('февраль 2026'!$G$2:$G$2649,'февраль 2026'!$D$2:$D$2649,$B110,'февраль 2026'!$J$2:$J$2649,AB$1)</f>
        <v>0</v>
      </c>
      <c r="AC110" s="144">
        <f>SUMIFS('февраль 2026'!$G$2:$G$2649,'февраль 2026'!$D$2:$D$2649,$B110,'февраль 2026'!$J$2:$J$2649,AC$1)</f>
        <v>0</v>
      </c>
      <c r="AD110" s="144">
        <f>SUMIFS('февраль 2026'!$G$2:$G$2649,'февраль 2026'!$D$2:$D$2649,$B110,'февраль 2026'!$J$2:$J$2649,AD$1)</f>
        <v>0</v>
      </c>
      <c r="AE110" s="144">
        <f>SUMIFS('февраль 2026'!$G$2:$G$2649,'февраль 2026'!$D$2:$D$2649,$B110,'февраль 2026'!$J$2:$J$2649,AE$1)</f>
        <v>0</v>
      </c>
      <c r="AF110" s="144">
        <f>SUMIFS('февраль 2026'!$G$2:$G$2649,'февраль 2026'!$D$2:$D$2649,$B110,'февраль 2026'!$J$2:$J$2649,AF$1)</f>
        <v>0</v>
      </c>
      <c r="AG110" s="144">
        <f>SUMIFS('февраль 2026'!$G$2:$G$2649,'февраль 2026'!$D$2:$D$2649,$B110,'февраль 2026'!$J$2:$J$2649,AG$1)</f>
        <v>0</v>
      </c>
      <c r="AH110" s="144">
        <f>SUMIFS('февраль 2026'!$G$2:$G$2649,'февраль 2026'!$D$2:$D$2649,$B110,'февраль 2026'!$J$2:$J$2649,AH$1)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SUMIFS('февраль 2026'!$G$2:$G$2649,'февраль 2026'!$D$2:$D$2649,$B111,'февраль 2026'!$J$2:$J$2649,D$1)</f>
        <v>0</v>
      </c>
      <c r="E111" s="144">
        <f>SUMIFS('февраль 2026'!$G$2:$G$2649,'февраль 2026'!$D$2:$D$2649,$B111,'февраль 2026'!$J$2:$J$2649,E$1)</f>
        <v>0</v>
      </c>
      <c r="F111" s="144">
        <f>SUMIFS('февраль 2026'!$G$2:$G$2649,'февраль 2026'!$D$2:$D$2649,$B111,'февраль 2026'!$J$2:$J$2649,F$1)</f>
        <v>0</v>
      </c>
      <c r="G111" s="144">
        <f>SUMIFS('февраль 2026'!$G$2:$G$2649,'февраль 2026'!$D$2:$D$2649,$B111,'февраль 2026'!$J$2:$J$2649,G$1)</f>
        <v>0</v>
      </c>
      <c r="H111" s="144">
        <f>SUMIFS('февраль 2026'!$G$2:$G$2649,'февраль 2026'!$D$2:$D$2649,$B111,'февраль 2026'!$J$2:$J$2649,H$1)</f>
        <v>0</v>
      </c>
      <c r="I111" s="144">
        <f>SUMIFS('февраль 2026'!$G$2:$G$2649,'февраль 2026'!$D$2:$D$2649,$B111,'февраль 2026'!$J$2:$J$2649,I$1)</f>
        <v>0</v>
      </c>
      <c r="J111" s="144">
        <f>SUMIFS('февраль 2026'!$G$2:$G$2649,'февраль 2026'!$D$2:$D$2649,$B111,'февраль 2026'!$J$2:$J$2649,J$1)</f>
        <v>0</v>
      </c>
      <c r="K111" s="144">
        <f>SUMIFS('февраль 2026'!$G$2:$G$2649,'февраль 2026'!$D$2:$D$2649,$B111,'февраль 2026'!$J$2:$J$2649,K$1)</f>
        <v>0</v>
      </c>
      <c r="L111" s="144">
        <f>SUMIFS('февраль 2026'!$G$2:$G$2649,'февраль 2026'!$D$2:$D$2649,$B111,'февраль 2026'!$J$2:$J$2649,L$1)</f>
        <v>0</v>
      </c>
      <c r="M111" s="144">
        <f>SUMIFS('февраль 2026'!$G$2:$G$2649,'февраль 2026'!$D$2:$D$2649,$B111,'февраль 2026'!$J$2:$J$2649,M$1)</f>
        <v>0</v>
      </c>
      <c r="N111" s="144">
        <f>SUMIFS('февраль 2026'!$G$2:$G$2649,'февраль 2026'!$D$2:$D$2649,$B111,'февраль 2026'!$J$2:$J$2649,N$1)</f>
        <v>0</v>
      </c>
      <c r="O111" s="144">
        <f>SUMIFS('февраль 2026'!$G$2:$G$2649,'февраль 2026'!$D$2:$D$2649,$B111,'февраль 2026'!$J$2:$J$2649,O$1)</f>
        <v>0</v>
      </c>
      <c r="P111" s="144">
        <f>SUMIFS('февраль 2026'!$G$2:$G$2649,'февраль 2026'!$D$2:$D$2649,$B111,'февраль 2026'!$J$2:$J$2649,P$1)</f>
        <v>0</v>
      </c>
      <c r="Q111" s="144">
        <f>SUMIFS('февраль 2026'!$G$2:$G$2649,'февраль 2026'!$D$2:$D$2649,$B111,'февраль 2026'!$J$2:$J$2649,Q$1)</f>
        <v>0</v>
      </c>
      <c r="R111" s="144">
        <f>SUMIFS('февраль 2026'!$G$2:$G$2649,'февраль 2026'!$D$2:$D$2649,$B111,'февраль 2026'!$J$2:$J$2649,R$1)</f>
        <v>0</v>
      </c>
      <c r="S111" s="144">
        <f>SUMIFS('февраль 2026'!$G$2:$G$2649,'февраль 2026'!$D$2:$D$2649,$B111,'февраль 2026'!$J$2:$J$2649,S$1)</f>
        <v>0</v>
      </c>
      <c r="T111" s="144">
        <f>SUMIFS('февраль 2026'!$G$2:$G$2649,'февраль 2026'!$D$2:$D$2649,$B111,'февраль 2026'!$J$2:$J$2649,T$1)</f>
        <v>0</v>
      </c>
      <c r="U111" s="144">
        <f>SUMIFS('февраль 2026'!$G$2:$G$2649,'февраль 2026'!$D$2:$D$2649,$B111,'февраль 2026'!$J$2:$J$2649,U$1)</f>
        <v>0</v>
      </c>
      <c r="V111" s="144">
        <f>SUMIFS('февраль 2026'!$G$2:$G$2649,'февраль 2026'!$D$2:$D$2649,$B111,'февраль 2026'!$J$2:$J$2649,V$1)</f>
        <v>0</v>
      </c>
      <c r="W111" s="144">
        <f>SUMIFS('февраль 2026'!$G$2:$G$2649,'февраль 2026'!$D$2:$D$2649,$B111,'февраль 2026'!$J$2:$J$2649,W$1)</f>
        <v>0</v>
      </c>
      <c r="X111" s="144">
        <f>SUMIFS('февраль 2026'!$G$2:$G$2649,'февраль 2026'!$D$2:$D$2649,$B111,'февраль 2026'!$J$2:$J$2649,X$1)</f>
        <v>0</v>
      </c>
      <c r="Y111" s="144">
        <f>SUMIFS('февраль 2026'!$G$2:$G$2649,'февраль 2026'!$D$2:$D$2649,$B111,'февраль 2026'!$J$2:$J$2649,Y$1)</f>
        <v>0</v>
      </c>
      <c r="Z111" s="144">
        <f>SUMIFS('февраль 2026'!$G$2:$G$2649,'февраль 2026'!$D$2:$D$2649,$B111,'февраль 2026'!$J$2:$J$2649,Z$1)</f>
        <v>0</v>
      </c>
      <c r="AA111" s="144">
        <f>SUMIFS('февраль 2026'!$G$2:$G$2649,'февраль 2026'!$D$2:$D$2649,$B111,'февраль 2026'!$J$2:$J$2649,AA$1)</f>
        <v>0</v>
      </c>
      <c r="AB111" s="144">
        <f>SUMIFS('февраль 2026'!$G$2:$G$2649,'февраль 2026'!$D$2:$D$2649,$B111,'февраль 2026'!$J$2:$J$2649,AB$1)</f>
        <v>0</v>
      </c>
      <c r="AC111" s="144">
        <f>SUMIFS('февраль 2026'!$G$2:$G$2649,'февраль 2026'!$D$2:$D$2649,$B111,'февраль 2026'!$J$2:$J$2649,AC$1)</f>
        <v>0</v>
      </c>
      <c r="AD111" s="144">
        <f>SUMIFS('февраль 2026'!$G$2:$G$2649,'февраль 2026'!$D$2:$D$2649,$B111,'февраль 2026'!$J$2:$J$2649,AD$1)</f>
        <v>0</v>
      </c>
      <c r="AE111" s="144">
        <f>SUMIFS('февраль 2026'!$G$2:$G$2649,'февраль 2026'!$D$2:$D$2649,$B111,'февраль 2026'!$J$2:$J$2649,AE$1)</f>
        <v>0</v>
      </c>
      <c r="AF111" s="144">
        <f>SUMIFS('февраль 2026'!$G$2:$G$2649,'февраль 2026'!$D$2:$D$2649,$B111,'февраль 2026'!$J$2:$J$2649,AF$1)</f>
        <v>0</v>
      </c>
      <c r="AG111" s="144">
        <f>SUMIFS('февраль 2026'!$G$2:$G$2649,'февраль 2026'!$D$2:$D$2649,$B111,'февраль 2026'!$J$2:$J$2649,AG$1)</f>
        <v>0</v>
      </c>
      <c r="AH111" s="144">
        <f>SUMIFS('февраль 2026'!$G$2:$G$2649,'февраль 2026'!$D$2:$D$2649,$B111,'февраль 2026'!$J$2:$J$2649,AH$1)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SUMIFS('февраль 2026'!$G$2:$G$2649,'февраль 2026'!$D$2:$D$2649,$B112,'февраль 2026'!$J$2:$J$2649,D$1)</f>
        <v>0</v>
      </c>
      <c r="E112" s="144">
        <f>SUMIFS('февраль 2026'!$G$2:$G$2649,'февраль 2026'!$D$2:$D$2649,$B112,'февраль 2026'!$J$2:$J$2649,E$1)</f>
        <v>0</v>
      </c>
      <c r="F112" s="144">
        <f>SUMIFS('февраль 2026'!$G$2:$G$2649,'февраль 2026'!$D$2:$D$2649,$B112,'февраль 2026'!$J$2:$J$2649,F$1)</f>
        <v>0</v>
      </c>
      <c r="G112" s="144">
        <f>SUMIFS('февраль 2026'!$G$2:$G$2649,'февраль 2026'!$D$2:$D$2649,$B112,'февраль 2026'!$J$2:$J$2649,G$1)</f>
        <v>0</v>
      </c>
      <c r="H112" s="144">
        <f>SUMIFS('февраль 2026'!$G$2:$G$2649,'февраль 2026'!$D$2:$D$2649,$B112,'февраль 2026'!$J$2:$J$2649,H$1)</f>
        <v>0</v>
      </c>
      <c r="I112" s="144">
        <f>SUMIFS('февраль 2026'!$G$2:$G$2649,'февраль 2026'!$D$2:$D$2649,$B112,'февраль 2026'!$J$2:$J$2649,I$1)</f>
        <v>0</v>
      </c>
      <c r="J112" s="144">
        <f>SUMIFS('февраль 2026'!$G$2:$G$2649,'февраль 2026'!$D$2:$D$2649,$B112,'февраль 2026'!$J$2:$J$2649,J$1)</f>
        <v>0</v>
      </c>
      <c r="K112" s="144">
        <f>SUMIFS('февраль 2026'!$G$2:$G$2649,'февраль 2026'!$D$2:$D$2649,$B112,'февраль 2026'!$J$2:$J$2649,K$1)</f>
        <v>0</v>
      </c>
      <c r="L112" s="144">
        <f>SUMIFS('февраль 2026'!$G$2:$G$2649,'февраль 2026'!$D$2:$D$2649,$B112,'февраль 2026'!$J$2:$J$2649,L$1)</f>
        <v>0</v>
      </c>
      <c r="M112" s="144">
        <f>SUMIFS('февраль 2026'!$G$2:$G$2649,'февраль 2026'!$D$2:$D$2649,$B112,'февраль 2026'!$J$2:$J$2649,M$1)</f>
        <v>0</v>
      </c>
      <c r="N112" s="144">
        <f>SUMIFS('февраль 2026'!$G$2:$G$2649,'февраль 2026'!$D$2:$D$2649,$B112,'февраль 2026'!$J$2:$J$2649,N$1)</f>
        <v>0</v>
      </c>
      <c r="O112" s="144">
        <f>SUMIFS('февраль 2026'!$G$2:$G$2649,'февраль 2026'!$D$2:$D$2649,$B112,'февраль 2026'!$J$2:$J$2649,O$1)</f>
        <v>0</v>
      </c>
      <c r="P112" s="144">
        <f>SUMIFS('февраль 2026'!$G$2:$G$2649,'февраль 2026'!$D$2:$D$2649,$B112,'февраль 2026'!$J$2:$J$2649,P$1)</f>
        <v>0</v>
      </c>
      <c r="Q112" s="144">
        <f>SUMIFS('февраль 2026'!$G$2:$G$2649,'февраль 2026'!$D$2:$D$2649,$B112,'февраль 2026'!$J$2:$J$2649,Q$1)</f>
        <v>0</v>
      </c>
      <c r="R112" s="144">
        <f>SUMIFS('февраль 2026'!$G$2:$G$2649,'февраль 2026'!$D$2:$D$2649,$B112,'февраль 2026'!$J$2:$J$2649,R$1)</f>
        <v>0</v>
      </c>
      <c r="S112" s="144">
        <f>SUMIFS('февраль 2026'!$G$2:$G$2649,'февраль 2026'!$D$2:$D$2649,$B112,'февраль 2026'!$J$2:$J$2649,S$1)</f>
        <v>0</v>
      </c>
      <c r="T112" s="144">
        <f>SUMIFS('февраль 2026'!$G$2:$G$2649,'февраль 2026'!$D$2:$D$2649,$B112,'февраль 2026'!$J$2:$J$2649,T$1)</f>
        <v>0</v>
      </c>
      <c r="U112" s="144">
        <f>SUMIFS('февраль 2026'!$G$2:$G$2649,'февраль 2026'!$D$2:$D$2649,$B112,'февраль 2026'!$J$2:$J$2649,U$1)</f>
        <v>0</v>
      </c>
      <c r="V112" s="144">
        <f>SUMIFS('февраль 2026'!$G$2:$G$2649,'февраль 2026'!$D$2:$D$2649,$B112,'февраль 2026'!$J$2:$J$2649,V$1)</f>
        <v>0</v>
      </c>
      <c r="W112" s="144">
        <f>SUMIFS('февраль 2026'!$G$2:$G$2649,'февраль 2026'!$D$2:$D$2649,$B112,'февраль 2026'!$J$2:$J$2649,W$1)</f>
        <v>0</v>
      </c>
      <c r="X112" s="144">
        <f>SUMIFS('февраль 2026'!$G$2:$G$2649,'февраль 2026'!$D$2:$D$2649,$B112,'февраль 2026'!$J$2:$J$2649,X$1)</f>
        <v>0</v>
      </c>
      <c r="Y112" s="144">
        <f>SUMIFS('февраль 2026'!$G$2:$G$2649,'февраль 2026'!$D$2:$D$2649,$B112,'февраль 2026'!$J$2:$J$2649,Y$1)</f>
        <v>0</v>
      </c>
      <c r="Z112" s="144">
        <f>SUMIFS('февраль 2026'!$G$2:$G$2649,'февраль 2026'!$D$2:$D$2649,$B112,'февраль 2026'!$J$2:$J$2649,Z$1)</f>
        <v>0</v>
      </c>
      <c r="AA112" s="144">
        <f>SUMIFS('февраль 2026'!$G$2:$G$2649,'февраль 2026'!$D$2:$D$2649,$B112,'февраль 2026'!$J$2:$J$2649,AA$1)</f>
        <v>0</v>
      </c>
      <c r="AB112" s="144">
        <f>SUMIFS('февраль 2026'!$G$2:$G$2649,'февраль 2026'!$D$2:$D$2649,$B112,'февраль 2026'!$J$2:$J$2649,AB$1)</f>
        <v>0</v>
      </c>
      <c r="AC112" s="144">
        <f>SUMIFS('февраль 2026'!$G$2:$G$2649,'февраль 2026'!$D$2:$D$2649,$B112,'февраль 2026'!$J$2:$J$2649,AC$1)</f>
        <v>0</v>
      </c>
      <c r="AD112" s="144">
        <f>SUMIFS('февраль 2026'!$G$2:$G$2649,'февраль 2026'!$D$2:$D$2649,$B112,'февраль 2026'!$J$2:$J$2649,AD$1)</f>
        <v>0</v>
      </c>
      <c r="AE112" s="144">
        <f>SUMIFS('февраль 2026'!$G$2:$G$2649,'февраль 2026'!$D$2:$D$2649,$B112,'февраль 2026'!$J$2:$J$2649,AE$1)</f>
        <v>0</v>
      </c>
      <c r="AF112" s="144">
        <f>SUMIFS('февраль 2026'!$G$2:$G$2649,'февраль 2026'!$D$2:$D$2649,$B112,'февраль 2026'!$J$2:$J$2649,AF$1)</f>
        <v>0</v>
      </c>
      <c r="AG112" s="144">
        <f>SUMIFS('февраль 2026'!$G$2:$G$2649,'февраль 2026'!$D$2:$D$2649,$B112,'февраль 2026'!$J$2:$J$2649,AG$1)</f>
        <v>0</v>
      </c>
      <c r="AH112" s="144">
        <f>SUMIFS('февраль 2026'!$G$2:$G$2649,'февраль 2026'!$D$2:$D$2649,$B112,'февраль 2026'!$J$2:$J$2649,AH$1)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SUMIFS('февраль 2026'!$G$2:$G$2649,'февраль 2026'!$D$2:$D$2649,$B113,'февраль 2026'!$J$2:$J$2649,D$1)</f>
        <v>0</v>
      </c>
      <c r="E113" s="144">
        <f>SUMIFS('февраль 2026'!$G$2:$G$2649,'февраль 2026'!$D$2:$D$2649,$B113,'февраль 2026'!$J$2:$J$2649,E$1)</f>
        <v>0</v>
      </c>
      <c r="F113" s="144">
        <f>SUMIFS('февраль 2026'!$G$2:$G$2649,'февраль 2026'!$D$2:$D$2649,$B113,'февраль 2026'!$J$2:$J$2649,F$1)</f>
        <v>0</v>
      </c>
      <c r="G113" s="144">
        <f>SUMIFS('февраль 2026'!$G$2:$G$2649,'февраль 2026'!$D$2:$D$2649,$B113,'февраль 2026'!$J$2:$J$2649,G$1)</f>
        <v>0</v>
      </c>
      <c r="H113" s="144">
        <f>SUMIFS('февраль 2026'!$G$2:$G$2649,'февраль 2026'!$D$2:$D$2649,$B113,'февраль 2026'!$J$2:$J$2649,H$1)</f>
        <v>0</v>
      </c>
      <c r="I113" s="144">
        <f>SUMIFS('февраль 2026'!$G$2:$G$2649,'февраль 2026'!$D$2:$D$2649,$B113,'февраль 2026'!$J$2:$J$2649,I$1)</f>
        <v>0</v>
      </c>
      <c r="J113" s="144">
        <f>SUMIFS('февраль 2026'!$G$2:$G$2649,'февраль 2026'!$D$2:$D$2649,$B113,'февраль 2026'!$J$2:$J$2649,J$1)</f>
        <v>0</v>
      </c>
      <c r="K113" s="144">
        <f>SUMIFS('февраль 2026'!$G$2:$G$2649,'февраль 2026'!$D$2:$D$2649,$B113,'февраль 2026'!$J$2:$J$2649,K$1)</f>
        <v>0</v>
      </c>
      <c r="L113" s="144">
        <f>SUMIFS('февраль 2026'!$G$2:$G$2649,'февраль 2026'!$D$2:$D$2649,$B113,'февраль 2026'!$J$2:$J$2649,L$1)</f>
        <v>0</v>
      </c>
      <c r="M113" s="144">
        <f>SUMIFS('февраль 2026'!$G$2:$G$2649,'февраль 2026'!$D$2:$D$2649,$B113,'февраль 2026'!$J$2:$J$2649,M$1)</f>
        <v>0</v>
      </c>
      <c r="N113" s="144">
        <f>SUMIFS('февраль 2026'!$G$2:$G$2649,'февраль 2026'!$D$2:$D$2649,$B113,'февраль 2026'!$J$2:$J$2649,N$1)</f>
        <v>0</v>
      </c>
      <c r="O113" s="144">
        <f>SUMIFS('февраль 2026'!$G$2:$G$2649,'февраль 2026'!$D$2:$D$2649,$B113,'февраль 2026'!$J$2:$J$2649,O$1)</f>
        <v>0</v>
      </c>
      <c r="P113" s="144">
        <f>SUMIFS('февраль 2026'!$G$2:$G$2649,'февраль 2026'!$D$2:$D$2649,$B113,'февраль 2026'!$J$2:$J$2649,P$1)</f>
        <v>0</v>
      </c>
      <c r="Q113" s="144">
        <f>SUMIFS('февраль 2026'!$G$2:$G$2649,'февраль 2026'!$D$2:$D$2649,$B113,'февраль 2026'!$J$2:$J$2649,Q$1)</f>
        <v>0</v>
      </c>
      <c r="R113" s="144">
        <f>SUMIFS('февраль 2026'!$G$2:$G$2649,'февраль 2026'!$D$2:$D$2649,$B113,'февраль 2026'!$J$2:$J$2649,R$1)</f>
        <v>0</v>
      </c>
      <c r="S113" s="144">
        <f>SUMIFS('февраль 2026'!$G$2:$G$2649,'февраль 2026'!$D$2:$D$2649,$B113,'февраль 2026'!$J$2:$J$2649,S$1)</f>
        <v>0</v>
      </c>
      <c r="T113" s="144">
        <f>SUMIFS('февраль 2026'!$G$2:$G$2649,'февраль 2026'!$D$2:$D$2649,$B113,'февраль 2026'!$J$2:$J$2649,T$1)</f>
        <v>0</v>
      </c>
      <c r="U113" s="144">
        <f>SUMIFS('февраль 2026'!$G$2:$G$2649,'февраль 2026'!$D$2:$D$2649,$B113,'февраль 2026'!$J$2:$J$2649,U$1)</f>
        <v>0</v>
      </c>
      <c r="V113" s="144">
        <f>SUMIFS('февраль 2026'!$G$2:$G$2649,'февраль 2026'!$D$2:$D$2649,$B113,'февраль 2026'!$J$2:$J$2649,V$1)</f>
        <v>0</v>
      </c>
      <c r="W113" s="144">
        <f>SUMIFS('февраль 2026'!$G$2:$G$2649,'февраль 2026'!$D$2:$D$2649,$B113,'февраль 2026'!$J$2:$J$2649,W$1)</f>
        <v>0</v>
      </c>
      <c r="X113" s="144">
        <f>SUMIFS('февраль 2026'!$G$2:$G$2649,'февраль 2026'!$D$2:$D$2649,$B113,'февраль 2026'!$J$2:$J$2649,X$1)</f>
        <v>0</v>
      </c>
      <c r="Y113" s="144">
        <f>SUMIFS('февраль 2026'!$G$2:$G$2649,'февраль 2026'!$D$2:$D$2649,$B113,'февраль 2026'!$J$2:$J$2649,Y$1)</f>
        <v>0</v>
      </c>
      <c r="Z113" s="144">
        <f>SUMIFS('февраль 2026'!$G$2:$G$2649,'февраль 2026'!$D$2:$D$2649,$B113,'февраль 2026'!$J$2:$J$2649,Z$1)</f>
        <v>0</v>
      </c>
      <c r="AA113" s="144">
        <f>SUMIFS('февраль 2026'!$G$2:$G$2649,'февраль 2026'!$D$2:$D$2649,$B113,'февраль 2026'!$J$2:$J$2649,AA$1)</f>
        <v>0</v>
      </c>
      <c r="AB113" s="144">
        <f>SUMIFS('февраль 2026'!$G$2:$G$2649,'февраль 2026'!$D$2:$D$2649,$B113,'февраль 2026'!$J$2:$J$2649,AB$1)</f>
        <v>0</v>
      </c>
      <c r="AC113" s="144">
        <f>SUMIFS('февраль 2026'!$G$2:$G$2649,'февраль 2026'!$D$2:$D$2649,$B113,'февраль 2026'!$J$2:$J$2649,AC$1)</f>
        <v>0</v>
      </c>
      <c r="AD113" s="144">
        <f>SUMIFS('февраль 2026'!$G$2:$G$2649,'февраль 2026'!$D$2:$D$2649,$B113,'февраль 2026'!$J$2:$J$2649,AD$1)</f>
        <v>0</v>
      </c>
      <c r="AE113" s="144">
        <f>SUMIFS('февраль 2026'!$G$2:$G$2649,'февраль 2026'!$D$2:$D$2649,$B113,'февраль 2026'!$J$2:$J$2649,AE$1)</f>
        <v>0</v>
      </c>
      <c r="AF113" s="144">
        <f>SUMIFS('февраль 2026'!$G$2:$G$2649,'февраль 2026'!$D$2:$D$2649,$B113,'февраль 2026'!$J$2:$J$2649,AF$1)</f>
        <v>0</v>
      </c>
      <c r="AG113" s="144">
        <f>SUMIFS('февраль 2026'!$G$2:$G$2649,'февраль 2026'!$D$2:$D$2649,$B113,'февраль 2026'!$J$2:$J$2649,AG$1)</f>
        <v>0</v>
      </c>
      <c r="AH113" s="144">
        <f>SUMIFS('февраль 2026'!$G$2:$G$2649,'февраль 2026'!$D$2:$D$2649,$B113,'февраль 2026'!$J$2:$J$2649,AH$1)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SUMIFS('февраль 2026'!$G$2:$G$2649,'февраль 2026'!$D$2:$D$2649,$B114,'февраль 2026'!$J$2:$J$2649,D$1)</f>
        <v>0</v>
      </c>
      <c r="E114" s="144">
        <f>SUMIFS('февраль 2026'!$G$2:$G$2649,'февраль 2026'!$D$2:$D$2649,$B114,'февраль 2026'!$J$2:$J$2649,E$1)</f>
        <v>0</v>
      </c>
      <c r="F114" s="144">
        <f>SUMIFS('февраль 2026'!$G$2:$G$2649,'февраль 2026'!$D$2:$D$2649,$B114,'февраль 2026'!$J$2:$J$2649,F$1)</f>
        <v>0</v>
      </c>
      <c r="G114" s="144">
        <f>SUMIFS('февраль 2026'!$G$2:$G$2649,'февраль 2026'!$D$2:$D$2649,$B114,'февраль 2026'!$J$2:$J$2649,G$1)</f>
        <v>0</v>
      </c>
      <c r="H114" s="144">
        <f>SUMIFS('февраль 2026'!$G$2:$G$2649,'февраль 2026'!$D$2:$D$2649,$B114,'февраль 2026'!$J$2:$J$2649,H$1)</f>
        <v>0</v>
      </c>
      <c r="I114" s="144">
        <f>SUMIFS('февраль 2026'!$G$2:$G$2649,'февраль 2026'!$D$2:$D$2649,$B114,'февраль 2026'!$J$2:$J$2649,I$1)</f>
        <v>0</v>
      </c>
      <c r="J114" s="144">
        <f>SUMIFS('февраль 2026'!$G$2:$G$2649,'февраль 2026'!$D$2:$D$2649,$B114,'февраль 2026'!$J$2:$J$2649,J$1)</f>
        <v>0</v>
      </c>
      <c r="K114" s="144">
        <f>SUMIFS('февраль 2026'!$G$2:$G$2649,'февраль 2026'!$D$2:$D$2649,$B114,'февраль 2026'!$J$2:$J$2649,K$1)</f>
        <v>0</v>
      </c>
      <c r="L114" s="144">
        <f>SUMIFS('февраль 2026'!$G$2:$G$2649,'февраль 2026'!$D$2:$D$2649,$B114,'февраль 2026'!$J$2:$J$2649,L$1)</f>
        <v>0</v>
      </c>
      <c r="M114" s="144">
        <f>SUMIFS('февраль 2026'!$G$2:$G$2649,'февраль 2026'!$D$2:$D$2649,$B114,'февраль 2026'!$J$2:$J$2649,M$1)</f>
        <v>0</v>
      </c>
      <c r="N114" s="144">
        <f>SUMIFS('февраль 2026'!$G$2:$G$2649,'февраль 2026'!$D$2:$D$2649,$B114,'февраль 2026'!$J$2:$J$2649,N$1)</f>
        <v>0</v>
      </c>
      <c r="O114" s="144">
        <f>SUMIFS('февраль 2026'!$G$2:$G$2649,'февраль 2026'!$D$2:$D$2649,$B114,'февраль 2026'!$J$2:$J$2649,O$1)</f>
        <v>0</v>
      </c>
      <c r="P114" s="144">
        <f>SUMIFS('февраль 2026'!$G$2:$G$2649,'февраль 2026'!$D$2:$D$2649,$B114,'февраль 2026'!$J$2:$J$2649,P$1)</f>
        <v>0</v>
      </c>
      <c r="Q114" s="144">
        <f>SUMIFS('февраль 2026'!$G$2:$G$2649,'февраль 2026'!$D$2:$D$2649,$B114,'февраль 2026'!$J$2:$J$2649,Q$1)</f>
        <v>0</v>
      </c>
      <c r="R114" s="144">
        <f>SUMIFS('февраль 2026'!$G$2:$G$2649,'февраль 2026'!$D$2:$D$2649,$B114,'февраль 2026'!$J$2:$J$2649,R$1)</f>
        <v>0</v>
      </c>
      <c r="S114" s="144">
        <f>SUMIFS('февраль 2026'!$G$2:$G$2649,'февраль 2026'!$D$2:$D$2649,$B114,'февраль 2026'!$J$2:$J$2649,S$1)</f>
        <v>0</v>
      </c>
      <c r="T114" s="144">
        <f>SUMIFS('февраль 2026'!$G$2:$G$2649,'февраль 2026'!$D$2:$D$2649,$B114,'февраль 2026'!$J$2:$J$2649,T$1)</f>
        <v>0</v>
      </c>
      <c r="U114" s="144">
        <f>SUMIFS('февраль 2026'!$G$2:$G$2649,'февраль 2026'!$D$2:$D$2649,$B114,'февраль 2026'!$J$2:$J$2649,U$1)</f>
        <v>0</v>
      </c>
      <c r="V114" s="144">
        <f>SUMIFS('февраль 2026'!$G$2:$G$2649,'февраль 2026'!$D$2:$D$2649,$B114,'февраль 2026'!$J$2:$J$2649,V$1)</f>
        <v>0</v>
      </c>
      <c r="W114" s="144">
        <f>SUMIFS('февраль 2026'!$G$2:$G$2649,'февраль 2026'!$D$2:$D$2649,$B114,'февраль 2026'!$J$2:$J$2649,W$1)</f>
        <v>0</v>
      </c>
      <c r="X114" s="144">
        <f>SUMIFS('февраль 2026'!$G$2:$G$2649,'февраль 2026'!$D$2:$D$2649,$B114,'февраль 2026'!$J$2:$J$2649,X$1)</f>
        <v>0</v>
      </c>
      <c r="Y114" s="144">
        <f>SUMIFS('февраль 2026'!$G$2:$G$2649,'февраль 2026'!$D$2:$D$2649,$B114,'февраль 2026'!$J$2:$J$2649,Y$1)</f>
        <v>0</v>
      </c>
      <c r="Z114" s="144">
        <f>SUMIFS('февраль 2026'!$G$2:$G$2649,'февраль 2026'!$D$2:$D$2649,$B114,'февраль 2026'!$J$2:$J$2649,Z$1)</f>
        <v>0</v>
      </c>
      <c r="AA114" s="144">
        <f>SUMIFS('февраль 2026'!$G$2:$G$2649,'февраль 2026'!$D$2:$D$2649,$B114,'февраль 2026'!$J$2:$J$2649,AA$1)</f>
        <v>0</v>
      </c>
      <c r="AB114" s="144">
        <f>SUMIFS('февраль 2026'!$G$2:$G$2649,'февраль 2026'!$D$2:$D$2649,$B114,'февраль 2026'!$J$2:$J$2649,AB$1)</f>
        <v>0</v>
      </c>
      <c r="AC114" s="144">
        <f>SUMIFS('февраль 2026'!$G$2:$G$2649,'февраль 2026'!$D$2:$D$2649,$B114,'февраль 2026'!$J$2:$J$2649,AC$1)</f>
        <v>0</v>
      </c>
      <c r="AD114" s="144">
        <f>SUMIFS('февраль 2026'!$G$2:$G$2649,'февраль 2026'!$D$2:$D$2649,$B114,'февраль 2026'!$J$2:$J$2649,AD$1)</f>
        <v>0</v>
      </c>
      <c r="AE114" s="144">
        <f>SUMIFS('февраль 2026'!$G$2:$G$2649,'февраль 2026'!$D$2:$D$2649,$B114,'февраль 2026'!$J$2:$J$2649,AE$1)</f>
        <v>0</v>
      </c>
      <c r="AF114" s="144">
        <f>SUMIFS('февраль 2026'!$G$2:$G$2649,'февраль 2026'!$D$2:$D$2649,$B114,'февраль 2026'!$J$2:$J$2649,AF$1)</f>
        <v>0</v>
      </c>
      <c r="AG114" s="144">
        <f>SUMIFS('февраль 2026'!$G$2:$G$2649,'февраль 2026'!$D$2:$D$2649,$B114,'февраль 2026'!$J$2:$J$2649,AG$1)</f>
        <v>0</v>
      </c>
      <c r="AH114" s="144">
        <f>SUMIFS('февраль 2026'!$G$2:$G$2649,'февраль 2026'!$D$2:$D$2649,$B114,'февраль 2026'!$J$2:$J$2649,AH$1)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SUMIFS('февраль 2026'!$G$2:$G$2649,'февраль 2026'!$D$2:$D$2649,$B115,'февраль 2026'!$J$2:$J$2649,D$1)</f>
        <v>0</v>
      </c>
      <c r="E115" s="144">
        <f>SUMIFS('февраль 2026'!$G$2:$G$2649,'февраль 2026'!$D$2:$D$2649,$B115,'февраль 2026'!$J$2:$J$2649,E$1)</f>
        <v>0</v>
      </c>
      <c r="F115" s="144">
        <f>SUMIFS('февраль 2026'!$G$2:$G$2649,'февраль 2026'!$D$2:$D$2649,$B115,'февраль 2026'!$J$2:$J$2649,F$1)</f>
        <v>0</v>
      </c>
      <c r="G115" s="144">
        <f>SUMIFS('февраль 2026'!$G$2:$G$2649,'февраль 2026'!$D$2:$D$2649,$B115,'февраль 2026'!$J$2:$J$2649,G$1)</f>
        <v>0</v>
      </c>
      <c r="H115" s="144">
        <f>SUMIFS('февраль 2026'!$G$2:$G$2649,'февраль 2026'!$D$2:$D$2649,$B115,'февраль 2026'!$J$2:$J$2649,H$1)</f>
        <v>0</v>
      </c>
      <c r="I115" s="144">
        <f>SUMIFS('февраль 2026'!$G$2:$G$2649,'февраль 2026'!$D$2:$D$2649,$B115,'февраль 2026'!$J$2:$J$2649,I$1)</f>
        <v>0</v>
      </c>
      <c r="J115" s="144">
        <f>SUMIFS('февраль 2026'!$G$2:$G$2649,'февраль 2026'!$D$2:$D$2649,$B115,'февраль 2026'!$J$2:$J$2649,J$1)</f>
        <v>0</v>
      </c>
      <c r="K115" s="144">
        <f>SUMIFS('февраль 2026'!$G$2:$G$2649,'февраль 2026'!$D$2:$D$2649,$B115,'февраль 2026'!$J$2:$J$2649,K$1)</f>
        <v>0</v>
      </c>
      <c r="L115" s="144">
        <f>SUMIFS('февраль 2026'!$G$2:$G$2649,'февраль 2026'!$D$2:$D$2649,$B115,'февраль 2026'!$J$2:$J$2649,L$1)</f>
        <v>0</v>
      </c>
      <c r="M115" s="144">
        <f>SUMIFS('февраль 2026'!$G$2:$G$2649,'февраль 2026'!$D$2:$D$2649,$B115,'февраль 2026'!$J$2:$J$2649,M$1)</f>
        <v>0</v>
      </c>
      <c r="N115" s="144">
        <f>SUMIFS('февраль 2026'!$G$2:$G$2649,'февраль 2026'!$D$2:$D$2649,$B115,'февраль 2026'!$J$2:$J$2649,N$1)</f>
        <v>0</v>
      </c>
      <c r="O115" s="144">
        <f>SUMIFS('февраль 2026'!$G$2:$G$2649,'февраль 2026'!$D$2:$D$2649,$B115,'февраль 2026'!$J$2:$J$2649,O$1)</f>
        <v>0</v>
      </c>
      <c r="P115" s="144">
        <f>SUMIFS('февраль 2026'!$G$2:$G$2649,'февраль 2026'!$D$2:$D$2649,$B115,'февраль 2026'!$J$2:$J$2649,P$1)</f>
        <v>0</v>
      </c>
      <c r="Q115" s="144">
        <f>SUMIFS('февраль 2026'!$G$2:$G$2649,'февраль 2026'!$D$2:$D$2649,$B115,'февраль 2026'!$J$2:$J$2649,Q$1)</f>
        <v>0</v>
      </c>
      <c r="R115" s="144">
        <f>SUMIFS('февраль 2026'!$G$2:$G$2649,'февраль 2026'!$D$2:$D$2649,$B115,'февраль 2026'!$J$2:$J$2649,R$1)</f>
        <v>0</v>
      </c>
      <c r="S115" s="144">
        <f>SUMIFS('февраль 2026'!$G$2:$G$2649,'февраль 2026'!$D$2:$D$2649,$B115,'февраль 2026'!$J$2:$J$2649,S$1)</f>
        <v>0</v>
      </c>
      <c r="T115" s="144">
        <f>SUMIFS('февраль 2026'!$G$2:$G$2649,'февраль 2026'!$D$2:$D$2649,$B115,'февраль 2026'!$J$2:$J$2649,T$1)</f>
        <v>0</v>
      </c>
      <c r="U115" s="144">
        <f>SUMIFS('февраль 2026'!$G$2:$G$2649,'февраль 2026'!$D$2:$D$2649,$B115,'февраль 2026'!$J$2:$J$2649,U$1)</f>
        <v>0</v>
      </c>
      <c r="V115" s="144">
        <f>SUMIFS('февраль 2026'!$G$2:$G$2649,'февраль 2026'!$D$2:$D$2649,$B115,'февраль 2026'!$J$2:$J$2649,V$1)</f>
        <v>0</v>
      </c>
      <c r="W115" s="144">
        <f>SUMIFS('февраль 2026'!$G$2:$G$2649,'февраль 2026'!$D$2:$D$2649,$B115,'февраль 2026'!$J$2:$J$2649,W$1)</f>
        <v>0</v>
      </c>
      <c r="X115" s="144">
        <f>SUMIFS('февраль 2026'!$G$2:$G$2649,'февраль 2026'!$D$2:$D$2649,$B115,'февраль 2026'!$J$2:$J$2649,X$1)</f>
        <v>0</v>
      </c>
      <c r="Y115" s="144">
        <f>SUMIFS('февраль 2026'!$G$2:$G$2649,'февраль 2026'!$D$2:$D$2649,$B115,'февраль 2026'!$J$2:$J$2649,Y$1)</f>
        <v>0</v>
      </c>
      <c r="Z115" s="144">
        <f>SUMIFS('февраль 2026'!$G$2:$G$2649,'февраль 2026'!$D$2:$D$2649,$B115,'февраль 2026'!$J$2:$J$2649,Z$1)</f>
        <v>0</v>
      </c>
      <c r="AA115" s="144">
        <f>SUMIFS('февраль 2026'!$G$2:$G$2649,'февраль 2026'!$D$2:$D$2649,$B115,'февраль 2026'!$J$2:$J$2649,AA$1)</f>
        <v>0</v>
      </c>
      <c r="AB115" s="144">
        <f>SUMIFS('февраль 2026'!$G$2:$G$2649,'февраль 2026'!$D$2:$D$2649,$B115,'февраль 2026'!$J$2:$J$2649,AB$1)</f>
        <v>0</v>
      </c>
      <c r="AC115" s="144">
        <f>SUMIFS('февраль 2026'!$G$2:$G$2649,'февраль 2026'!$D$2:$D$2649,$B115,'февраль 2026'!$J$2:$J$2649,AC$1)</f>
        <v>0</v>
      </c>
      <c r="AD115" s="144">
        <f>SUMIFS('февраль 2026'!$G$2:$G$2649,'февраль 2026'!$D$2:$D$2649,$B115,'февраль 2026'!$J$2:$J$2649,AD$1)</f>
        <v>0</v>
      </c>
      <c r="AE115" s="144">
        <f>SUMIFS('февраль 2026'!$G$2:$G$2649,'февраль 2026'!$D$2:$D$2649,$B115,'февраль 2026'!$J$2:$J$2649,AE$1)</f>
        <v>0</v>
      </c>
      <c r="AF115" s="144">
        <f>SUMIFS('февраль 2026'!$G$2:$G$2649,'февраль 2026'!$D$2:$D$2649,$B115,'февраль 2026'!$J$2:$J$2649,AF$1)</f>
        <v>0</v>
      </c>
      <c r="AG115" s="144">
        <f>SUMIFS('февраль 2026'!$G$2:$G$2649,'февраль 2026'!$D$2:$D$2649,$B115,'февраль 2026'!$J$2:$J$2649,AG$1)</f>
        <v>0</v>
      </c>
      <c r="AH115" s="144">
        <f>SUMIFS('февраль 2026'!$G$2:$G$2649,'февраль 2026'!$D$2:$D$2649,$B115,'февраль 2026'!$J$2:$J$2649,AH$1)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SUMIFS('февраль 2026'!$G$2:$G$2649,'февраль 2026'!$D$2:$D$2649,$B116,'февраль 2026'!$J$2:$J$2649,D$1)</f>
        <v>0</v>
      </c>
      <c r="E116" s="144">
        <f>SUMIFS('февраль 2026'!$G$2:$G$2649,'февраль 2026'!$D$2:$D$2649,$B116,'февраль 2026'!$J$2:$J$2649,E$1)</f>
        <v>0</v>
      </c>
      <c r="F116" s="144">
        <f>SUMIFS('февраль 2026'!$G$2:$G$2649,'февраль 2026'!$D$2:$D$2649,$B116,'февраль 2026'!$J$2:$J$2649,F$1)</f>
        <v>0</v>
      </c>
      <c r="G116" s="144">
        <f>SUMIFS('февраль 2026'!$G$2:$G$2649,'февраль 2026'!$D$2:$D$2649,$B116,'февраль 2026'!$J$2:$J$2649,G$1)</f>
        <v>0</v>
      </c>
      <c r="H116" s="144">
        <f>SUMIFS('февраль 2026'!$G$2:$G$2649,'февраль 2026'!$D$2:$D$2649,$B116,'февраль 2026'!$J$2:$J$2649,H$1)</f>
        <v>0</v>
      </c>
      <c r="I116" s="144">
        <f>SUMIFS('февраль 2026'!$G$2:$G$2649,'февраль 2026'!$D$2:$D$2649,$B116,'февраль 2026'!$J$2:$J$2649,I$1)</f>
        <v>0</v>
      </c>
      <c r="J116" s="144">
        <f>SUMIFS('февраль 2026'!$G$2:$G$2649,'февраль 2026'!$D$2:$D$2649,$B116,'февраль 2026'!$J$2:$J$2649,J$1)</f>
        <v>0</v>
      </c>
      <c r="K116" s="144">
        <f>SUMIFS('февраль 2026'!$G$2:$G$2649,'февраль 2026'!$D$2:$D$2649,$B116,'февраль 2026'!$J$2:$J$2649,K$1)</f>
        <v>0</v>
      </c>
      <c r="L116" s="144">
        <f>SUMIFS('февраль 2026'!$G$2:$G$2649,'февраль 2026'!$D$2:$D$2649,$B116,'февраль 2026'!$J$2:$J$2649,L$1)</f>
        <v>0</v>
      </c>
      <c r="M116" s="144">
        <f>SUMIFS('февраль 2026'!$G$2:$G$2649,'февраль 2026'!$D$2:$D$2649,$B116,'февраль 2026'!$J$2:$J$2649,M$1)</f>
        <v>0</v>
      </c>
      <c r="N116" s="144">
        <f>SUMIFS('февраль 2026'!$G$2:$G$2649,'февраль 2026'!$D$2:$D$2649,$B116,'февраль 2026'!$J$2:$J$2649,N$1)</f>
        <v>0</v>
      </c>
      <c r="O116" s="144">
        <f>SUMIFS('февраль 2026'!$G$2:$G$2649,'февраль 2026'!$D$2:$D$2649,$B116,'февраль 2026'!$J$2:$J$2649,O$1)</f>
        <v>0</v>
      </c>
      <c r="P116" s="144">
        <f>SUMIFS('февраль 2026'!$G$2:$G$2649,'февраль 2026'!$D$2:$D$2649,$B116,'февраль 2026'!$J$2:$J$2649,P$1)</f>
        <v>0</v>
      </c>
      <c r="Q116" s="144">
        <f>SUMIFS('февраль 2026'!$G$2:$G$2649,'февраль 2026'!$D$2:$D$2649,$B116,'февраль 2026'!$J$2:$J$2649,Q$1)</f>
        <v>0</v>
      </c>
      <c r="R116" s="144">
        <f>SUMIFS('февраль 2026'!$G$2:$G$2649,'февраль 2026'!$D$2:$D$2649,$B116,'февраль 2026'!$J$2:$J$2649,R$1)</f>
        <v>0</v>
      </c>
      <c r="S116" s="144">
        <f>SUMIFS('февраль 2026'!$G$2:$G$2649,'февраль 2026'!$D$2:$D$2649,$B116,'февраль 2026'!$J$2:$J$2649,S$1)</f>
        <v>0</v>
      </c>
      <c r="T116" s="144">
        <f>SUMIFS('февраль 2026'!$G$2:$G$2649,'февраль 2026'!$D$2:$D$2649,$B116,'февраль 2026'!$J$2:$J$2649,T$1)</f>
        <v>0</v>
      </c>
      <c r="U116" s="144">
        <f>SUMIFS('февраль 2026'!$G$2:$G$2649,'февраль 2026'!$D$2:$D$2649,$B116,'февраль 2026'!$J$2:$J$2649,U$1)</f>
        <v>0</v>
      </c>
      <c r="V116" s="144">
        <f>SUMIFS('февраль 2026'!$G$2:$G$2649,'февраль 2026'!$D$2:$D$2649,$B116,'февраль 2026'!$J$2:$J$2649,V$1)</f>
        <v>0</v>
      </c>
      <c r="W116" s="144">
        <f>SUMIFS('февраль 2026'!$G$2:$G$2649,'февраль 2026'!$D$2:$D$2649,$B116,'февраль 2026'!$J$2:$J$2649,W$1)</f>
        <v>0</v>
      </c>
      <c r="X116" s="144">
        <f>SUMIFS('февраль 2026'!$G$2:$G$2649,'февраль 2026'!$D$2:$D$2649,$B116,'февраль 2026'!$J$2:$J$2649,X$1)</f>
        <v>0</v>
      </c>
      <c r="Y116" s="144">
        <f>SUMIFS('февраль 2026'!$G$2:$G$2649,'февраль 2026'!$D$2:$D$2649,$B116,'февраль 2026'!$J$2:$J$2649,Y$1)</f>
        <v>0</v>
      </c>
      <c r="Z116" s="144">
        <f>SUMIFS('февраль 2026'!$G$2:$G$2649,'февраль 2026'!$D$2:$D$2649,$B116,'февраль 2026'!$J$2:$J$2649,Z$1)</f>
        <v>0</v>
      </c>
      <c r="AA116" s="144">
        <f>SUMIFS('февраль 2026'!$G$2:$G$2649,'февраль 2026'!$D$2:$D$2649,$B116,'февраль 2026'!$J$2:$J$2649,AA$1)</f>
        <v>0</v>
      </c>
      <c r="AB116" s="144">
        <f>SUMIFS('февраль 2026'!$G$2:$G$2649,'февраль 2026'!$D$2:$D$2649,$B116,'февраль 2026'!$J$2:$J$2649,AB$1)</f>
        <v>0</v>
      </c>
      <c r="AC116" s="144">
        <f>SUMIFS('февраль 2026'!$G$2:$G$2649,'февраль 2026'!$D$2:$D$2649,$B116,'февраль 2026'!$J$2:$J$2649,AC$1)</f>
        <v>0</v>
      </c>
      <c r="AD116" s="144">
        <f>SUMIFS('февраль 2026'!$G$2:$G$2649,'февраль 2026'!$D$2:$D$2649,$B116,'февраль 2026'!$J$2:$J$2649,AD$1)</f>
        <v>0</v>
      </c>
      <c r="AE116" s="144">
        <f>SUMIFS('февраль 2026'!$G$2:$G$2649,'февраль 2026'!$D$2:$D$2649,$B116,'февраль 2026'!$J$2:$J$2649,AE$1)</f>
        <v>0</v>
      </c>
      <c r="AF116" s="144">
        <f>SUMIFS('февраль 2026'!$G$2:$G$2649,'февраль 2026'!$D$2:$D$2649,$B116,'февраль 2026'!$J$2:$J$2649,AF$1)</f>
        <v>0</v>
      </c>
      <c r="AG116" s="144">
        <f>SUMIFS('февраль 2026'!$G$2:$G$2649,'февраль 2026'!$D$2:$D$2649,$B116,'февраль 2026'!$J$2:$J$2649,AG$1)</f>
        <v>0</v>
      </c>
      <c r="AH116" s="144">
        <f>SUMIFS('февраль 2026'!$G$2:$G$2649,'февраль 2026'!$D$2:$D$2649,$B116,'февраль 2026'!$J$2:$J$2649,AH$1)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SUMIFS('февраль 2026'!$G$2:$G$2649,'февраль 2026'!$D$2:$D$2649,$B117,'февраль 2026'!$J$2:$J$2649,D$1)</f>
        <v>0</v>
      </c>
      <c r="E117" s="144">
        <f>SUMIFS('февраль 2026'!$G$2:$G$2649,'февраль 2026'!$D$2:$D$2649,$B117,'февраль 2026'!$J$2:$J$2649,E$1)</f>
        <v>0</v>
      </c>
      <c r="F117" s="144">
        <f>SUMIFS('февраль 2026'!$G$2:$G$2649,'февраль 2026'!$D$2:$D$2649,$B117,'февраль 2026'!$J$2:$J$2649,F$1)</f>
        <v>0</v>
      </c>
      <c r="G117" s="144">
        <f>SUMIFS('февраль 2026'!$G$2:$G$2649,'февраль 2026'!$D$2:$D$2649,$B117,'февраль 2026'!$J$2:$J$2649,G$1)</f>
        <v>0</v>
      </c>
      <c r="H117" s="144">
        <f>SUMIFS('февраль 2026'!$G$2:$G$2649,'февраль 2026'!$D$2:$D$2649,$B117,'февраль 2026'!$J$2:$J$2649,H$1)</f>
        <v>0</v>
      </c>
      <c r="I117" s="144">
        <f>SUMIFS('февраль 2026'!$G$2:$G$2649,'февраль 2026'!$D$2:$D$2649,$B117,'февраль 2026'!$J$2:$J$2649,I$1)</f>
        <v>0</v>
      </c>
      <c r="J117" s="144">
        <f>SUMIFS('февраль 2026'!$G$2:$G$2649,'февраль 2026'!$D$2:$D$2649,$B117,'февраль 2026'!$J$2:$J$2649,J$1)</f>
        <v>0</v>
      </c>
      <c r="K117" s="144">
        <f>SUMIFS('февраль 2026'!$G$2:$G$2649,'февраль 2026'!$D$2:$D$2649,$B117,'февраль 2026'!$J$2:$J$2649,K$1)</f>
        <v>0</v>
      </c>
      <c r="L117" s="144">
        <f>SUMIFS('февраль 2026'!$G$2:$G$2649,'февраль 2026'!$D$2:$D$2649,$B117,'февраль 2026'!$J$2:$J$2649,L$1)</f>
        <v>0</v>
      </c>
      <c r="M117" s="144">
        <f>SUMIFS('февраль 2026'!$G$2:$G$2649,'февраль 2026'!$D$2:$D$2649,$B117,'февраль 2026'!$J$2:$J$2649,M$1)</f>
        <v>0</v>
      </c>
      <c r="N117" s="144">
        <f>SUMIFS('февраль 2026'!$G$2:$G$2649,'февраль 2026'!$D$2:$D$2649,$B117,'февраль 2026'!$J$2:$J$2649,N$1)</f>
        <v>0</v>
      </c>
      <c r="O117" s="144">
        <f>SUMIFS('февраль 2026'!$G$2:$G$2649,'февраль 2026'!$D$2:$D$2649,$B117,'февраль 2026'!$J$2:$J$2649,O$1)</f>
        <v>0</v>
      </c>
      <c r="P117" s="144">
        <f>SUMIFS('февраль 2026'!$G$2:$G$2649,'февраль 2026'!$D$2:$D$2649,$B117,'февраль 2026'!$J$2:$J$2649,P$1)</f>
        <v>0</v>
      </c>
      <c r="Q117" s="144">
        <f>SUMIFS('февраль 2026'!$G$2:$G$2649,'февраль 2026'!$D$2:$D$2649,$B117,'февраль 2026'!$J$2:$J$2649,Q$1)</f>
        <v>0</v>
      </c>
      <c r="R117" s="144">
        <f>SUMIFS('февраль 2026'!$G$2:$G$2649,'февраль 2026'!$D$2:$D$2649,$B117,'февраль 2026'!$J$2:$J$2649,R$1)</f>
        <v>0</v>
      </c>
      <c r="S117" s="144">
        <f>SUMIFS('февраль 2026'!$G$2:$G$2649,'февраль 2026'!$D$2:$D$2649,$B117,'февраль 2026'!$J$2:$J$2649,S$1)</f>
        <v>0</v>
      </c>
      <c r="T117" s="144">
        <f>SUMIFS('февраль 2026'!$G$2:$G$2649,'февраль 2026'!$D$2:$D$2649,$B117,'февраль 2026'!$J$2:$J$2649,T$1)</f>
        <v>0</v>
      </c>
      <c r="U117" s="144">
        <f>SUMIFS('февраль 2026'!$G$2:$G$2649,'февраль 2026'!$D$2:$D$2649,$B117,'февраль 2026'!$J$2:$J$2649,U$1)</f>
        <v>0</v>
      </c>
      <c r="V117" s="144">
        <f>SUMIFS('февраль 2026'!$G$2:$G$2649,'февраль 2026'!$D$2:$D$2649,$B117,'февраль 2026'!$J$2:$J$2649,V$1)</f>
        <v>0</v>
      </c>
      <c r="W117" s="144">
        <f>SUMIFS('февраль 2026'!$G$2:$G$2649,'февраль 2026'!$D$2:$D$2649,$B117,'февраль 2026'!$J$2:$J$2649,W$1)</f>
        <v>0</v>
      </c>
      <c r="X117" s="144">
        <f>SUMIFS('февраль 2026'!$G$2:$G$2649,'февраль 2026'!$D$2:$D$2649,$B117,'февраль 2026'!$J$2:$J$2649,X$1)</f>
        <v>0</v>
      </c>
      <c r="Y117" s="144">
        <f>SUMIFS('февраль 2026'!$G$2:$G$2649,'февраль 2026'!$D$2:$D$2649,$B117,'февраль 2026'!$J$2:$J$2649,Y$1)</f>
        <v>0</v>
      </c>
      <c r="Z117" s="144">
        <f>SUMIFS('февраль 2026'!$G$2:$G$2649,'февраль 2026'!$D$2:$D$2649,$B117,'февраль 2026'!$J$2:$J$2649,Z$1)</f>
        <v>0</v>
      </c>
      <c r="AA117" s="144">
        <f>SUMIFS('февраль 2026'!$G$2:$G$2649,'февраль 2026'!$D$2:$D$2649,$B117,'февраль 2026'!$J$2:$J$2649,AA$1)</f>
        <v>0</v>
      </c>
      <c r="AB117" s="144">
        <f>SUMIFS('февраль 2026'!$G$2:$G$2649,'февраль 2026'!$D$2:$D$2649,$B117,'февраль 2026'!$J$2:$J$2649,AB$1)</f>
        <v>0</v>
      </c>
      <c r="AC117" s="144">
        <f>SUMIFS('февраль 2026'!$G$2:$G$2649,'февраль 2026'!$D$2:$D$2649,$B117,'февраль 2026'!$J$2:$J$2649,AC$1)</f>
        <v>0</v>
      </c>
      <c r="AD117" s="144">
        <f>SUMIFS('февраль 2026'!$G$2:$G$2649,'февраль 2026'!$D$2:$D$2649,$B117,'февраль 2026'!$J$2:$J$2649,AD$1)</f>
        <v>0</v>
      </c>
      <c r="AE117" s="144">
        <f>SUMIFS('февраль 2026'!$G$2:$G$2649,'февраль 2026'!$D$2:$D$2649,$B117,'февраль 2026'!$J$2:$J$2649,AE$1)</f>
        <v>0</v>
      </c>
      <c r="AF117" s="144">
        <f>SUMIFS('февраль 2026'!$G$2:$G$2649,'февраль 2026'!$D$2:$D$2649,$B117,'февраль 2026'!$J$2:$J$2649,AF$1)</f>
        <v>0</v>
      </c>
      <c r="AG117" s="144">
        <f>SUMIFS('февраль 2026'!$G$2:$G$2649,'февраль 2026'!$D$2:$D$2649,$B117,'февраль 2026'!$J$2:$J$2649,AG$1)</f>
        <v>0</v>
      </c>
      <c r="AH117" s="144">
        <f>SUMIFS('февраль 2026'!$G$2:$G$2649,'февраль 2026'!$D$2:$D$2649,$B117,'февраль 2026'!$J$2:$J$2649,AH$1)</f>
        <v>0</v>
      </c>
      <c r="AI117" s="20">
        <f t="shared" si="1"/>
        <v>0</v>
      </c>
    </row>
    <row r="118" spans="2:35" ht="15" customHeight="1" x14ac:dyDescent="0.25">
      <c r="B118" s="84" t="s">
        <v>167</v>
      </c>
      <c r="C118" s="83">
        <v>180</v>
      </c>
      <c r="D118" s="144">
        <f>SUMIFS('февраль 2026'!$G$2:$G$2649,'февраль 2026'!$D$2:$D$2649,$B118,'февраль 2026'!$J$2:$J$2649,D$1)</f>
        <v>0</v>
      </c>
      <c r="E118" s="144">
        <f>SUMIFS('февраль 2026'!$G$2:$G$2649,'февраль 2026'!$D$2:$D$2649,$B118,'февраль 2026'!$J$2:$J$2649,E$1)</f>
        <v>0</v>
      </c>
      <c r="F118" s="144">
        <f>SUMIFS('февраль 2026'!$G$2:$G$2649,'февраль 2026'!$D$2:$D$2649,$B118,'февраль 2026'!$J$2:$J$2649,F$1)</f>
        <v>0</v>
      </c>
      <c r="G118" s="144">
        <f>SUMIFS('февраль 2026'!$G$2:$G$2649,'февраль 2026'!$D$2:$D$2649,$B118,'февраль 2026'!$J$2:$J$2649,G$1)</f>
        <v>0</v>
      </c>
      <c r="H118" s="144">
        <f>SUMIFS('февраль 2026'!$G$2:$G$2649,'февраль 2026'!$D$2:$D$2649,$B118,'февраль 2026'!$J$2:$J$2649,H$1)</f>
        <v>0</v>
      </c>
      <c r="I118" s="144">
        <f>SUMIFS('февраль 2026'!$G$2:$G$2649,'февраль 2026'!$D$2:$D$2649,$B118,'февраль 2026'!$J$2:$J$2649,I$1)</f>
        <v>0</v>
      </c>
      <c r="J118" s="144">
        <f>SUMIFS('февраль 2026'!$G$2:$G$2649,'февраль 2026'!$D$2:$D$2649,$B118,'февраль 2026'!$J$2:$J$2649,J$1)</f>
        <v>0</v>
      </c>
      <c r="K118" s="144">
        <f>SUMIFS('февраль 2026'!$G$2:$G$2649,'февраль 2026'!$D$2:$D$2649,$B118,'февраль 2026'!$J$2:$J$2649,K$1)</f>
        <v>0</v>
      </c>
      <c r="L118" s="144">
        <f>SUMIFS('февраль 2026'!$G$2:$G$2649,'февраль 2026'!$D$2:$D$2649,$B118,'февраль 2026'!$J$2:$J$2649,L$1)</f>
        <v>0</v>
      </c>
      <c r="M118" s="144">
        <f>SUMIFS('февраль 2026'!$G$2:$G$2649,'февраль 2026'!$D$2:$D$2649,$B118,'февраль 2026'!$J$2:$J$2649,M$1)</f>
        <v>0</v>
      </c>
      <c r="N118" s="144">
        <f>SUMIFS('февраль 2026'!$G$2:$G$2649,'февраль 2026'!$D$2:$D$2649,$B118,'февраль 2026'!$J$2:$J$2649,N$1)</f>
        <v>0</v>
      </c>
      <c r="O118" s="144">
        <f>SUMIFS('февраль 2026'!$G$2:$G$2649,'февраль 2026'!$D$2:$D$2649,$B118,'февраль 2026'!$J$2:$J$2649,O$1)</f>
        <v>0</v>
      </c>
      <c r="P118" s="144">
        <f>SUMIFS('февраль 2026'!$G$2:$G$2649,'февраль 2026'!$D$2:$D$2649,$B118,'февраль 2026'!$J$2:$J$2649,P$1)</f>
        <v>0</v>
      </c>
      <c r="Q118" s="144">
        <f>SUMIFS('февраль 2026'!$G$2:$G$2649,'февраль 2026'!$D$2:$D$2649,$B118,'февраль 2026'!$J$2:$J$2649,Q$1)</f>
        <v>0</v>
      </c>
      <c r="R118" s="144">
        <f>SUMIFS('февраль 2026'!$G$2:$G$2649,'февраль 2026'!$D$2:$D$2649,$B118,'февраль 2026'!$J$2:$J$2649,R$1)</f>
        <v>0</v>
      </c>
      <c r="S118" s="144">
        <f>SUMIFS('февраль 2026'!$G$2:$G$2649,'февраль 2026'!$D$2:$D$2649,$B118,'февраль 2026'!$J$2:$J$2649,S$1)</f>
        <v>0</v>
      </c>
      <c r="T118" s="144">
        <f>SUMIFS('февраль 2026'!$G$2:$G$2649,'февраль 2026'!$D$2:$D$2649,$B118,'февраль 2026'!$J$2:$J$2649,T$1)</f>
        <v>0</v>
      </c>
      <c r="U118" s="144">
        <f>SUMIFS('февраль 2026'!$G$2:$G$2649,'февраль 2026'!$D$2:$D$2649,$B118,'февраль 2026'!$J$2:$J$2649,U$1)</f>
        <v>0</v>
      </c>
      <c r="V118" s="144">
        <f>SUMIFS('февраль 2026'!$G$2:$G$2649,'февраль 2026'!$D$2:$D$2649,$B118,'февраль 2026'!$J$2:$J$2649,V$1)</f>
        <v>0</v>
      </c>
      <c r="W118" s="144">
        <f>SUMIFS('февраль 2026'!$G$2:$G$2649,'февраль 2026'!$D$2:$D$2649,$B118,'февраль 2026'!$J$2:$J$2649,W$1)</f>
        <v>0</v>
      </c>
      <c r="X118" s="144">
        <f>SUMIFS('февраль 2026'!$G$2:$G$2649,'февраль 2026'!$D$2:$D$2649,$B118,'февраль 2026'!$J$2:$J$2649,X$1)</f>
        <v>0</v>
      </c>
      <c r="Y118" s="144">
        <f>SUMIFS('февраль 2026'!$G$2:$G$2649,'февраль 2026'!$D$2:$D$2649,$B118,'февраль 2026'!$J$2:$J$2649,Y$1)</f>
        <v>0</v>
      </c>
      <c r="Z118" s="144">
        <f>SUMIFS('февраль 2026'!$G$2:$G$2649,'февраль 2026'!$D$2:$D$2649,$B118,'февраль 2026'!$J$2:$J$2649,Z$1)</f>
        <v>0</v>
      </c>
      <c r="AA118" s="144">
        <f>SUMIFS('февраль 2026'!$G$2:$G$2649,'февраль 2026'!$D$2:$D$2649,$B118,'февраль 2026'!$J$2:$J$2649,AA$1)</f>
        <v>0</v>
      </c>
      <c r="AB118" s="144">
        <f>SUMIFS('февраль 2026'!$G$2:$G$2649,'февраль 2026'!$D$2:$D$2649,$B118,'февраль 2026'!$J$2:$J$2649,AB$1)</f>
        <v>0</v>
      </c>
      <c r="AC118" s="144">
        <f>SUMIFS('февраль 2026'!$G$2:$G$2649,'февраль 2026'!$D$2:$D$2649,$B118,'февраль 2026'!$J$2:$J$2649,AC$1)</f>
        <v>0</v>
      </c>
      <c r="AD118" s="144">
        <f>SUMIFS('февраль 2026'!$G$2:$G$2649,'февраль 2026'!$D$2:$D$2649,$B118,'февраль 2026'!$J$2:$J$2649,AD$1)</f>
        <v>0</v>
      </c>
      <c r="AE118" s="144">
        <f>SUMIFS('февраль 2026'!$G$2:$G$2649,'февраль 2026'!$D$2:$D$2649,$B118,'февраль 2026'!$J$2:$J$2649,AE$1)</f>
        <v>0</v>
      </c>
      <c r="AF118" s="144">
        <f>SUMIFS('февраль 2026'!$G$2:$G$2649,'февраль 2026'!$D$2:$D$2649,$B118,'февраль 2026'!$J$2:$J$2649,AF$1)</f>
        <v>0</v>
      </c>
      <c r="AG118" s="144">
        <f>SUMIFS('февраль 2026'!$G$2:$G$2649,'февраль 2026'!$D$2:$D$2649,$B118,'февраль 2026'!$J$2:$J$2649,AG$1)</f>
        <v>0</v>
      </c>
      <c r="AH118" s="144">
        <f>SUMIFS('февраль 2026'!$G$2:$G$2649,'февраль 2026'!$D$2:$D$2649,$B118,'февраль 2026'!$J$2:$J$2649,AH$1)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SUMIFS('февраль 2026'!$G$2:$G$2649,'февраль 2026'!$D$2:$D$2649,$B119,'февраль 2026'!$J$2:$J$2649,D$1)</f>
        <v>0</v>
      </c>
      <c r="E119" s="144">
        <f>SUMIFS('февраль 2026'!$G$2:$G$2649,'февраль 2026'!$D$2:$D$2649,$B119,'февраль 2026'!$J$2:$J$2649,E$1)</f>
        <v>0</v>
      </c>
      <c r="F119" s="144">
        <f>SUMIFS('февраль 2026'!$G$2:$G$2649,'февраль 2026'!$D$2:$D$2649,$B119,'февраль 2026'!$J$2:$J$2649,F$1)</f>
        <v>0</v>
      </c>
      <c r="G119" s="144">
        <f>SUMIFS('февраль 2026'!$G$2:$G$2649,'февраль 2026'!$D$2:$D$2649,$B119,'февраль 2026'!$J$2:$J$2649,G$1)</f>
        <v>0</v>
      </c>
      <c r="H119" s="144">
        <f>SUMIFS('февраль 2026'!$G$2:$G$2649,'февраль 2026'!$D$2:$D$2649,$B119,'февраль 2026'!$J$2:$J$2649,H$1)</f>
        <v>0</v>
      </c>
      <c r="I119" s="144">
        <f>SUMIFS('февраль 2026'!$G$2:$G$2649,'февраль 2026'!$D$2:$D$2649,$B119,'февраль 2026'!$J$2:$J$2649,I$1)</f>
        <v>0</v>
      </c>
      <c r="J119" s="144">
        <f>SUMIFS('февраль 2026'!$G$2:$G$2649,'февраль 2026'!$D$2:$D$2649,$B119,'февраль 2026'!$J$2:$J$2649,J$1)</f>
        <v>0</v>
      </c>
      <c r="K119" s="144">
        <f>SUMIFS('февраль 2026'!$G$2:$G$2649,'февраль 2026'!$D$2:$D$2649,$B119,'февраль 2026'!$J$2:$J$2649,K$1)</f>
        <v>0</v>
      </c>
      <c r="L119" s="144">
        <f>SUMIFS('февраль 2026'!$G$2:$G$2649,'февраль 2026'!$D$2:$D$2649,$B119,'февраль 2026'!$J$2:$J$2649,L$1)</f>
        <v>0</v>
      </c>
      <c r="M119" s="144">
        <f>SUMIFS('февраль 2026'!$G$2:$G$2649,'февраль 2026'!$D$2:$D$2649,$B119,'февраль 2026'!$J$2:$J$2649,M$1)</f>
        <v>0</v>
      </c>
      <c r="N119" s="144">
        <f>SUMIFS('февраль 2026'!$G$2:$G$2649,'февраль 2026'!$D$2:$D$2649,$B119,'февраль 2026'!$J$2:$J$2649,N$1)</f>
        <v>0</v>
      </c>
      <c r="O119" s="144">
        <f>SUMIFS('февраль 2026'!$G$2:$G$2649,'февраль 2026'!$D$2:$D$2649,$B119,'февраль 2026'!$J$2:$J$2649,O$1)</f>
        <v>0</v>
      </c>
      <c r="P119" s="144">
        <f>SUMIFS('февраль 2026'!$G$2:$G$2649,'февраль 2026'!$D$2:$D$2649,$B119,'февраль 2026'!$J$2:$J$2649,P$1)</f>
        <v>0</v>
      </c>
      <c r="Q119" s="144">
        <f>SUMIFS('февраль 2026'!$G$2:$G$2649,'февраль 2026'!$D$2:$D$2649,$B119,'февраль 2026'!$J$2:$J$2649,Q$1)</f>
        <v>0</v>
      </c>
      <c r="R119" s="144">
        <f>SUMIFS('февраль 2026'!$G$2:$G$2649,'февраль 2026'!$D$2:$D$2649,$B119,'февраль 2026'!$J$2:$J$2649,R$1)</f>
        <v>0</v>
      </c>
      <c r="S119" s="144">
        <f>SUMIFS('февраль 2026'!$G$2:$G$2649,'февраль 2026'!$D$2:$D$2649,$B119,'февраль 2026'!$J$2:$J$2649,S$1)</f>
        <v>0</v>
      </c>
      <c r="T119" s="144">
        <f>SUMIFS('февраль 2026'!$G$2:$G$2649,'февраль 2026'!$D$2:$D$2649,$B119,'февраль 2026'!$J$2:$J$2649,T$1)</f>
        <v>0</v>
      </c>
      <c r="U119" s="144">
        <f>SUMIFS('февраль 2026'!$G$2:$G$2649,'февраль 2026'!$D$2:$D$2649,$B119,'февраль 2026'!$J$2:$J$2649,U$1)</f>
        <v>0</v>
      </c>
      <c r="V119" s="144">
        <f>SUMIFS('февраль 2026'!$G$2:$G$2649,'февраль 2026'!$D$2:$D$2649,$B119,'февраль 2026'!$J$2:$J$2649,V$1)</f>
        <v>0</v>
      </c>
      <c r="W119" s="144">
        <f>SUMIFS('февраль 2026'!$G$2:$G$2649,'февраль 2026'!$D$2:$D$2649,$B119,'февраль 2026'!$J$2:$J$2649,W$1)</f>
        <v>0</v>
      </c>
      <c r="X119" s="144">
        <f>SUMIFS('февраль 2026'!$G$2:$G$2649,'февраль 2026'!$D$2:$D$2649,$B119,'февраль 2026'!$J$2:$J$2649,X$1)</f>
        <v>0</v>
      </c>
      <c r="Y119" s="144">
        <f>SUMIFS('февраль 2026'!$G$2:$G$2649,'февраль 2026'!$D$2:$D$2649,$B119,'февраль 2026'!$J$2:$J$2649,Y$1)</f>
        <v>0</v>
      </c>
      <c r="Z119" s="144">
        <f>SUMIFS('февраль 2026'!$G$2:$G$2649,'февраль 2026'!$D$2:$D$2649,$B119,'февраль 2026'!$J$2:$J$2649,Z$1)</f>
        <v>0</v>
      </c>
      <c r="AA119" s="144">
        <f>SUMIFS('февраль 2026'!$G$2:$G$2649,'февраль 2026'!$D$2:$D$2649,$B119,'февраль 2026'!$J$2:$J$2649,AA$1)</f>
        <v>0</v>
      </c>
      <c r="AB119" s="144">
        <f>SUMIFS('февраль 2026'!$G$2:$G$2649,'февраль 2026'!$D$2:$D$2649,$B119,'февраль 2026'!$J$2:$J$2649,AB$1)</f>
        <v>0</v>
      </c>
      <c r="AC119" s="144">
        <f>SUMIFS('февраль 2026'!$G$2:$G$2649,'февраль 2026'!$D$2:$D$2649,$B119,'февраль 2026'!$J$2:$J$2649,AC$1)</f>
        <v>0</v>
      </c>
      <c r="AD119" s="144">
        <f>SUMIFS('февраль 2026'!$G$2:$G$2649,'февраль 2026'!$D$2:$D$2649,$B119,'февраль 2026'!$J$2:$J$2649,AD$1)</f>
        <v>0</v>
      </c>
      <c r="AE119" s="144">
        <f>SUMIFS('февраль 2026'!$G$2:$G$2649,'февраль 2026'!$D$2:$D$2649,$B119,'февраль 2026'!$J$2:$J$2649,AE$1)</f>
        <v>0</v>
      </c>
      <c r="AF119" s="144">
        <f>SUMIFS('февраль 2026'!$G$2:$G$2649,'февраль 2026'!$D$2:$D$2649,$B119,'февраль 2026'!$J$2:$J$2649,AF$1)</f>
        <v>0</v>
      </c>
      <c r="AG119" s="144">
        <f>SUMIFS('февраль 2026'!$G$2:$G$2649,'февраль 2026'!$D$2:$D$2649,$B119,'февраль 2026'!$J$2:$J$2649,AG$1)</f>
        <v>0</v>
      </c>
      <c r="AH119" s="144">
        <f>SUMIFS('февраль 2026'!$G$2:$G$2649,'февраль 2026'!$D$2:$D$2649,$B119,'февраль 2026'!$J$2:$J$2649,AH$1)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SUMIFS('февраль 2026'!$G$2:$G$2649,'февраль 2026'!$D$2:$D$2649,$B120,'февраль 2026'!$J$2:$J$2649,D$1)</f>
        <v>0</v>
      </c>
      <c r="E120" s="144">
        <f>SUMIFS('февраль 2026'!$G$2:$G$2649,'февраль 2026'!$D$2:$D$2649,$B120,'февраль 2026'!$J$2:$J$2649,E$1)</f>
        <v>0</v>
      </c>
      <c r="F120" s="144">
        <f>SUMIFS('февраль 2026'!$G$2:$G$2649,'февраль 2026'!$D$2:$D$2649,$B120,'февраль 2026'!$J$2:$J$2649,F$1)</f>
        <v>0</v>
      </c>
      <c r="G120" s="144">
        <f>SUMIFS('февраль 2026'!$G$2:$G$2649,'февраль 2026'!$D$2:$D$2649,$B120,'февраль 2026'!$J$2:$J$2649,G$1)</f>
        <v>0</v>
      </c>
      <c r="H120" s="144">
        <f>SUMIFS('февраль 2026'!$G$2:$G$2649,'февраль 2026'!$D$2:$D$2649,$B120,'февраль 2026'!$J$2:$J$2649,H$1)</f>
        <v>0</v>
      </c>
      <c r="I120" s="144">
        <f>SUMIFS('февраль 2026'!$G$2:$G$2649,'февраль 2026'!$D$2:$D$2649,$B120,'февраль 2026'!$J$2:$J$2649,I$1)</f>
        <v>0</v>
      </c>
      <c r="J120" s="144">
        <f>SUMIFS('февраль 2026'!$G$2:$G$2649,'февраль 2026'!$D$2:$D$2649,$B120,'февраль 2026'!$J$2:$J$2649,J$1)</f>
        <v>0</v>
      </c>
      <c r="K120" s="144">
        <f>SUMIFS('февраль 2026'!$G$2:$G$2649,'февраль 2026'!$D$2:$D$2649,$B120,'февраль 2026'!$J$2:$J$2649,K$1)</f>
        <v>0</v>
      </c>
      <c r="L120" s="144">
        <f>SUMIFS('февраль 2026'!$G$2:$G$2649,'февраль 2026'!$D$2:$D$2649,$B120,'февраль 2026'!$J$2:$J$2649,L$1)</f>
        <v>0</v>
      </c>
      <c r="M120" s="144">
        <f>SUMIFS('февраль 2026'!$G$2:$G$2649,'февраль 2026'!$D$2:$D$2649,$B120,'февраль 2026'!$J$2:$J$2649,M$1)</f>
        <v>0</v>
      </c>
      <c r="N120" s="144">
        <f>SUMIFS('февраль 2026'!$G$2:$G$2649,'февраль 2026'!$D$2:$D$2649,$B120,'февраль 2026'!$J$2:$J$2649,N$1)</f>
        <v>0</v>
      </c>
      <c r="O120" s="144">
        <f>SUMIFS('февраль 2026'!$G$2:$G$2649,'февраль 2026'!$D$2:$D$2649,$B120,'февраль 2026'!$J$2:$J$2649,O$1)</f>
        <v>0</v>
      </c>
      <c r="P120" s="144">
        <f>SUMIFS('февраль 2026'!$G$2:$G$2649,'февраль 2026'!$D$2:$D$2649,$B120,'февраль 2026'!$J$2:$J$2649,P$1)</f>
        <v>0</v>
      </c>
      <c r="Q120" s="144">
        <f>SUMIFS('февраль 2026'!$G$2:$G$2649,'февраль 2026'!$D$2:$D$2649,$B120,'февраль 2026'!$J$2:$J$2649,Q$1)</f>
        <v>0</v>
      </c>
      <c r="R120" s="144">
        <f>SUMIFS('февраль 2026'!$G$2:$G$2649,'февраль 2026'!$D$2:$D$2649,$B120,'февраль 2026'!$J$2:$J$2649,R$1)</f>
        <v>0</v>
      </c>
      <c r="S120" s="144">
        <f>SUMIFS('февраль 2026'!$G$2:$G$2649,'февраль 2026'!$D$2:$D$2649,$B120,'февраль 2026'!$J$2:$J$2649,S$1)</f>
        <v>0</v>
      </c>
      <c r="T120" s="144">
        <f>SUMIFS('февраль 2026'!$G$2:$G$2649,'февраль 2026'!$D$2:$D$2649,$B120,'февраль 2026'!$J$2:$J$2649,T$1)</f>
        <v>0</v>
      </c>
      <c r="U120" s="144">
        <f>SUMIFS('февраль 2026'!$G$2:$G$2649,'февраль 2026'!$D$2:$D$2649,$B120,'февраль 2026'!$J$2:$J$2649,U$1)</f>
        <v>0</v>
      </c>
      <c r="V120" s="144">
        <f>SUMIFS('февраль 2026'!$G$2:$G$2649,'февраль 2026'!$D$2:$D$2649,$B120,'февраль 2026'!$J$2:$J$2649,V$1)</f>
        <v>0</v>
      </c>
      <c r="W120" s="144">
        <f>SUMIFS('февраль 2026'!$G$2:$G$2649,'февраль 2026'!$D$2:$D$2649,$B120,'февраль 2026'!$J$2:$J$2649,W$1)</f>
        <v>0</v>
      </c>
      <c r="X120" s="144">
        <f>SUMIFS('февраль 2026'!$G$2:$G$2649,'февраль 2026'!$D$2:$D$2649,$B120,'февраль 2026'!$J$2:$J$2649,X$1)</f>
        <v>0</v>
      </c>
      <c r="Y120" s="144">
        <f>SUMIFS('февраль 2026'!$G$2:$G$2649,'февраль 2026'!$D$2:$D$2649,$B120,'февраль 2026'!$J$2:$J$2649,Y$1)</f>
        <v>0</v>
      </c>
      <c r="Z120" s="144">
        <f>SUMIFS('февраль 2026'!$G$2:$G$2649,'февраль 2026'!$D$2:$D$2649,$B120,'февраль 2026'!$J$2:$J$2649,Z$1)</f>
        <v>0</v>
      </c>
      <c r="AA120" s="144">
        <f>SUMIFS('февраль 2026'!$G$2:$G$2649,'февраль 2026'!$D$2:$D$2649,$B120,'февраль 2026'!$J$2:$J$2649,AA$1)</f>
        <v>0</v>
      </c>
      <c r="AB120" s="144">
        <f>SUMIFS('февраль 2026'!$G$2:$G$2649,'февраль 2026'!$D$2:$D$2649,$B120,'февраль 2026'!$J$2:$J$2649,AB$1)</f>
        <v>0</v>
      </c>
      <c r="AC120" s="144">
        <f>SUMIFS('февраль 2026'!$G$2:$G$2649,'февраль 2026'!$D$2:$D$2649,$B120,'февраль 2026'!$J$2:$J$2649,AC$1)</f>
        <v>0</v>
      </c>
      <c r="AD120" s="144">
        <f>SUMIFS('февраль 2026'!$G$2:$G$2649,'февраль 2026'!$D$2:$D$2649,$B120,'февраль 2026'!$J$2:$J$2649,AD$1)</f>
        <v>0</v>
      </c>
      <c r="AE120" s="144">
        <f>SUMIFS('февраль 2026'!$G$2:$G$2649,'февраль 2026'!$D$2:$D$2649,$B120,'февраль 2026'!$J$2:$J$2649,AE$1)</f>
        <v>0</v>
      </c>
      <c r="AF120" s="144">
        <f>SUMIFS('февраль 2026'!$G$2:$G$2649,'февраль 2026'!$D$2:$D$2649,$B120,'февраль 2026'!$J$2:$J$2649,AF$1)</f>
        <v>0</v>
      </c>
      <c r="AG120" s="144">
        <f>SUMIFS('февраль 2026'!$G$2:$G$2649,'февраль 2026'!$D$2:$D$2649,$B120,'февраль 2026'!$J$2:$J$2649,AG$1)</f>
        <v>0</v>
      </c>
      <c r="AH120" s="144">
        <f>SUMIFS('февраль 2026'!$G$2:$G$2649,'февраль 2026'!$D$2:$D$2649,$B120,'февраль 2026'!$J$2:$J$2649,AH$1)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SUMIFS('февраль 2026'!$G$2:$G$2649,'февраль 2026'!$D$2:$D$2649,$B121,'февраль 2026'!$J$2:$J$2649,D$1)</f>
        <v>0</v>
      </c>
      <c r="E121" s="144">
        <f>SUMIFS('февраль 2026'!$G$2:$G$2649,'февраль 2026'!$D$2:$D$2649,$B121,'февраль 2026'!$J$2:$J$2649,E$1)</f>
        <v>0</v>
      </c>
      <c r="F121" s="144">
        <f>SUMIFS('февраль 2026'!$G$2:$G$2649,'февраль 2026'!$D$2:$D$2649,$B121,'февраль 2026'!$J$2:$J$2649,F$1)</f>
        <v>0</v>
      </c>
      <c r="G121" s="144">
        <f>SUMIFS('февраль 2026'!$G$2:$G$2649,'февраль 2026'!$D$2:$D$2649,$B121,'февраль 2026'!$J$2:$J$2649,G$1)</f>
        <v>0</v>
      </c>
      <c r="H121" s="144">
        <f>SUMIFS('февраль 2026'!$G$2:$G$2649,'февраль 2026'!$D$2:$D$2649,$B121,'февраль 2026'!$J$2:$J$2649,H$1)</f>
        <v>0</v>
      </c>
      <c r="I121" s="144">
        <f>SUMIFS('февраль 2026'!$G$2:$G$2649,'февраль 2026'!$D$2:$D$2649,$B121,'февраль 2026'!$J$2:$J$2649,I$1)</f>
        <v>0</v>
      </c>
      <c r="J121" s="144">
        <f>SUMIFS('февраль 2026'!$G$2:$G$2649,'февраль 2026'!$D$2:$D$2649,$B121,'февраль 2026'!$J$2:$J$2649,J$1)</f>
        <v>0</v>
      </c>
      <c r="K121" s="144">
        <f>SUMIFS('февраль 2026'!$G$2:$G$2649,'февраль 2026'!$D$2:$D$2649,$B121,'февраль 2026'!$J$2:$J$2649,K$1)</f>
        <v>0</v>
      </c>
      <c r="L121" s="144">
        <f>SUMIFS('февраль 2026'!$G$2:$G$2649,'февраль 2026'!$D$2:$D$2649,$B121,'февраль 2026'!$J$2:$J$2649,L$1)</f>
        <v>0</v>
      </c>
      <c r="M121" s="144">
        <f>SUMIFS('февраль 2026'!$G$2:$G$2649,'февраль 2026'!$D$2:$D$2649,$B121,'февраль 2026'!$J$2:$J$2649,M$1)</f>
        <v>0</v>
      </c>
      <c r="N121" s="144">
        <f>SUMIFS('февраль 2026'!$G$2:$G$2649,'февраль 2026'!$D$2:$D$2649,$B121,'февраль 2026'!$J$2:$J$2649,N$1)</f>
        <v>0</v>
      </c>
      <c r="O121" s="144">
        <f>SUMIFS('февраль 2026'!$G$2:$G$2649,'февраль 2026'!$D$2:$D$2649,$B121,'февраль 2026'!$J$2:$J$2649,O$1)</f>
        <v>0</v>
      </c>
      <c r="P121" s="144">
        <f>SUMIFS('февраль 2026'!$G$2:$G$2649,'февраль 2026'!$D$2:$D$2649,$B121,'февраль 2026'!$J$2:$J$2649,P$1)</f>
        <v>0</v>
      </c>
      <c r="Q121" s="144">
        <f>SUMIFS('февраль 2026'!$G$2:$G$2649,'февраль 2026'!$D$2:$D$2649,$B121,'февраль 2026'!$J$2:$J$2649,Q$1)</f>
        <v>0</v>
      </c>
      <c r="R121" s="144">
        <f>SUMIFS('февраль 2026'!$G$2:$G$2649,'февраль 2026'!$D$2:$D$2649,$B121,'февраль 2026'!$J$2:$J$2649,R$1)</f>
        <v>0</v>
      </c>
      <c r="S121" s="144">
        <f>SUMIFS('февраль 2026'!$G$2:$G$2649,'февраль 2026'!$D$2:$D$2649,$B121,'февраль 2026'!$J$2:$J$2649,S$1)</f>
        <v>0</v>
      </c>
      <c r="T121" s="144">
        <f>SUMIFS('февраль 2026'!$G$2:$G$2649,'февраль 2026'!$D$2:$D$2649,$B121,'февраль 2026'!$J$2:$J$2649,T$1)</f>
        <v>0</v>
      </c>
      <c r="U121" s="144">
        <f>SUMIFS('февраль 2026'!$G$2:$G$2649,'февраль 2026'!$D$2:$D$2649,$B121,'февраль 2026'!$J$2:$J$2649,U$1)</f>
        <v>0</v>
      </c>
      <c r="V121" s="144">
        <f>SUMIFS('февраль 2026'!$G$2:$G$2649,'февраль 2026'!$D$2:$D$2649,$B121,'февраль 2026'!$J$2:$J$2649,V$1)</f>
        <v>0</v>
      </c>
      <c r="W121" s="144">
        <f>SUMIFS('февраль 2026'!$G$2:$G$2649,'февраль 2026'!$D$2:$D$2649,$B121,'февраль 2026'!$J$2:$J$2649,W$1)</f>
        <v>0</v>
      </c>
      <c r="X121" s="144">
        <f>SUMIFS('февраль 2026'!$G$2:$G$2649,'февраль 2026'!$D$2:$D$2649,$B121,'февраль 2026'!$J$2:$J$2649,X$1)</f>
        <v>0</v>
      </c>
      <c r="Y121" s="144">
        <f>SUMIFS('февраль 2026'!$G$2:$G$2649,'февраль 2026'!$D$2:$D$2649,$B121,'февраль 2026'!$J$2:$J$2649,Y$1)</f>
        <v>0</v>
      </c>
      <c r="Z121" s="144">
        <f>SUMIFS('февраль 2026'!$G$2:$G$2649,'февраль 2026'!$D$2:$D$2649,$B121,'февраль 2026'!$J$2:$J$2649,Z$1)</f>
        <v>0</v>
      </c>
      <c r="AA121" s="144">
        <f>SUMIFS('февраль 2026'!$G$2:$G$2649,'февраль 2026'!$D$2:$D$2649,$B121,'февраль 2026'!$J$2:$J$2649,AA$1)</f>
        <v>0</v>
      </c>
      <c r="AB121" s="144">
        <f>SUMIFS('февраль 2026'!$G$2:$G$2649,'февраль 2026'!$D$2:$D$2649,$B121,'февраль 2026'!$J$2:$J$2649,AB$1)</f>
        <v>0</v>
      </c>
      <c r="AC121" s="144">
        <f>SUMIFS('февраль 2026'!$G$2:$G$2649,'февраль 2026'!$D$2:$D$2649,$B121,'февраль 2026'!$J$2:$J$2649,AC$1)</f>
        <v>0</v>
      </c>
      <c r="AD121" s="144">
        <f>SUMIFS('февраль 2026'!$G$2:$G$2649,'февраль 2026'!$D$2:$D$2649,$B121,'февраль 2026'!$J$2:$J$2649,AD$1)</f>
        <v>0</v>
      </c>
      <c r="AE121" s="144">
        <f>SUMIFS('февраль 2026'!$G$2:$G$2649,'февраль 2026'!$D$2:$D$2649,$B121,'февраль 2026'!$J$2:$J$2649,AE$1)</f>
        <v>0</v>
      </c>
      <c r="AF121" s="144">
        <f>SUMIFS('февраль 2026'!$G$2:$G$2649,'февраль 2026'!$D$2:$D$2649,$B121,'февраль 2026'!$J$2:$J$2649,AF$1)</f>
        <v>0</v>
      </c>
      <c r="AG121" s="144">
        <f>SUMIFS('февраль 2026'!$G$2:$G$2649,'февраль 2026'!$D$2:$D$2649,$B121,'февраль 2026'!$J$2:$J$2649,AG$1)</f>
        <v>0</v>
      </c>
      <c r="AH121" s="144">
        <f>SUMIFS('февраль 2026'!$G$2:$G$2649,'февраль 2026'!$D$2:$D$2649,$B121,'февраль 2026'!$J$2:$J$2649,AH$1)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SUMIFS('февраль 2026'!$G$2:$G$2649,'февраль 2026'!$D$2:$D$2649,$B122,'февраль 2026'!$J$2:$J$2649,D$1)</f>
        <v>0</v>
      </c>
      <c r="E122" s="144">
        <f>SUMIFS('февраль 2026'!$G$2:$G$2649,'февраль 2026'!$D$2:$D$2649,$B122,'февраль 2026'!$J$2:$J$2649,E$1)</f>
        <v>0</v>
      </c>
      <c r="F122" s="144">
        <f>SUMIFS('февраль 2026'!$G$2:$G$2649,'февраль 2026'!$D$2:$D$2649,$B122,'февраль 2026'!$J$2:$J$2649,F$1)</f>
        <v>0</v>
      </c>
      <c r="G122" s="144">
        <f>SUMIFS('февраль 2026'!$G$2:$G$2649,'февраль 2026'!$D$2:$D$2649,$B122,'февраль 2026'!$J$2:$J$2649,G$1)</f>
        <v>0</v>
      </c>
      <c r="H122" s="144">
        <f>SUMIFS('февраль 2026'!$G$2:$G$2649,'февраль 2026'!$D$2:$D$2649,$B122,'февраль 2026'!$J$2:$J$2649,H$1)</f>
        <v>0</v>
      </c>
      <c r="I122" s="144">
        <f>SUMIFS('февраль 2026'!$G$2:$G$2649,'февраль 2026'!$D$2:$D$2649,$B122,'февраль 2026'!$J$2:$J$2649,I$1)</f>
        <v>0</v>
      </c>
      <c r="J122" s="144">
        <f>SUMIFS('февраль 2026'!$G$2:$G$2649,'февраль 2026'!$D$2:$D$2649,$B122,'февраль 2026'!$J$2:$J$2649,J$1)</f>
        <v>0</v>
      </c>
      <c r="K122" s="144">
        <f>SUMIFS('февраль 2026'!$G$2:$G$2649,'февраль 2026'!$D$2:$D$2649,$B122,'февраль 2026'!$J$2:$J$2649,K$1)</f>
        <v>0</v>
      </c>
      <c r="L122" s="144">
        <f>SUMIFS('февраль 2026'!$G$2:$G$2649,'февраль 2026'!$D$2:$D$2649,$B122,'февраль 2026'!$J$2:$J$2649,L$1)</f>
        <v>0</v>
      </c>
      <c r="M122" s="144">
        <f>SUMIFS('февраль 2026'!$G$2:$G$2649,'февраль 2026'!$D$2:$D$2649,$B122,'февраль 2026'!$J$2:$J$2649,M$1)</f>
        <v>0</v>
      </c>
      <c r="N122" s="144">
        <f>SUMIFS('февраль 2026'!$G$2:$G$2649,'февраль 2026'!$D$2:$D$2649,$B122,'февраль 2026'!$J$2:$J$2649,N$1)</f>
        <v>0</v>
      </c>
      <c r="O122" s="144">
        <f>SUMIFS('февраль 2026'!$G$2:$G$2649,'февраль 2026'!$D$2:$D$2649,$B122,'февраль 2026'!$J$2:$J$2649,O$1)</f>
        <v>0</v>
      </c>
      <c r="P122" s="144">
        <f>SUMIFS('февраль 2026'!$G$2:$G$2649,'февраль 2026'!$D$2:$D$2649,$B122,'февраль 2026'!$J$2:$J$2649,P$1)</f>
        <v>0</v>
      </c>
      <c r="Q122" s="144">
        <f>SUMIFS('февраль 2026'!$G$2:$G$2649,'февраль 2026'!$D$2:$D$2649,$B122,'февраль 2026'!$J$2:$J$2649,Q$1)</f>
        <v>0</v>
      </c>
      <c r="R122" s="144">
        <f>SUMIFS('февраль 2026'!$G$2:$G$2649,'февраль 2026'!$D$2:$D$2649,$B122,'февраль 2026'!$J$2:$J$2649,R$1)</f>
        <v>0</v>
      </c>
      <c r="S122" s="144">
        <f>SUMIFS('февраль 2026'!$G$2:$G$2649,'февраль 2026'!$D$2:$D$2649,$B122,'февраль 2026'!$J$2:$J$2649,S$1)</f>
        <v>0</v>
      </c>
      <c r="T122" s="144">
        <f>SUMIFS('февраль 2026'!$G$2:$G$2649,'февраль 2026'!$D$2:$D$2649,$B122,'февраль 2026'!$J$2:$J$2649,T$1)</f>
        <v>0</v>
      </c>
      <c r="U122" s="144">
        <f>SUMIFS('февраль 2026'!$G$2:$G$2649,'февраль 2026'!$D$2:$D$2649,$B122,'февраль 2026'!$J$2:$J$2649,U$1)</f>
        <v>0</v>
      </c>
      <c r="V122" s="144">
        <f>SUMIFS('февраль 2026'!$G$2:$G$2649,'февраль 2026'!$D$2:$D$2649,$B122,'февраль 2026'!$J$2:$J$2649,V$1)</f>
        <v>0</v>
      </c>
      <c r="W122" s="144">
        <f>SUMIFS('февраль 2026'!$G$2:$G$2649,'февраль 2026'!$D$2:$D$2649,$B122,'февраль 2026'!$J$2:$J$2649,W$1)</f>
        <v>0</v>
      </c>
      <c r="X122" s="144">
        <f>SUMIFS('февраль 2026'!$G$2:$G$2649,'февраль 2026'!$D$2:$D$2649,$B122,'февраль 2026'!$J$2:$J$2649,X$1)</f>
        <v>0</v>
      </c>
      <c r="Y122" s="144">
        <f>SUMIFS('февраль 2026'!$G$2:$G$2649,'февраль 2026'!$D$2:$D$2649,$B122,'февраль 2026'!$J$2:$J$2649,Y$1)</f>
        <v>0</v>
      </c>
      <c r="Z122" s="144">
        <f>SUMIFS('февраль 2026'!$G$2:$G$2649,'февраль 2026'!$D$2:$D$2649,$B122,'февраль 2026'!$J$2:$J$2649,Z$1)</f>
        <v>0</v>
      </c>
      <c r="AA122" s="144">
        <f>SUMIFS('февраль 2026'!$G$2:$G$2649,'февраль 2026'!$D$2:$D$2649,$B122,'февраль 2026'!$J$2:$J$2649,AA$1)</f>
        <v>0</v>
      </c>
      <c r="AB122" s="144">
        <f>SUMIFS('февраль 2026'!$G$2:$G$2649,'февраль 2026'!$D$2:$D$2649,$B122,'февраль 2026'!$J$2:$J$2649,AB$1)</f>
        <v>0</v>
      </c>
      <c r="AC122" s="144">
        <f>SUMIFS('февраль 2026'!$G$2:$G$2649,'февраль 2026'!$D$2:$D$2649,$B122,'февраль 2026'!$J$2:$J$2649,AC$1)</f>
        <v>0</v>
      </c>
      <c r="AD122" s="144">
        <f>SUMIFS('февраль 2026'!$G$2:$G$2649,'февраль 2026'!$D$2:$D$2649,$B122,'февраль 2026'!$J$2:$J$2649,AD$1)</f>
        <v>0</v>
      </c>
      <c r="AE122" s="144">
        <f>SUMIFS('февраль 2026'!$G$2:$G$2649,'февраль 2026'!$D$2:$D$2649,$B122,'февраль 2026'!$J$2:$J$2649,AE$1)</f>
        <v>0</v>
      </c>
      <c r="AF122" s="144">
        <f>SUMIFS('февраль 2026'!$G$2:$G$2649,'февраль 2026'!$D$2:$D$2649,$B122,'февраль 2026'!$J$2:$J$2649,AF$1)</f>
        <v>0</v>
      </c>
      <c r="AG122" s="144">
        <f>SUMIFS('февраль 2026'!$G$2:$G$2649,'февраль 2026'!$D$2:$D$2649,$B122,'февраль 2026'!$J$2:$J$2649,AG$1)</f>
        <v>0</v>
      </c>
      <c r="AH122" s="144">
        <f>SUMIFS('февраль 2026'!$G$2:$G$2649,'февраль 2026'!$D$2:$D$2649,$B122,'февраль 2026'!$J$2:$J$2649,AH$1)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SUMIFS('февраль 2026'!$G$2:$G$2649,'февраль 2026'!$D$2:$D$2649,$B123,'февраль 2026'!$J$2:$J$2649,D$1)</f>
        <v>0</v>
      </c>
      <c r="E123" s="144">
        <f>SUMIFS('февраль 2026'!$G$2:$G$2649,'февраль 2026'!$D$2:$D$2649,$B123,'февраль 2026'!$J$2:$J$2649,E$1)</f>
        <v>0</v>
      </c>
      <c r="F123" s="144">
        <f>SUMIFS('февраль 2026'!$G$2:$G$2649,'февраль 2026'!$D$2:$D$2649,$B123,'февраль 2026'!$J$2:$J$2649,F$1)</f>
        <v>0</v>
      </c>
      <c r="G123" s="144">
        <f>SUMIFS('февраль 2026'!$G$2:$G$2649,'февраль 2026'!$D$2:$D$2649,$B123,'февраль 2026'!$J$2:$J$2649,G$1)</f>
        <v>0</v>
      </c>
      <c r="H123" s="144">
        <f>SUMIFS('февраль 2026'!$G$2:$G$2649,'февраль 2026'!$D$2:$D$2649,$B123,'февраль 2026'!$J$2:$J$2649,H$1)</f>
        <v>0</v>
      </c>
      <c r="I123" s="144">
        <f>SUMIFS('февраль 2026'!$G$2:$G$2649,'февраль 2026'!$D$2:$D$2649,$B123,'февраль 2026'!$J$2:$J$2649,I$1)</f>
        <v>0</v>
      </c>
      <c r="J123" s="144">
        <f>SUMIFS('февраль 2026'!$G$2:$G$2649,'февраль 2026'!$D$2:$D$2649,$B123,'февраль 2026'!$J$2:$J$2649,J$1)</f>
        <v>0</v>
      </c>
      <c r="K123" s="144">
        <f>SUMIFS('февраль 2026'!$G$2:$G$2649,'февраль 2026'!$D$2:$D$2649,$B123,'февраль 2026'!$J$2:$J$2649,K$1)</f>
        <v>0</v>
      </c>
      <c r="L123" s="144">
        <f>SUMIFS('февраль 2026'!$G$2:$G$2649,'февраль 2026'!$D$2:$D$2649,$B123,'февраль 2026'!$J$2:$J$2649,L$1)</f>
        <v>0</v>
      </c>
      <c r="M123" s="144">
        <f>SUMIFS('февраль 2026'!$G$2:$G$2649,'февраль 2026'!$D$2:$D$2649,$B123,'февраль 2026'!$J$2:$J$2649,M$1)</f>
        <v>0</v>
      </c>
      <c r="N123" s="144">
        <f>SUMIFS('февраль 2026'!$G$2:$G$2649,'февраль 2026'!$D$2:$D$2649,$B123,'февраль 2026'!$J$2:$J$2649,N$1)</f>
        <v>0</v>
      </c>
      <c r="O123" s="144">
        <f>SUMIFS('февраль 2026'!$G$2:$G$2649,'февраль 2026'!$D$2:$D$2649,$B123,'февраль 2026'!$J$2:$J$2649,O$1)</f>
        <v>0</v>
      </c>
      <c r="P123" s="144">
        <f>SUMIFS('февраль 2026'!$G$2:$G$2649,'февраль 2026'!$D$2:$D$2649,$B123,'февраль 2026'!$J$2:$J$2649,P$1)</f>
        <v>0</v>
      </c>
      <c r="Q123" s="144">
        <f>SUMIFS('февраль 2026'!$G$2:$G$2649,'февраль 2026'!$D$2:$D$2649,$B123,'февраль 2026'!$J$2:$J$2649,Q$1)</f>
        <v>0</v>
      </c>
      <c r="R123" s="144">
        <f>SUMIFS('февраль 2026'!$G$2:$G$2649,'февраль 2026'!$D$2:$D$2649,$B123,'февраль 2026'!$J$2:$J$2649,R$1)</f>
        <v>0</v>
      </c>
      <c r="S123" s="144">
        <f>SUMIFS('февраль 2026'!$G$2:$G$2649,'февраль 2026'!$D$2:$D$2649,$B123,'февраль 2026'!$J$2:$J$2649,S$1)</f>
        <v>0</v>
      </c>
      <c r="T123" s="144">
        <f>SUMIFS('февраль 2026'!$G$2:$G$2649,'февраль 2026'!$D$2:$D$2649,$B123,'февраль 2026'!$J$2:$J$2649,T$1)</f>
        <v>0</v>
      </c>
      <c r="U123" s="144">
        <f>SUMIFS('февраль 2026'!$G$2:$G$2649,'февраль 2026'!$D$2:$D$2649,$B123,'февраль 2026'!$J$2:$J$2649,U$1)</f>
        <v>0</v>
      </c>
      <c r="V123" s="144">
        <f>SUMIFS('февраль 2026'!$G$2:$G$2649,'февраль 2026'!$D$2:$D$2649,$B123,'февраль 2026'!$J$2:$J$2649,V$1)</f>
        <v>0</v>
      </c>
      <c r="W123" s="144">
        <f>SUMIFS('февраль 2026'!$G$2:$G$2649,'февраль 2026'!$D$2:$D$2649,$B123,'февраль 2026'!$J$2:$J$2649,W$1)</f>
        <v>0</v>
      </c>
      <c r="X123" s="144">
        <f>SUMIFS('февраль 2026'!$G$2:$G$2649,'февраль 2026'!$D$2:$D$2649,$B123,'февраль 2026'!$J$2:$J$2649,X$1)</f>
        <v>0</v>
      </c>
      <c r="Y123" s="144">
        <f>SUMIFS('февраль 2026'!$G$2:$G$2649,'февраль 2026'!$D$2:$D$2649,$B123,'февраль 2026'!$J$2:$J$2649,Y$1)</f>
        <v>0</v>
      </c>
      <c r="Z123" s="144">
        <f>SUMIFS('февраль 2026'!$G$2:$G$2649,'февраль 2026'!$D$2:$D$2649,$B123,'февраль 2026'!$J$2:$J$2649,Z$1)</f>
        <v>0</v>
      </c>
      <c r="AA123" s="144">
        <f>SUMIFS('февраль 2026'!$G$2:$G$2649,'февраль 2026'!$D$2:$D$2649,$B123,'февраль 2026'!$J$2:$J$2649,AA$1)</f>
        <v>0</v>
      </c>
      <c r="AB123" s="144">
        <f>SUMIFS('февраль 2026'!$G$2:$G$2649,'февраль 2026'!$D$2:$D$2649,$B123,'февраль 2026'!$J$2:$J$2649,AB$1)</f>
        <v>0</v>
      </c>
      <c r="AC123" s="144">
        <f>SUMIFS('февраль 2026'!$G$2:$G$2649,'февраль 2026'!$D$2:$D$2649,$B123,'февраль 2026'!$J$2:$J$2649,AC$1)</f>
        <v>0</v>
      </c>
      <c r="AD123" s="144">
        <f>SUMIFS('февраль 2026'!$G$2:$G$2649,'февраль 2026'!$D$2:$D$2649,$B123,'февраль 2026'!$J$2:$J$2649,AD$1)</f>
        <v>0</v>
      </c>
      <c r="AE123" s="144">
        <f>SUMIFS('февраль 2026'!$G$2:$G$2649,'февраль 2026'!$D$2:$D$2649,$B123,'февраль 2026'!$J$2:$J$2649,AE$1)</f>
        <v>0</v>
      </c>
      <c r="AF123" s="144">
        <f>SUMIFS('февраль 2026'!$G$2:$G$2649,'февраль 2026'!$D$2:$D$2649,$B123,'февраль 2026'!$J$2:$J$2649,AF$1)</f>
        <v>0</v>
      </c>
      <c r="AG123" s="144">
        <f>SUMIFS('февраль 2026'!$G$2:$G$2649,'февраль 2026'!$D$2:$D$2649,$B123,'февраль 2026'!$J$2:$J$2649,AG$1)</f>
        <v>0</v>
      </c>
      <c r="AH123" s="144">
        <f>SUMIFS('февраль 2026'!$G$2:$G$2649,'февраль 2026'!$D$2:$D$2649,$B123,'февраль 2026'!$J$2:$J$2649,AH$1)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SUMIFS('февраль 2026'!$G$2:$G$2649,'февраль 2026'!$D$2:$D$2649,$B124,'февраль 2026'!$J$2:$J$2649,D$1)</f>
        <v>0</v>
      </c>
      <c r="E124" s="144">
        <f>SUMIFS('февраль 2026'!$G$2:$G$2649,'февраль 2026'!$D$2:$D$2649,$B124,'февраль 2026'!$J$2:$J$2649,E$1)</f>
        <v>0</v>
      </c>
      <c r="F124" s="144">
        <f>SUMIFS('февраль 2026'!$G$2:$G$2649,'февраль 2026'!$D$2:$D$2649,$B124,'февраль 2026'!$J$2:$J$2649,F$1)</f>
        <v>0</v>
      </c>
      <c r="G124" s="144">
        <f>SUMIFS('февраль 2026'!$G$2:$G$2649,'февраль 2026'!$D$2:$D$2649,$B124,'февраль 2026'!$J$2:$J$2649,G$1)</f>
        <v>0</v>
      </c>
      <c r="H124" s="144">
        <f>SUMIFS('февраль 2026'!$G$2:$G$2649,'февраль 2026'!$D$2:$D$2649,$B124,'февраль 2026'!$J$2:$J$2649,H$1)</f>
        <v>0</v>
      </c>
      <c r="I124" s="144">
        <f>SUMIFS('февраль 2026'!$G$2:$G$2649,'февраль 2026'!$D$2:$D$2649,$B124,'февраль 2026'!$J$2:$J$2649,I$1)</f>
        <v>0</v>
      </c>
      <c r="J124" s="144">
        <f>SUMIFS('февраль 2026'!$G$2:$G$2649,'февраль 2026'!$D$2:$D$2649,$B124,'февраль 2026'!$J$2:$J$2649,J$1)</f>
        <v>0</v>
      </c>
      <c r="K124" s="144">
        <f>SUMIFS('февраль 2026'!$G$2:$G$2649,'февраль 2026'!$D$2:$D$2649,$B124,'февраль 2026'!$J$2:$J$2649,K$1)</f>
        <v>0</v>
      </c>
      <c r="L124" s="144">
        <f>SUMIFS('февраль 2026'!$G$2:$G$2649,'февраль 2026'!$D$2:$D$2649,$B124,'февраль 2026'!$J$2:$J$2649,L$1)</f>
        <v>0</v>
      </c>
      <c r="M124" s="144">
        <f>SUMIFS('февраль 2026'!$G$2:$G$2649,'февраль 2026'!$D$2:$D$2649,$B124,'февраль 2026'!$J$2:$J$2649,M$1)</f>
        <v>0</v>
      </c>
      <c r="N124" s="144">
        <f>SUMIFS('февраль 2026'!$G$2:$G$2649,'февраль 2026'!$D$2:$D$2649,$B124,'февраль 2026'!$J$2:$J$2649,N$1)</f>
        <v>0</v>
      </c>
      <c r="O124" s="144">
        <f>SUMIFS('февраль 2026'!$G$2:$G$2649,'февраль 2026'!$D$2:$D$2649,$B124,'февраль 2026'!$J$2:$J$2649,O$1)</f>
        <v>0</v>
      </c>
      <c r="P124" s="144">
        <f>SUMIFS('февраль 2026'!$G$2:$G$2649,'февраль 2026'!$D$2:$D$2649,$B124,'февраль 2026'!$J$2:$J$2649,P$1)</f>
        <v>0</v>
      </c>
      <c r="Q124" s="144">
        <f>SUMIFS('февраль 2026'!$G$2:$G$2649,'февраль 2026'!$D$2:$D$2649,$B124,'февраль 2026'!$J$2:$J$2649,Q$1)</f>
        <v>0</v>
      </c>
      <c r="R124" s="144">
        <f>SUMIFS('февраль 2026'!$G$2:$G$2649,'февраль 2026'!$D$2:$D$2649,$B124,'февраль 2026'!$J$2:$J$2649,R$1)</f>
        <v>0</v>
      </c>
      <c r="S124" s="144">
        <f>SUMIFS('февраль 2026'!$G$2:$G$2649,'февраль 2026'!$D$2:$D$2649,$B124,'февраль 2026'!$J$2:$J$2649,S$1)</f>
        <v>0</v>
      </c>
      <c r="T124" s="144">
        <f>SUMIFS('февраль 2026'!$G$2:$G$2649,'февраль 2026'!$D$2:$D$2649,$B124,'февраль 2026'!$J$2:$J$2649,T$1)</f>
        <v>0</v>
      </c>
      <c r="U124" s="144">
        <f>SUMIFS('февраль 2026'!$G$2:$G$2649,'февраль 2026'!$D$2:$D$2649,$B124,'февраль 2026'!$J$2:$J$2649,U$1)</f>
        <v>0</v>
      </c>
      <c r="V124" s="144">
        <f>SUMIFS('февраль 2026'!$G$2:$G$2649,'февраль 2026'!$D$2:$D$2649,$B124,'февраль 2026'!$J$2:$J$2649,V$1)</f>
        <v>0</v>
      </c>
      <c r="W124" s="144">
        <f>SUMIFS('февраль 2026'!$G$2:$G$2649,'февраль 2026'!$D$2:$D$2649,$B124,'февраль 2026'!$J$2:$J$2649,W$1)</f>
        <v>0</v>
      </c>
      <c r="X124" s="144">
        <f>SUMIFS('февраль 2026'!$G$2:$G$2649,'февраль 2026'!$D$2:$D$2649,$B124,'февраль 2026'!$J$2:$J$2649,X$1)</f>
        <v>0</v>
      </c>
      <c r="Y124" s="144">
        <f>SUMIFS('февраль 2026'!$G$2:$G$2649,'февраль 2026'!$D$2:$D$2649,$B124,'февраль 2026'!$J$2:$J$2649,Y$1)</f>
        <v>0</v>
      </c>
      <c r="Z124" s="144">
        <f>SUMIFS('февраль 2026'!$G$2:$G$2649,'февраль 2026'!$D$2:$D$2649,$B124,'февраль 2026'!$J$2:$J$2649,Z$1)</f>
        <v>0</v>
      </c>
      <c r="AA124" s="144">
        <f>SUMIFS('февраль 2026'!$G$2:$G$2649,'февраль 2026'!$D$2:$D$2649,$B124,'февраль 2026'!$J$2:$J$2649,AA$1)</f>
        <v>0</v>
      </c>
      <c r="AB124" s="144">
        <f>SUMIFS('февраль 2026'!$G$2:$G$2649,'февраль 2026'!$D$2:$D$2649,$B124,'февраль 2026'!$J$2:$J$2649,AB$1)</f>
        <v>0</v>
      </c>
      <c r="AC124" s="144">
        <f>SUMIFS('февраль 2026'!$G$2:$G$2649,'февраль 2026'!$D$2:$D$2649,$B124,'февраль 2026'!$J$2:$J$2649,AC$1)</f>
        <v>0</v>
      </c>
      <c r="AD124" s="144">
        <f>SUMIFS('февраль 2026'!$G$2:$G$2649,'февраль 2026'!$D$2:$D$2649,$B124,'февраль 2026'!$J$2:$J$2649,AD$1)</f>
        <v>0</v>
      </c>
      <c r="AE124" s="144">
        <f>SUMIFS('февраль 2026'!$G$2:$G$2649,'февраль 2026'!$D$2:$D$2649,$B124,'февраль 2026'!$J$2:$J$2649,AE$1)</f>
        <v>0</v>
      </c>
      <c r="AF124" s="144">
        <f>SUMIFS('февраль 2026'!$G$2:$G$2649,'февраль 2026'!$D$2:$D$2649,$B124,'февраль 2026'!$J$2:$J$2649,AF$1)</f>
        <v>0</v>
      </c>
      <c r="AG124" s="144">
        <f>SUMIFS('февраль 2026'!$G$2:$G$2649,'февраль 2026'!$D$2:$D$2649,$B124,'февраль 2026'!$J$2:$J$2649,AG$1)</f>
        <v>0</v>
      </c>
      <c r="AH124" s="144">
        <f>SUMIFS('февраль 2026'!$G$2:$G$2649,'февраль 2026'!$D$2:$D$2649,$B124,'февраль 2026'!$J$2:$J$2649,AH$1)</f>
        <v>0</v>
      </c>
      <c r="AI124" s="20">
        <f t="shared" si="1"/>
        <v>0</v>
      </c>
    </row>
    <row r="125" spans="2:35" ht="15" customHeight="1" x14ac:dyDescent="0.25">
      <c r="B125" s="85" t="s">
        <v>258</v>
      </c>
      <c r="C125" s="83">
        <v>200</v>
      </c>
      <c r="D125" s="144">
        <f>SUMIFS('февраль 2026'!$G$2:$G$2649,'февраль 2026'!$D$2:$D$2649,$B125,'февраль 2026'!$J$2:$J$2649,D$1)</f>
        <v>0</v>
      </c>
      <c r="E125" s="144">
        <f>SUMIFS('февраль 2026'!$G$2:$G$2649,'февраль 2026'!$D$2:$D$2649,$B125,'февраль 2026'!$J$2:$J$2649,E$1)</f>
        <v>0</v>
      </c>
      <c r="F125" s="144">
        <f>SUMIFS('февраль 2026'!$G$2:$G$2649,'февраль 2026'!$D$2:$D$2649,$B125,'февраль 2026'!$J$2:$J$2649,F$1)</f>
        <v>0</v>
      </c>
      <c r="G125" s="144">
        <f>SUMIFS('февраль 2026'!$G$2:$G$2649,'февраль 2026'!$D$2:$D$2649,$B125,'февраль 2026'!$J$2:$J$2649,G$1)</f>
        <v>0</v>
      </c>
      <c r="H125" s="144">
        <f>SUMIFS('февраль 2026'!$G$2:$G$2649,'февраль 2026'!$D$2:$D$2649,$B125,'февраль 2026'!$J$2:$J$2649,H$1)</f>
        <v>0</v>
      </c>
      <c r="I125" s="144">
        <f>SUMIFS('февраль 2026'!$G$2:$G$2649,'февраль 2026'!$D$2:$D$2649,$B125,'февраль 2026'!$J$2:$J$2649,I$1)</f>
        <v>0</v>
      </c>
      <c r="J125" s="144">
        <f>SUMIFS('февраль 2026'!$G$2:$G$2649,'февраль 2026'!$D$2:$D$2649,$B125,'февраль 2026'!$J$2:$J$2649,J$1)</f>
        <v>0</v>
      </c>
      <c r="K125" s="144">
        <f>SUMIFS('февраль 2026'!$G$2:$G$2649,'февраль 2026'!$D$2:$D$2649,$B125,'февраль 2026'!$J$2:$J$2649,K$1)</f>
        <v>0</v>
      </c>
      <c r="L125" s="144">
        <f>SUMIFS('февраль 2026'!$G$2:$G$2649,'февраль 2026'!$D$2:$D$2649,$B125,'февраль 2026'!$J$2:$J$2649,L$1)</f>
        <v>0</v>
      </c>
      <c r="M125" s="144">
        <f>SUMIFS('февраль 2026'!$G$2:$G$2649,'февраль 2026'!$D$2:$D$2649,$B125,'февраль 2026'!$J$2:$J$2649,M$1)</f>
        <v>0</v>
      </c>
      <c r="N125" s="144">
        <f>SUMIFS('февраль 2026'!$G$2:$G$2649,'февраль 2026'!$D$2:$D$2649,$B125,'февраль 2026'!$J$2:$J$2649,N$1)</f>
        <v>0</v>
      </c>
      <c r="O125" s="144">
        <f>SUMIFS('февраль 2026'!$G$2:$G$2649,'февраль 2026'!$D$2:$D$2649,$B125,'февраль 2026'!$J$2:$J$2649,O$1)</f>
        <v>0</v>
      </c>
      <c r="P125" s="144">
        <f>SUMIFS('февраль 2026'!$G$2:$G$2649,'февраль 2026'!$D$2:$D$2649,$B125,'февраль 2026'!$J$2:$J$2649,P$1)</f>
        <v>0</v>
      </c>
      <c r="Q125" s="144">
        <f>SUMIFS('февраль 2026'!$G$2:$G$2649,'февраль 2026'!$D$2:$D$2649,$B125,'февраль 2026'!$J$2:$J$2649,Q$1)</f>
        <v>0</v>
      </c>
      <c r="R125" s="144">
        <f>SUMIFS('февраль 2026'!$G$2:$G$2649,'февраль 2026'!$D$2:$D$2649,$B125,'февраль 2026'!$J$2:$J$2649,R$1)</f>
        <v>0</v>
      </c>
      <c r="S125" s="144">
        <f>SUMIFS('февраль 2026'!$G$2:$G$2649,'февраль 2026'!$D$2:$D$2649,$B125,'февраль 2026'!$J$2:$J$2649,S$1)</f>
        <v>0</v>
      </c>
      <c r="T125" s="144">
        <f>SUMIFS('февраль 2026'!$G$2:$G$2649,'февраль 2026'!$D$2:$D$2649,$B125,'февраль 2026'!$J$2:$J$2649,T$1)</f>
        <v>0</v>
      </c>
      <c r="U125" s="144">
        <f>SUMIFS('февраль 2026'!$G$2:$G$2649,'февраль 2026'!$D$2:$D$2649,$B125,'февраль 2026'!$J$2:$J$2649,U$1)</f>
        <v>0</v>
      </c>
      <c r="V125" s="144">
        <f>SUMIFS('февраль 2026'!$G$2:$G$2649,'февраль 2026'!$D$2:$D$2649,$B125,'февраль 2026'!$J$2:$J$2649,V$1)</f>
        <v>0</v>
      </c>
      <c r="W125" s="144">
        <f>SUMIFS('февраль 2026'!$G$2:$G$2649,'февраль 2026'!$D$2:$D$2649,$B125,'февраль 2026'!$J$2:$J$2649,W$1)</f>
        <v>0</v>
      </c>
      <c r="X125" s="144">
        <f>SUMIFS('февраль 2026'!$G$2:$G$2649,'февраль 2026'!$D$2:$D$2649,$B125,'февраль 2026'!$J$2:$J$2649,X$1)</f>
        <v>0</v>
      </c>
      <c r="Y125" s="144">
        <f>SUMIFS('февраль 2026'!$G$2:$G$2649,'февраль 2026'!$D$2:$D$2649,$B125,'февраль 2026'!$J$2:$J$2649,Y$1)</f>
        <v>0</v>
      </c>
      <c r="Z125" s="144">
        <f>SUMIFS('февраль 2026'!$G$2:$G$2649,'февраль 2026'!$D$2:$D$2649,$B125,'февраль 2026'!$J$2:$J$2649,Z$1)</f>
        <v>0</v>
      </c>
      <c r="AA125" s="144">
        <f>SUMIFS('февраль 2026'!$G$2:$G$2649,'февраль 2026'!$D$2:$D$2649,$B125,'февраль 2026'!$J$2:$J$2649,AA$1)</f>
        <v>0</v>
      </c>
      <c r="AB125" s="144">
        <f>SUMIFS('февраль 2026'!$G$2:$G$2649,'февраль 2026'!$D$2:$D$2649,$B125,'февраль 2026'!$J$2:$J$2649,AB$1)</f>
        <v>0</v>
      </c>
      <c r="AC125" s="144">
        <f>SUMIFS('февраль 2026'!$G$2:$G$2649,'февраль 2026'!$D$2:$D$2649,$B125,'февраль 2026'!$J$2:$J$2649,AC$1)</f>
        <v>0</v>
      </c>
      <c r="AD125" s="144">
        <f>SUMIFS('февраль 2026'!$G$2:$G$2649,'февраль 2026'!$D$2:$D$2649,$B125,'февраль 2026'!$J$2:$J$2649,AD$1)</f>
        <v>0</v>
      </c>
      <c r="AE125" s="144">
        <f>SUMIFS('февраль 2026'!$G$2:$G$2649,'февраль 2026'!$D$2:$D$2649,$B125,'февраль 2026'!$J$2:$J$2649,AE$1)</f>
        <v>0</v>
      </c>
      <c r="AF125" s="144">
        <f>SUMIFS('февраль 2026'!$G$2:$G$2649,'февраль 2026'!$D$2:$D$2649,$B125,'февраль 2026'!$J$2:$J$2649,AF$1)</f>
        <v>0</v>
      </c>
      <c r="AG125" s="144">
        <f>SUMIFS('февраль 2026'!$G$2:$G$2649,'февраль 2026'!$D$2:$D$2649,$B125,'февраль 2026'!$J$2:$J$2649,AG$1)</f>
        <v>0</v>
      </c>
      <c r="AH125" s="144">
        <f>SUMIFS('февраль 2026'!$G$2:$G$2649,'февраль 2026'!$D$2:$D$2649,$B125,'февраль 2026'!$J$2:$J$2649,AH$1)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SUMIFS('февраль 2026'!$G$2:$G$2649,'февраль 2026'!$D$2:$D$2649,$B126,'февраль 2026'!$J$2:$J$2649,D$1)</f>
        <v>0</v>
      </c>
      <c r="E126" s="144">
        <f>SUMIFS('февраль 2026'!$G$2:$G$2649,'февраль 2026'!$D$2:$D$2649,$B126,'февраль 2026'!$J$2:$J$2649,E$1)</f>
        <v>0</v>
      </c>
      <c r="F126" s="144">
        <f>SUMIFS('февраль 2026'!$G$2:$G$2649,'февраль 2026'!$D$2:$D$2649,$B126,'февраль 2026'!$J$2:$J$2649,F$1)</f>
        <v>0</v>
      </c>
      <c r="G126" s="144">
        <f>SUMIFS('февраль 2026'!$G$2:$G$2649,'февраль 2026'!$D$2:$D$2649,$B126,'февраль 2026'!$J$2:$J$2649,G$1)</f>
        <v>0</v>
      </c>
      <c r="H126" s="144">
        <f>SUMIFS('февраль 2026'!$G$2:$G$2649,'февраль 2026'!$D$2:$D$2649,$B126,'февраль 2026'!$J$2:$J$2649,H$1)</f>
        <v>0</v>
      </c>
      <c r="I126" s="144">
        <f>SUMIFS('февраль 2026'!$G$2:$G$2649,'февраль 2026'!$D$2:$D$2649,$B126,'февраль 2026'!$J$2:$J$2649,I$1)</f>
        <v>0</v>
      </c>
      <c r="J126" s="144">
        <f>SUMIFS('февраль 2026'!$G$2:$G$2649,'февраль 2026'!$D$2:$D$2649,$B126,'февраль 2026'!$J$2:$J$2649,J$1)</f>
        <v>0</v>
      </c>
      <c r="K126" s="144">
        <f>SUMIFS('февраль 2026'!$G$2:$G$2649,'февраль 2026'!$D$2:$D$2649,$B126,'февраль 2026'!$J$2:$J$2649,K$1)</f>
        <v>0</v>
      </c>
      <c r="L126" s="144">
        <f>SUMIFS('февраль 2026'!$G$2:$G$2649,'февраль 2026'!$D$2:$D$2649,$B126,'февраль 2026'!$J$2:$J$2649,L$1)</f>
        <v>0</v>
      </c>
      <c r="M126" s="144">
        <f>SUMIFS('февраль 2026'!$G$2:$G$2649,'февраль 2026'!$D$2:$D$2649,$B126,'февраль 2026'!$J$2:$J$2649,M$1)</f>
        <v>0</v>
      </c>
      <c r="N126" s="144">
        <f>SUMIFS('февраль 2026'!$G$2:$G$2649,'февраль 2026'!$D$2:$D$2649,$B126,'февраль 2026'!$J$2:$J$2649,N$1)</f>
        <v>0</v>
      </c>
      <c r="O126" s="144">
        <f>SUMIFS('февраль 2026'!$G$2:$G$2649,'февраль 2026'!$D$2:$D$2649,$B126,'февраль 2026'!$J$2:$J$2649,O$1)</f>
        <v>0</v>
      </c>
      <c r="P126" s="144">
        <f>SUMIFS('февраль 2026'!$G$2:$G$2649,'февраль 2026'!$D$2:$D$2649,$B126,'февраль 2026'!$J$2:$J$2649,P$1)</f>
        <v>0</v>
      </c>
      <c r="Q126" s="144">
        <f>SUMIFS('февраль 2026'!$G$2:$G$2649,'февраль 2026'!$D$2:$D$2649,$B126,'февраль 2026'!$J$2:$J$2649,Q$1)</f>
        <v>0</v>
      </c>
      <c r="R126" s="144">
        <f>SUMIFS('февраль 2026'!$G$2:$G$2649,'февраль 2026'!$D$2:$D$2649,$B126,'февраль 2026'!$J$2:$J$2649,R$1)</f>
        <v>0</v>
      </c>
      <c r="S126" s="144">
        <f>SUMIFS('февраль 2026'!$G$2:$G$2649,'февраль 2026'!$D$2:$D$2649,$B126,'февраль 2026'!$J$2:$J$2649,S$1)</f>
        <v>0</v>
      </c>
      <c r="T126" s="144">
        <f>SUMIFS('февраль 2026'!$G$2:$G$2649,'февраль 2026'!$D$2:$D$2649,$B126,'февраль 2026'!$J$2:$J$2649,T$1)</f>
        <v>0</v>
      </c>
      <c r="U126" s="144">
        <f>SUMIFS('февраль 2026'!$G$2:$G$2649,'февраль 2026'!$D$2:$D$2649,$B126,'февраль 2026'!$J$2:$J$2649,U$1)</f>
        <v>0</v>
      </c>
      <c r="V126" s="144">
        <f>SUMIFS('февраль 2026'!$G$2:$G$2649,'февраль 2026'!$D$2:$D$2649,$B126,'февраль 2026'!$J$2:$J$2649,V$1)</f>
        <v>5</v>
      </c>
      <c r="W126" s="144">
        <f>SUMIFS('февраль 2026'!$G$2:$G$2649,'февраль 2026'!$D$2:$D$2649,$B126,'февраль 2026'!$J$2:$J$2649,W$1)</f>
        <v>0</v>
      </c>
      <c r="X126" s="144">
        <f>SUMIFS('февраль 2026'!$G$2:$G$2649,'февраль 2026'!$D$2:$D$2649,$B126,'февраль 2026'!$J$2:$J$2649,X$1)</f>
        <v>0</v>
      </c>
      <c r="Y126" s="144">
        <f>SUMIFS('февраль 2026'!$G$2:$G$2649,'февраль 2026'!$D$2:$D$2649,$B126,'февраль 2026'!$J$2:$J$2649,Y$1)</f>
        <v>0</v>
      </c>
      <c r="Z126" s="144">
        <f>SUMIFS('февраль 2026'!$G$2:$G$2649,'февраль 2026'!$D$2:$D$2649,$B126,'февраль 2026'!$J$2:$J$2649,Z$1)</f>
        <v>0</v>
      </c>
      <c r="AA126" s="144">
        <f>SUMIFS('февраль 2026'!$G$2:$G$2649,'февраль 2026'!$D$2:$D$2649,$B126,'февраль 2026'!$J$2:$J$2649,AA$1)</f>
        <v>0</v>
      </c>
      <c r="AB126" s="144">
        <f>SUMIFS('февраль 2026'!$G$2:$G$2649,'февраль 2026'!$D$2:$D$2649,$B126,'февраль 2026'!$J$2:$J$2649,AB$1)</f>
        <v>0</v>
      </c>
      <c r="AC126" s="144">
        <f>SUMIFS('февраль 2026'!$G$2:$G$2649,'февраль 2026'!$D$2:$D$2649,$B126,'февраль 2026'!$J$2:$J$2649,AC$1)</f>
        <v>0</v>
      </c>
      <c r="AD126" s="144">
        <f>SUMIFS('февраль 2026'!$G$2:$G$2649,'февраль 2026'!$D$2:$D$2649,$B126,'февраль 2026'!$J$2:$J$2649,AD$1)</f>
        <v>0</v>
      </c>
      <c r="AE126" s="144">
        <f>SUMIFS('февраль 2026'!$G$2:$G$2649,'февраль 2026'!$D$2:$D$2649,$B126,'февраль 2026'!$J$2:$J$2649,AE$1)</f>
        <v>0</v>
      </c>
      <c r="AF126" s="144">
        <f>SUMIFS('февраль 2026'!$G$2:$G$2649,'февраль 2026'!$D$2:$D$2649,$B126,'февраль 2026'!$J$2:$J$2649,AF$1)</f>
        <v>0</v>
      </c>
      <c r="AG126" s="144">
        <f>SUMIFS('февраль 2026'!$G$2:$G$2649,'февраль 2026'!$D$2:$D$2649,$B126,'февраль 2026'!$J$2:$J$2649,AG$1)</f>
        <v>0</v>
      </c>
      <c r="AH126" s="144">
        <f>SUMIFS('февраль 2026'!$G$2:$G$2649,'февраль 2026'!$D$2:$D$2649,$B126,'февраль 2026'!$J$2:$J$2649,AH$1)</f>
        <v>0</v>
      </c>
      <c r="AI126" s="20">
        <f t="shared" si="1"/>
        <v>5</v>
      </c>
    </row>
    <row r="127" spans="2:35" ht="15" customHeight="1" x14ac:dyDescent="0.25">
      <c r="B127" s="82" t="s">
        <v>206</v>
      </c>
      <c r="C127" s="81">
        <v>25</v>
      </c>
      <c r="D127" s="144">
        <f>SUMIFS('февраль 2026'!$G$2:$G$2649,'февраль 2026'!$D$2:$D$2649,$B127,'февраль 2026'!$J$2:$J$2649,D$1)</f>
        <v>0</v>
      </c>
      <c r="E127" s="144">
        <f>SUMIFS('февраль 2026'!$G$2:$G$2649,'февраль 2026'!$D$2:$D$2649,$B127,'февраль 2026'!$J$2:$J$2649,E$1)</f>
        <v>0</v>
      </c>
      <c r="F127" s="144">
        <f>SUMIFS('февраль 2026'!$G$2:$G$2649,'февраль 2026'!$D$2:$D$2649,$B127,'февраль 2026'!$J$2:$J$2649,F$1)</f>
        <v>0</v>
      </c>
      <c r="G127" s="144">
        <f>SUMIFS('февраль 2026'!$G$2:$G$2649,'февраль 2026'!$D$2:$D$2649,$B127,'февраль 2026'!$J$2:$J$2649,G$1)</f>
        <v>0</v>
      </c>
      <c r="H127" s="144">
        <f>SUMIFS('февраль 2026'!$G$2:$G$2649,'февраль 2026'!$D$2:$D$2649,$B127,'февраль 2026'!$J$2:$J$2649,H$1)</f>
        <v>0</v>
      </c>
      <c r="I127" s="144">
        <f>SUMIFS('февраль 2026'!$G$2:$G$2649,'февраль 2026'!$D$2:$D$2649,$B127,'февраль 2026'!$J$2:$J$2649,I$1)</f>
        <v>0</v>
      </c>
      <c r="J127" s="144">
        <f>SUMIFS('февраль 2026'!$G$2:$G$2649,'февраль 2026'!$D$2:$D$2649,$B127,'февраль 2026'!$J$2:$J$2649,J$1)</f>
        <v>0</v>
      </c>
      <c r="K127" s="144">
        <f>SUMIFS('февраль 2026'!$G$2:$G$2649,'февраль 2026'!$D$2:$D$2649,$B127,'февраль 2026'!$J$2:$J$2649,K$1)</f>
        <v>0</v>
      </c>
      <c r="L127" s="144">
        <f>SUMIFS('февраль 2026'!$G$2:$G$2649,'февраль 2026'!$D$2:$D$2649,$B127,'февраль 2026'!$J$2:$J$2649,L$1)</f>
        <v>0</v>
      </c>
      <c r="M127" s="144">
        <f>SUMIFS('февраль 2026'!$G$2:$G$2649,'февраль 2026'!$D$2:$D$2649,$B127,'февраль 2026'!$J$2:$J$2649,M$1)</f>
        <v>0</v>
      </c>
      <c r="N127" s="144">
        <f>SUMIFS('февраль 2026'!$G$2:$G$2649,'февраль 2026'!$D$2:$D$2649,$B127,'февраль 2026'!$J$2:$J$2649,N$1)</f>
        <v>0</v>
      </c>
      <c r="O127" s="144">
        <f>SUMIFS('февраль 2026'!$G$2:$G$2649,'февраль 2026'!$D$2:$D$2649,$B127,'февраль 2026'!$J$2:$J$2649,O$1)</f>
        <v>0</v>
      </c>
      <c r="P127" s="144">
        <f>SUMIFS('февраль 2026'!$G$2:$G$2649,'февраль 2026'!$D$2:$D$2649,$B127,'февраль 2026'!$J$2:$J$2649,P$1)</f>
        <v>0</v>
      </c>
      <c r="Q127" s="144">
        <f>SUMIFS('февраль 2026'!$G$2:$G$2649,'февраль 2026'!$D$2:$D$2649,$B127,'февраль 2026'!$J$2:$J$2649,Q$1)</f>
        <v>0</v>
      </c>
      <c r="R127" s="144">
        <f>SUMIFS('февраль 2026'!$G$2:$G$2649,'февраль 2026'!$D$2:$D$2649,$B127,'февраль 2026'!$J$2:$J$2649,R$1)</f>
        <v>0</v>
      </c>
      <c r="S127" s="144">
        <f>SUMIFS('февраль 2026'!$G$2:$G$2649,'февраль 2026'!$D$2:$D$2649,$B127,'февраль 2026'!$J$2:$J$2649,S$1)</f>
        <v>0</v>
      </c>
      <c r="T127" s="144">
        <f>SUMIFS('февраль 2026'!$G$2:$G$2649,'февраль 2026'!$D$2:$D$2649,$B127,'февраль 2026'!$J$2:$J$2649,T$1)</f>
        <v>0</v>
      </c>
      <c r="U127" s="144">
        <f>SUMIFS('февраль 2026'!$G$2:$G$2649,'февраль 2026'!$D$2:$D$2649,$B127,'февраль 2026'!$J$2:$J$2649,U$1)</f>
        <v>0</v>
      </c>
      <c r="V127" s="144">
        <f>SUMIFS('февраль 2026'!$G$2:$G$2649,'февраль 2026'!$D$2:$D$2649,$B127,'февраль 2026'!$J$2:$J$2649,V$1)</f>
        <v>0</v>
      </c>
      <c r="W127" s="144">
        <f>SUMIFS('февраль 2026'!$G$2:$G$2649,'февраль 2026'!$D$2:$D$2649,$B127,'февраль 2026'!$J$2:$J$2649,W$1)</f>
        <v>0</v>
      </c>
      <c r="X127" s="144">
        <f>SUMIFS('февраль 2026'!$G$2:$G$2649,'февраль 2026'!$D$2:$D$2649,$B127,'февраль 2026'!$J$2:$J$2649,X$1)</f>
        <v>0</v>
      </c>
      <c r="Y127" s="144">
        <f>SUMIFS('февраль 2026'!$G$2:$G$2649,'февраль 2026'!$D$2:$D$2649,$B127,'февраль 2026'!$J$2:$J$2649,Y$1)</f>
        <v>0</v>
      </c>
      <c r="Z127" s="144">
        <f>SUMIFS('февраль 2026'!$G$2:$G$2649,'февраль 2026'!$D$2:$D$2649,$B127,'февраль 2026'!$J$2:$J$2649,Z$1)</f>
        <v>0</v>
      </c>
      <c r="AA127" s="144">
        <f>SUMIFS('февраль 2026'!$G$2:$G$2649,'февраль 2026'!$D$2:$D$2649,$B127,'февраль 2026'!$J$2:$J$2649,AA$1)</f>
        <v>0</v>
      </c>
      <c r="AB127" s="144">
        <f>SUMIFS('февраль 2026'!$G$2:$G$2649,'февраль 2026'!$D$2:$D$2649,$B127,'февраль 2026'!$J$2:$J$2649,AB$1)</f>
        <v>0</v>
      </c>
      <c r="AC127" s="144">
        <f>SUMIFS('февраль 2026'!$G$2:$G$2649,'февраль 2026'!$D$2:$D$2649,$B127,'февраль 2026'!$J$2:$J$2649,AC$1)</f>
        <v>0</v>
      </c>
      <c r="AD127" s="144">
        <f>SUMIFS('февраль 2026'!$G$2:$G$2649,'февраль 2026'!$D$2:$D$2649,$B127,'февраль 2026'!$J$2:$J$2649,AD$1)</f>
        <v>0</v>
      </c>
      <c r="AE127" s="144">
        <f>SUMIFS('февраль 2026'!$G$2:$G$2649,'февраль 2026'!$D$2:$D$2649,$B127,'февраль 2026'!$J$2:$J$2649,AE$1)</f>
        <v>0</v>
      </c>
      <c r="AF127" s="144">
        <f>SUMIFS('февраль 2026'!$G$2:$G$2649,'февраль 2026'!$D$2:$D$2649,$B127,'февраль 2026'!$J$2:$J$2649,AF$1)</f>
        <v>0</v>
      </c>
      <c r="AG127" s="144">
        <f>SUMIFS('февраль 2026'!$G$2:$G$2649,'февраль 2026'!$D$2:$D$2649,$B127,'февраль 2026'!$J$2:$J$2649,AG$1)</f>
        <v>0</v>
      </c>
      <c r="AH127" s="144">
        <f>SUMIFS('февраль 2026'!$G$2:$G$2649,'февраль 2026'!$D$2:$D$2649,$B127,'февраль 2026'!$J$2:$J$2649,AH$1)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SUMIFS('февраль 2026'!$G$2:$G$2649,'февраль 2026'!$D$2:$D$2649,$B128,'февраль 2026'!$J$2:$J$2649,D$1)</f>
        <v>0</v>
      </c>
      <c r="E128" s="144">
        <f>SUMIFS('февраль 2026'!$G$2:$G$2649,'февраль 2026'!$D$2:$D$2649,$B128,'февраль 2026'!$J$2:$J$2649,E$1)</f>
        <v>0</v>
      </c>
      <c r="F128" s="144">
        <f>SUMIFS('февраль 2026'!$G$2:$G$2649,'февраль 2026'!$D$2:$D$2649,$B128,'февраль 2026'!$J$2:$J$2649,F$1)</f>
        <v>0</v>
      </c>
      <c r="G128" s="144">
        <f>SUMIFS('февраль 2026'!$G$2:$G$2649,'февраль 2026'!$D$2:$D$2649,$B128,'февраль 2026'!$J$2:$J$2649,G$1)</f>
        <v>0</v>
      </c>
      <c r="H128" s="144">
        <f>SUMIFS('февраль 2026'!$G$2:$G$2649,'февраль 2026'!$D$2:$D$2649,$B128,'февраль 2026'!$J$2:$J$2649,H$1)</f>
        <v>0</v>
      </c>
      <c r="I128" s="144">
        <f>SUMIFS('февраль 2026'!$G$2:$G$2649,'февраль 2026'!$D$2:$D$2649,$B128,'февраль 2026'!$J$2:$J$2649,I$1)</f>
        <v>0</v>
      </c>
      <c r="J128" s="144">
        <f>SUMIFS('февраль 2026'!$G$2:$G$2649,'февраль 2026'!$D$2:$D$2649,$B128,'февраль 2026'!$J$2:$J$2649,J$1)</f>
        <v>0</v>
      </c>
      <c r="K128" s="144">
        <f>SUMIFS('февраль 2026'!$G$2:$G$2649,'февраль 2026'!$D$2:$D$2649,$B128,'февраль 2026'!$J$2:$J$2649,K$1)</f>
        <v>0</v>
      </c>
      <c r="L128" s="144">
        <f>SUMIFS('февраль 2026'!$G$2:$G$2649,'февраль 2026'!$D$2:$D$2649,$B128,'февраль 2026'!$J$2:$J$2649,L$1)</f>
        <v>0</v>
      </c>
      <c r="M128" s="144">
        <f>SUMIFS('февраль 2026'!$G$2:$G$2649,'февраль 2026'!$D$2:$D$2649,$B128,'февраль 2026'!$J$2:$J$2649,M$1)</f>
        <v>0</v>
      </c>
      <c r="N128" s="144">
        <f>SUMIFS('февраль 2026'!$G$2:$G$2649,'февраль 2026'!$D$2:$D$2649,$B128,'февраль 2026'!$J$2:$J$2649,N$1)</f>
        <v>0</v>
      </c>
      <c r="O128" s="144">
        <f>SUMIFS('февраль 2026'!$G$2:$G$2649,'февраль 2026'!$D$2:$D$2649,$B128,'февраль 2026'!$J$2:$J$2649,O$1)</f>
        <v>0</v>
      </c>
      <c r="P128" s="144">
        <f>SUMIFS('февраль 2026'!$G$2:$G$2649,'февраль 2026'!$D$2:$D$2649,$B128,'февраль 2026'!$J$2:$J$2649,P$1)</f>
        <v>0</v>
      </c>
      <c r="Q128" s="144">
        <f>SUMIFS('февраль 2026'!$G$2:$G$2649,'февраль 2026'!$D$2:$D$2649,$B128,'февраль 2026'!$J$2:$J$2649,Q$1)</f>
        <v>0</v>
      </c>
      <c r="R128" s="144">
        <f>SUMIFS('февраль 2026'!$G$2:$G$2649,'февраль 2026'!$D$2:$D$2649,$B128,'февраль 2026'!$J$2:$J$2649,R$1)</f>
        <v>0</v>
      </c>
      <c r="S128" s="144">
        <f>SUMIFS('февраль 2026'!$G$2:$G$2649,'февраль 2026'!$D$2:$D$2649,$B128,'февраль 2026'!$J$2:$J$2649,S$1)</f>
        <v>0</v>
      </c>
      <c r="T128" s="144">
        <f>SUMIFS('февраль 2026'!$G$2:$G$2649,'февраль 2026'!$D$2:$D$2649,$B128,'февраль 2026'!$J$2:$J$2649,T$1)</f>
        <v>0</v>
      </c>
      <c r="U128" s="144">
        <f>SUMIFS('февраль 2026'!$G$2:$G$2649,'февраль 2026'!$D$2:$D$2649,$B128,'февраль 2026'!$J$2:$J$2649,U$1)</f>
        <v>0</v>
      </c>
      <c r="V128" s="144">
        <f>SUMIFS('февраль 2026'!$G$2:$G$2649,'февраль 2026'!$D$2:$D$2649,$B128,'февраль 2026'!$J$2:$J$2649,V$1)</f>
        <v>0</v>
      </c>
      <c r="W128" s="144">
        <f>SUMIFS('февраль 2026'!$G$2:$G$2649,'февраль 2026'!$D$2:$D$2649,$B128,'февраль 2026'!$J$2:$J$2649,W$1)</f>
        <v>0</v>
      </c>
      <c r="X128" s="144">
        <f>SUMIFS('февраль 2026'!$G$2:$G$2649,'февраль 2026'!$D$2:$D$2649,$B128,'февраль 2026'!$J$2:$J$2649,X$1)</f>
        <v>0</v>
      </c>
      <c r="Y128" s="144">
        <f>SUMIFS('февраль 2026'!$G$2:$G$2649,'февраль 2026'!$D$2:$D$2649,$B128,'февраль 2026'!$J$2:$J$2649,Y$1)</f>
        <v>0</v>
      </c>
      <c r="Z128" s="144">
        <f>SUMIFS('февраль 2026'!$G$2:$G$2649,'февраль 2026'!$D$2:$D$2649,$B128,'февраль 2026'!$J$2:$J$2649,Z$1)</f>
        <v>0</v>
      </c>
      <c r="AA128" s="144">
        <f>SUMIFS('февраль 2026'!$G$2:$G$2649,'февраль 2026'!$D$2:$D$2649,$B128,'февраль 2026'!$J$2:$J$2649,AA$1)</f>
        <v>0</v>
      </c>
      <c r="AB128" s="144">
        <f>SUMIFS('февраль 2026'!$G$2:$G$2649,'февраль 2026'!$D$2:$D$2649,$B128,'февраль 2026'!$J$2:$J$2649,AB$1)</f>
        <v>0</v>
      </c>
      <c r="AC128" s="144">
        <f>SUMIFS('февраль 2026'!$G$2:$G$2649,'февраль 2026'!$D$2:$D$2649,$B128,'февраль 2026'!$J$2:$J$2649,AC$1)</f>
        <v>0</v>
      </c>
      <c r="AD128" s="144">
        <f>SUMIFS('февраль 2026'!$G$2:$G$2649,'февраль 2026'!$D$2:$D$2649,$B128,'февраль 2026'!$J$2:$J$2649,AD$1)</f>
        <v>0</v>
      </c>
      <c r="AE128" s="144">
        <f>SUMIFS('февраль 2026'!$G$2:$G$2649,'февраль 2026'!$D$2:$D$2649,$B128,'февраль 2026'!$J$2:$J$2649,AE$1)</f>
        <v>0</v>
      </c>
      <c r="AF128" s="144">
        <f>SUMIFS('февраль 2026'!$G$2:$G$2649,'февраль 2026'!$D$2:$D$2649,$B128,'февраль 2026'!$J$2:$J$2649,AF$1)</f>
        <v>0</v>
      </c>
      <c r="AG128" s="144">
        <f>SUMIFS('февраль 2026'!$G$2:$G$2649,'февраль 2026'!$D$2:$D$2649,$B128,'февраль 2026'!$J$2:$J$2649,AG$1)</f>
        <v>0</v>
      </c>
      <c r="AH128" s="144">
        <f>SUMIFS('февраль 2026'!$G$2:$G$2649,'февраль 2026'!$D$2:$D$2649,$B128,'февраль 2026'!$J$2:$J$2649,AH$1)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SUMIFS('февраль 2026'!$G$2:$G$2649,'февраль 2026'!$D$2:$D$2649,$B129,'февраль 2026'!$J$2:$J$2649,D$1)</f>
        <v>0</v>
      </c>
      <c r="E129" s="144">
        <f>SUMIFS('февраль 2026'!$G$2:$G$2649,'февраль 2026'!$D$2:$D$2649,$B129,'февраль 2026'!$J$2:$J$2649,E$1)</f>
        <v>0</v>
      </c>
      <c r="F129" s="144">
        <f>SUMIFS('февраль 2026'!$G$2:$G$2649,'февраль 2026'!$D$2:$D$2649,$B129,'февраль 2026'!$J$2:$J$2649,F$1)</f>
        <v>0</v>
      </c>
      <c r="G129" s="144">
        <f>SUMIFS('февраль 2026'!$G$2:$G$2649,'февраль 2026'!$D$2:$D$2649,$B129,'февраль 2026'!$J$2:$J$2649,G$1)</f>
        <v>0</v>
      </c>
      <c r="H129" s="144">
        <f>SUMIFS('февраль 2026'!$G$2:$G$2649,'февраль 2026'!$D$2:$D$2649,$B129,'февраль 2026'!$J$2:$J$2649,H$1)</f>
        <v>0</v>
      </c>
      <c r="I129" s="144">
        <f>SUMIFS('февраль 2026'!$G$2:$G$2649,'февраль 2026'!$D$2:$D$2649,$B129,'февраль 2026'!$J$2:$J$2649,I$1)</f>
        <v>0</v>
      </c>
      <c r="J129" s="144">
        <f>SUMIFS('февраль 2026'!$G$2:$G$2649,'февраль 2026'!$D$2:$D$2649,$B129,'февраль 2026'!$J$2:$J$2649,J$1)</f>
        <v>0</v>
      </c>
      <c r="K129" s="144">
        <f>SUMIFS('февраль 2026'!$G$2:$G$2649,'февраль 2026'!$D$2:$D$2649,$B129,'февраль 2026'!$J$2:$J$2649,K$1)</f>
        <v>0</v>
      </c>
      <c r="L129" s="144">
        <f>SUMIFS('февраль 2026'!$G$2:$G$2649,'февраль 2026'!$D$2:$D$2649,$B129,'февраль 2026'!$J$2:$J$2649,L$1)</f>
        <v>0</v>
      </c>
      <c r="M129" s="144">
        <f>SUMIFS('февраль 2026'!$G$2:$G$2649,'февраль 2026'!$D$2:$D$2649,$B129,'февраль 2026'!$J$2:$J$2649,M$1)</f>
        <v>0</v>
      </c>
      <c r="N129" s="144">
        <f>SUMIFS('февраль 2026'!$G$2:$G$2649,'февраль 2026'!$D$2:$D$2649,$B129,'февраль 2026'!$J$2:$J$2649,N$1)</f>
        <v>0</v>
      </c>
      <c r="O129" s="144">
        <f>SUMIFS('февраль 2026'!$G$2:$G$2649,'февраль 2026'!$D$2:$D$2649,$B129,'февраль 2026'!$J$2:$J$2649,O$1)</f>
        <v>0</v>
      </c>
      <c r="P129" s="144">
        <f>SUMIFS('февраль 2026'!$G$2:$G$2649,'февраль 2026'!$D$2:$D$2649,$B129,'февраль 2026'!$J$2:$J$2649,P$1)</f>
        <v>0</v>
      </c>
      <c r="Q129" s="144">
        <f>SUMIFS('февраль 2026'!$G$2:$G$2649,'февраль 2026'!$D$2:$D$2649,$B129,'февраль 2026'!$J$2:$J$2649,Q$1)</f>
        <v>0</v>
      </c>
      <c r="R129" s="144">
        <f>SUMIFS('февраль 2026'!$G$2:$G$2649,'февраль 2026'!$D$2:$D$2649,$B129,'февраль 2026'!$J$2:$J$2649,R$1)</f>
        <v>0</v>
      </c>
      <c r="S129" s="144">
        <f>SUMIFS('февраль 2026'!$G$2:$G$2649,'февраль 2026'!$D$2:$D$2649,$B129,'февраль 2026'!$J$2:$J$2649,S$1)</f>
        <v>0</v>
      </c>
      <c r="T129" s="144">
        <f>SUMIFS('февраль 2026'!$G$2:$G$2649,'февраль 2026'!$D$2:$D$2649,$B129,'февраль 2026'!$J$2:$J$2649,T$1)</f>
        <v>0</v>
      </c>
      <c r="U129" s="144">
        <f>SUMIFS('февраль 2026'!$G$2:$G$2649,'февраль 2026'!$D$2:$D$2649,$B129,'февраль 2026'!$J$2:$J$2649,U$1)</f>
        <v>0</v>
      </c>
      <c r="V129" s="144">
        <f>SUMIFS('февраль 2026'!$G$2:$G$2649,'февраль 2026'!$D$2:$D$2649,$B129,'февраль 2026'!$J$2:$J$2649,V$1)</f>
        <v>0</v>
      </c>
      <c r="W129" s="144">
        <f>SUMIFS('февраль 2026'!$G$2:$G$2649,'февраль 2026'!$D$2:$D$2649,$B129,'февраль 2026'!$J$2:$J$2649,W$1)</f>
        <v>0</v>
      </c>
      <c r="X129" s="144">
        <f>SUMIFS('февраль 2026'!$G$2:$G$2649,'февраль 2026'!$D$2:$D$2649,$B129,'февраль 2026'!$J$2:$J$2649,X$1)</f>
        <v>0</v>
      </c>
      <c r="Y129" s="144">
        <f>SUMIFS('февраль 2026'!$G$2:$G$2649,'февраль 2026'!$D$2:$D$2649,$B129,'февраль 2026'!$J$2:$J$2649,Y$1)</f>
        <v>0</v>
      </c>
      <c r="Z129" s="144">
        <f>SUMIFS('февраль 2026'!$G$2:$G$2649,'февраль 2026'!$D$2:$D$2649,$B129,'февраль 2026'!$J$2:$J$2649,Z$1)</f>
        <v>0</v>
      </c>
      <c r="AA129" s="144">
        <f>SUMIFS('февраль 2026'!$G$2:$G$2649,'февраль 2026'!$D$2:$D$2649,$B129,'февраль 2026'!$J$2:$J$2649,AA$1)</f>
        <v>0</v>
      </c>
      <c r="AB129" s="144">
        <f>SUMIFS('февраль 2026'!$G$2:$G$2649,'февраль 2026'!$D$2:$D$2649,$B129,'февраль 2026'!$J$2:$J$2649,AB$1)</f>
        <v>0</v>
      </c>
      <c r="AC129" s="144">
        <f>SUMIFS('февраль 2026'!$G$2:$G$2649,'февраль 2026'!$D$2:$D$2649,$B129,'февраль 2026'!$J$2:$J$2649,AC$1)</f>
        <v>0</v>
      </c>
      <c r="AD129" s="144">
        <f>SUMIFS('февраль 2026'!$G$2:$G$2649,'февраль 2026'!$D$2:$D$2649,$B129,'февраль 2026'!$J$2:$J$2649,AD$1)</f>
        <v>0</v>
      </c>
      <c r="AE129" s="144">
        <f>SUMIFS('февраль 2026'!$G$2:$G$2649,'февраль 2026'!$D$2:$D$2649,$B129,'февраль 2026'!$J$2:$J$2649,AE$1)</f>
        <v>0</v>
      </c>
      <c r="AF129" s="144">
        <f>SUMIFS('февраль 2026'!$G$2:$G$2649,'февраль 2026'!$D$2:$D$2649,$B129,'февраль 2026'!$J$2:$J$2649,AF$1)</f>
        <v>0</v>
      </c>
      <c r="AG129" s="144">
        <f>SUMIFS('февраль 2026'!$G$2:$G$2649,'февраль 2026'!$D$2:$D$2649,$B129,'февраль 2026'!$J$2:$J$2649,AG$1)</f>
        <v>0</v>
      </c>
      <c r="AH129" s="144">
        <f>SUMIFS('февраль 2026'!$G$2:$G$2649,'февраль 2026'!$D$2:$D$2649,$B129,'февраль 2026'!$J$2:$J$2649,AH$1)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SUMIFS('февраль 2026'!$G$2:$G$2649,'февраль 2026'!$D$2:$D$2649,$B130,'февраль 2026'!$J$2:$J$2649,D$1)</f>
        <v>0</v>
      </c>
      <c r="E130" s="144">
        <f>SUMIFS('февраль 2026'!$G$2:$G$2649,'февраль 2026'!$D$2:$D$2649,$B130,'февраль 2026'!$J$2:$J$2649,E$1)</f>
        <v>0</v>
      </c>
      <c r="F130" s="144">
        <f>SUMIFS('февраль 2026'!$G$2:$G$2649,'февраль 2026'!$D$2:$D$2649,$B130,'февраль 2026'!$J$2:$J$2649,F$1)</f>
        <v>0</v>
      </c>
      <c r="G130" s="144">
        <f>SUMIFS('февраль 2026'!$G$2:$G$2649,'февраль 2026'!$D$2:$D$2649,$B130,'февраль 2026'!$J$2:$J$2649,G$1)</f>
        <v>0</v>
      </c>
      <c r="H130" s="144">
        <f>SUMIFS('февраль 2026'!$G$2:$G$2649,'февраль 2026'!$D$2:$D$2649,$B130,'февраль 2026'!$J$2:$J$2649,H$1)</f>
        <v>0</v>
      </c>
      <c r="I130" s="144">
        <f>SUMIFS('февраль 2026'!$G$2:$G$2649,'февраль 2026'!$D$2:$D$2649,$B130,'февраль 2026'!$J$2:$J$2649,I$1)</f>
        <v>0</v>
      </c>
      <c r="J130" s="144">
        <f>SUMIFS('февраль 2026'!$G$2:$G$2649,'февраль 2026'!$D$2:$D$2649,$B130,'февраль 2026'!$J$2:$J$2649,J$1)</f>
        <v>0</v>
      </c>
      <c r="K130" s="144">
        <f>SUMIFS('февраль 2026'!$G$2:$G$2649,'февраль 2026'!$D$2:$D$2649,$B130,'февраль 2026'!$J$2:$J$2649,K$1)</f>
        <v>0</v>
      </c>
      <c r="L130" s="144">
        <f>SUMIFS('февраль 2026'!$G$2:$G$2649,'февраль 2026'!$D$2:$D$2649,$B130,'февраль 2026'!$J$2:$J$2649,L$1)</f>
        <v>0</v>
      </c>
      <c r="M130" s="144">
        <f>SUMIFS('февраль 2026'!$G$2:$G$2649,'февраль 2026'!$D$2:$D$2649,$B130,'февраль 2026'!$J$2:$J$2649,M$1)</f>
        <v>0</v>
      </c>
      <c r="N130" s="144">
        <f>SUMIFS('февраль 2026'!$G$2:$G$2649,'февраль 2026'!$D$2:$D$2649,$B130,'февраль 2026'!$J$2:$J$2649,N$1)</f>
        <v>0</v>
      </c>
      <c r="O130" s="144">
        <f>SUMIFS('февраль 2026'!$G$2:$G$2649,'февраль 2026'!$D$2:$D$2649,$B130,'февраль 2026'!$J$2:$J$2649,O$1)</f>
        <v>0</v>
      </c>
      <c r="P130" s="144">
        <f>SUMIFS('февраль 2026'!$G$2:$G$2649,'февраль 2026'!$D$2:$D$2649,$B130,'февраль 2026'!$J$2:$J$2649,P$1)</f>
        <v>0</v>
      </c>
      <c r="Q130" s="144">
        <f>SUMIFS('февраль 2026'!$G$2:$G$2649,'февраль 2026'!$D$2:$D$2649,$B130,'февраль 2026'!$J$2:$J$2649,Q$1)</f>
        <v>0</v>
      </c>
      <c r="R130" s="144">
        <f>SUMIFS('февраль 2026'!$G$2:$G$2649,'февраль 2026'!$D$2:$D$2649,$B130,'февраль 2026'!$J$2:$J$2649,R$1)</f>
        <v>0</v>
      </c>
      <c r="S130" s="144">
        <f>SUMIFS('февраль 2026'!$G$2:$G$2649,'февраль 2026'!$D$2:$D$2649,$B130,'февраль 2026'!$J$2:$J$2649,S$1)</f>
        <v>0</v>
      </c>
      <c r="T130" s="144">
        <f>SUMIFS('февраль 2026'!$G$2:$G$2649,'февраль 2026'!$D$2:$D$2649,$B130,'февраль 2026'!$J$2:$J$2649,T$1)</f>
        <v>0</v>
      </c>
      <c r="U130" s="144">
        <f>SUMIFS('февраль 2026'!$G$2:$G$2649,'февраль 2026'!$D$2:$D$2649,$B130,'февраль 2026'!$J$2:$J$2649,U$1)</f>
        <v>0</v>
      </c>
      <c r="V130" s="144">
        <f>SUMIFS('февраль 2026'!$G$2:$G$2649,'февраль 2026'!$D$2:$D$2649,$B130,'февраль 2026'!$J$2:$J$2649,V$1)</f>
        <v>0</v>
      </c>
      <c r="W130" s="144">
        <f>SUMIFS('февраль 2026'!$G$2:$G$2649,'февраль 2026'!$D$2:$D$2649,$B130,'февраль 2026'!$J$2:$J$2649,W$1)</f>
        <v>0</v>
      </c>
      <c r="X130" s="144">
        <f>SUMIFS('февраль 2026'!$G$2:$G$2649,'февраль 2026'!$D$2:$D$2649,$B130,'февраль 2026'!$J$2:$J$2649,X$1)</f>
        <v>0</v>
      </c>
      <c r="Y130" s="144">
        <f>SUMIFS('февраль 2026'!$G$2:$G$2649,'февраль 2026'!$D$2:$D$2649,$B130,'февраль 2026'!$J$2:$J$2649,Y$1)</f>
        <v>0</v>
      </c>
      <c r="Z130" s="144">
        <f>SUMIFS('февраль 2026'!$G$2:$G$2649,'февраль 2026'!$D$2:$D$2649,$B130,'февраль 2026'!$J$2:$J$2649,Z$1)</f>
        <v>0</v>
      </c>
      <c r="AA130" s="144">
        <f>SUMIFS('февраль 2026'!$G$2:$G$2649,'февраль 2026'!$D$2:$D$2649,$B130,'февраль 2026'!$J$2:$J$2649,AA$1)</f>
        <v>0</v>
      </c>
      <c r="AB130" s="144">
        <f>SUMIFS('февраль 2026'!$G$2:$G$2649,'февраль 2026'!$D$2:$D$2649,$B130,'февраль 2026'!$J$2:$J$2649,AB$1)</f>
        <v>0</v>
      </c>
      <c r="AC130" s="144">
        <f>SUMIFS('февраль 2026'!$G$2:$G$2649,'февраль 2026'!$D$2:$D$2649,$B130,'февраль 2026'!$J$2:$J$2649,AC$1)</f>
        <v>0</v>
      </c>
      <c r="AD130" s="144">
        <f>SUMIFS('февраль 2026'!$G$2:$G$2649,'февраль 2026'!$D$2:$D$2649,$B130,'февраль 2026'!$J$2:$J$2649,AD$1)</f>
        <v>0</v>
      </c>
      <c r="AE130" s="144">
        <f>SUMIFS('февраль 2026'!$G$2:$G$2649,'февраль 2026'!$D$2:$D$2649,$B130,'февраль 2026'!$J$2:$J$2649,AE$1)</f>
        <v>0</v>
      </c>
      <c r="AF130" s="144">
        <f>SUMIFS('февраль 2026'!$G$2:$G$2649,'февраль 2026'!$D$2:$D$2649,$B130,'февраль 2026'!$J$2:$J$2649,AF$1)</f>
        <v>0</v>
      </c>
      <c r="AG130" s="144">
        <f>SUMIFS('февраль 2026'!$G$2:$G$2649,'февраль 2026'!$D$2:$D$2649,$B130,'февраль 2026'!$J$2:$J$2649,AG$1)</f>
        <v>0</v>
      </c>
      <c r="AH130" s="144">
        <f>SUMIFS('февраль 2026'!$G$2:$G$2649,'февраль 2026'!$D$2:$D$2649,$B130,'февраль 2026'!$J$2:$J$2649,AH$1)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SUMIFS('февраль 2026'!$G$2:$G$2649,'февраль 2026'!$D$2:$D$2649,$B131,'февраль 2026'!$J$2:$J$2649,D$1)</f>
        <v>0</v>
      </c>
      <c r="E131" s="144">
        <f>SUMIFS('февраль 2026'!$G$2:$G$2649,'февраль 2026'!$D$2:$D$2649,$B131,'февраль 2026'!$J$2:$J$2649,E$1)</f>
        <v>0</v>
      </c>
      <c r="F131" s="144">
        <f>SUMIFS('февраль 2026'!$G$2:$G$2649,'февраль 2026'!$D$2:$D$2649,$B131,'февраль 2026'!$J$2:$J$2649,F$1)</f>
        <v>0</v>
      </c>
      <c r="G131" s="144">
        <f>SUMIFS('февраль 2026'!$G$2:$G$2649,'февраль 2026'!$D$2:$D$2649,$B131,'февраль 2026'!$J$2:$J$2649,G$1)</f>
        <v>0</v>
      </c>
      <c r="H131" s="144">
        <f>SUMIFS('февраль 2026'!$G$2:$G$2649,'февраль 2026'!$D$2:$D$2649,$B131,'февраль 2026'!$J$2:$J$2649,H$1)</f>
        <v>0</v>
      </c>
      <c r="I131" s="144">
        <f>SUMIFS('февраль 2026'!$G$2:$G$2649,'февраль 2026'!$D$2:$D$2649,$B131,'февраль 2026'!$J$2:$J$2649,I$1)</f>
        <v>0</v>
      </c>
      <c r="J131" s="144">
        <f>SUMIFS('февраль 2026'!$G$2:$G$2649,'февраль 2026'!$D$2:$D$2649,$B131,'февраль 2026'!$J$2:$J$2649,J$1)</f>
        <v>0</v>
      </c>
      <c r="K131" s="144">
        <f>SUMIFS('февраль 2026'!$G$2:$G$2649,'февраль 2026'!$D$2:$D$2649,$B131,'февраль 2026'!$J$2:$J$2649,K$1)</f>
        <v>0</v>
      </c>
      <c r="L131" s="144">
        <f>SUMIFS('февраль 2026'!$G$2:$G$2649,'февраль 2026'!$D$2:$D$2649,$B131,'февраль 2026'!$J$2:$J$2649,L$1)</f>
        <v>0</v>
      </c>
      <c r="M131" s="144">
        <f>SUMIFS('февраль 2026'!$G$2:$G$2649,'февраль 2026'!$D$2:$D$2649,$B131,'февраль 2026'!$J$2:$J$2649,M$1)</f>
        <v>0</v>
      </c>
      <c r="N131" s="144">
        <f>SUMIFS('февраль 2026'!$G$2:$G$2649,'февраль 2026'!$D$2:$D$2649,$B131,'февраль 2026'!$J$2:$J$2649,N$1)</f>
        <v>0</v>
      </c>
      <c r="O131" s="144">
        <f>SUMIFS('февраль 2026'!$G$2:$G$2649,'февраль 2026'!$D$2:$D$2649,$B131,'февраль 2026'!$J$2:$J$2649,O$1)</f>
        <v>0</v>
      </c>
      <c r="P131" s="144">
        <f>SUMIFS('февраль 2026'!$G$2:$G$2649,'февраль 2026'!$D$2:$D$2649,$B131,'февраль 2026'!$J$2:$J$2649,P$1)</f>
        <v>0</v>
      </c>
      <c r="Q131" s="144">
        <f>SUMIFS('февраль 2026'!$G$2:$G$2649,'февраль 2026'!$D$2:$D$2649,$B131,'февраль 2026'!$J$2:$J$2649,Q$1)</f>
        <v>0</v>
      </c>
      <c r="R131" s="144">
        <f>SUMIFS('февраль 2026'!$G$2:$G$2649,'февраль 2026'!$D$2:$D$2649,$B131,'февраль 2026'!$J$2:$J$2649,R$1)</f>
        <v>0</v>
      </c>
      <c r="S131" s="144">
        <f>SUMIFS('февраль 2026'!$G$2:$G$2649,'февраль 2026'!$D$2:$D$2649,$B131,'февраль 2026'!$J$2:$J$2649,S$1)</f>
        <v>0</v>
      </c>
      <c r="T131" s="144">
        <f>SUMIFS('февраль 2026'!$G$2:$G$2649,'февраль 2026'!$D$2:$D$2649,$B131,'февраль 2026'!$J$2:$J$2649,T$1)</f>
        <v>0</v>
      </c>
      <c r="U131" s="144">
        <f>SUMIFS('февраль 2026'!$G$2:$G$2649,'февраль 2026'!$D$2:$D$2649,$B131,'февраль 2026'!$J$2:$J$2649,U$1)</f>
        <v>0</v>
      </c>
      <c r="V131" s="144">
        <f>SUMIFS('февраль 2026'!$G$2:$G$2649,'февраль 2026'!$D$2:$D$2649,$B131,'февраль 2026'!$J$2:$J$2649,V$1)</f>
        <v>0</v>
      </c>
      <c r="W131" s="144">
        <f>SUMIFS('февраль 2026'!$G$2:$G$2649,'февраль 2026'!$D$2:$D$2649,$B131,'февраль 2026'!$J$2:$J$2649,W$1)</f>
        <v>0</v>
      </c>
      <c r="X131" s="144">
        <f>SUMIFS('февраль 2026'!$G$2:$G$2649,'февраль 2026'!$D$2:$D$2649,$B131,'февраль 2026'!$J$2:$J$2649,X$1)</f>
        <v>0</v>
      </c>
      <c r="Y131" s="144">
        <f>SUMIFS('февраль 2026'!$G$2:$G$2649,'февраль 2026'!$D$2:$D$2649,$B131,'февраль 2026'!$J$2:$J$2649,Y$1)</f>
        <v>0</v>
      </c>
      <c r="Z131" s="144">
        <f>SUMIFS('февраль 2026'!$G$2:$G$2649,'февраль 2026'!$D$2:$D$2649,$B131,'февраль 2026'!$J$2:$J$2649,Z$1)</f>
        <v>0</v>
      </c>
      <c r="AA131" s="144">
        <f>SUMIFS('февраль 2026'!$G$2:$G$2649,'февраль 2026'!$D$2:$D$2649,$B131,'февраль 2026'!$J$2:$J$2649,AA$1)</f>
        <v>0</v>
      </c>
      <c r="AB131" s="144">
        <f>SUMIFS('февраль 2026'!$G$2:$G$2649,'февраль 2026'!$D$2:$D$2649,$B131,'февраль 2026'!$J$2:$J$2649,AB$1)</f>
        <v>0</v>
      </c>
      <c r="AC131" s="144">
        <f>SUMIFS('февраль 2026'!$G$2:$G$2649,'февраль 2026'!$D$2:$D$2649,$B131,'февраль 2026'!$J$2:$J$2649,AC$1)</f>
        <v>0</v>
      </c>
      <c r="AD131" s="144">
        <f>SUMIFS('февраль 2026'!$G$2:$G$2649,'февраль 2026'!$D$2:$D$2649,$B131,'февраль 2026'!$J$2:$J$2649,AD$1)</f>
        <v>0</v>
      </c>
      <c r="AE131" s="144">
        <f>SUMIFS('февраль 2026'!$G$2:$G$2649,'февраль 2026'!$D$2:$D$2649,$B131,'февраль 2026'!$J$2:$J$2649,AE$1)</f>
        <v>0</v>
      </c>
      <c r="AF131" s="144">
        <f>SUMIFS('февраль 2026'!$G$2:$G$2649,'февраль 2026'!$D$2:$D$2649,$B131,'февраль 2026'!$J$2:$J$2649,AF$1)</f>
        <v>0</v>
      </c>
      <c r="AG131" s="144">
        <f>SUMIFS('февраль 2026'!$G$2:$G$2649,'февраль 2026'!$D$2:$D$2649,$B131,'февраль 2026'!$J$2:$J$2649,AG$1)</f>
        <v>0</v>
      </c>
      <c r="AH131" s="144">
        <f>SUMIFS('февраль 2026'!$G$2:$G$2649,'февраль 2026'!$D$2:$D$2649,$B131,'февраль 2026'!$J$2:$J$2649,AH$1)</f>
        <v>0</v>
      </c>
      <c r="AI131" s="20">
        <f t="shared" si="1"/>
        <v>0</v>
      </c>
    </row>
    <row r="132" spans="2:35" ht="15" customHeight="1" x14ac:dyDescent="0.25">
      <c r="B132" s="85" t="s">
        <v>297</v>
      </c>
      <c r="C132" s="83">
        <v>200</v>
      </c>
      <c r="D132" s="144">
        <f>SUMIFS('февраль 2026'!$G$2:$G$2649,'февраль 2026'!$D$2:$D$2649,$B132,'февраль 2026'!$J$2:$J$2649,D$1)</f>
        <v>0</v>
      </c>
      <c r="E132" s="144">
        <f>SUMIFS('февраль 2026'!$G$2:$G$2649,'февраль 2026'!$D$2:$D$2649,$B132,'февраль 2026'!$J$2:$J$2649,E$1)</f>
        <v>0</v>
      </c>
      <c r="F132" s="144">
        <f>SUMIFS('февраль 2026'!$G$2:$G$2649,'февраль 2026'!$D$2:$D$2649,$B132,'февраль 2026'!$J$2:$J$2649,F$1)</f>
        <v>0</v>
      </c>
      <c r="G132" s="144">
        <f>SUMIFS('февраль 2026'!$G$2:$G$2649,'февраль 2026'!$D$2:$D$2649,$B132,'февраль 2026'!$J$2:$J$2649,G$1)</f>
        <v>0</v>
      </c>
      <c r="H132" s="144">
        <f>SUMIFS('февраль 2026'!$G$2:$G$2649,'февраль 2026'!$D$2:$D$2649,$B132,'февраль 2026'!$J$2:$J$2649,H$1)</f>
        <v>0</v>
      </c>
      <c r="I132" s="144">
        <f>SUMIFS('февраль 2026'!$G$2:$G$2649,'февраль 2026'!$D$2:$D$2649,$B132,'февраль 2026'!$J$2:$J$2649,I$1)</f>
        <v>0</v>
      </c>
      <c r="J132" s="144">
        <f>SUMIFS('февраль 2026'!$G$2:$G$2649,'февраль 2026'!$D$2:$D$2649,$B132,'февраль 2026'!$J$2:$J$2649,J$1)</f>
        <v>0</v>
      </c>
      <c r="K132" s="144">
        <f>SUMIFS('февраль 2026'!$G$2:$G$2649,'февраль 2026'!$D$2:$D$2649,$B132,'февраль 2026'!$J$2:$J$2649,K$1)</f>
        <v>0</v>
      </c>
      <c r="L132" s="144">
        <f>SUMIFS('февраль 2026'!$G$2:$G$2649,'февраль 2026'!$D$2:$D$2649,$B132,'февраль 2026'!$J$2:$J$2649,L$1)</f>
        <v>0</v>
      </c>
      <c r="M132" s="144">
        <f>SUMIFS('февраль 2026'!$G$2:$G$2649,'февраль 2026'!$D$2:$D$2649,$B132,'февраль 2026'!$J$2:$J$2649,M$1)</f>
        <v>0</v>
      </c>
      <c r="N132" s="144">
        <f>SUMIFS('февраль 2026'!$G$2:$G$2649,'февраль 2026'!$D$2:$D$2649,$B132,'февраль 2026'!$J$2:$J$2649,N$1)</f>
        <v>0</v>
      </c>
      <c r="O132" s="144">
        <f>SUMIFS('февраль 2026'!$G$2:$G$2649,'февраль 2026'!$D$2:$D$2649,$B132,'февраль 2026'!$J$2:$J$2649,O$1)</f>
        <v>0</v>
      </c>
      <c r="P132" s="144">
        <f>SUMIFS('февраль 2026'!$G$2:$G$2649,'февраль 2026'!$D$2:$D$2649,$B132,'февраль 2026'!$J$2:$J$2649,P$1)</f>
        <v>0</v>
      </c>
      <c r="Q132" s="144">
        <f>SUMIFS('февраль 2026'!$G$2:$G$2649,'февраль 2026'!$D$2:$D$2649,$B132,'февраль 2026'!$J$2:$J$2649,Q$1)</f>
        <v>0</v>
      </c>
      <c r="R132" s="144">
        <f>SUMIFS('февраль 2026'!$G$2:$G$2649,'февраль 2026'!$D$2:$D$2649,$B132,'февраль 2026'!$J$2:$J$2649,R$1)</f>
        <v>0</v>
      </c>
      <c r="S132" s="144">
        <f>SUMIFS('февраль 2026'!$G$2:$G$2649,'февраль 2026'!$D$2:$D$2649,$B132,'февраль 2026'!$J$2:$J$2649,S$1)</f>
        <v>0</v>
      </c>
      <c r="T132" s="144">
        <f>SUMIFS('февраль 2026'!$G$2:$G$2649,'февраль 2026'!$D$2:$D$2649,$B132,'февраль 2026'!$J$2:$J$2649,T$1)</f>
        <v>0</v>
      </c>
      <c r="U132" s="144">
        <f>SUMIFS('февраль 2026'!$G$2:$G$2649,'февраль 2026'!$D$2:$D$2649,$B132,'февраль 2026'!$J$2:$J$2649,U$1)</f>
        <v>0</v>
      </c>
      <c r="V132" s="144">
        <f>SUMIFS('февраль 2026'!$G$2:$G$2649,'февраль 2026'!$D$2:$D$2649,$B132,'февраль 2026'!$J$2:$J$2649,V$1)</f>
        <v>0</v>
      </c>
      <c r="W132" s="144">
        <f>SUMIFS('февраль 2026'!$G$2:$G$2649,'февраль 2026'!$D$2:$D$2649,$B132,'февраль 2026'!$J$2:$J$2649,W$1)</f>
        <v>0</v>
      </c>
      <c r="X132" s="144">
        <f>SUMIFS('февраль 2026'!$G$2:$G$2649,'февраль 2026'!$D$2:$D$2649,$B132,'февраль 2026'!$J$2:$J$2649,X$1)</f>
        <v>0</v>
      </c>
      <c r="Y132" s="144">
        <f>SUMIFS('февраль 2026'!$G$2:$G$2649,'февраль 2026'!$D$2:$D$2649,$B132,'февраль 2026'!$J$2:$J$2649,Y$1)</f>
        <v>0</v>
      </c>
      <c r="Z132" s="144">
        <f>SUMIFS('февраль 2026'!$G$2:$G$2649,'февраль 2026'!$D$2:$D$2649,$B132,'февраль 2026'!$J$2:$J$2649,Z$1)</f>
        <v>0</v>
      </c>
      <c r="AA132" s="144">
        <f>SUMIFS('февраль 2026'!$G$2:$G$2649,'февраль 2026'!$D$2:$D$2649,$B132,'февраль 2026'!$J$2:$J$2649,AA$1)</f>
        <v>0</v>
      </c>
      <c r="AB132" s="144">
        <f>SUMIFS('февраль 2026'!$G$2:$G$2649,'февраль 2026'!$D$2:$D$2649,$B132,'февраль 2026'!$J$2:$J$2649,AB$1)</f>
        <v>0</v>
      </c>
      <c r="AC132" s="144">
        <f>SUMIFS('февраль 2026'!$G$2:$G$2649,'февраль 2026'!$D$2:$D$2649,$B132,'февраль 2026'!$J$2:$J$2649,AC$1)</f>
        <v>0</v>
      </c>
      <c r="AD132" s="144">
        <f>SUMIFS('февраль 2026'!$G$2:$G$2649,'февраль 2026'!$D$2:$D$2649,$B132,'февраль 2026'!$J$2:$J$2649,AD$1)</f>
        <v>0</v>
      </c>
      <c r="AE132" s="144">
        <f>SUMIFS('февраль 2026'!$G$2:$G$2649,'февраль 2026'!$D$2:$D$2649,$B132,'февраль 2026'!$J$2:$J$2649,AE$1)</f>
        <v>0</v>
      </c>
      <c r="AF132" s="144">
        <f>SUMIFS('февраль 2026'!$G$2:$G$2649,'февраль 2026'!$D$2:$D$2649,$B132,'февраль 2026'!$J$2:$J$2649,AF$1)</f>
        <v>0</v>
      </c>
      <c r="AG132" s="144">
        <f>SUMIFS('февраль 2026'!$G$2:$G$2649,'февраль 2026'!$D$2:$D$2649,$B132,'февраль 2026'!$J$2:$J$2649,AG$1)</f>
        <v>0</v>
      </c>
      <c r="AH132" s="144">
        <f>SUMIFS('февраль 2026'!$G$2:$G$2649,'февраль 2026'!$D$2:$D$2649,$B132,'февраль 2026'!$J$2:$J$2649,AH$1)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SUMIFS('февраль 2026'!$G$2:$G$2649,'февраль 2026'!$D$2:$D$2649,$B133,'февраль 2026'!$J$2:$J$2649,D$1)</f>
        <v>0</v>
      </c>
      <c r="E133" s="144">
        <f>SUMIFS('февраль 2026'!$G$2:$G$2649,'февраль 2026'!$D$2:$D$2649,$B133,'февраль 2026'!$J$2:$J$2649,E$1)</f>
        <v>0</v>
      </c>
      <c r="F133" s="144">
        <f>SUMIFS('февраль 2026'!$G$2:$G$2649,'февраль 2026'!$D$2:$D$2649,$B133,'февраль 2026'!$J$2:$J$2649,F$1)</f>
        <v>0</v>
      </c>
      <c r="G133" s="144">
        <f>SUMIFS('февраль 2026'!$G$2:$G$2649,'февраль 2026'!$D$2:$D$2649,$B133,'февраль 2026'!$J$2:$J$2649,G$1)</f>
        <v>0</v>
      </c>
      <c r="H133" s="144">
        <f>SUMIFS('февраль 2026'!$G$2:$G$2649,'февраль 2026'!$D$2:$D$2649,$B133,'февраль 2026'!$J$2:$J$2649,H$1)</f>
        <v>0</v>
      </c>
      <c r="I133" s="144">
        <f>SUMIFS('февраль 2026'!$G$2:$G$2649,'февраль 2026'!$D$2:$D$2649,$B133,'февраль 2026'!$J$2:$J$2649,I$1)</f>
        <v>0</v>
      </c>
      <c r="J133" s="144">
        <f>SUMIFS('февраль 2026'!$G$2:$G$2649,'февраль 2026'!$D$2:$D$2649,$B133,'февраль 2026'!$J$2:$J$2649,J$1)</f>
        <v>0</v>
      </c>
      <c r="K133" s="144">
        <f>SUMIFS('февраль 2026'!$G$2:$G$2649,'февраль 2026'!$D$2:$D$2649,$B133,'февраль 2026'!$J$2:$J$2649,K$1)</f>
        <v>0</v>
      </c>
      <c r="L133" s="144">
        <f>SUMIFS('февраль 2026'!$G$2:$G$2649,'февраль 2026'!$D$2:$D$2649,$B133,'февраль 2026'!$J$2:$J$2649,L$1)</f>
        <v>0</v>
      </c>
      <c r="M133" s="144">
        <f>SUMIFS('февраль 2026'!$G$2:$G$2649,'февраль 2026'!$D$2:$D$2649,$B133,'февраль 2026'!$J$2:$J$2649,M$1)</f>
        <v>0</v>
      </c>
      <c r="N133" s="144">
        <f>SUMIFS('февраль 2026'!$G$2:$G$2649,'февраль 2026'!$D$2:$D$2649,$B133,'февраль 2026'!$J$2:$J$2649,N$1)</f>
        <v>0</v>
      </c>
      <c r="O133" s="144">
        <f>SUMIFS('февраль 2026'!$G$2:$G$2649,'февраль 2026'!$D$2:$D$2649,$B133,'февраль 2026'!$J$2:$J$2649,O$1)</f>
        <v>0</v>
      </c>
      <c r="P133" s="144">
        <f>SUMIFS('февраль 2026'!$G$2:$G$2649,'февраль 2026'!$D$2:$D$2649,$B133,'февраль 2026'!$J$2:$J$2649,P$1)</f>
        <v>0</v>
      </c>
      <c r="Q133" s="144">
        <f>SUMIFS('февраль 2026'!$G$2:$G$2649,'февраль 2026'!$D$2:$D$2649,$B133,'февраль 2026'!$J$2:$J$2649,Q$1)</f>
        <v>0</v>
      </c>
      <c r="R133" s="144">
        <f>SUMIFS('февраль 2026'!$G$2:$G$2649,'февраль 2026'!$D$2:$D$2649,$B133,'февраль 2026'!$J$2:$J$2649,R$1)</f>
        <v>0</v>
      </c>
      <c r="S133" s="144">
        <f>SUMIFS('февраль 2026'!$G$2:$G$2649,'февраль 2026'!$D$2:$D$2649,$B133,'февраль 2026'!$J$2:$J$2649,S$1)</f>
        <v>0</v>
      </c>
      <c r="T133" s="144">
        <f>SUMIFS('февраль 2026'!$G$2:$G$2649,'февраль 2026'!$D$2:$D$2649,$B133,'февраль 2026'!$J$2:$J$2649,T$1)</f>
        <v>0</v>
      </c>
      <c r="U133" s="144">
        <f>SUMIFS('февраль 2026'!$G$2:$G$2649,'февраль 2026'!$D$2:$D$2649,$B133,'февраль 2026'!$J$2:$J$2649,U$1)</f>
        <v>0</v>
      </c>
      <c r="V133" s="144">
        <f>SUMIFS('февраль 2026'!$G$2:$G$2649,'февраль 2026'!$D$2:$D$2649,$B133,'февраль 2026'!$J$2:$J$2649,V$1)</f>
        <v>0</v>
      </c>
      <c r="W133" s="144">
        <f>SUMIFS('февраль 2026'!$G$2:$G$2649,'февраль 2026'!$D$2:$D$2649,$B133,'февраль 2026'!$J$2:$J$2649,W$1)</f>
        <v>0</v>
      </c>
      <c r="X133" s="144">
        <f>SUMIFS('февраль 2026'!$G$2:$G$2649,'февраль 2026'!$D$2:$D$2649,$B133,'февраль 2026'!$J$2:$J$2649,X$1)</f>
        <v>0</v>
      </c>
      <c r="Y133" s="144">
        <f>SUMIFS('февраль 2026'!$G$2:$G$2649,'февраль 2026'!$D$2:$D$2649,$B133,'февраль 2026'!$J$2:$J$2649,Y$1)</f>
        <v>0</v>
      </c>
      <c r="Z133" s="144">
        <f>SUMIFS('февраль 2026'!$G$2:$G$2649,'февраль 2026'!$D$2:$D$2649,$B133,'февраль 2026'!$J$2:$J$2649,Z$1)</f>
        <v>0</v>
      </c>
      <c r="AA133" s="144">
        <f>SUMIFS('февраль 2026'!$G$2:$G$2649,'февраль 2026'!$D$2:$D$2649,$B133,'февраль 2026'!$J$2:$J$2649,AA$1)</f>
        <v>0</v>
      </c>
      <c r="AB133" s="144">
        <f>SUMIFS('февраль 2026'!$G$2:$G$2649,'февраль 2026'!$D$2:$D$2649,$B133,'февраль 2026'!$J$2:$J$2649,AB$1)</f>
        <v>0</v>
      </c>
      <c r="AC133" s="144">
        <f>SUMIFS('февраль 2026'!$G$2:$G$2649,'февраль 2026'!$D$2:$D$2649,$B133,'февраль 2026'!$J$2:$J$2649,AC$1)</f>
        <v>0</v>
      </c>
      <c r="AD133" s="144">
        <f>SUMIFS('февраль 2026'!$G$2:$G$2649,'февраль 2026'!$D$2:$D$2649,$B133,'февраль 2026'!$J$2:$J$2649,AD$1)</f>
        <v>0</v>
      </c>
      <c r="AE133" s="144">
        <f>SUMIFS('февраль 2026'!$G$2:$G$2649,'февраль 2026'!$D$2:$D$2649,$B133,'февраль 2026'!$J$2:$J$2649,AE$1)</f>
        <v>0</v>
      </c>
      <c r="AF133" s="144">
        <f>SUMIFS('февраль 2026'!$G$2:$G$2649,'февраль 2026'!$D$2:$D$2649,$B133,'февраль 2026'!$J$2:$J$2649,AF$1)</f>
        <v>0</v>
      </c>
      <c r="AG133" s="144">
        <f>SUMIFS('февраль 2026'!$G$2:$G$2649,'февраль 2026'!$D$2:$D$2649,$B133,'февраль 2026'!$J$2:$J$2649,AG$1)</f>
        <v>0</v>
      </c>
      <c r="AH133" s="144">
        <f>SUMIFS('февраль 2026'!$G$2:$G$2649,'февраль 2026'!$D$2:$D$2649,$B133,'февраль 2026'!$J$2:$J$2649,AH$1)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SUMIFS('февраль 2026'!$G$2:$G$2649,'февраль 2026'!$D$2:$D$2649,$B134,'февраль 2026'!$J$2:$J$2649,D$1)</f>
        <v>0</v>
      </c>
      <c r="E134" s="144">
        <f>SUMIFS('февраль 2026'!$G$2:$G$2649,'февраль 2026'!$D$2:$D$2649,$B134,'февраль 2026'!$J$2:$J$2649,E$1)</f>
        <v>0</v>
      </c>
      <c r="F134" s="144">
        <f>SUMIFS('февраль 2026'!$G$2:$G$2649,'февраль 2026'!$D$2:$D$2649,$B134,'февраль 2026'!$J$2:$J$2649,F$1)</f>
        <v>0</v>
      </c>
      <c r="G134" s="144">
        <f>SUMIFS('февраль 2026'!$G$2:$G$2649,'февраль 2026'!$D$2:$D$2649,$B134,'февраль 2026'!$J$2:$J$2649,G$1)</f>
        <v>0</v>
      </c>
      <c r="H134" s="144">
        <f>SUMIFS('февраль 2026'!$G$2:$G$2649,'февраль 2026'!$D$2:$D$2649,$B134,'февраль 2026'!$J$2:$J$2649,H$1)</f>
        <v>0</v>
      </c>
      <c r="I134" s="144">
        <f>SUMIFS('февраль 2026'!$G$2:$G$2649,'февраль 2026'!$D$2:$D$2649,$B134,'февраль 2026'!$J$2:$J$2649,I$1)</f>
        <v>0</v>
      </c>
      <c r="J134" s="144">
        <f>SUMIFS('февраль 2026'!$G$2:$G$2649,'февраль 2026'!$D$2:$D$2649,$B134,'февраль 2026'!$J$2:$J$2649,J$1)</f>
        <v>0</v>
      </c>
      <c r="K134" s="144">
        <f>SUMIFS('февраль 2026'!$G$2:$G$2649,'февраль 2026'!$D$2:$D$2649,$B134,'февраль 2026'!$J$2:$J$2649,K$1)</f>
        <v>0</v>
      </c>
      <c r="L134" s="144">
        <f>SUMIFS('февраль 2026'!$G$2:$G$2649,'февраль 2026'!$D$2:$D$2649,$B134,'февраль 2026'!$J$2:$J$2649,L$1)</f>
        <v>0</v>
      </c>
      <c r="M134" s="144">
        <f>SUMIFS('февраль 2026'!$G$2:$G$2649,'февраль 2026'!$D$2:$D$2649,$B134,'февраль 2026'!$J$2:$J$2649,M$1)</f>
        <v>0</v>
      </c>
      <c r="N134" s="144">
        <f>SUMIFS('февраль 2026'!$G$2:$G$2649,'февраль 2026'!$D$2:$D$2649,$B134,'февраль 2026'!$J$2:$J$2649,N$1)</f>
        <v>0</v>
      </c>
      <c r="O134" s="144">
        <f>SUMIFS('февраль 2026'!$G$2:$G$2649,'февраль 2026'!$D$2:$D$2649,$B134,'февраль 2026'!$J$2:$J$2649,O$1)</f>
        <v>0</v>
      </c>
      <c r="P134" s="144">
        <f>SUMIFS('февраль 2026'!$G$2:$G$2649,'февраль 2026'!$D$2:$D$2649,$B134,'февраль 2026'!$J$2:$J$2649,P$1)</f>
        <v>0</v>
      </c>
      <c r="Q134" s="144">
        <f>SUMIFS('февраль 2026'!$G$2:$G$2649,'февраль 2026'!$D$2:$D$2649,$B134,'февраль 2026'!$J$2:$J$2649,Q$1)</f>
        <v>0</v>
      </c>
      <c r="R134" s="144">
        <f>SUMIFS('февраль 2026'!$G$2:$G$2649,'февраль 2026'!$D$2:$D$2649,$B134,'февраль 2026'!$J$2:$J$2649,R$1)</f>
        <v>0</v>
      </c>
      <c r="S134" s="144">
        <f>SUMIFS('февраль 2026'!$G$2:$G$2649,'февраль 2026'!$D$2:$D$2649,$B134,'февраль 2026'!$J$2:$J$2649,S$1)</f>
        <v>0</v>
      </c>
      <c r="T134" s="144">
        <f>SUMIFS('февраль 2026'!$G$2:$G$2649,'февраль 2026'!$D$2:$D$2649,$B134,'февраль 2026'!$J$2:$J$2649,T$1)</f>
        <v>0</v>
      </c>
      <c r="U134" s="144">
        <f>SUMIFS('февраль 2026'!$G$2:$G$2649,'февраль 2026'!$D$2:$D$2649,$B134,'февраль 2026'!$J$2:$J$2649,U$1)</f>
        <v>0</v>
      </c>
      <c r="V134" s="144">
        <f>SUMIFS('февраль 2026'!$G$2:$G$2649,'февраль 2026'!$D$2:$D$2649,$B134,'февраль 2026'!$J$2:$J$2649,V$1)</f>
        <v>0</v>
      </c>
      <c r="W134" s="144">
        <f>SUMIFS('февраль 2026'!$G$2:$G$2649,'февраль 2026'!$D$2:$D$2649,$B134,'февраль 2026'!$J$2:$J$2649,W$1)</f>
        <v>0</v>
      </c>
      <c r="X134" s="144">
        <f>SUMIFS('февраль 2026'!$G$2:$G$2649,'февраль 2026'!$D$2:$D$2649,$B134,'февраль 2026'!$J$2:$J$2649,X$1)</f>
        <v>0</v>
      </c>
      <c r="Y134" s="144">
        <f>SUMIFS('февраль 2026'!$G$2:$G$2649,'февраль 2026'!$D$2:$D$2649,$B134,'февраль 2026'!$J$2:$J$2649,Y$1)</f>
        <v>0</v>
      </c>
      <c r="Z134" s="144">
        <f>SUMIFS('февраль 2026'!$G$2:$G$2649,'февраль 2026'!$D$2:$D$2649,$B134,'февраль 2026'!$J$2:$J$2649,Z$1)</f>
        <v>0</v>
      </c>
      <c r="AA134" s="144">
        <f>SUMIFS('февраль 2026'!$G$2:$G$2649,'февраль 2026'!$D$2:$D$2649,$B134,'февраль 2026'!$J$2:$J$2649,AA$1)</f>
        <v>0</v>
      </c>
      <c r="AB134" s="144">
        <f>SUMIFS('февраль 2026'!$G$2:$G$2649,'февраль 2026'!$D$2:$D$2649,$B134,'февраль 2026'!$J$2:$J$2649,AB$1)</f>
        <v>0</v>
      </c>
      <c r="AC134" s="144">
        <f>SUMIFS('февраль 2026'!$G$2:$G$2649,'февраль 2026'!$D$2:$D$2649,$B134,'февраль 2026'!$J$2:$J$2649,AC$1)</f>
        <v>0</v>
      </c>
      <c r="AD134" s="144">
        <f>SUMIFS('февраль 2026'!$G$2:$G$2649,'февраль 2026'!$D$2:$D$2649,$B134,'февраль 2026'!$J$2:$J$2649,AD$1)</f>
        <v>0</v>
      </c>
      <c r="AE134" s="144">
        <f>SUMIFS('февраль 2026'!$G$2:$G$2649,'февраль 2026'!$D$2:$D$2649,$B134,'февраль 2026'!$J$2:$J$2649,AE$1)</f>
        <v>0</v>
      </c>
      <c r="AF134" s="144">
        <f>SUMIFS('февраль 2026'!$G$2:$G$2649,'февраль 2026'!$D$2:$D$2649,$B134,'февраль 2026'!$J$2:$J$2649,AF$1)</f>
        <v>0</v>
      </c>
      <c r="AG134" s="144">
        <f>SUMIFS('февраль 2026'!$G$2:$G$2649,'февраль 2026'!$D$2:$D$2649,$B134,'февраль 2026'!$J$2:$J$2649,AG$1)</f>
        <v>0</v>
      </c>
      <c r="AH134" s="144">
        <f>SUMIFS('февраль 2026'!$G$2:$G$2649,'февраль 2026'!$D$2:$D$2649,$B134,'февраль 2026'!$J$2:$J$2649,AH$1)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SUMIFS('февраль 2026'!$G$2:$G$2649,'февраль 2026'!$D$2:$D$2649,$B135,'февраль 2026'!$J$2:$J$2649,D$1)</f>
        <v>0</v>
      </c>
      <c r="E135" s="144">
        <f>SUMIFS('февраль 2026'!$G$2:$G$2649,'февраль 2026'!$D$2:$D$2649,$B135,'февраль 2026'!$J$2:$J$2649,E$1)</f>
        <v>0</v>
      </c>
      <c r="F135" s="144">
        <f>SUMIFS('февраль 2026'!$G$2:$G$2649,'февраль 2026'!$D$2:$D$2649,$B135,'февраль 2026'!$J$2:$J$2649,F$1)</f>
        <v>0</v>
      </c>
      <c r="G135" s="144">
        <f>SUMIFS('февраль 2026'!$G$2:$G$2649,'февраль 2026'!$D$2:$D$2649,$B135,'февраль 2026'!$J$2:$J$2649,G$1)</f>
        <v>0</v>
      </c>
      <c r="H135" s="144">
        <f>SUMIFS('февраль 2026'!$G$2:$G$2649,'февраль 2026'!$D$2:$D$2649,$B135,'февраль 2026'!$J$2:$J$2649,H$1)</f>
        <v>0</v>
      </c>
      <c r="I135" s="144">
        <f>SUMIFS('февраль 2026'!$G$2:$G$2649,'февраль 2026'!$D$2:$D$2649,$B135,'февраль 2026'!$J$2:$J$2649,I$1)</f>
        <v>0</v>
      </c>
      <c r="J135" s="144">
        <f>SUMIFS('февраль 2026'!$G$2:$G$2649,'февраль 2026'!$D$2:$D$2649,$B135,'февраль 2026'!$J$2:$J$2649,J$1)</f>
        <v>0</v>
      </c>
      <c r="K135" s="144">
        <f>SUMIFS('февраль 2026'!$G$2:$G$2649,'февраль 2026'!$D$2:$D$2649,$B135,'февраль 2026'!$J$2:$J$2649,K$1)</f>
        <v>0</v>
      </c>
      <c r="L135" s="144">
        <f>SUMIFS('февраль 2026'!$G$2:$G$2649,'февраль 2026'!$D$2:$D$2649,$B135,'февраль 2026'!$J$2:$J$2649,L$1)</f>
        <v>0</v>
      </c>
      <c r="M135" s="144">
        <f>SUMIFS('февраль 2026'!$G$2:$G$2649,'февраль 2026'!$D$2:$D$2649,$B135,'февраль 2026'!$J$2:$J$2649,M$1)</f>
        <v>0</v>
      </c>
      <c r="N135" s="144">
        <f>SUMIFS('февраль 2026'!$G$2:$G$2649,'февраль 2026'!$D$2:$D$2649,$B135,'февраль 2026'!$J$2:$J$2649,N$1)</f>
        <v>0</v>
      </c>
      <c r="O135" s="144">
        <f>SUMIFS('февраль 2026'!$G$2:$G$2649,'февраль 2026'!$D$2:$D$2649,$B135,'февраль 2026'!$J$2:$J$2649,O$1)</f>
        <v>0</v>
      </c>
      <c r="P135" s="144">
        <f>SUMIFS('февраль 2026'!$G$2:$G$2649,'февраль 2026'!$D$2:$D$2649,$B135,'февраль 2026'!$J$2:$J$2649,P$1)</f>
        <v>0</v>
      </c>
      <c r="Q135" s="144">
        <f>SUMIFS('февраль 2026'!$G$2:$G$2649,'февраль 2026'!$D$2:$D$2649,$B135,'февраль 2026'!$J$2:$J$2649,Q$1)</f>
        <v>0</v>
      </c>
      <c r="R135" s="144">
        <f>SUMIFS('февраль 2026'!$G$2:$G$2649,'февраль 2026'!$D$2:$D$2649,$B135,'февраль 2026'!$J$2:$J$2649,R$1)</f>
        <v>0</v>
      </c>
      <c r="S135" s="144">
        <f>SUMIFS('февраль 2026'!$G$2:$G$2649,'февраль 2026'!$D$2:$D$2649,$B135,'февраль 2026'!$J$2:$J$2649,S$1)</f>
        <v>0</v>
      </c>
      <c r="T135" s="144">
        <f>SUMIFS('февраль 2026'!$G$2:$G$2649,'февраль 2026'!$D$2:$D$2649,$B135,'февраль 2026'!$J$2:$J$2649,T$1)</f>
        <v>0</v>
      </c>
      <c r="U135" s="144">
        <f>SUMIFS('февраль 2026'!$G$2:$G$2649,'февраль 2026'!$D$2:$D$2649,$B135,'февраль 2026'!$J$2:$J$2649,U$1)</f>
        <v>0</v>
      </c>
      <c r="V135" s="144">
        <f>SUMIFS('февраль 2026'!$G$2:$G$2649,'февраль 2026'!$D$2:$D$2649,$B135,'февраль 2026'!$J$2:$J$2649,V$1)</f>
        <v>0</v>
      </c>
      <c r="W135" s="144">
        <f>SUMIFS('февраль 2026'!$G$2:$G$2649,'февраль 2026'!$D$2:$D$2649,$B135,'февраль 2026'!$J$2:$J$2649,W$1)</f>
        <v>0</v>
      </c>
      <c r="X135" s="144">
        <f>SUMIFS('февраль 2026'!$G$2:$G$2649,'февраль 2026'!$D$2:$D$2649,$B135,'февраль 2026'!$J$2:$J$2649,X$1)</f>
        <v>0</v>
      </c>
      <c r="Y135" s="144">
        <f>SUMIFS('февраль 2026'!$G$2:$G$2649,'февраль 2026'!$D$2:$D$2649,$B135,'февраль 2026'!$J$2:$J$2649,Y$1)</f>
        <v>0</v>
      </c>
      <c r="Z135" s="144">
        <f>SUMIFS('февраль 2026'!$G$2:$G$2649,'февраль 2026'!$D$2:$D$2649,$B135,'февраль 2026'!$J$2:$J$2649,Z$1)</f>
        <v>0</v>
      </c>
      <c r="AA135" s="144">
        <f>SUMIFS('февраль 2026'!$G$2:$G$2649,'февраль 2026'!$D$2:$D$2649,$B135,'февраль 2026'!$J$2:$J$2649,AA$1)</f>
        <v>0</v>
      </c>
      <c r="AB135" s="144">
        <f>SUMIFS('февраль 2026'!$G$2:$G$2649,'февраль 2026'!$D$2:$D$2649,$B135,'февраль 2026'!$J$2:$J$2649,AB$1)</f>
        <v>0</v>
      </c>
      <c r="AC135" s="144">
        <f>SUMIFS('февраль 2026'!$G$2:$G$2649,'февраль 2026'!$D$2:$D$2649,$B135,'февраль 2026'!$J$2:$J$2649,AC$1)</f>
        <v>0</v>
      </c>
      <c r="AD135" s="144">
        <f>SUMIFS('февраль 2026'!$G$2:$G$2649,'февраль 2026'!$D$2:$D$2649,$B135,'февраль 2026'!$J$2:$J$2649,AD$1)</f>
        <v>0</v>
      </c>
      <c r="AE135" s="144">
        <f>SUMIFS('февраль 2026'!$G$2:$G$2649,'февраль 2026'!$D$2:$D$2649,$B135,'февраль 2026'!$J$2:$J$2649,AE$1)</f>
        <v>0</v>
      </c>
      <c r="AF135" s="144">
        <f>SUMIFS('февраль 2026'!$G$2:$G$2649,'февраль 2026'!$D$2:$D$2649,$B135,'февраль 2026'!$J$2:$J$2649,AF$1)</f>
        <v>0</v>
      </c>
      <c r="AG135" s="144">
        <f>SUMIFS('февраль 2026'!$G$2:$G$2649,'февраль 2026'!$D$2:$D$2649,$B135,'февраль 2026'!$J$2:$J$2649,AG$1)</f>
        <v>0</v>
      </c>
      <c r="AH135" s="144">
        <f>SUMIFS('февраль 2026'!$G$2:$G$2649,'февраль 2026'!$D$2:$D$2649,$B135,'февраль 2026'!$J$2:$J$2649,AH$1)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SUMIFS('февраль 2026'!$G$2:$G$2649,'февраль 2026'!$D$2:$D$2649,$B136,'февраль 2026'!$J$2:$J$2649,D$1)</f>
        <v>0</v>
      </c>
      <c r="E136" s="144">
        <f>SUMIFS('февраль 2026'!$G$2:$G$2649,'февраль 2026'!$D$2:$D$2649,$B136,'февраль 2026'!$J$2:$J$2649,E$1)</f>
        <v>0</v>
      </c>
      <c r="F136" s="144">
        <f>SUMIFS('февраль 2026'!$G$2:$G$2649,'февраль 2026'!$D$2:$D$2649,$B136,'февраль 2026'!$J$2:$J$2649,F$1)</f>
        <v>0</v>
      </c>
      <c r="G136" s="144">
        <f>SUMIFS('февраль 2026'!$G$2:$G$2649,'февраль 2026'!$D$2:$D$2649,$B136,'февраль 2026'!$J$2:$J$2649,G$1)</f>
        <v>0</v>
      </c>
      <c r="H136" s="144">
        <f>SUMIFS('февраль 2026'!$G$2:$G$2649,'февраль 2026'!$D$2:$D$2649,$B136,'февраль 2026'!$J$2:$J$2649,H$1)</f>
        <v>0</v>
      </c>
      <c r="I136" s="144">
        <f>SUMIFS('февраль 2026'!$G$2:$G$2649,'февраль 2026'!$D$2:$D$2649,$B136,'февраль 2026'!$J$2:$J$2649,I$1)</f>
        <v>0</v>
      </c>
      <c r="J136" s="144">
        <f>SUMIFS('февраль 2026'!$G$2:$G$2649,'февраль 2026'!$D$2:$D$2649,$B136,'февраль 2026'!$J$2:$J$2649,J$1)</f>
        <v>0</v>
      </c>
      <c r="K136" s="144">
        <f>SUMIFS('февраль 2026'!$G$2:$G$2649,'февраль 2026'!$D$2:$D$2649,$B136,'февраль 2026'!$J$2:$J$2649,K$1)</f>
        <v>0</v>
      </c>
      <c r="L136" s="144">
        <f>SUMIFS('февраль 2026'!$G$2:$G$2649,'февраль 2026'!$D$2:$D$2649,$B136,'февраль 2026'!$J$2:$J$2649,L$1)</f>
        <v>0</v>
      </c>
      <c r="M136" s="144">
        <f>SUMIFS('февраль 2026'!$G$2:$G$2649,'февраль 2026'!$D$2:$D$2649,$B136,'февраль 2026'!$J$2:$J$2649,M$1)</f>
        <v>0</v>
      </c>
      <c r="N136" s="144">
        <f>SUMIFS('февраль 2026'!$G$2:$G$2649,'февраль 2026'!$D$2:$D$2649,$B136,'февраль 2026'!$J$2:$J$2649,N$1)</f>
        <v>0</v>
      </c>
      <c r="O136" s="144">
        <f>SUMIFS('февраль 2026'!$G$2:$G$2649,'февраль 2026'!$D$2:$D$2649,$B136,'февраль 2026'!$J$2:$J$2649,O$1)</f>
        <v>0</v>
      </c>
      <c r="P136" s="144">
        <f>SUMIFS('февраль 2026'!$G$2:$G$2649,'февраль 2026'!$D$2:$D$2649,$B136,'февраль 2026'!$J$2:$J$2649,P$1)</f>
        <v>0</v>
      </c>
      <c r="Q136" s="144">
        <f>SUMIFS('февраль 2026'!$G$2:$G$2649,'февраль 2026'!$D$2:$D$2649,$B136,'февраль 2026'!$J$2:$J$2649,Q$1)</f>
        <v>0</v>
      </c>
      <c r="R136" s="144">
        <f>SUMIFS('февраль 2026'!$G$2:$G$2649,'февраль 2026'!$D$2:$D$2649,$B136,'февраль 2026'!$J$2:$J$2649,R$1)</f>
        <v>0</v>
      </c>
      <c r="S136" s="144">
        <f>SUMIFS('февраль 2026'!$G$2:$G$2649,'февраль 2026'!$D$2:$D$2649,$B136,'февраль 2026'!$J$2:$J$2649,S$1)</f>
        <v>0</v>
      </c>
      <c r="T136" s="144">
        <f>SUMIFS('февраль 2026'!$G$2:$G$2649,'февраль 2026'!$D$2:$D$2649,$B136,'февраль 2026'!$J$2:$J$2649,T$1)</f>
        <v>0</v>
      </c>
      <c r="U136" s="144">
        <f>SUMIFS('февраль 2026'!$G$2:$G$2649,'февраль 2026'!$D$2:$D$2649,$B136,'февраль 2026'!$J$2:$J$2649,U$1)</f>
        <v>0</v>
      </c>
      <c r="V136" s="144">
        <f>SUMIFS('февраль 2026'!$G$2:$G$2649,'февраль 2026'!$D$2:$D$2649,$B136,'февраль 2026'!$J$2:$J$2649,V$1)</f>
        <v>0</v>
      </c>
      <c r="W136" s="144">
        <f>SUMIFS('февраль 2026'!$G$2:$G$2649,'февраль 2026'!$D$2:$D$2649,$B136,'февраль 2026'!$J$2:$J$2649,W$1)</f>
        <v>0</v>
      </c>
      <c r="X136" s="144">
        <f>SUMIFS('февраль 2026'!$G$2:$G$2649,'февраль 2026'!$D$2:$D$2649,$B136,'февраль 2026'!$J$2:$J$2649,X$1)</f>
        <v>0</v>
      </c>
      <c r="Y136" s="144">
        <f>SUMIFS('февраль 2026'!$G$2:$G$2649,'февраль 2026'!$D$2:$D$2649,$B136,'февраль 2026'!$J$2:$J$2649,Y$1)</f>
        <v>0</v>
      </c>
      <c r="Z136" s="144">
        <f>SUMIFS('февраль 2026'!$G$2:$G$2649,'февраль 2026'!$D$2:$D$2649,$B136,'февраль 2026'!$J$2:$J$2649,Z$1)</f>
        <v>0</v>
      </c>
      <c r="AA136" s="144">
        <f>SUMIFS('февраль 2026'!$G$2:$G$2649,'февраль 2026'!$D$2:$D$2649,$B136,'февраль 2026'!$J$2:$J$2649,AA$1)</f>
        <v>0</v>
      </c>
      <c r="AB136" s="144">
        <f>SUMIFS('февраль 2026'!$G$2:$G$2649,'февраль 2026'!$D$2:$D$2649,$B136,'февраль 2026'!$J$2:$J$2649,AB$1)</f>
        <v>0</v>
      </c>
      <c r="AC136" s="144">
        <f>SUMIFS('февраль 2026'!$G$2:$G$2649,'февраль 2026'!$D$2:$D$2649,$B136,'февраль 2026'!$J$2:$J$2649,AC$1)</f>
        <v>0</v>
      </c>
      <c r="AD136" s="144">
        <f>SUMIFS('февраль 2026'!$G$2:$G$2649,'февраль 2026'!$D$2:$D$2649,$B136,'февраль 2026'!$J$2:$J$2649,AD$1)</f>
        <v>0</v>
      </c>
      <c r="AE136" s="144">
        <f>SUMIFS('февраль 2026'!$G$2:$G$2649,'февраль 2026'!$D$2:$D$2649,$B136,'февраль 2026'!$J$2:$J$2649,AE$1)</f>
        <v>0</v>
      </c>
      <c r="AF136" s="144">
        <f>SUMIFS('февраль 2026'!$G$2:$G$2649,'февраль 2026'!$D$2:$D$2649,$B136,'февраль 2026'!$J$2:$J$2649,AF$1)</f>
        <v>0</v>
      </c>
      <c r="AG136" s="144">
        <f>SUMIFS('февраль 2026'!$G$2:$G$2649,'февраль 2026'!$D$2:$D$2649,$B136,'февраль 2026'!$J$2:$J$2649,AG$1)</f>
        <v>0</v>
      </c>
      <c r="AH136" s="144">
        <f>SUMIFS('февраль 2026'!$G$2:$G$2649,'февраль 2026'!$D$2:$D$2649,$B136,'февраль 2026'!$J$2:$J$2649,AH$1)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SUMIFS('февраль 2026'!$G$2:$G$2649,'февраль 2026'!$D$2:$D$2649,$B137,'февраль 2026'!$J$2:$J$2649,D$1)</f>
        <v>0</v>
      </c>
      <c r="E137" s="144">
        <f>SUMIFS('февраль 2026'!$G$2:$G$2649,'февраль 2026'!$D$2:$D$2649,$B137,'февраль 2026'!$J$2:$J$2649,E$1)</f>
        <v>0</v>
      </c>
      <c r="F137" s="144">
        <f>SUMIFS('февраль 2026'!$G$2:$G$2649,'февраль 2026'!$D$2:$D$2649,$B137,'февраль 2026'!$J$2:$J$2649,F$1)</f>
        <v>0</v>
      </c>
      <c r="G137" s="144">
        <f>SUMIFS('февраль 2026'!$G$2:$G$2649,'февраль 2026'!$D$2:$D$2649,$B137,'февраль 2026'!$J$2:$J$2649,G$1)</f>
        <v>0</v>
      </c>
      <c r="H137" s="144">
        <f>SUMIFS('февраль 2026'!$G$2:$G$2649,'февраль 2026'!$D$2:$D$2649,$B137,'февраль 2026'!$J$2:$J$2649,H$1)</f>
        <v>0</v>
      </c>
      <c r="I137" s="144">
        <f>SUMIFS('февраль 2026'!$G$2:$G$2649,'февраль 2026'!$D$2:$D$2649,$B137,'февраль 2026'!$J$2:$J$2649,I$1)</f>
        <v>0</v>
      </c>
      <c r="J137" s="144">
        <f>SUMIFS('февраль 2026'!$G$2:$G$2649,'февраль 2026'!$D$2:$D$2649,$B137,'февраль 2026'!$J$2:$J$2649,J$1)</f>
        <v>0</v>
      </c>
      <c r="K137" s="144">
        <f>SUMIFS('февраль 2026'!$G$2:$G$2649,'февраль 2026'!$D$2:$D$2649,$B137,'февраль 2026'!$J$2:$J$2649,K$1)</f>
        <v>0</v>
      </c>
      <c r="L137" s="144">
        <f>SUMIFS('февраль 2026'!$G$2:$G$2649,'февраль 2026'!$D$2:$D$2649,$B137,'февраль 2026'!$J$2:$J$2649,L$1)</f>
        <v>0</v>
      </c>
      <c r="M137" s="144">
        <f>SUMIFS('февраль 2026'!$G$2:$G$2649,'февраль 2026'!$D$2:$D$2649,$B137,'февраль 2026'!$J$2:$J$2649,M$1)</f>
        <v>0</v>
      </c>
      <c r="N137" s="144">
        <f>SUMIFS('февраль 2026'!$G$2:$G$2649,'февраль 2026'!$D$2:$D$2649,$B137,'февраль 2026'!$J$2:$J$2649,N$1)</f>
        <v>0</v>
      </c>
      <c r="O137" s="144">
        <f>SUMIFS('февраль 2026'!$G$2:$G$2649,'февраль 2026'!$D$2:$D$2649,$B137,'февраль 2026'!$J$2:$J$2649,O$1)</f>
        <v>0</v>
      </c>
      <c r="P137" s="144">
        <f>SUMIFS('февраль 2026'!$G$2:$G$2649,'февраль 2026'!$D$2:$D$2649,$B137,'февраль 2026'!$J$2:$J$2649,P$1)</f>
        <v>0</v>
      </c>
      <c r="Q137" s="144">
        <f>SUMIFS('февраль 2026'!$G$2:$G$2649,'февраль 2026'!$D$2:$D$2649,$B137,'февраль 2026'!$J$2:$J$2649,Q$1)</f>
        <v>0</v>
      </c>
      <c r="R137" s="144">
        <f>SUMIFS('февраль 2026'!$G$2:$G$2649,'февраль 2026'!$D$2:$D$2649,$B137,'февраль 2026'!$J$2:$J$2649,R$1)</f>
        <v>0</v>
      </c>
      <c r="S137" s="144">
        <f>SUMIFS('февраль 2026'!$G$2:$G$2649,'февраль 2026'!$D$2:$D$2649,$B137,'февраль 2026'!$J$2:$J$2649,S$1)</f>
        <v>0</v>
      </c>
      <c r="T137" s="144">
        <f>SUMIFS('февраль 2026'!$G$2:$G$2649,'февраль 2026'!$D$2:$D$2649,$B137,'февраль 2026'!$J$2:$J$2649,T$1)</f>
        <v>0</v>
      </c>
      <c r="U137" s="144">
        <f>SUMIFS('февраль 2026'!$G$2:$G$2649,'февраль 2026'!$D$2:$D$2649,$B137,'февраль 2026'!$J$2:$J$2649,U$1)</f>
        <v>0</v>
      </c>
      <c r="V137" s="144">
        <f>SUMIFS('февраль 2026'!$G$2:$G$2649,'февраль 2026'!$D$2:$D$2649,$B137,'февраль 2026'!$J$2:$J$2649,V$1)</f>
        <v>0</v>
      </c>
      <c r="W137" s="144">
        <f>SUMIFS('февраль 2026'!$G$2:$G$2649,'февраль 2026'!$D$2:$D$2649,$B137,'февраль 2026'!$J$2:$J$2649,W$1)</f>
        <v>0</v>
      </c>
      <c r="X137" s="144">
        <f>SUMIFS('февраль 2026'!$G$2:$G$2649,'февраль 2026'!$D$2:$D$2649,$B137,'февраль 2026'!$J$2:$J$2649,X$1)</f>
        <v>0</v>
      </c>
      <c r="Y137" s="144">
        <f>SUMIFS('февраль 2026'!$G$2:$G$2649,'февраль 2026'!$D$2:$D$2649,$B137,'февраль 2026'!$J$2:$J$2649,Y$1)</f>
        <v>0</v>
      </c>
      <c r="Z137" s="144">
        <f>SUMIFS('февраль 2026'!$G$2:$G$2649,'февраль 2026'!$D$2:$D$2649,$B137,'февраль 2026'!$J$2:$J$2649,Z$1)</f>
        <v>0</v>
      </c>
      <c r="AA137" s="144">
        <f>SUMIFS('февраль 2026'!$G$2:$G$2649,'февраль 2026'!$D$2:$D$2649,$B137,'февраль 2026'!$J$2:$J$2649,AA$1)</f>
        <v>0</v>
      </c>
      <c r="AB137" s="144">
        <f>SUMIFS('февраль 2026'!$G$2:$G$2649,'февраль 2026'!$D$2:$D$2649,$B137,'февраль 2026'!$J$2:$J$2649,AB$1)</f>
        <v>0</v>
      </c>
      <c r="AC137" s="144">
        <f>SUMIFS('февраль 2026'!$G$2:$G$2649,'февраль 2026'!$D$2:$D$2649,$B137,'февраль 2026'!$J$2:$J$2649,AC$1)</f>
        <v>0</v>
      </c>
      <c r="AD137" s="144">
        <f>SUMIFS('февраль 2026'!$G$2:$G$2649,'февраль 2026'!$D$2:$D$2649,$B137,'февраль 2026'!$J$2:$J$2649,AD$1)</f>
        <v>0</v>
      </c>
      <c r="AE137" s="144">
        <f>SUMIFS('февраль 2026'!$G$2:$G$2649,'февраль 2026'!$D$2:$D$2649,$B137,'февраль 2026'!$J$2:$J$2649,AE$1)</f>
        <v>0</v>
      </c>
      <c r="AF137" s="144">
        <f>SUMIFS('февраль 2026'!$G$2:$G$2649,'февраль 2026'!$D$2:$D$2649,$B137,'февраль 2026'!$J$2:$J$2649,AF$1)</f>
        <v>0</v>
      </c>
      <c r="AG137" s="144">
        <f>SUMIFS('февраль 2026'!$G$2:$G$2649,'февраль 2026'!$D$2:$D$2649,$B137,'февраль 2026'!$J$2:$J$2649,AG$1)</f>
        <v>0</v>
      </c>
      <c r="AH137" s="144">
        <f>SUMIFS('февраль 2026'!$G$2:$G$2649,'февраль 2026'!$D$2:$D$2649,$B137,'февраль 2026'!$J$2:$J$2649,AH$1)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SUMIFS('февраль 2026'!$G$2:$G$2649,'февраль 2026'!$D$2:$D$2649,$B138,'февраль 2026'!$J$2:$J$2649,D$1)</f>
        <v>0</v>
      </c>
      <c r="E138" s="144">
        <f>SUMIFS('февраль 2026'!$G$2:$G$2649,'февраль 2026'!$D$2:$D$2649,$B138,'февраль 2026'!$J$2:$J$2649,E$1)</f>
        <v>0</v>
      </c>
      <c r="F138" s="144">
        <f>SUMIFS('февраль 2026'!$G$2:$G$2649,'февраль 2026'!$D$2:$D$2649,$B138,'февраль 2026'!$J$2:$J$2649,F$1)</f>
        <v>0</v>
      </c>
      <c r="G138" s="144">
        <f>SUMIFS('февраль 2026'!$G$2:$G$2649,'февраль 2026'!$D$2:$D$2649,$B138,'февраль 2026'!$J$2:$J$2649,G$1)</f>
        <v>0</v>
      </c>
      <c r="H138" s="144">
        <f>SUMIFS('февраль 2026'!$G$2:$G$2649,'февраль 2026'!$D$2:$D$2649,$B138,'февраль 2026'!$J$2:$J$2649,H$1)</f>
        <v>0</v>
      </c>
      <c r="I138" s="144">
        <f>SUMIFS('февраль 2026'!$G$2:$G$2649,'февраль 2026'!$D$2:$D$2649,$B138,'февраль 2026'!$J$2:$J$2649,I$1)</f>
        <v>0</v>
      </c>
      <c r="J138" s="144">
        <f>SUMIFS('февраль 2026'!$G$2:$G$2649,'февраль 2026'!$D$2:$D$2649,$B138,'февраль 2026'!$J$2:$J$2649,J$1)</f>
        <v>0</v>
      </c>
      <c r="K138" s="144">
        <f>SUMIFS('февраль 2026'!$G$2:$G$2649,'февраль 2026'!$D$2:$D$2649,$B138,'февраль 2026'!$J$2:$J$2649,K$1)</f>
        <v>0</v>
      </c>
      <c r="L138" s="144">
        <f>SUMIFS('февраль 2026'!$G$2:$G$2649,'февраль 2026'!$D$2:$D$2649,$B138,'февраль 2026'!$J$2:$J$2649,L$1)</f>
        <v>0</v>
      </c>
      <c r="M138" s="144">
        <f>SUMIFS('февраль 2026'!$G$2:$G$2649,'февраль 2026'!$D$2:$D$2649,$B138,'февраль 2026'!$J$2:$J$2649,M$1)</f>
        <v>0</v>
      </c>
      <c r="N138" s="144">
        <f>SUMIFS('февраль 2026'!$G$2:$G$2649,'февраль 2026'!$D$2:$D$2649,$B138,'февраль 2026'!$J$2:$J$2649,N$1)</f>
        <v>0</v>
      </c>
      <c r="O138" s="144">
        <f>SUMIFS('февраль 2026'!$G$2:$G$2649,'февраль 2026'!$D$2:$D$2649,$B138,'февраль 2026'!$J$2:$J$2649,O$1)</f>
        <v>0</v>
      </c>
      <c r="P138" s="144">
        <f>SUMIFS('февраль 2026'!$G$2:$G$2649,'февраль 2026'!$D$2:$D$2649,$B138,'февраль 2026'!$J$2:$J$2649,P$1)</f>
        <v>0</v>
      </c>
      <c r="Q138" s="144">
        <f>SUMIFS('февраль 2026'!$G$2:$G$2649,'февраль 2026'!$D$2:$D$2649,$B138,'февраль 2026'!$J$2:$J$2649,Q$1)</f>
        <v>0</v>
      </c>
      <c r="R138" s="144">
        <f>SUMIFS('февраль 2026'!$G$2:$G$2649,'февраль 2026'!$D$2:$D$2649,$B138,'февраль 2026'!$J$2:$J$2649,R$1)</f>
        <v>0</v>
      </c>
      <c r="S138" s="144">
        <f>SUMIFS('февраль 2026'!$G$2:$G$2649,'февраль 2026'!$D$2:$D$2649,$B138,'февраль 2026'!$J$2:$J$2649,S$1)</f>
        <v>0</v>
      </c>
      <c r="T138" s="144">
        <f>SUMIFS('февраль 2026'!$G$2:$G$2649,'февраль 2026'!$D$2:$D$2649,$B138,'февраль 2026'!$J$2:$J$2649,T$1)</f>
        <v>0</v>
      </c>
      <c r="U138" s="144">
        <f>SUMIFS('февраль 2026'!$G$2:$G$2649,'февраль 2026'!$D$2:$D$2649,$B138,'февраль 2026'!$J$2:$J$2649,U$1)</f>
        <v>0</v>
      </c>
      <c r="V138" s="144">
        <f>SUMIFS('февраль 2026'!$G$2:$G$2649,'февраль 2026'!$D$2:$D$2649,$B138,'февраль 2026'!$J$2:$J$2649,V$1)</f>
        <v>0</v>
      </c>
      <c r="W138" s="144">
        <f>SUMIFS('февраль 2026'!$G$2:$G$2649,'февраль 2026'!$D$2:$D$2649,$B138,'февраль 2026'!$J$2:$J$2649,W$1)</f>
        <v>0</v>
      </c>
      <c r="X138" s="144">
        <f>SUMIFS('февраль 2026'!$G$2:$G$2649,'февраль 2026'!$D$2:$D$2649,$B138,'февраль 2026'!$J$2:$J$2649,X$1)</f>
        <v>0</v>
      </c>
      <c r="Y138" s="144">
        <f>SUMIFS('февраль 2026'!$G$2:$G$2649,'февраль 2026'!$D$2:$D$2649,$B138,'февраль 2026'!$J$2:$J$2649,Y$1)</f>
        <v>0</v>
      </c>
      <c r="Z138" s="144">
        <f>SUMIFS('февраль 2026'!$G$2:$G$2649,'февраль 2026'!$D$2:$D$2649,$B138,'февраль 2026'!$J$2:$J$2649,Z$1)</f>
        <v>0</v>
      </c>
      <c r="AA138" s="144">
        <f>SUMIFS('февраль 2026'!$G$2:$G$2649,'февраль 2026'!$D$2:$D$2649,$B138,'февраль 2026'!$J$2:$J$2649,AA$1)</f>
        <v>0</v>
      </c>
      <c r="AB138" s="144">
        <f>SUMIFS('февраль 2026'!$G$2:$G$2649,'февраль 2026'!$D$2:$D$2649,$B138,'февраль 2026'!$J$2:$J$2649,AB$1)</f>
        <v>0</v>
      </c>
      <c r="AC138" s="144">
        <f>SUMIFS('февраль 2026'!$G$2:$G$2649,'февраль 2026'!$D$2:$D$2649,$B138,'февраль 2026'!$J$2:$J$2649,AC$1)</f>
        <v>0</v>
      </c>
      <c r="AD138" s="144">
        <f>SUMIFS('февраль 2026'!$G$2:$G$2649,'февраль 2026'!$D$2:$D$2649,$B138,'февраль 2026'!$J$2:$J$2649,AD$1)</f>
        <v>0</v>
      </c>
      <c r="AE138" s="144">
        <f>SUMIFS('февраль 2026'!$G$2:$G$2649,'февраль 2026'!$D$2:$D$2649,$B138,'февраль 2026'!$J$2:$J$2649,AE$1)</f>
        <v>0</v>
      </c>
      <c r="AF138" s="144">
        <f>SUMIFS('февраль 2026'!$G$2:$G$2649,'февраль 2026'!$D$2:$D$2649,$B138,'февраль 2026'!$J$2:$J$2649,AF$1)</f>
        <v>0</v>
      </c>
      <c r="AG138" s="144">
        <f>SUMIFS('февраль 2026'!$G$2:$G$2649,'февраль 2026'!$D$2:$D$2649,$B138,'февраль 2026'!$J$2:$J$2649,AG$1)</f>
        <v>0</v>
      </c>
      <c r="AH138" s="144">
        <f>SUMIFS('февраль 2026'!$G$2:$G$2649,'февраль 2026'!$D$2:$D$2649,$B138,'февраль 2026'!$J$2:$J$2649,AH$1)</f>
        <v>0</v>
      </c>
      <c r="AI138" s="20">
        <f t="shared" si="1"/>
        <v>0</v>
      </c>
    </row>
    <row r="139" spans="2:35" ht="15" customHeight="1" x14ac:dyDescent="0.25">
      <c r="B139" s="85" t="s">
        <v>262</v>
      </c>
      <c r="C139" s="83">
        <v>180</v>
      </c>
      <c r="D139" s="144">
        <f>SUMIFS('февраль 2026'!$G$2:$G$2649,'февраль 2026'!$D$2:$D$2649,$B139,'февраль 2026'!$J$2:$J$2649,D$1)</f>
        <v>0</v>
      </c>
      <c r="E139" s="144">
        <f>SUMIFS('февраль 2026'!$G$2:$G$2649,'февраль 2026'!$D$2:$D$2649,$B139,'февраль 2026'!$J$2:$J$2649,E$1)</f>
        <v>0</v>
      </c>
      <c r="F139" s="144">
        <f>SUMIFS('февраль 2026'!$G$2:$G$2649,'февраль 2026'!$D$2:$D$2649,$B139,'февраль 2026'!$J$2:$J$2649,F$1)</f>
        <v>0</v>
      </c>
      <c r="G139" s="144">
        <f>SUMIFS('февраль 2026'!$G$2:$G$2649,'февраль 2026'!$D$2:$D$2649,$B139,'февраль 2026'!$J$2:$J$2649,G$1)</f>
        <v>0</v>
      </c>
      <c r="H139" s="144">
        <f>SUMIFS('февраль 2026'!$G$2:$G$2649,'февраль 2026'!$D$2:$D$2649,$B139,'февраль 2026'!$J$2:$J$2649,H$1)</f>
        <v>0</v>
      </c>
      <c r="I139" s="144">
        <f>SUMIFS('февраль 2026'!$G$2:$G$2649,'февраль 2026'!$D$2:$D$2649,$B139,'февраль 2026'!$J$2:$J$2649,I$1)</f>
        <v>0</v>
      </c>
      <c r="J139" s="144">
        <f>SUMIFS('февраль 2026'!$G$2:$G$2649,'февраль 2026'!$D$2:$D$2649,$B139,'февраль 2026'!$J$2:$J$2649,J$1)</f>
        <v>0</v>
      </c>
      <c r="K139" s="144">
        <f>SUMIFS('февраль 2026'!$G$2:$G$2649,'февраль 2026'!$D$2:$D$2649,$B139,'февраль 2026'!$J$2:$J$2649,K$1)</f>
        <v>0</v>
      </c>
      <c r="L139" s="144">
        <f>SUMIFS('февраль 2026'!$G$2:$G$2649,'февраль 2026'!$D$2:$D$2649,$B139,'февраль 2026'!$J$2:$J$2649,L$1)</f>
        <v>0</v>
      </c>
      <c r="M139" s="144">
        <f>SUMIFS('февраль 2026'!$G$2:$G$2649,'февраль 2026'!$D$2:$D$2649,$B139,'февраль 2026'!$J$2:$J$2649,M$1)</f>
        <v>0</v>
      </c>
      <c r="N139" s="144">
        <f>SUMIFS('февраль 2026'!$G$2:$G$2649,'февраль 2026'!$D$2:$D$2649,$B139,'февраль 2026'!$J$2:$J$2649,N$1)</f>
        <v>0</v>
      </c>
      <c r="O139" s="144">
        <f>SUMIFS('февраль 2026'!$G$2:$G$2649,'февраль 2026'!$D$2:$D$2649,$B139,'февраль 2026'!$J$2:$J$2649,O$1)</f>
        <v>0</v>
      </c>
      <c r="P139" s="144">
        <f>SUMIFS('февраль 2026'!$G$2:$G$2649,'февраль 2026'!$D$2:$D$2649,$B139,'февраль 2026'!$J$2:$J$2649,P$1)</f>
        <v>0</v>
      </c>
      <c r="Q139" s="144">
        <f>SUMIFS('февраль 2026'!$G$2:$G$2649,'февраль 2026'!$D$2:$D$2649,$B139,'февраль 2026'!$J$2:$J$2649,Q$1)</f>
        <v>0</v>
      </c>
      <c r="R139" s="144">
        <f>SUMIFS('февраль 2026'!$G$2:$G$2649,'февраль 2026'!$D$2:$D$2649,$B139,'февраль 2026'!$J$2:$J$2649,R$1)</f>
        <v>0</v>
      </c>
      <c r="S139" s="144">
        <f>SUMIFS('февраль 2026'!$G$2:$G$2649,'февраль 2026'!$D$2:$D$2649,$B139,'февраль 2026'!$J$2:$J$2649,S$1)</f>
        <v>0</v>
      </c>
      <c r="T139" s="144">
        <f>SUMIFS('февраль 2026'!$G$2:$G$2649,'февраль 2026'!$D$2:$D$2649,$B139,'февраль 2026'!$J$2:$J$2649,T$1)</f>
        <v>0</v>
      </c>
      <c r="U139" s="144">
        <f>SUMIFS('февраль 2026'!$G$2:$G$2649,'февраль 2026'!$D$2:$D$2649,$B139,'февраль 2026'!$J$2:$J$2649,U$1)</f>
        <v>0</v>
      </c>
      <c r="V139" s="144">
        <f>SUMIFS('февраль 2026'!$G$2:$G$2649,'февраль 2026'!$D$2:$D$2649,$B139,'февраль 2026'!$J$2:$J$2649,V$1)</f>
        <v>0</v>
      </c>
      <c r="W139" s="144">
        <f>SUMIFS('февраль 2026'!$G$2:$G$2649,'февраль 2026'!$D$2:$D$2649,$B139,'февраль 2026'!$J$2:$J$2649,W$1)</f>
        <v>0</v>
      </c>
      <c r="X139" s="144">
        <f>SUMIFS('февраль 2026'!$G$2:$G$2649,'февраль 2026'!$D$2:$D$2649,$B139,'февраль 2026'!$J$2:$J$2649,X$1)</f>
        <v>0</v>
      </c>
      <c r="Y139" s="144">
        <f>SUMIFS('февраль 2026'!$G$2:$G$2649,'февраль 2026'!$D$2:$D$2649,$B139,'февраль 2026'!$J$2:$J$2649,Y$1)</f>
        <v>0</v>
      </c>
      <c r="Z139" s="144">
        <f>SUMIFS('февраль 2026'!$G$2:$G$2649,'февраль 2026'!$D$2:$D$2649,$B139,'февраль 2026'!$J$2:$J$2649,Z$1)</f>
        <v>0</v>
      </c>
      <c r="AA139" s="144">
        <f>SUMIFS('февраль 2026'!$G$2:$G$2649,'февраль 2026'!$D$2:$D$2649,$B139,'февраль 2026'!$J$2:$J$2649,AA$1)</f>
        <v>0</v>
      </c>
      <c r="AB139" s="144">
        <f>SUMIFS('февраль 2026'!$G$2:$G$2649,'февраль 2026'!$D$2:$D$2649,$B139,'февраль 2026'!$J$2:$J$2649,AB$1)</f>
        <v>0</v>
      </c>
      <c r="AC139" s="144">
        <f>SUMIFS('февраль 2026'!$G$2:$G$2649,'февраль 2026'!$D$2:$D$2649,$B139,'февраль 2026'!$J$2:$J$2649,AC$1)</f>
        <v>0</v>
      </c>
      <c r="AD139" s="144">
        <f>SUMIFS('февраль 2026'!$G$2:$G$2649,'февраль 2026'!$D$2:$D$2649,$B139,'февраль 2026'!$J$2:$J$2649,AD$1)</f>
        <v>0</v>
      </c>
      <c r="AE139" s="144">
        <f>SUMIFS('февраль 2026'!$G$2:$G$2649,'февраль 2026'!$D$2:$D$2649,$B139,'февраль 2026'!$J$2:$J$2649,AE$1)</f>
        <v>0</v>
      </c>
      <c r="AF139" s="144">
        <f>SUMIFS('февраль 2026'!$G$2:$G$2649,'февраль 2026'!$D$2:$D$2649,$B139,'февраль 2026'!$J$2:$J$2649,AF$1)</f>
        <v>0</v>
      </c>
      <c r="AG139" s="144">
        <f>SUMIFS('февраль 2026'!$G$2:$G$2649,'февраль 2026'!$D$2:$D$2649,$B139,'февраль 2026'!$J$2:$J$2649,AG$1)</f>
        <v>0</v>
      </c>
      <c r="AH139" s="144">
        <f>SUMIFS('февраль 2026'!$G$2:$G$2649,'февраль 2026'!$D$2:$D$2649,$B139,'февраль 2026'!$J$2:$J$2649,AH$1)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SUMIFS('февраль 2026'!$G$2:$G$2649,'февраль 2026'!$D$2:$D$2649,$B140,'февраль 2026'!$J$2:$J$2649,D$1)</f>
        <v>0</v>
      </c>
      <c r="E140" s="144">
        <f>SUMIFS('февраль 2026'!$G$2:$G$2649,'февраль 2026'!$D$2:$D$2649,$B140,'февраль 2026'!$J$2:$J$2649,E$1)</f>
        <v>0</v>
      </c>
      <c r="F140" s="144">
        <f>SUMIFS('февраль 2026'!$G$2:$G$2649,'февраль 2026'!$D$2:$D$2649,$B140,'февраль 2026'!$J$2:$J$2649,F$1)</f>
        <v>0</v>
      </c>
      <c r="G140" s="144">
        <f>SUMIFS('февраль 2026'!$G$2:$G$2649,'февраль 2026'!$D$2:$D$2649,$B140,'февраль 2026'!$J$2:$J$2649,G$1)</f>
        <v>0</v>
      </c>
      <c r="H140" s="144">
        <f>SUMIFS('февраль 2026'!$G$2:$G$2649,'февраль 2026'!$D$2:$D$2649,$B140,'февраль 2026'!$J$2:$J$2649,H$1)</f>
        <v>0</v>
      </c>
      <c r="I140" s="144">
        <f>SUMIFS('февраль 2026'!$G$2:$G$2649,'февраль 2026'!$D$2:$D$2649,$B140,'февраль 2026'!$J$2:$J$2649,I$1)</f>
        <v>0</v>
      </c>
      <c r="J140" s="144">
        <f>SUMIFS('февраль 2026'!$G$2:$G$2649,'февраль 2026'!$D$2:$D$2649,$B140,'февраль 2026'!$J$2:$J$2649,J$1)</f>
        <v>0</v>
      </c>
      <c r="K140" s="144">
        <f>SUMIFS('февраль 2026'!$G$2:$G$2649,'февраль 2026'!$D$2:$D$2649,$B140,'февраль 2026'!$J$2:$J$2649,K$1)</f>
        <v>0</v>
      </c>
      <c r="L140" s="144">
        <f>SUMIFS('февраль 2026'!$G$2:$G$2649,'февраль 2026'!$D$2:$D$2649,$B140,'февраль 2026'!$J$2:$J$2649,L$1)</f>
        <v>0</v>
      </c>
      <c r="M140" s="144">
        <f>SUMIFS('февраль 2026'!$G$2:$G$2649,'февраль 2026'!$D$2:$D$2649,$B140,'февраль 2026'!$J$2:$J$2649,M$1)</f>
        <v>0</v>
      </c>
      <c r="N140" s="144">
        <f>SUMIFS('февраль 2026'!$G$2:$G$2649,'февраль 2026'!$D$2:$D$2649,$B140,'февраль 2026'!$J$2:$J$2649,N$1)</f>
        <v>0</v>
      </c>
      <c r="O140" s="144">
        <f>SUMIFS('февраль 2026'!$G$2:$G$2649,'февраль 2026'!$D$2:$D$2649,$B140,'февраль 2026'!$J$2:$J$2649,O$1)</f>
        <v>0</v>
      </c>
      <c r="P140" s="144">
        <f>SUMIFS('февраль 2026'!$G$2:$G$2649,'февраль 2026'!$D$2:$D$2649,$B140,'февраль 2026'!$J$2:$J$2649,P$1)</f>
        <v>0</v>
      </c>
      <c r="Q140" s="144">
        <f>SUMIFS('февраль 2026'!$G$2:$G$2649,'февраль 2026'!$D$2:$D$2649,$B140,'февраль 2026'!$J$2:$J$2649,Q$1)</f>
        <v>0</v>
      </c>
      <c r="R140" s="144">
        <f>SUMIFS('февраль 2026'!$G$2:$G$2649,'февраль 2026'!$D$2:$D$2649,$B140,'февраль 2026'!$J$2:$J$2649,R$1)</f>
        <v>0</v>
      </c>
      <c r="S140" s="144">
        <f>SUMIFS('февраль 2026'!$G$2:$G$2649,'февраль 2026'!$D$2:$D$2649,$B140,'февраль 2026'!$J$2:$J$2649,S$1)</f>
        <v>0</v>
      </c>
      <c r="T140" s="144">
        <f>SUMIFS('февраль 2026'!$G$2:$G$2649,'февраль 2026'!$D$2:$D$2649,$B140,'февраль 2026'!$J$2:$J$2649,T$1)</f>
        <v>0</v>
      </c>
      <c r="U140" s="144">
        <f>SUMIFS('февраль 2026'!$G$2:$G$2649,'февраль 2026'!$D$2:$D$2649,$B140,'февраль 2026'!$J$2:$J$2649,U$1)</f>
        <v>0</v>
      </c>
      <c r="V140" s="144">
        <f>SUMIFS('февраль 2026'!$G$2:$G$2649,'февраль 2026'!$D$2:$D$2649,$B140,'февраль 2026'!$J$2:$J$2649,V$1)</f>
        <v>0</v>
      </c>
      <c r="W140" s="144">
        <f>SUMIFS('февраль 2026'!$G$2:$G$2649,'февраль 2026'!$D$2:$D$2649,$B140,'февраль 2026'!$J$2:$J$2649,W$1)</f>
        <v>0</v>
      </c>
      <c r="X140" s="144">
        <f>SUMIFS('февраль 2026'!$G$2:$G$2649,'февраль 2026'!$D$2:$D$2649,$B140,'февраль 2026'!$J$2:$J$2649,X$1)</f>
        <v>0</v>
      </c>
      <c r="Y140" s="144">
        <f>SUMIFS('февраль 2026'!$G$2:$G$2649,'февраль 2026'!$D$2:$D$2649,$B140,'февраль 2026'!$J$2:$J$2649,Y$1)</f>
        <v>0</v>
      </c>
      <c r="Z140" s="144">
        <f>SUMIFS('февраль 2026'!$G$2:$G$2649,'февраль 2026'!$D$2:$D$2649,$B140,'февраль 2026'!$J$2:$J$2649,Z$1)</f>
        <v>0</v>
      </c>
      <c r="AA140" s="144">
        <f>SUMIFS('февраль 2026'!$G$2:$G$2649,'февраль 2026'!$D$2:$D$2649,$B140,'февраль 2026'!$J$2:$J$2649,AA$1)</f>
        <v>0</v>
      </c>
      <c r="AB140" s="144">
        <f>SUMIFS('февраль 2026'!$G$2:$G$2649,'февраль 2026'!$D$2:$D$2649,$B140,'февраль 2026'!$J$2:$J$2649,AB$1)</f>
        <v>0</v>
      </c>
      <c r="AC140" s="144">
        <f>SUMIFS('февраль 2026'!$G$2:$G$2649,'февраль 2026'!$D$2:$D$2649,$B140,'февраль 2026'!$J$2:$J$2649,AC$1)</f>
        <v>0</v>
      </c>
      <c r="AD140" s="144">
        <f>SUMIFS('февраль 2026'!$G$2:$G$2649,'февраль 2026'!$D$2:$D$2649,$B140,'февраль 2026'!$J$2:$J$2649,AD$1)</f>
        <v>0</v>
      </c>
      <c r="AE140" s="144">
        <f>SUMIFS('февраль 2026'!$G$2:$G$2649,'февраль 2026'!$D$2:$D$2649,$B140,'февраль 2026'!$J$2:$J$2649,AE$1)</f>
        <v>0</v>
      </c>
      <c r="AF140" s="144">
        <f>SUMIFS('февраль 2026'!$G$2:$G$2649,'февраль 2026'!$D$2:$D$2649,$B140,'февраль 2026'!$J$2:$J$2649,AF$1)</f>
        <v>0</v>
      </c>
      <c r="AG140" s="144">
        <f>SUMIFS('февраль 2026'!$G$2:$G$2649,'февраль 2026'!$D$2:$D$2649,$B140,'февраль 2026'!$J$2:$J$2649,AG$1)</f>
        <v>0</v>
      </c>
      <c r="AH140" s="144">
        <f>SUMIFS('февраль 2026'!$G$2:$G$2649,'февраль 2026'!$D$2:$D$2649,$B140,'февраль 2026'!$J$2:$J$2649,AH$1)</f>
        <v>0</v>
      </c>
      <c r="AI140" s="20">
        <f t="shared" si="1"/>
        <v>0</v>
      </c>
    </row>
    <row r="141" spans="2:35" ht="15" customHeight="1" x14ac:dyDescent="0.25">
      <c r="B141" s="82" t="s">
        <v>162</v>
      </c>
      <c r="C141" s="81">
        <v>950</v>
      </c>
      <c r="D141" s="144">
        <f>SUMIFS('февраль 2026'!$G$2:$G$2649,'февраль 2026'!$D$2:$D$2649,$B141,'февраль 2026'!$J$2:$J$2649,D$1)</f>
        <v>0</v>
      </c>
      <c r="E141" s="144">
        <f>SUMIFS('февраль 2026'!$G$2:$G$2649,'февраль 2026'!$D$2:$D$2649,$B141,'февраль 2026'!$J$2:$J$2649,E$1)</f>
        <v>0</v>
      </c>
      <c r="F141" s="144">
        <f>SUMIFS('февраль 2026'!$G$2:$G$2649,'февраль 2026'!$D$2:$D$2649,$B141,'февраль 2026'!$J$2:$J$2649,F$1)</f>
        <v>0</v>
      </c>
      <c r="G141" s="144">
        <f>SUMIFS('февраль 2026'!$G$2:$G$2649,'февраль 2026'!$D$2:$D$2649,$B141,'февраль 2026'!$J$2:$J$2649,G$1)</f>
        <v>0</v>
      </c>
      <c r="H141" s="144">
        <f>SUMIFS('февраль 2026'!$G$2:$G$2649,'февраль 2026'!$D$2:$D$2649,$B141,'февраль 2026'!$J$2:$J$2649,H$1)</f>
        <v>0</v>
      </c>
      <c r="I141" s="144">
        <f>SUMIFS('февраль 2026'!$G$2:$G$2649,'февраль 2026'!$D$2:$D$2649,$B141,'февраль 2026'!$J$2:$J$2649,I$1)</f>
        <v>0</v>
      </c>
      <c r="J141" s="144">
        <f>SUMIFS('февраль 2026'!$G$2:$G$2649,'февраль 2026'!$D$2:$D$2649,$B141,'февраль 2026'!$J$2:$J$2649,J$1)</f>
        <v>0</v>
      </c>
      <c r="K141" s="144">
        <f>SUMIFS('февраль 2026'!$G$2:$G$2649,'февраль 2026'!$D$2:$D$2649,$B141,'февраль 2026'!$J$2:$J$2649,K$1)</f>
        <v>0</v>
      </c>
      <c r="L141" s="144">
        <f>SUMIFS('февраль 2026'!$G$2:$G$2649,'февраль 2026'!$D$2:$D$2649,$B141,'февраль 2026'!$J$2:$J$2649,L$1)</f>
        <v>0</v>
      </c>
      <c r="M141" s="144">
        <f>SUMIFS('февраль 2026'!$G$2:$G$2649,'февраль 2026'!$D$2:$D$2649,$B141,'февраль 2026'!$J$2:$J$2649,M$1)</f>
        <v>0</v>
      </c>
      <c r="N141" s="144">
        <f>SUMIFS('февраль 2026'!$G$2:$G$2649,'февраль 2026'!$D$2:$D$2649,$B141,'февраль 2026'!$J$2:$J$2649,N$1)</f>
        <v>0</v>
      </c>
      <c r="O141" s="144">
        <f>SUMIFS('февраль 2026'!$G$2:$G$2649,'февраль 2026'!$D$2:$D$2649,$B141,'февраль 2026'!$J$2:$J$2649,O$1)</f>
        <v>0</v>
      </c>
      <c r="P141" s="144">
        <f>SUMIFS('февраль 2026'!$G$2:$G$2649,'февраль 2026'!$D$2:$D$2649,$B141,'февраль 2026'!$J$2:$J$2649,P$1)</f>
        <v>0</v>
      </c>
      <c r="Q141" s="144">
        <f>SUMIFS('февраль 2026'!$G$2:$G$2649,'февраль 2026'!$D$2:$D$2649,$B141,'февраль 2026'!$J$2:$J$2649,Q$1)</f>
        <v>0</v>
      </c>
      <c r="R141" s="144">
        <f>SUMIFS('февраль 2026'!$G$2:$G$2649,'февраль 2026'!$D$2:$D$2649,$B141,'февраль 2026'!$J$2:$J$2649,R$1)</f>
        <v>0</v>
      </c>
      <c r="S141" s="144">
        <f>SUMIFS('февраль 2026'!$G$2:$G$2649,'февраль 2026'!$D$2:$D$2649,$B141,'февраль 2026'!$J$2:$J$2649,S$1)</f>
        <v>0</v>
      </c>
      <c r="T141" s="144">
        <f>SUMIFS('февраль 2026'!$G$2:$G$2649,'февраль 2026'!$D$2:$D$2649,$B141,'февраль 2026'!$J$2:$J$2649,T$1)</f>
        <v>0</v>
      </c>
      <c r="U141" s="144">
        <f>SUMIFS('февраль 2026'!$G$2:$G$2649,'февраль 2026'!$D$2:$D$2649,$B141,'февраль 2026'!$J$2:$J$2649,U$1)</f>
        <v>0</v>
      </c>
      <c r="V141" s="144">
        <f>SUMIFS('февраль 2026'!$G$2:$G$2649,'февраль 2026'!$D$2:$D$2649,$B141,'февраль 2026'!$J$2:$J$2649,V$1)</f>
        <v>0</v>
      </c>
      <c r="W141" s="144">
        <f>SUMIFS('февраль 2026'!$G$2:$G$2649,'февраль 2026'!$D$2:$D$2649,$B141,'февраль 2026'!$J$2:$J$2649,W$1)</f>
        <v>0</v>
      </c>
      <c r="X141" s="144">
        <f>SUMIFS('февраль 2026'!$G$2:$G$2649,'февраль 2026'!$D$2:$D$2649,$B141,'февраль 2026'!$J$2:$J$2649,X$1)</f>
        <v>0</v>
      </c>
      <c r="Y141" s="144">
        <f>SUMIFS('февраль 2026'!$G$2:$G$2649,'февраль 2026'!$D$2:$D$2649,$B141,'февраль 2026'!$J$2:$J$2649,Y$1)</f>
        <v>0</v>
      </c>
      <c r="Z141" s="144">
        <f>SUMIFS('февраль 2026'!$G$2:$G$2649,'февраль 2026'!$D$2:$D$2649,$B141,'февраль 2026'!$J$2:$J$2649,Z$1)</f>
        <v>0</v>
      </c>
      <c r="AA141" s="144">
        <f>SUMIFS('февраль 2026'!$G$2:$G$2649,'февраль 2026'!$D$2:$D$2649,$B141,'февраль 2026'!$J$2:$J$2649,AA$1)</f>
        <v>0</v>
      </c>
      <c r="AB141" s="144">
        <f>SUMIFS('февраль 2026'!$G$2:$G$2649,'февраль 2026'!$D$2:$D$2649,$B141,'февраль 2026'!$J$2:$J$2649,AB$1)</f>
        <v>0</v>
      </c>
      <c r="AC141" s="144">
        <f>SUMIFS('февраль 2026'!$G$2:$G$2649,'февраль 2026'!$D$2:$D$2649,$B141,'февраль 2026'!$J$2:$J$2649,AC$1)</f>
        <v>0</v>
      </c>
      <c r="AD141" s="144">
        <f>SUMIFS('февраль 2026'!$G$2:$G$2649,'февраль 2026'!$D$2:$D$2649,$B141,'февраль 2026'!$J$2:$J$2649,AD$1)</f>
        <v>0</v>
      </c>
      <c r="AE141" s="144">
        <f>SUMIFS('февраль 2026'!$G$2:$G$2649,'февраль 2026'!$D$2:$D$2649,$B141,'февраль 2026'!$J$2:$J$2649,AE$1)</f>
        <v>0</v>
      </c>
      <c r="AF141" s="144">
        <f>SUMIFS('февраль 2026'!$G$2:$G$2649,'февраль 2026'!$D$2:$D$2649,$B141,'февраль 2026'!$J$2:$J$2649,AF$1)</f>
        <v>0</v>
      </c>
      <c r="AG141" s="144">
        <f>SUMIFS('февраль 2026'!$G$2:$G$2649,'февраль 2026'!$D$2:$D$2649,$B141,'февраль 2026'!$J$2:$J$2649,AG$1)</f>
        <v>0</v>
      </c>
      <c r="AH141" s="144">
        <f>SUMIFS('февраль 2026'!$G$2:$G$2649,'февраль 2026'!$D$2:$D$2649,$B141,'февраль 2026'!$J$2:$J$2649,AH$1)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SUMIFS('февраль 2026'!$G$2:$G$2649,'февраль 2026'!$D$2:$D$2649,$B142,'февраль 2026'!$J$2:$J$2649,D$1)</f>
        <v>0</v>
      </c>
      <c r="E142" s="144">
        <f>SUMIFS('февраль 2026'!$G$2:$G$2649,'февраль 2026'!$D$2:$D$2649,$B142,'февраль 2026'!$J$2:$J$2649,E$1)</f>
        <v>0</v>
      </c>
      <c r="F142" s="144">
        <f>SUMIFS('февраль 2026'!$G$2:$G$2649,'февраль 2026'!$D$2:$D$2649,$B142,'февраль 2026'!$J$2:$J$2649,F$1)</f>
        <v>0</v>
      </c>
      <c r="G142" s="144">
        <f>SUMIFS('февраль 2026'!$G$2:$G$2649,'февраль 2026'!$D$2:$D$2649,$B142,'февраль 2026'!$J$2:$J$2649,G$1)</f>
        <v>0</v>
      </c>
      <c r="H142" s="144">
        <f>SUMIFS('февраль 2026'!$G$2:$G$2649,'февраль 2026'!$D$2:$D$2649,$B142,'февраль 2026'!$J$2:$J$2649,H$1)</f>
        <v>0</v>
      </c>
      <c r="I142" s="144">
        <f>SUMIFS('февраль 2026'!$G$2:$G$2649,'февраль 2026'!$D$2:$D$2649,$B142,'февраль 2026'!$J$2:$J$2649,I$1)</f>
        <v>0</v>
      </c>
      <c r="J142" s="144">
        <f>SUMIFS('февраль 2026'!$G$2:$G$2649,'февраль 2026'!$D$2:$D$2649,$B142,'февраль 2026'!$J$2:$J$2649,J$1)</f>
        <v>0</v>
      </c>
      <c r="K142" s="144">
        <f>SUMIFS('февраль 2026'!$G$2:$G$2649,'февраль 2026'!$D$2:$D$2649,$B142,'февраль 2026'!$J$2:$J$2649,K$1)</f>
        <v>0</v>
      </c>
      <c r="L142" s="144">
        <f>SUMIFS('февраль 2026'!$G$2:$G$2649,'февраль 2026'!$D$2:$D$2649,$B142,'февраль 2026'!$J$2:$J$2649,L$1)</f>
        <v>0</v>
      </c>
      <c r="M142" s="144">
        <f>SUMIFS('февраль 2026'!$G$2:$G$2649,'февраль 2026'!$D$2:$D$2649,$B142,'февраль 2026'!$J$2:$J$2649,M$1)</f>
        <v>0</v>
      </c>
      <c r="N142" s="144">
        <f>SUMIFS('февраль 2026'!$G$2:$G$2649,'февраль 2026'!$D$2:$D$2649,$B142,'февраль 2026'!$J$2:$J$2649,N$1)</f>
        <v>0</v>
      </c>
      <c r="O142" s="144">
        <f>SUMIFS('февраль 2026'!$G$2:$G$2649,'февраль 2026'!$D$2:$D$2649,$B142,'февраль 2026'!$J$2:$J$2649,O$1)</f>
        <v>0</v>
      </c>
      <c r="P142" s="144">
        <f>SUMIFS('февраль 2026'!$G$2:$G$2649,'февраль 2026'!$D$2:$D$2649,$B142,'февраль 2026'!$J$2:$J$2649,P$1)</f>
        <v>0</v>
      </c>
      <c r="Q142" s="144">
        <f>SUMIFS('февраль 2026'!$G$2:$G$2649,'февраль 2026'!$D$2:$D$2649,$B142,'февраль 2026'!$J$2:$J$2649,Q$1)</f>
        <v>0</v>
      </c>
      <c r="R142" s="144">
        <f>SUMIFS('февраль 2026'!$G$2:$G$2649,'февраль 2026'!$D$2:$D$2649,$B142,'февраль 2026'!$J$2:$J$2649,R$1)</f>
        <v>0</v>
      </c>
      <c r="S142" s="144">
        <f>SUMIFS('февраль 2026'!$G$2:$G$2649,'февраль 2026'!$D$2:$D$2649,$B142,'февраль 2026'!$J$2:$J$2649,S$1)</f>
        <v>0</v>
      </c>
      <c r="T142" s="144">
        <f>SUMIFS('февраль 2026'!$G$2:$G$2649,'февраль 2026'!$D$2:$D$2649,$B142,'февраль 2026'!$J$2:$J$2649,T$1)</f>
        <v>0</v>
      </c>
      <c r="U142" s="144">
        <f>SUMIFS('февраль 2026'!$G$2:$G$2649,'февраль 2026'!$D$2:$D$2649,$B142,'февраль 2026'!$J$2:$J$2649,U$1)</f>
        <v>0</v>
      </c>
      <c r="V142" s="144">
        <f>SUMIFS('февраль 2026'!$G$2:$G$2649,'февраль 2026'!$D$2:$D$2649,$B142,'февраль 2026'!$J$2:$J$2649,V$1)</f>
        <v>0</v>
      </c>
      <c r="W142" s="144">
        <f>SUMIFS('февраль 2026'!$G$2:$G$2649,'февраль 2026'!$D$2:$D$2649,$B142,'февраль 2026'!$J$2:$J$2649,W$1)</f>
        <v>0</v>
      </c>
      <c r="X142" s="144">
        <f>SUMIFS('февраль 2026'!$G$2:$G$2649,'февраль 2026'!$D$2:$D$2649,$B142,'февраль 2026'!$J$2:$J$2649,X$1)</f>
        <v>0</v>
      </c>
      <c r="Y142" s="144">
        <f>SUMIFS('февраль 2026'!$G$2:$G$2649,'февраль 2026'!$D$2:$D$2649,$B142,'февраль 2026'!$J$2:$J$2649,Y$1)</f>
        <v>0</v>
      </c>
      <c r="Z142" s="144">
        <f>SUMIFS('февраль 2026'!$G$2:$G$2649,'февраль 2026'!$D$2:$D$2649,$B142,'февраль 2026'!$J$2:$J$2649,Z$1)</f>
        <v>0</v>
      </c>
      <c r="AA142" s="144">
        <f>SUMIFS('февраль 2026'!$G$2:$G$2649,'февраль 2026'!$D$2:$D$2649,$B142,'февраль 2026'!$J$2:$J$2649,AA$1)</f>
        <v>0</v>
      </c>
      <c r="AB142" s="144">
        <f>SUMIFS('февраль 2026'!$G$2:$G$2649,'февраль 2026'!$D$2:$D$2649,$B142,'февраль 2026'!$J$2:$J$2649,AB$1)</f>
        <v>0</v>
      </c>
      <c r="AC142" s="144">
        <f>SUMIFS('февраль 2026'!$G$2:$G$2649,'февраль 2026'!$D$2:$D$2649,$B142,'февраль 2026'!$J$2:$J$2649,AC$1)</f>
        <v>0</v>
      </c>
      <c r="AD142" s="144">
        <f>SUMIFS('февраль 2026'!$G$2:$G$2649,'февраль 2026'!$D$2:$D$2649,$B142,'февраль 2026'!$J$2:$J$2649,AD$1)</f>
        <v>0</v>
      </c>
      <c r="AE142" s="144">
        <f>SUMIFS('февраль 2026'!$G$2:$G$2649,'февраль 2026'!$D$2:$D$2649,$B142,'февраль 2026'!$J$2:$J$2649,AE$1)</f>
        <v>0</v>
      </c>
      <c r="AF142" s="144">
        <f>SUMIFS('февраль 2026'!$G$2:$G$2649,'февраль 2026'!$D$2:$D$2649,$B142,'февраль 2026'!$J$2:$J$2649,AF$1)</f>
        <v>0</v>
      </c>
      <c r="AG142" s="144">
        <f>SUMIFS('февраль 2026'!$G$2:$G$2649,'февраль 2026'!$D$2:$D$2649,$B142,'февраль 2026'!$J$2:$J$2649,AG$1)</f>
        <v>0</v>
      </c>
      <c r="AH142" s="144">
        <f>SUMIFS('февраль 2026'!$G$2:$G$2649,'февраль 2026'!$D$2:$D$2649,$B142,'февраль 2026'!$J$2:$J$2649,AH$1)</f>
        <v>0</v>
      </c>
      <c r="AI142" s="20">
        <f t="shared" si="1"/>
        <v>0</v>
      </c>
    </row>
    <row r="143" spans="2:35" ht="15" customHeight="1" x14ac:dyDescent="0.25">
      <c r="B143" s="82" t="s">
        <v>292</v>
      </c>
      <c r="C143" s="81">
        <v>180</v>
      </c>
      <c r="D143" s="144">
        <f>SUMIFS('февраль 2026'!$G$2:$G$2649,'февраль 2026'!$D$2:$D$2649,$B143,'февраль 2026'!$J$2:$J$2649,D$1)</f>
        <v>0</v>
      </c>
      <c r="E143" s="144">
        <f>SUMIFS('февраль 2026'!$G$2:$G$2649,'февраль 2026'!$D$2:$D$2649,$B143,'февраль 2026'!$J$2:$J$2649,E$1)</f>
        <v>0</v>
      </c>
      <c r="F143" s="144">
        <f>SUMIFS('февраль 2026'!$G$2:$G$2649,'февраль 2026'!$D$2:$D$2649,$B143,'февраль 2026'!$J$2:$J$2649,F$1)</f>
        <v>0</v>
      </c>
      <c r="G143" s="144">
        <f>SUMIFS('февраль 2026'!$G$2:$G$2649,'февраль 2026'!$D$2:$D$2649,$B143,'февраль 2026'!$J$2:$J$2649,G$1)</f>
        <v>0</v>
      </c>
      <c r="H143" s="144">
        <f>SUMIFS('февраль 2026'!$G$2:$G$2649,'февраль 2026'!$D$2:$D$2649,$B143,'февраль 2026'!$J$2:$J$2649,H$1)</f>
        <v>0</v>
      </c>
      <c r="I143" s="144">
        <f>SUMIFS('февраль 2026'!$G$2:$G$2649,'февраль 2026'!$D$2:$D$2649,$B143,'февраль 2026'!$J$2:$J$2649,I$1)</f>
        <v>0</v>
      </c>
      <c r="J143" s="144">
        <f>SUMIFS('февраль 2026'!$G$2:$G$2649,'февраль 2026'!$D$2:$D$2649,$B143,'февраль 2026'!$J$2:$J$2649,J$1)</f>
        <v>0</v>
      </c>
      <c r="K143" s="144">
        <f>SUMIFS('февраль 2026'!$G$2:$G$2649,'февраль 2026'!$D$2:$D$2649,$B143,'февраль 2026'!$J$2:$J$2649,K$1)</f>
        <v>0</v>
      </c>
      <c r="L143" s="144">
        <f>SUMIFS('февраль 2026'!$G$2:$G$2649,'февраль 2026'!$D$2:$D$2649,$B143,'февраль 2026'!$J$2:$J$2649,L$1)</f>
        <v>0</v>
      </c>
      <c r="M143" s="144">
        <f>SUMIFS('февраль 2026'!$G$2:$G$2649,'февраль 2026'!$D$2:$D$2649,$B143,'февраль 2026'!$J$2:$J$2649,M$1)</f>
        <v>0</v>
      </c>
      <c r="N143" s="144">
        <f>SUMIFS('февраль 2026'!$G$2:$G$2649,'февраль 2026'!$D$2:$D$2649,$B143,'февраль 2026'!$J$2:$J$2649,N$1)</f>
        <v>0</v>
      </c>
      <c r="O143" s="144">
        <f>SUMIFS('февраль 2026'!$G$2:$G$2649,'февраль 2026'!$D$2:$D$2649,$B143,'февраль 2026'!$J$2:$J$2649,O$1)</f>
        <v>0</v>
      </c>
      <c r="P143" s="144">
        <f>SUMIFS('февраль 2026'!$G$2:$G$2649,'февраль 2026'!$D$2:$D$2649,$B143,'февраль 2026'!$J$2:$J$2649,P$1)</f>
        <v>0</v>
      </c>
      <c r="Q143" s="144">
        <f>SUMIFS('февраль 2026'!$G$2:$G$2649,'февраль 2026'!$D$2:$D$2649,$B143,'февраль 2026'!$J$2:$J$2649,Q$1)</f>
        <v>0</v>
      </c>
      <c r="R143" s="144">
        <f>SUMIFS('февраль 2026'!$G$2:$G$2649,'февраль 2026'!$D$2:$D$2649,$B143,'февраль 2026'!$J$2:$J$2649,R$1)</f>
        <v>0</v>
      </c>
      <c r="S143" s="144">
        <f>SUMIFS('февраль 2026'!$G$2:$G$2649,'февраль 2026'!$D$2:$D$2649,$B143,'февраль 2026'!$J$2:$J$2649,S$1)</f>
        <v>0</v>
      </c>
      <c r="T143" s="144">
        <f>SUMIFS('февраль 2026'!$G$2:$G$2649,'февраль 2026'!$D$2:$D$2649,$B143,'февраль 2026'!$J$2:$J$2649,T$1)</f>
        <v>0</v>
      </c>
      <c r="U143" s="144">
        <f>SUMIFS('февраль 2026'!$G$2:$G$2649,'февраль 2026'!$D$2:$D$2649,$B143,'февраль 2026'!$J$2:$J$2649,U$1)</f>
        <v>0</v>
      </c>
      <c r="V143" s="144">
        <f>SUMIFS('февраль 2026'!$G$2:$G$2649,'февраль 2026'!$D$2:$D$2649,$B143,'февраль 2026'!$J$2:$J$2649,V$1)</f>
        <v>0</v>
      </c>
      <c r="W143" s="144">
        <f>SUMIFS('февраль 2026'!$G$2:$G$2649,'февраль 2026'!$D$2:$D$2649,$B143,'февраль 2026'!$J$2:$J$2649,W$1)</f>
        <v>0</v>
      </c>
      <c r="X143" s="144">
        <f>SUMIFS('февраль 2026'!$G$2:$G$2649,'февраль 2026'!$D$2:$D$2649,$B143,'февраль 2026'!$J$2:$J$2649,X$1)</f>
        <v>0</v>
      </c>
      <c r="Y143" s="144">
        <f>SUMIFS('февраль 2026'!$G$2:$G$2649,'февраль 2026'!$D$2:$D$2649,$B143,'февраль 2026'!$J$2:$J$2649,Y$1)</f>
        <v>0</v>
      </c>
      <c r="Z143" s="144">
        <f>SUMIFS('февраль 2026'!$G$2:$G$2649,'февраль 2026'!$D$2:$D$2649,$B143,'февраль 2026'!$J$2:$J$2649,Z$1)</f>
        <v>0</v>
      </c>
      <c r="AA143" s="144">
        <f>SUMIFS('февраль 2026'!$G$2:$G$2649,'февраль 2026'!$D$2:$D$2649,$B143,'февраль 2026'!$J$2:$J$2649,AA$1)</f>
        <v>0</v>
      </c>
      <c r="AB143" s="144">
        <f>SUMIFS('февраль 2026'!$G$2:$G$2649,'февраль 2026'!$D$2:$D$2649,$B143,'февраль 2026'!$J$2:$J$2649,AB$1)</f>
        <v>0</v>
      </c>
      <c r="AC143" s="144">
        <f>SUMIFS('февраль 2026'!$G$2:$G$2649,'февраль 2026'!$D$2:$D$2649,$B143,'февраль 2026'!$J$2:$J$2649,AC$1)</f>
        <v>0</v>
      </c>
      <c r="AD143" s="144">
        <f>SUMIFS('февраль 2026'!$G$2:$G$2649,'февраль 2026'!$D$2:$D$2649,$B143,'февраль 2026'!$J$2:$J$2649,AD$1)</f>
        <v>0</v>
      </c>
      <c r="AE143" s="144">
        <f>SUMIFS('февраль 2026'!$G$2:$G$2649,'февраль 2026'!$D$2:$D$2649,$B143,'февраль 2026'!$J$2:$J$2649,AE$1)</f>
        <v>0</v>
      </c>
      <c r="AF143" s="144">
        <f>SUMIFS('февраль 2026'!$G$2:$G$2649,'февраль 2026'!$D$2:$D$2649,$B143,'февраль 2026'!$J$2:$J$2649,AF$1)</f>
        <v>0</v>
      </c>
      <c r="AG143" s="144">
        <f>SUMIFS('февраль 2026'!$G$2:$G$2649,'февраль 2026'!$D$2:$D$2649,$B143,'февраль 2026'!$J$2:$J$2649,AG$1)</f>
        <v>0</v>
      </c>
      <c r="AH143" s="144">
        <f>SUMIFS('февраль 2026'!$G$2:$G$2649,'февраль 2026'!$D$2:$D$2649,$B143,'февраль 2026'!$J$2:$J$2649,AH$1)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SUMIFS('февраль 2026'!$G$2:$G$2649,'февраль 2026'!$D$2:$D$2649,$B144,'февраль 2026'!$J$2:$J$2649,D$1)</f>
        <v>0</v>
      </c>
      <c r="E144" s="144">
        <f>SUMIFS('февраль 2026'!$G$2:$G$2649,'февраль 2026'!$D$2:$D$2649,$B144,'февраль 2026'!$J$2:$J$2649,E$1)</f>
        <v>0</v>
      </c>
      <c r="F144" s="144">
        <f>SUMIFS('февраль 2026'!$G$2:$G$2649,'февраль 2026'!$D$2:$D$2649,$B144,'февраль 2026'!$J$2:$J$2649,F$1)</f>
        <v>0</v>
      </c>
      <c r="G144" s="144">
        <f>SUMIFS('февраль 2026'!$G$2:$G$2649,'февраль 2026'!$D$2:$D$2649,$B144,'февраль 2026'!$J$2:$J$2649,G$1)</f>
        <v>0</v>
      </c>
      <c r="H144" s="144">
        <f>SUMIFS('февраль 2026'!$G$2:$G$2649,'февраль 2026'!$D$2:$D$2649,$B144,'февраль 2026'!$J$2:$J$2649,H$1)</f>
        <v>0</v>
      </c>
      <c r="I144" s="144">
        <f>SUMIFS('февраль 2026'!$G$2:$G$2649,'февраль 2026'!$D$2:$D$2649,$B144,'февраль 2026'!$J$2:$J$2649,I$1)</f>
        <v>0</v>
      </c>
      <c r="J144" s="144">
        <f>SUMIFS('февраль 2026'!$G$2:$G$2649,'февраль 2026'!$D$2:$D$2649,$B144,'февраль 2026'!$J$2:$J$2649,J$1)</f>
        <v>0</v>
      </c>
      <c r="K144" s="144">
        <f>SUMIFS('февраль 2026'!$G$2:$G$2649,'февраль 2026'!$D$2:$D$2649,$B144,'февраль 2026'!$J$2:$J$2649,K$1)</f>
        <v>0</v>
      </c>
      <c r="L144" s="144">
        <f>SUMIFS('февраль 2026'!$G$2:$G$2649,'февраль 2026'!$D$2:$D$2649,$B144,'февраль 2026'!$J$2:$J$2649,L$1)</f>
        <v>0</v>
      </c>
      <c r="M144" s="144">
        <f>SUMIFS('февраль 2026'!$G$2:$G$2649,'февраль 2026'!$D$2:$D$2649,$B144,'февраль 2026'!$J$2:$J$2649,M$1)</f>
        <v>0</v>
      </c>
      <c r="N144" s="144">
        <f>SUMIFS('февраль 2026'!$G$2:$G$2649,'февраль 2026'!$D$2:$D$2649,$B144,'февраль 2026'!$J$2:$J$2649,N$1)</f>
        <v>0</v>
      </c>
      <c r="O144" s="144">
        <f>SUMIFS('февраль 2026'!$G$2:$G$2649,'февраль 2026'!$D$2:$D$2649,$B144,'февраль 2026'!$J$2:$J$2649,O$1)</f>
        <v>0</v>
      </c>
      <c r="P144" s="144">
        <f>SUMIFS('февраль 2026'!$G$2:$G$2649,'февраль 2026'!$D$2:$D$2649,$B144,'февраль 2026'!$J$2:$J$2649,P$1)</f>
        <v>0</v>
      </c>
      <c r="Q144" s="144">
        <f>SUMIFS('февраль 2026'!$G$2:$G$2649,'февраль 2026'!$D$2:$D$2649,$B144,'февраль 2026'!$J$2:$J$2649,Q$1)</f>
        <v>0</v>
      </c>
      <c r="R144" s="144">
        <f>SUMIFS('февраль 2026'!$G$2:$G$2649,'февраль 2026'!$D$2:$D$2649,$B144,'февраль 2026'!$J$2:$J$2649,R$1)</f>
        <v>0</v>
      </c>
      <c r="S144" s="144">
        <f>SUMIFS('февраль 2026'!$G$2:$G$2649,'февраль 2026'!$D$2:$D$2649,$B144,'февраль 2026'!$J$2:$J$2649,S$1)</f>
        <v>0</v>
      </c>
      <c r="T144" s="144">
        <f>SUMIFS('февраль 2026'!$G$2:$G$2649,'февраль 2026'!$D$2:$D$2649,$B144,'февраль 2026'!$J$2:$J$2649,T$1)</f>
        <v>0</v>
      </c>
      <c r="U144" s="144">
        <f>SUMIFS('февраль 2026'!$G$2:$G$2649,'февраль 2026'!$D$2:$D$2649,$B144,'февраль 2026'!$J$2:$J$2649,U$1)</f>
        <v>0</v>
      </c>
      <c r="V144" s="144">
        <f>SUMIFS('февраль 2026'!$G$2:$G$2649,'февраль 2026'!$D$2:$D$2649,$B144,'февраль 2026'!$J$2:$J$2649,V$1)</f>
        <v>0</v>
      </c>
      <c r="W144" s="144">
        <f>SUMIFS('февраль 2026'!$G$2:$G$2649,'февраль 2026'!$D$2:$D$2649,$B144,'февраль 2026'!$J$2:$J$2649,W$1)</f>
        <v>0</v>
      </c>
      <c r="X144" s="144">
        <f>SUMIFS('февраль 2026'!$G$2:$G$2649,'февраль 2026'!$D$2:$D$2649,$B144,'февраль 2026'!$J$2:$J$2649,X$1)</f>
        <v>0</v>
      </c>
      <c r="Y144" s="144">
        <f>SUMIFS('февраль 2026'!$G$2:$G$2649,'февраль 2026'!$D$2:$D$2649,$B144,'февраль 2026'!$J$2:$J$2649,Y$1)</f>
        <v>0</v>
      </c>
      <c r="Z144" s="144">
        <f>SUMIFS('февраль 2026'!$G$2:$G$2649,'февраль 2026'!$D$2:$D$2649,$B144,'февраль 2026'!$J$2:$J$2649,Z$1)</f>
        <v>0</v>
      </c>
      <c r="AA144" s="144">
        <f>SUMIFS('февраль 2026'!$G$2:$G$2649,'февраль 2026'!$D$2:$D$2649,$B144,'февраль 2026'!$J$2:$J$2649,AA$1)</f>
        <v>0</v>
      </c>
      <c r="AB144" s="144">
        <f>SUMIFS('февраль 2026'!$G$2:$G$2649,'февраль 2026'!$D$2:$D$2649,$B144,'февраль 2026'!$J$2:$J$2649,AB$1)</f>
        <v>0</v>
      </c>
      <c r="AC144" s="144">
        <f>SUMIFS('февраль 2026'!$G$2:$G$2649,'февраль 2026'!$D$2:$D$2649,$B144,'февраль 2026'!$J$2:$J$2649,AC$1)</f>
        <v>0</v>
      </c>
      <c r="AD144" s="144">
        <f>SUMIFS('февраль 2026'!$G$2:$G$2649,'февраль 2026'!$D$2:$D$2649,$B144,'февраль 2026'!$J$2:$J$2649,AD$1)</f>
        <v>0</v>
      </c>
      <c r="AE144" s="144">
        <f>SUMIFS('февраль 2026'!$G$2:$G$2649,'февраль 2026'!$D$2:$D$2649,$B144,'февраль 2026'!$J$2:$J$2649,AE$1)</f>
        <v>0</v>
      </c>
      <c r="AF144" s="144">
        <f>SUMIFS('февраль 2026'!$G$2:$G$2649,'февраль 2026'!$D$2:$D$2649,$B144,'февраль 2026'!$J$2:$J$2649,AF$1)</f>
        <v>0</v>
      </c>
      <c r="AG144" s="144">
        <f>SUMIFS('февраль 2026'!$G$2:$G$2649,'февраль 2026'!$D$2:$D$2649,$B144,'февраль 2026'!$J$2:$J$2649,AG$1)</f>
        <v>0</v>
      </c>
      <c r="AH144" s="144">
        <f>SUMIFS('февраль 2026'!$G$2:$G$2649,'февраль 2026'!$D$2:$D$2649,$B144,'февраль 2026'!$J$2:$J$2649,AH$1)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SUMIFS('февраль 2026'!$G$2:$G$2649,'февраль 2026'!$D$2:$D$2649,$B145,'февраль 2026'!$J$2:$J$2649,D$1)</f>
        <v>0</v>
      </c>
      <c r="E145" s="144">
        <f>SUMIFS('февраль 2026'!$G$2:$G$2649,'февраль 2026'!$D$2:$D$2649,$B145,'февраль 2026'!$J$2:$J$2649,E$1)</f>
        <v>0</v>
      </c>
      <c r="F145" s="144">
        <f>SUMIFS('февраль 2026'!$G$2:$G$2649,'февраль 2026'!$D$2:$D$2649,$B145,'февраль 2026'!$J$2:$J$2649,F$1)</f>
        <v>0</v>
      </c>
      <c r="G145" s="144">
        <f>SUMIFS('февраль 2026'!$G$2:$G$2649,'февраль 2026'!$D$2:$D$2649,$B145,'февраль 2026'!$J$2:$J$2649,G$1)</f>
        <v>0</v>
      </c>
      <c r="H145" s="144">
        <f>SUMIFS('февраль 2026'!$G$2:$G$2649,'февраль 2026'!$D$2:$D$2649,$B145,'февраль 2026'!$J$2:$J$2649,H$1)</f>
        <v>0</v>
      </c>
      <c r="I145" s="144">
        <f>SUMIFS('февраль 2026'!$G$2:$G$2649,'февраль 2026'!$D$2:$D$2649,$B145,'февраль 2026'!$J$2:$J$2649,I$1)</f>
        <v>0</v>
      </c>
      <c r="J145" s="144">
        <f>SUMIFS('февраль 2026'!$G$2:$G$2649,'февраль 2026'!$D$2:$D$2649,$B145,'февраль 2026'!$J$2:$J$2649,J$1)</f>
        <v>0</v>
      </c>
      <c r="K145" s="144">
        <f>SUMIFS('февраль 2026'!$G$2:$G$2649,'февраль 2026'!$D$2:$D$2649,$B145,'февраль 2026'!$J$2:$J$2649,K$1)</f>
        <v>0</v>
      </c>
      <c r="L145" s="144">
        <f>SUMIFS('февраль 2026'!$G$2:$G$2649,'февраль 2026'!$D$2:$D$2649,$B145,'февраль 2026'!$J$2:$J$2649,L$1)</f>
        <v>0</v>
      </c>
      <c r="M145" s="144">
        <f>SUMIFS('февраль 2026'!$G$2:$G$2649,'февраль 2026'!$D$2:$D$2649,$B145,'февраль 2026'!$J$2:$J$2649,M$1)</f>
        <v>0</v>
      </c>
      <c r="N145" s="144">
        <f>SUMIFS('февраль 2026'!$G$2:$G$2649,'февраль 2026'!$D$2:$D$2649,$B145,'февраль 2026'!$J$2:$J$2649,N$1)</f>
        <v>0</v>
      </c>
      <c r="O145" s="144">
        <f>SUMIFS('февраль 2026'!$G$2:$G$2649,'февраль 2026'!$D$2:$D$2649,$B145,'февраль 2026'!$J$2:$J$2649,O$1)</f>
        <v>0</v>
      </c>
      <c r="P145" s="144">
        <f>SUMIFS('февраль 2026'!$G$2:$G$2649,'февраль 2026'!$D$2:$D$2649,$B145,'февраль 2026'!$J$2:$J$2649,P$1)</f>
        <v>0</v>
      </c>
      <c r="Q145" s="144">
        <f>SUMIFS('февраль 2026'!$G$2:$G$2649,'февраль 2026'!$D$2:$D$2649,$B145,'февраль 2026'!$J$2:$J$2649,Q$1)</f>
        <v>0</v>
      </c>
      <c r="R145" s="144">
        <f>SUMIFS('февраль 2026'!$G$2:$G$2649,'февраль 2026'!$D$2:$D$2649,$B145,'февраль 2026'!$J$2:$J$2649,R$1)</f>
        <v>0</v>
      </c>
      <c r="S145" s="144">
        <f>SUMIFS('февраль 2026'!$G$2:$G$2649,'февраль 2026'!$D$2:$D$2649,$B145,'февраль 2026'!$J$2:$J$2649,S$1)</f>
        <v>12</v>
      </c>
      <c r="T145" s="144">
        <f>SUMIFS('февраль 2026'!$G$2:$G$2649,'февраль 2026'!$D$2:$D$2649,$B145,'февраль 2026'!$J$2:$J$2649,T$1)</f>
        <v>0</v>
      </c>
      <c r="U145" s="144">
        <f>SUMIFS('февраль 2026'!$G$2:$G$2649,'февраль 2026'!$D$2:$D$2649,$B145,'февраль 2026'!$J$2:$J$2649,U$1)</f>
        <v>0</v>
      </c>
      <c r="V145" s="144">
        <f>SUMIFS('февраль 2026'!$G$2:$G$2649,'февраль 2026'!$D$2:$D$2649,$B145,'февраль 2026'!$J$2:$J$2649,V$1)</f>
        <v>0</v>
      </c>
      <c r="W145" s="144">
        <f>SUMIFS('февраль 2026'!$G$2:$G$2649,'февраль 2026'!$D$2:$D$2649,$B145,'февраль 2026'!$J$2:$J$2649,W$1)</f>
        <v>0</v>
      </c>
      <c r="X145" s="144">
        <f>SUMIFS('февраль 2026'!$G$2:$G$2649,'февраль 2026'!$D$2:$D$2649,$B145,'февраль 2026'!$J$2:$J$2649,X$1)</f>
        <v>0</v>
      </c>
      <c r="Y145" s="144">
        <f>SUMIFS('февраль 2026'!$G$2:$G$2649,'февраль 2026'!$D$2:$D$2649,$B145,'февраль 2026'!$J$2:$J$2649,Y$1)</f>
        <v>0</v>
      </c>
      <c r="Z145" s="144">
        <f>SUMIFS('февраль 2026'!$G$2:$G$2649,'февраль 2026'!$D$2:$D$2649,$B145,'февраль 2026'!$J$2:$J$2649,Z$1)</f>
        <v>0</v>
      </c>
      <c r="AA145" s="144">
        <f>SUMIFS('февраль 2026'!$G$2:$G$2649,'февраль 2026'!$D$2:$D$2649,$B145,'февраль 2026'!$J$2:$J$2649,AA$1)</f>
        <v>12</v>
      </c>
      <c r="AB145" s="144">
        <f>SUMIFS('февраль 2026'!$G$2:$G$2649,'февраль 2026'!$D$2:$D$2649,$B145,'февраль 2026'!$J$2:$J$2649,AB$1)</f>
        <v>0</v>
      </c>
      <c r="AC145" s="144">
        <f>SUMIFS('февраль 2026'!$G$2:$G$2649,'февраль 2026'!$D$2:$D$2649,$B145,'февраль 2026'!$J$2:$J$2649,AC$1)</f>
        <v>0</v>
      </c>
      <c r="AD145" s="144">
        <f>SUMIFS('февраль 2026'!$G$2:$G$2649,'февраль 2026'!$D$2:$D$2649,$B145,'февраль 2026'!$J$2:$J$2649,AD$1)</f>
        <v>0</v>
      </c>
      <c r="AE145" s="144">
        <f>SUMIFS('февраль 2026'!$G$2:$G$2649,'февраль 2026'!$D$2:$D$2649,$B145,'февраль 2026'!$J$2:$J$2649,AE$1)</f>
        <v>0</v>
      </c>
      <c r="AF145" s="144">
        <f>SUMIFS('февраль 2026'!$G$2:$G$2649,'февраль 2026'!$D$2:$D$2649,$B145,'февраль 2026'!$J$2:$J$2649,AF$1)</f>
        <v>0</v>
      </c>
      <c r="AG145" s="144">
        <f>SUMIFS('февраль 2026'!$G$2:$G$2649,'февраль 2026'!$D$2:$D$2649,$B145,'февраль 2026'!$J$2:$J$2649,AG$1)</f>
        <v>0</v>
      </c>
      <c r="AH145" s="144">
        <f>SUMIFS('февраль 2026'!$G$2:$G$2649,'февраль 2026'!$D$2:$D$2649,$B145,'февраль 2026'!$J$2:$J$2649,AH$1)</f>
        <v>0</v>
      </c>
      <c r="AI145" s="20">
        <f t="shared" si="1"/>
        <v>24</v>
      </c>
    </row>
    <row r="146" spans="2:35" ht="15" customHeight="1" x14ac:dyDescent="0.25">
      <c r="B146" s="82" t="s">
        <v>172</v>
      </c>
      <c r="C146" s="81">
        <v>200</v>
      </c>
      <c r="D146" s="144">
        <f>SUMIFS('февраль 2026'!$G$2:$G$2649,'февраль 2026'!$D$2:$D$2649,$B146,'февраль 2026'!$J$2:$J$2649,D$1)</f>
        <v>0</v>
      </c>
      <c r="E146" s="144">
        <f>SUMIFS('февраль 2026'!$G$2:$G$2649,'февраль 2026'!$D$2:$D$2649,$B146,'февраль 2026'!$J$2:$J$2649,E$1)</f>
        <v>0</v>
      </c>
      <c r="F146" s="144">
        <f>SUMIFS('февраль 2026'!$G$2:$G$2649,'февраль 2026'!$D$2:$D$2649,$B146,'февраль 2026'!$J$2:$J$2649,F$1)</f>
        <v>0</v>
      </c>
      <c r="G146" s="144">
        <f>SUMIFS('февраль 2026'!$G$2:$G$2649,'февраль 2026'!$D$2:$D$2649,$B146,'февраль 2026'!$J$2:$J$2649,G$1)</f>
        <v>0</v>
      </c>
      <c r="H146" s="144">
        <f>SUMIFS('февраль 2026'!$G$2:$G$2649,'февраль 2026'!$D$2:$D$2649,$B146,'февраль 2026'!$J$2:$J$2649,H$1)</f>
        <v>0</v>
      </c>
      <c r="I146" s="144">
        <f>SUMIFS('февраль 2026'!$G$2:$G$2649,'февраль 2026'!$D$2:$D$2649,$B146,'февраль 2026'!$J$2:$J$2649,I$1)</f>
        <v>0</v>
      </c>
      <c r="J146" s="144">
        <f>SUMIFS('февраль 2026'!$G$2:$G$2649,'февраль 2026'!$D$2:$D$2649,$B146,'февраль 2026'!$J$2:$J$2649,J$1)</f>
        <v>0</v>
      </c>
      <c r="K146" s="144">
        <f>SUMIFS('февраль 2026'!$G$2:$G$2649,'февраль 2026'!$D$2:$D$2649,$B146,'февраль 2026'!$J$2:$J$2649,K$1)</f>
        <v>0</v>
      </c>
      <c r="L146" s="144">
        <f>SUMIFS('февраль 2026'!$G$2:$G$2649,'февраль 2026'!$D$2:$D$2649,$B146,'февраль 2026'!$J$2:$J$2649,L$1)</f>
        <v>0</v>
      </c>
      <c r="M146" s="144">
        <f>SUMIFS('февраль 2026'!$G$2:$G$2649,'февраль 2026'!$D$2:$D$2649,$B146,'февраль 2026'!$J$2:$J$2649,M$1)</f>
        <v>0</v>
      </c>
      <c r="N146" s="144">
        <f>SUMIFS('февраль 2026'!$G$2:$G$2649,'февраль 2026'!$D$2:$D$2649,$B146,'февраль 2026'!$J$2:$J$2649,N$1)</f>
        <v>0</v>
      </c>
      <c r="O146" s="144">
        <f>SUMIFS('февраль 2026'!$G$2:$G$2649,'февраль 2026'!$D$2:$D$2649,$B146,'февраль 2026'!$J$2:$J$2649,O$1)</f>
        <v>0</v>
      </c>
      <c r="P146" s="144">
        <f>SUMIFS('февраль 2026'!$G$2:$G$2649,'февраль 2026'!$D$2:$D$2649,$B146,'февраль 2026'!$J$2:$J$2649,P$1)</f>
        <v>0</v>
      </c>
      <c r="Q146" s="144">
        <f>SUMIFS('февраль 2026'!$G$2:$G$2649,'февраль 2026'!$D$2:$D$2649,$B146,'февраль 2026'!$J$2:$J$2649,Q$1)</f>
        <v>0</v>
      </c>
      <c r="R146" s="144">
        <f>SUMIFS('февраль 2026'!$G$2:$G$2649,'февраль 2026'!$D$2:$D$2649,$B146,'февраль 2026'!$J$2:$J$2649,R$1)</f>
        <v>0</v>
      </c>
      <c r="S146" s="144">
        <f>SUMIFS('февраль 2026'!$G$2:$G$2649,'февраль 2026'!$D$2:$D$2649,$B146,'февраль 2026'!$J$2:$J$2649,S$1)</f>
        <v>0</v>
      </c>
      <c r="T146" s="144">
        <f>SUMIFS('февраль 2026'!$G$2:$G$2649,'февраль 2026'!$D$2:$D$2649,$B146,'февраль 2026'!$J$2:$J$2649,T$1)</f>
        <v>0</v>
      </c>
      <c r="U146" s="144">
        <f>SUMIFS('февраль 2026'!$G$2:$G$2649,'февраль 2026'!$D$2:$D$2649,$B146,'февраль 2026'!$J$2:$J$2649,U$1)</f>
        <v>0</v>
      </c>
      <c r="V146" s="144">
        <f>SUMIFS('февраль 2026'!$G$2:$G$2649,'февраль 2026'!$D$2:$D$2649,$B146,'февраль 2026'!$J$2:$J$2649,V$1)</f>
        <v>0</v>
      </c>
      <c r="W146" s="144">
        <f>SUMIFS('февраль 2026'!$G$2:$G$2649,'февраль 2026'!$D$2:$D$2649,$B146,'февраль 2026'!$J$2:$J$2649,W$1)</f>
        <v>0</v>
      </c>
      <c r="X146" s="144">
        <f>SUMIFS('февраль 2026'!$G$2:$G$2649,'февраль 2026'!$D$2:$D$2649,$B146,'февраль 2026'!$J$2:$J$2649,X$1)</f>
        <v>0</v>
      </c>
      <c r="Y146" s="144">
        <f>SUMIFS('февраль 2026'!$G$2:$G$2649,'февраль 2026'!$D$2:$D$2649,$B146,'февраль 2026'!$J$2:$J$2649,Y$1)</f>
        <v>0</v>
      </c>
      <c r="Z146" s="144">
        <f>SUMIFS('февраль 2026'!$G$2:$G$2649,'февраль 2026'!$D$2:$D$2649,$B146,'февраль 2026'!$J$2:$J$2649,Z$1)</f>
        <v>0</v>
      </c>
      <c r="AA146" s="144">
        <f>SUMIFS('февраль 2026'!$G$2:$G$2649,'февраль 2026'!$D$2:$D$2649,$B146,'февраль 2026'!$J$2:$J$2649,AA$1)</f>
        <v>0</v>
      </c>
      <c r="AB146" s="144">
        <f>SUMIFS('февраль 2026'!$G$2:$G$2649,'февраль 2026'!$D$2:$D$2649,$B146,'февраль 2026'!$J$2:$J$2649,AB$1)</f>
        <v>0</v>
      </c>
      <c r="AC146" s="144">
        <f>SUMIFS('февраль 2026'!$G$2:$G$2649,'февраль 2026'!$D$2:$D$2649,$B146,'февраль 2026'!$J$2:$J$2649,AC$1)</f>
        <v>0</v>
      </c>
      <c r="AD146" s="144">
        <f>SUMIFS('февраль 2026'!$G$2:$G$2649,'февраль 2026'!$D$2:$D$2649,$B146,'февраль 2026'!$J$2:$J$2649,AD$1)</f>
        <v>0</v>
      </c>
      <c r="AE146" s="144">
        <f>SUMIFS('февраль 2026'!$G$2:$G$2649,'февраль 2026'!$D$2:$D$2649,$B146,'февраль 2026'!$J$2:$J$2649,AE$1)</f>
        <v>0</v>
      </c>
      <c r="AF146" s="144">
        <f>SUMIFS('февраль 2026'!$G$2:$G$2649,'февраль 2026'!$D$2:$D$2649,$B146,'февраль 2026'!$J$2:$J$2649,AF$1)</f>
        <v>0</v>
      </c>
      <c r="AG146" s="144">
        <f>SUMIFS('февраль 2026'!$G$2:$G$2649,'февраль 2026'!$D$2:$D$2649,$B146,'февраль 2026'!$J$2:$J$2649,AG$1)</f>
        <v>0</v>
      </c>
      <c r="AH146" s="144">
        <f>SUMIFS('февраль 2026'!$G$2:$G$2649,'февраль 2026'!$D$2:$D$2649,$B146,'февраль 2026'!$J$2:$J$2649,AH$1)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SUMIFS('февраль 2026'!$G$2:$G$2649,'февраль 2026'!$D$2:$D$2649,$B147,'февраль 2026'!$J$2:$J$2649,D$1)</f>
        <v>0</v>
      </c>
      <c r="E147" s="144">
        <f>SUMIFS('февраль 2026'!$G$2:$G$2649,'февраль 2026'!$D$2:$D$2649,$B147,'февраль 2026'!$J$2:$J$2649,E$1)</f>
        <v>0</v>
      </c>
      <c r="F147" s="144">
        <f>SUMIFS('февраль 2026'!$G$2:$G$2649,'февраль 2026'!$D$2:$D$2649,$B147,'февраль 2026'!$J$2:$J$2649,F$1)</f>
        <v>0</v>
      </c>
      <c r="G147" s="144">
        <f>SUMIFS('февраль 2026'!$G$2:$G$2649,'февраль 2026'!$D$2:$D$2649,$B147,'февраль 2026'!$J$2:$J$2649,G$1)</f>
        <v>0</v>
      </c>
      <c r="H147" s="144">
        <f>SUMIFS('февраль 2026'!$G$2:$G$2649,'февраль 2026'!$D$2:$D$2649,$B147,'февраль 2026'!$J$2:$J$2649,H$1)</f>
        <v>0</v>
      </c>
      <c r="I147" s="144">
        <f>SUMIFS('февраль 2026'!$G$2:$G$2649,'февраль 2026'!$D$2:$D$2649,$B147,'февраль 2026'!$J$2:$J$2649,I$1)</f>
        <v>0</v>
      </c>
      <c r="J147" s="144">
        <f>SUMIFS('февраль 2026'!$G$2:$G$2649,'февраль 2026'!$D$2:$D$2649,$B147,'февраль 2026'!$J$2:$J$2649,J$1)</f>
        <v>0</v>
      </c>
      <c r="K147" s="144">
        <f>SUMIFS('февраль 2026'!$G$2:$G$2649,'февраль 2026'!$D$2:$D$2649,$B147,'февраль 2026'!$J$2:$J$2649,K$1)</f>
        <v>0</v>
      </c>
      <c r="L147" s="144">
        <f>SUMIFS('февраль 2026'!$G$2:$G$2649,'февраль 2026'!$D$2:$D$2649,$B147,'февраль 2026'!$J$2:$J$2649,L$1)</f>
        <v>0</v>
      </c>
      <c r="M147" s="144">
        <f>SUMIFS('февраль 2026'!$G$2:$G$2649,'февраль 2026'!$D$2:$D$2649,$B147,'февраль 2026'!$J$2:$J$2649,M$1)</f>
        <v>0</v>
      </c>
      <c r="N147" s="144">
        <f>SUMIFS('февраль 2026'!$G$2:$G$2649,'февраль 2026'!$D$2:$D$2649,$B147,'февраль 2026'!$J$2:$J$2649,N$1)</f>
        <v>0</v>
      </c>
      <c r="O147" s="144">
        <f>SUMIFS('февраль 2026'!$G$2:$G$2649,'февраль 2026'!$D$2:$D$2649,$B147,'февраль 2026'!$J$2:$J$2649,O$1)</f>
        <v>0</v>
      </c>
      <c r="P147" s="144">
        <f>SUMIFS('февраль 2026'!$G$2:$G$2649,'февраль 2026'!$D$2:$D$2649,$B147,'февраль 2026'!$J$2:$J$2649,P$1)</f>
        <v>0</v>
      </c>
      <c r="Q147" s="144">
        <f>SUMIFS('февраль 2026'!$G$2:$G$2649,'февраль 2026'!$D$2:$D$2649,$B147,'февраль 2026'!$J$2:$J$2649,Q$1)</f>
        <v>0</v>
      </c>
      <c r="R147" s="144">
        <f>SUMIFS('февраль 2026'!$G$2:$G$2649,'февраль 2026'!$D$2:$D$2649,$B147,'февраль 2026'!$J$2:$J$2649,R$1)</f>
        <v>0</v>
      </c>
      <c r="S147" s="144">
        <f>SUMIFS('февраль 2026'!$G$2:$G$2649,'февраль 2026'!$D$2:$D$2649,$B147,'февраль 2026'!$J$2:$J$2649,S$1)</f>
        <v>0</v>
      </c>
      <c r="T147" s="144">
        <f>SUMIFS('февраль 2026'!$G$2:$G$2649,'февраль 2026'!$D$2:$D$2649,$B147,'февраль 2026'!$J$2:$J$2649,T$1)</f>
        <v>0</v>
      </c>
      <c r="U147" s="144">
        <f>SUMIFS('февраль 2026'!$G$2:$G$2649,'февраль 2026'!$D$2:$D$2649,$B147,'февраль 2026'!$J$2:$J$2649,U$1)</f>
        <v>0</v>
      </c>
      <c r="V147" s="144">
        <f>SUMIFS('февраль 2026'!$G$2:$G$2649,'февраль 2026'!$D$2:$D$2649,$B147,'февраль 2026'!$J$2:$J$2649,V$1)</f>
        <v>0</v>
      </c>
      <c r="W147" s="144">
        <f>SUMIFS('февраль 2026'!$G$2:$G$2649,'февраль 2026'!$D$2:$D$2649,$B147,'февраль 2026'!$J$2:$J$2649,W$1)</f>
        <v>0</v>
      </c>
      <c r="X147" s="144">
        <f>SUMIFS('февраль 2026'!$G$2:$G$2649,'февраль 2026'!$D$2:$D$2649,$B147,'февраль 2026'!$J$2:$J$2649,X$1)</f>
        <v>0</v>
      </c>
      <c r="Y147" s="144">
        <f>SUMIFS('февраль 2026'!$G$2:$G$2649,'февраль 2026'!$D$2:$D$2649,$B147,'февраль 2026'!$J$2:$J$2649,Y$1)</f>
        <v>0</v>
      </c>
      <c r="Z147" s="144">
        <f>SUMIFS('февраль 2026'!$G$2:$G$2649,'февраль 2026'!$D$2:$D$2649,$B147,'февраль 2026'!$J$2:$J$2649,Z$1)</f>
        <v>0</v>
      </c>
      <c r="AA147" s="144">
        <f>SUMIFS('февраль 2026'!$G$2:$G$2649,'февраль 2026'!$D$2:$D$2649,$B147,'февраль 2026'!$J$2:$J$2649,AA$1)</f>
        <v>0</v>
      </c>
      <c r="AB147" s="144">
        <f>SUMIFS('февраль 2026'!$G$2:$G$2649,'февраль 2026'!$D$2:$D$2649,$B147,'февраль 2026'!$J$2:$J$2649,AB$1)</f>
        <v>0</v>
      </c>
      <c r="AC147" s="144">
        <f>SUMIFS('февраль 2026'!$G$2:$G$2649,'февраль 2026'!$D$2:$D$2649,$B147,'февраль 2026'!$J$2:$J$2649,AC$1)</f>
        <v>0</v>
      </c>
      <c r="AD147" s="144">
        <f>SUMIFS('февраль 2026'!$G$2:$G$2649,'февраль 2026'!$D$2:$D$2649,$B147,'февраль 2026'!$J$2:$J$2649,AD$1)</f>
        <v>0</v>
      </c>
      <c r="AE147" s="144">
        <f>SUMIFS('февраль 2026'!$G$2:$G$2649,'февраль 2026'!$D$2:$D$2649,$B147,'февраль 2026'!$J$2:$J$2649,AE$1)</f>
        <v>0</v>
      </c>
      <c r="AF147" s="144">
        <f>SUMIFS('февраль 2026'!$G$2:$G$2649,'февраль 2026'!$D$2:$D$2649,$B147,'февраль 2026'!$J$2:$J$2649,AF$1)</f>
        <v>0</v>
      </c>
      <c r="AG147" s="144">
        <f>SUMIFS('февраль 2026'!$G$2:$G$2649,'февраль 2026'!$D$2:$D$2649,$B147,'февраль 2026'!$J$2:$J$2649,AG$1)</f>
        <v>0</v>
      </c>
      <c r="AH147" s="144">
        <f>SUMIFS('февраль 2026'!$G$2:$G$2649,'февраль 2026'!$D$2:$D$2649,$B147,'февраль 2026'!$J$2:$J$2649,AH$1)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SUMIFS('февраль 2026'!$G$2:$G$2649,'февраль 2026'!$D$2:$D$2649,$B148,'февраль 2026'!$J$2:$J$2649,D$1)</f>
        <v>0</v>
      </c>
      <c r="E148" s="144">
        <f>SUMIFS('февраль 2026'!$G$2:$G$2649,'февраль 2026'!$D$2:$D$2649,$B148,'февраль 2026'!$J$2:$J$2649,E$1)</f>
        <v>0</v>
      </c>
      <c r="F148" s="144">
        <f>SUMIFS('февраль 2026'!$G$2:$G$2649,'февраль 2026'!$D$2:$D$2649,$B148,'февраль 2026'!$J$2:$J$2649,F$1)</f>
        <v>0</v>
      </c>
      <c r="G148" s="144">
        <f>SUMIFS('февраль 2026'!$G$2:$G$2649,'февраль 2026'!$D$2:$D$2649,$B148,'февраль 2026'!$J$2:$J$2649,G$1)</f>
        <v>0</v>
      </c>
      <c r="H148" s="144">
        <f>SUMIFS('февраль 2026'!$G$2:$G$2649,'февраль 2026'!$D$2:$D$2649,$B148,'февраль 2026'!$J$2:$J$2649,H$1)</f>
        <v>0</v>
      </c>
      <c r="I148" s="144">
        <f>SUMIFS('февраль 2026'!$G$2:$G$2649,'февраль 2026'!$D$2:$D$2649,$B148,'февраль 2026'!$J$2:$J$2649,I$1)</f>
        <v>0</v>
      </c>
      <c r="J148" s="144">
        <f>SUMIFS('февраль 2026'!$G$2:$G$2649,'февраль 2026'!$D$2:$D$2649,$B148,'февраль 2026'!$J$2:$J$2649,J$1)</f>
        <v>0</v>
      </c>
      <c r="K148" s="144">
        <f>SUMIFS('февраль 2026'!$G$2:$G$2649,'февраль 2026'!$D$2:$D$2649,$B148,'февраль 2026'!$J$2:$J$2649,K$1)</f>
        <v>0</v>
      </c>
      <c r="L148" s="144">
        <f>SUMIFS('февраль 2026'!$G$2:$G$2649,'февраль 2026'!$D$2:$D$2649,$B148,'февраль 2026'!$J$2:$J$2649,L$1)</f>
        <v>0</v>
      </c>
      <c r="M148" s="144">
        <f>SUMIFS('февраль 2026'!$G$2:$G$2649,'февраль 2026'!$D$2:$D$2649,$B148,'февраль 2026'!$J$2:$J$2649,M$1)</f>
        <v>0</v>
      </c>
      <c r="N148" s="144">
        <f>SUMIFS('февраль 2026'!$G$2:$G$2649,'февраль 2026'!$D$2:$D$2649,$B148,'февраль 2026'!$J$2:$J$2649,N$1)</f>
        <v>0</v>
      </c>
      <c r="O148" s="144">
        <f>SUMIFS('февраль 2026'!$G$2:$G$2649,'февраль 2026'!$D$2:$D$2649,$B148,'февраль 2026'!$J$2:$J$2649,O$1)</f>
        <v>0</v>
      </c>
      <c r="P148" s="144">
        <f>SUMIFS('февраль 2026'!$G$2:$G$2649,'февраль 2026'!$D$2:$D$2649,$B148,'февраль 2026'!$J$2:$J$2649,P$1)</f>
        <v>0</v>
      </c>
      <c r="Q148" s="144">
        <f>SUMIFS('февраль 2026'!$G$2:$G$2649,'февраль 2026'!$D$2:$D$2649,$B148,'февраль 2026'!$J$2:$J$2649,Q$1)</f>
        <v>0</v>
      </c>
      <c r="R148" s="144">
        <f>SUMIFS('февраль 2026'!$G$2:$G$2649,'февраль 2026'!$D$2:$D$2649,$B148,'февраль 2026'!$J$2:$J$2649,R$1)</f>
        <v>0</v>
      </c>
      <c r="S148" s="144">
        <f>SUMIFS('февраль 2026'!$G$2:$G$2649,'февраль 2026'!$D$2:$D$2649,$B148,'февраль 2026'!$J$2:$J$2649,S$1)</f>
        <v>0</v>
      </c>
      <c r="T148" s="144">
        <f>SUMIFS('февраль 2026'!$G$2:$G$2649,'февраль 2026'!$D$2:$D$2649,$B148,'февраль 2026'!$J$2:$J$2649,T$1)</f>
        <v>0</v>
      </c>
      <c r="U148" s="144">
        <f>SUMIFS('февраль 2026'!$G$2:$G$2649,'февраль 2026'!$D$2:$D$2649,$B148,'февраль 2026'!$J$2:$J$2649,U$1)</f>
        <v>0</v>
      </c>
      <c r="V148" s="144">
        <f>SUMIFS('февраль 2026'!$G$2:$G$2649,'февраль 2026'!$D$2:$D$2649,$B148,'февраль 2026'!$J$2:$J$2649,V$1)</f>
        <v>0</v>
      </c>
      <c r="W148" s="144">
        <f>SUMIFS('февраль 2026'!$G$2:$G$2649,'февраль 2026'!$D$2:$D$2649,$B148,'февраль 2026'!$J$2:$J$2649,W$1)</f>
        <v>0</v>
      </c>
      <c r="X148" s="144">
        <f>SUMIFS('февраль 2026'!$G$2:$G$2649,'февраль 2026'!$D$2:$D$2649,$B148,'февраль 2026'!$J$2:$J$2649,X$1)</f>
        <v>0</v>
      </c>
      <c r="Y148" s="144">
        <f>SUMIFS('февраль 2026'!$G$2:$G$2649,'февраль 2026'!$D$2:$D$2649,$B148,'февраль 2026'!$J$2:$J$2649,Y$1)</f>
        <v>0</v>
      </c>
      <c r="Z148" s="144">
        <f>SUMIFS('февраль 2026'!$G$2:$G$2649,'февраль 2026'!$D$2:$D$2649,$B148,'февраль 2026'!$J$2:$J$2649,Z$1)</f>
        <v>0</v>
      </c>
      <c r="AA148" s="144">
        <f>SUMIFS('февраль 2026'!$G$2:$G$2649,'февраль 2026'!$D$2:$D$2649,$B148,'февраль 2026'!$J$2:$J$2649,AA$1)</f>
        <v>0</v>
      </c>
      <c r="AB148" s="144">
        <f>SUMIFS('февраль 2026'!$G$2:$G$2649,'февраль 2026'!$D$2:$D$2649,$B148,'февраль 2026'!$J$2:$J$2649,AB$1)</f>
        <v>0</v>
      </c>
      <c r="AC148" s="144">
        <f>SUMIFS('февраль 2026'!$G$2:$G$2649,'февраль 2026'!$D$2:$D$2649,$B148,'февраль 2026'!$J$2:$J$2649,AC$1)</f>
        <v>0</v>
      </c>
      <c r="AD148" s="144">
        <f>SUMIFS('февраль 2026'!$G$2:$G$2649,'февраль 2026'!$D$2:$D$2649,$B148,'февраль 2026'!$J$2:$J$2649,AD$1)</f>
        <v>0</v>
      </c>
      <c r="AE148" s="144">
        <f>SUMIFS('февраль 2026'!$G$2:$G$2649,'февраль 2026'!$D$2:$D$2649,$B148,'февраль 2026'!$J$2:$J$2649,AE$1)</f>
        <v>0</v>
      </c>
      <c r="AF148" s="144">
        <f>SUMIFS('февраль 2026'!$G$2:$G$2649,'февраль 2026'!$D$2:$D$2649,$B148,'февраль 2026'!$J$2:$J$2649,AF$1)</f>
        <v>0</v>
      </c>
      <c r="AG148" s="144">
        <f>SUMIFS('февраль 2026'!$G$2:$G$2649,'февраль 2026'!$D$2:$D$2649,$B148,'февраль 2026'!$J$2:$J$2649,AG$1)</f>
        <v>0</v>
      </c>
      <c r="AH148" s="144">
        <f>SUMIFS('февраль 2026'!$G$2:$G$2649,'февраль 2026'!$D$2:$D$2649,$B148,'февраль 2026'!$J$2:$J$2649,AH$1)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SUMIFS('февраль 2026'!$G$2:$G$2649,'февраль 2026'!$D$2:$D$2649,$B149,'февраль 2026'!$J$2:$J$2649,D$1)</f>
        <v>0</v>
      </c>
      <c r="E149" s="144">
        <f>SUMIFS('февраль 2026'!$G$2:$G$2649,'февраль 2026'!$D$2:$D$2649,$B149,'февраль 2026'!$J$2:$J$2649,E$1)</f>
        <v>0</v>
      </c>
      <c r="F149" s="144">
        <f>SUMIFS('февраль 2026'!$G$2:$G$2649,'февраль 2026'!$D$2:$D$2649,$B149,'февраль 2026'!$J$2:$J$2649,F$1)</f>
        <v>0</v>
      </c>
      <c r="G149" s="144">
        <f>SUMIFS('февраль 2026'!$G$2:$G$2649,'февраль 2026'!$D$2:$D$2649,$B149,'февраль 2026'!$J$2:$J$2649,G$1)</f>
        <v>0</v>
      </c>
      <c r="H149" s="144">
        <f>SUMIFS('февраль 2026'!$G$2:$G$2649,'февраль 2026'!$D$2:$D$2649,$B149,'февраль 2026'!$J$2:$J$2649,H$1)</f>
        <v>0</v>
      </c>
      <c r="I149" s="144">
        <f>SUMIFS('февраль 2026'!$G$2:$G$2649,'февраль 2026'!$D$2:$D$2649,$B149,'февраль 2026'!$J$2:$J$2649,I$1)</f>
        <v>0</v>
      </c>
      <c r="J149" s="144">
        <f>SUMIFS('февраль 2026'!$G$2:$G$2649,'февраль 2026'!$D$2:$D$2649,$B149,'февраль 2026'!$J$2:$J$2649,J$1)</f>
        <v>0</v>
      </c>
      <c r="K149" s="144">
        <f>SUMIFS('февраль 2026'!$G$2:$G$2649,'февраль 2026'!$D$2:$D$2649,$B149,'февраль 2026'!$J$2:$J$2649,K$1)</f>
        <v>0</v>
      </c>
      <c r="L149" s="144">
        <f>SUMIFS('февраль 2026'!$G$2:$G$2649,'февраль 2026'!$D$2:$D$2649,$B149,'февраль 2026'!$J$2:$J$2649,L$1)</f>
        <v>0</v>
      </c>
      <c r="M149" s="144">
        <f>SUMIFS('февраль 2026'!$G$2:$G$2649,'февраль 2026'!$D$2:$D$2649,$B149,'февраль 2026'!$J$2:$J$2649,M$1)</f>
        <v>0</v>
      </c>
      <c r="N149" s="144">
        <f>SUMIFS('февраль 2026'!$G$2:$G$2649,'февраль 2026'!$D$2:$D$2649,$B149,'февраль 2026'!$J$2:$J$2649,N$1)</f>
        <v>0</v>
      </c>
      <c r="O149" s="144">
        <f>SUMIFS('февраль 2026'!$G$2:$G$2649,'февраль 2026'!$D$2:$D$2649,$B149,'февраль 2026'!$J$2:$J$2649,O$1)</f>
        <v>0</v>
      </c>
      <c r="P149" s="144">
        <f>SUMIFS('февраль 2026'!$G$2:$G$2649,'февраль 2026'!$D$2:$D$2649,$B149,'февраль 2026'!$J$2:$J$2649,P$1)</f>
        <v>0</v>
      </c>
      <c r="Q149" s="144">
        <f>SUMIFS('февраль 2026'!$G$2:$G$2649,'февраль 2026'!$D$2:$D$2649,$B149,'февраль 2026'!$J$2:$J$2649,Q$1)</f>
        <v>0</v>
      </c>
      <c r="R149" s="144">
        <f>SUMIFS('февраль 2026'!$G$2:$G$2649,'февраль 2026'!$D$2:$D$2649,$B149,'февраль 2026'!$J$2:$J$2649,R$1)</f>
        <v>0</v>
      </c>
      <c r="S149" s="144">
        <f>SUMIFS('февраль 2026'!$G$2:$G$2649,'февраль 2026'!$D$2:$D$2649,$B149,'февраль 2026'!$J$2:$J$2649,S$1)</f>
        <v>0</v>
      </c>
      <c r="T149" s="144">
        <f>SUMIFS('февраль 2026'!$G$2:$G$2649,'февраль 2026'!$D$2:$D$2649,$B149,'февраль 2026'!$J$2:$J$2649,T$1)</f>
        <v>0</v>
      </c>
      <c r="U149" s="144">
        <f>SUMIFS('февраль 2026'!$G$2:$G$2649,'февраль 2026'!$D$2:$D$2649,$B149,'февраль 2026'!$J$2:$J$2649,U$1)</f>
        <v>0</v>
      </c>
      <c r="V149" s="144">
        <f>SUMIFS('февраль 2026'!$G$2:$G$2649,'февраль 2026'!$D$2:$D$2649,$B149,'февраль 2026'!$J$2:$J$2649,V$1)</f>
        <v>0</v>
      </c>
      <c r="W149" s="144">
        <f>SUMIFS('февраль 2026'!$G$2:$G$2649,'февраль 2026'!$D$2:$D$2649,$B149,'февраль 2026'!$J$2:$J$2649,W$1)</f>
        <v>0</v>
      </c>
      <c r="X149" s="144">
        <f>SUMIFS('февраль 2026'!$G$2:$G$2649,'февраль 2026'!$D$2:$D$2649,$B149,'февраль 2026'!$J$2:$J$2649,X$1)</f>
        <v>0</v>
      </c>
      <c r="Y149" s="144">
        <f>SUMIFS('февраль 2026'!$G$2:$G$2649,'февраль 2026'!$D$2:$D$2649,$B149,'февраль 2026'!$J$2:$J$2649,Y$1)</f>
        <v>0</v>
      </c>
      <c r="Z149" s="144">
        <f>SUMIFS('февраль 2026'!$G$2:$G$2649,'февраль 2026'!$D$2:$D$2649,$B149,'февраль 2026'!$J$2:$J$2649,Z$1)</f>
        <v>0</v>
      </c>
      <c r="AA149" s="144">
        <f>SUMIFS('февраль 2026'!$G$2:$G$2649,'февраль 2026'!$D$2:$D$2649,$B149,'февраль 2026'!$J$2:$J$2649,AA$1)</f>
        <v>0</v>
      </c>
      <c r="AB149" s="144">
        <f>SUMIFS('февраль 2026'!$G$2:$G$2649,'февраль 2026'!$D$2:$D$2649,$B149,'февраль 2026'!$J$2:$J$2649,AB$1)</f>
        <v>0</v>
      </c>
      <c r="AC149" s="144">
        <f>SUMIFS('февраль 2026'!$G$2:$G$2649,'февраль 2026'!$D$2:$D$2649,$B149,'февраль 2026'!$J$2:$J$2649,AC$1)</f>
        <v>0</v>
      </c>
      <c r="AD149" s="144">
        <f>SUMIFS('февраль 2026'!$G$2:$G$2649,'февраль 2026'!$D$2:$D$2649,$B149,'февраль 2026'!$J$2:$J$2649,AD$1)</f>
        <v>0</v>
      </c>
      <c r="AE149" s="144">
        <f>SUMIFS('февраль 2026'!$G$2:$G$2649,'февраль 2026'!$D$2:$D$2649,$B149,'февраль 2026'!$J$2:$J$2649,AE$1)</f>
        <v>0</v>
      </c>
      <c r="AF149" s="144">
        <f>SUMIFS('февраль 2026'!$G$2:$G$2649,'февраль 2026'!$D$2:$D$2649,$B149,'февраль 2026'!$J$2:$J$2649,AF$1)</f>
        <v>0</v>
      </c>
      <c r="AG149" s="144">
        <f>SUMIFS('февраль 2026'!$G$2:$G$2649,'февраль 2026'!$D$2:$D$2649,$B149,'февраль 2026'!$J$2:$J$2649,AG$1)</f>
        <v>0</v>
      </c>
      <c r="AH149" s="144">
        <f>SUMIFS('февраль 2026'!$G$2:$G$2649,'февраль 2026'!$D$2:$D$2649,$B149,'февраль 2026'!$J$2:$J$2649,AH$1)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SUMIFS('февраль 2026'!$G$2:$G$2649,'февраль 2026'!$D$2:$D$2649,$B150,'февраль 2026'!$J$2:$J$2649,D$1)</f>
        <v>0</v>
      </c>
      <c r="E150" s="144">
        <f>SUMIFS('февраль 2026'!$G$2:$G$2649,'февраль 2026'!$D$2:$D$2649,$B150,'февраль 2026'!$J$2:$J$2649,E$1)</f>
        <v>0</v>
      </c>
      <c r="F150" s="144">
        <f>SUMIFS('февраль 2026'!$G$2:$G$2649,'февраль 2026'!$D$2:$D$2649,$B150,'февраль 2026'!$J$2:$J$2649,F$1)</f>
        <v>0</v>
      </c>
      <c r="G150" s="144">
        <f>SUMIFS('февраль 2026'!$G$2:$G$2649,'февраль 2026'!$D$2:$D$2649,$B150,'февраль 2026'!$J$2:$J$2649,G$1)</f>
        <v>0</v>
      </c>
      <c r="H150" s="144">
        <f>SUMIFS('февраль 2026'!$G$2:$G$2649,'февраль 2026'!$D$2:$D$2649,$B150,'февраль 2026'!$J$2:$J$2649,H$1)</f>
        <v>0</v>
      </c>
      <c r="I150" s="144">
        <f>SUMIFS('февраль 2026'!$G$2:$G$2649,'февраль 2026'!$D$2:$D$2649,$B150,'февраль 2026'!$J$2:$J$2649,I$1)</f>
        <v>0</v>
      </c>
      <c r="J150" s="144">
        <f>SUMIFS('февраль 2026'!$G$2:$G$2649,'февраль 2026'!$D$2:$D$2649,$B150,'февраль 2026'!$J$2:$J$2649,J$1)</f>
        <v>0</v>
      </c>
      <c r="K150" s="144">
        <f>SUMIFS('февраль 2026'!$G$2:$G$2649,'февраль 2026'!$D$2:$D$2649,$B150,'февраль 2026'!$J$2:$J$2649,K$1)</f>
        <v>0</v>
      </c>
      <c r="L150" s="144">
        <f>SUMIFS('февраль 2026'!$G$2:$G$2649,'февраль 2026'!$D$2:$D$2649,$B150,'февраль 2026'!$J$2:$J$2649,L$1)</f>
        <v>0</v>
      </c>
      <c r="M150" s="144">
        <f>SUMIFS('февраль 2026'!$G$2:$G$2649,'февраль 2026'!$D$2:$D$2649,$B150,'февраль 2026'!$J$2:$J$2649,M$1)</f>
        <v>0</v>
      </c>
      <c r="N150" s="144">
        <f>SUMIFS('февраль 2026'!$G$2:$G$2649,'февраль 2026'!$D$2:$D$2649,$B150,'февраль 2026'!$J$2:$J$2649,N$1)</f>
        <v>0</v>
      </c>
      <c r="O150" s="144">
        <f>SUMIFS('февраль 2026'!$G$2:$G$2649,'февраль 2026'!$D$2:$D$2649,$B150,'февраль 2026'!$J$2:$J$2649,O$1)</f>
        <v>0</v>
      </c>
      <c r="P150" s="144">
        <f>SUMIFS('февраль 2026'!$G$2:$G$2649,'февраль 2026'!$D$2:$D$2649,$B150,'февраль 2026'!$J$2:$J$2649,P$1)</f>
        <v>0</v>
      </c>
      <c r="Q150" s="144">
        <f>SUMIFS('февраль 2026'!$G$2:$G$2649,'февраль 2026'!$D$2:$D$2649,$B150,'февраль 2026'!$J$2:$J$2649,Q$1)</f>
        <v>0</v>
      </c>
      <c r="R150" s="144">
        <f>SUMIFS('февраль 2026'!$G$2:$G$2649,'февраль 2026'!$D$2:$D$2649,$B150,'февраль 2026'!$J$2:$J$2649,R$1)</f>
        <v>0</v>
      </c>
      <c r="S150" s="144">
        <f>SUMIFS('февраль 2026'!$G$2:$G$2649,'февраль 2026'!$D$2:$D$2649,$B150,'февраль 2026'!$J$2:$J$2649,S$1)</f>
        <v>0</v>
      </c>
      <c r="T150" s="144">
        <f>SUMIFS('февраль 2026'!$G$2:$G$2649,'февраль 2026'!$D$2:$D$2649,$B150,'февраль 2026'!$J$2:$J$2649,T$1)</f>
        <v>0</v>
      </c>
      <c r="U150" s="144">
        <f>SUMIFS('февраль 2026'!$G$2:$G$2649,'февраль 2026'!$D$2:$D$2649,$B150,'февраль 2026'!$J$2:$J$2649,U$1)</f>
        <v>0</v>
      </c>
      <c r="V150" s="144">
        <f>SUMIFS('февраль 2026'!$G$2:$G$2649,'февраль 2026'!$D$2:$D$2649,$B150,'февраль 2026'!$J$2:$J$2649,V$1)</f>
        <v>0</v>
      </c>
      <c r="W150" s="144">
        <f>SUMIFS('февраль 2026'!$G$2:$G$2649,'февраль 2026'!$D$2:$D$2649,$B150,'февраль 2026'!$J$2:$J$2649,W$1)</f>
        <v>0</v>
      </c>
      <c r="X150" s="144">
        <f>SUMIFS('февраль 2026'!$G$2:$G$2649,'февраль 2026'!$D$2:$D$2649,$B150,'февраль 2026'!$J$2:$J$2649,X$1)</f>
        <v>0</v>
      </c>
      <c r="Y150" s="144">
        <f>SUMIFS('февраль 2026'!$G$2:$G$2649,'февраль 2026'!$D$2:$D$2649,$B150,'февраль 2026'!$J$2:$J$2649,Y$1)</f>
        <v>0</v>
      </c>
      <c r="Z150" s="144">
        <f>SUMIFS('февраль 2026'!$G$2:$G$2649,'февраль 2026'!$D$2:$D$2649,$B150,'февраль 2026'!$J$2:$J$2649,Z$1)</f>
        <v>0</v>
      </c>
      <c r="AA150" s="144">
        <f>SUMIFS('февраль 2026'!$G$2:$G$2649,'февраль 2026'!$D$2:$D$2649,$B150,'февраль 2026'!$J$2:$J$2649,AA$1)</f>
        <v>0</v>
      </c>
      <c r="AB150" s="144">
        <f>SUMIFS('февраль 2026'!$G$2:$G$2649,'февраль 2026'!$D$2:$D$2649,$B150,'февраль 2026'!$J$2:$J$2649,AB$1)</f>
        <v>0</v>
      </c>
      <c r="AC150" s="144">
        <f>SUMIFS('февраль 2026'!$G$2:$G$2649,'февраль 2026'!$D$2:$D$2649,$B150,'февраль 2026'!$J$2:$J$2649,AC$1)</f>
        <v>0</v>
      </c>
      <c r="AD150" s="144">
        <f>SUMIFS('февраль 2026'!$G$2:$G$2649,'февраль 2026'!$D$2:$D$2649,$B150,'февраль 2026'!$J$2:$J$2649,AD$1)</f>
        <v>0</v>
      </c>
      <c r="AE150" s="144">
        <f>SUMIFS('февраль 2026'!$G$2:$G$2649,'февраль 2026'!$D$2:$D$2649,$B150,'февраль 2026'!$J$2:$J$2649,AE$1)</f>
        <v>0</v>
      </c>
      <c r="AF150" s="144">
        <f>SUMIFS('февраль 2026'!$G$2:$G$2649,'февраль 2026'!$D$2:$D$2649,$B150,'февраль 2026'!$J$2:$J$2649,AF$1)</f>
        <v>0</v>
      </c>
      <c r="AG150" s="144">
        <f>SUMIFS('февраль 2026'!$G$2:$G$2649,'февраль 2026'!$D$2:$D$2649,$B150,'февраль 2026'!$J$2:$J$2649,AG$1)</f>
        <v>0</v>
      </c>
      <c r="AH150" s="144">
        <f>SUMIFS('февраль 2026'!$G$2:$G$2649,'февраль 2026'!$D$2:$D$2649,$B150,'февраль 2026'!$J$2:$J$2649,AH$1)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SUMIFS('февраль 2026'!$G$2:$G$2649,'февраль 2026'!$D$2:$D$2649,$B151,'февраль 2026'!$J$2:$J$2649,D$1)</f>
        <v>0</v>
      </c>
      <c r="E151" s="144">
        <f>SUMIFS('февраль 2026'!$G$2:$G$2649,'февраль 2026'!$D$2:$D$2649,$B151,'февраль 2026'!$J$2:$J$2649,E$1)</f>
        <v>0</v>
      </c>
      <c r="F151" s="144">
        <f>SUMIFS('февраль 2026'!$G$2:$G$2649,'февраль 2026'!$D$2:$D$2649,$B151,'февраль 2026'!$J$2:$J$2649,F$1)</f>
        <v>0</v>
      </c>
      <c r="G151" s="144">
        <f>SUMIFS('февраль 2026'!$G$2:$G$2649,'февраль 2026'!$D$2:$D$2649,$B151,'февраль 2026'!$J$2:$J$2649,G$1)</f>
        <v>0</v>
      </c>
      <c r="H151" s="144">
        <f>SUMIFS('февраль 2026'!$G$2:$G$2649,'февраль 2026'!$D$2:$D$2649,$B151,'февраль 2026'!$J$2:$J$2649,H$1)</f>
        <v>0</v>
      </c>
      <c r="I151" s="144">
        <f>SUMIFS('февраль 2026'!$G$2:$G$2649,'февраль 2026'!$D$2:$D$2649,$B151,'февраль 2026'!$J$2:$J$2649,I$1)</f>
        <v>0</v>
      </c>
      <c r="J151" s="144">
        <f>SUMIFS('февраль 2026'!$G$2:$G$2649,'февраль 2026'!$D$2:$D$2649,$B151,'февраль 2026'!$J$2:$J$2649,J$1)</f>
        <v>0</v>
      </c>
      <c r="K151" s="144">
        <f>SUMIFS('февраль 2026'!$G$2:$G$2649,'февраль 2026'!$D$2:$D$2649,$B151,'февраль 2026'!$J$2:$J$2649,K$1)</f>
        <v>0</v>
      </c>
      <c r="L151" s="144">
        <f>SUMIFS('февраль 2026'!$G$2:$G$2649,'февраль 2026'!$D$2:$D$2649,$B151,'февраль 2026'!$J$2:$J$2649,L$1)</f>
        <v>0</v>
      </c>
      <c r="M151" s="144">
        <f>SUMIFS('февраль 2026'!$G$2:$G$2649,'февраль 2026'!$D$2:$D$2649,$B151,'февраль 2026'!$J$2:$J$2649,M$1)</f>
        <v>0</v>
      </c>
      <c r="N151" s="144">
        <f>SUMIFS('февраль 2026'!$G$2:$G$2649,'февраль 2026'!$D$2:$D$2649,$B151,'февраль 2026'!$J$2:$J$2649,N$1)</f>
        <v>0</v>
      </c>
      <c r="O151" s="144">
        <f>SUMIFS('февраль 2026'!$G$2:$G$2649,'февраль 2026'!$D$2:$D$2649,$B151,'февраль 2026'!$J$2:$J$2649,O$1)</f>
        <v>0</v>
      </c>
      <c r="P151" s="144">
        <f>SUMIFS('февраль 2026'!$G$2:$G$2649,'февраль 2026'!$D$2:$D$2649,$B151,'февраль 2026'!$J$2:$J$2649,P$1)</f>
        <v>0</v>
      </c>
      <c r="Q151" s="144">
        <f>SUMIFS('февраль 2026'!$G$2:$G$2649,'февраль 2026'!$D$2:$D$2649,$B151,'февраль 2026'!$J$2:$J$2649,Q$1)</f>
        <v>0</v>
      </c>
      <c r="R151" s="144">
        <f>SUMIFS('февраль 2026'!$G$2:$G$2649,'февраль 2026'!$D$2:$D$2649,$B151,'февраль 2026'!$J$2:$J$2649,R$1)</f>
        <v>0</v>
      </c>
      <c r="S151" s="144">
        <f>SUMIFS('февраль 2026'!$G$2:$G$2649,'февраль 2026'!$D$2:$D$2649,$B151,'февраль 2026'!$J$2:$J$2649,S$1)</f>
        <v>0</v>
      </c>
      <c r="T151" s="144">
        <f>SUMIFS('февраль 2026'!$G$2:$G$2649,'февраль 2026'!$D$2:$D$2649,$B151,'февраль 2026'!$J$2:$J$2649,T$1)</f>
        <v>0</v>
      </c>
      <c r="U151" s="144">
        <f>SUMIFS('февраль 2026'!$G$2:$G$2649,'февраль 2026'!$D$2:$D$2649,$B151,'февраль 2026'!$J$2:$J$2649,U$1)</f>
        <v>0</v>
      </c>
      <c r="V151" s="144">
        <f>SUMIFS('февраль 2026'!$G$2:$G$2649,'февраль 2026'!$D$2:$D$2649,$B151,'февраль 2026'!$J$2:$J$2649,V$1)</f>
        <v>0</v>
      </c>
      <c r="W151" s="144">
        <f>SUMIFS('февраль 2026'!$G$2:$G$2649,'февраль 2026'!$D$2:$D$2649,$B151,'февраль 2026'!$J$2:$J$2649,W$1)</f>
        <v>0</v>
      </c>
      <c r="X151" s="144">
        <f>SUMIFS('февраль 2026'!$G$2:$G$2649,'февраль 2026'!$D$2:$D$2649,$B151,'февраль 2026'!$J$2:$J$2649,X$1)</f>
        <v>0</v>
      </c>
      <c r="Y151" s="144">
        <f>SUMIFS('февраль 2026'!$G$2:$G$2649,'февраль 2026'!$D$2:$D$2649,$B151,'февраль 2026'!$J$2:$J$2649,Y$1)</f>
        <v>0</v>
      </c>
      <c r="Z151" s="144">
        <f>SUMIFS('февраль 2026'!$G$2:$G$2649,'февраль 2026'!$D$2:$D$2649,$B151,'февраль 2026'!$J$2:$J$2649,Z$1)</f>
        <v>0</v>
      </c>
      <c r="AA151" s="144">
        <f>SUMIFS('февраль 2026'!$G$2:$G$2649,'февраль 2026'!$D$2:$D$2649,$B151,'февраль 2026'!$J$2:$J$2649,AA$1)</f>
        <v>0</v>
      </c>
      <c r="AB151" s="144">
        <f>SUMIFS('февраль 2026'!$G$2:$G$2649,'февраль 2026'!$D$2:$D$2649,$B151,'февраль 2026'!$J$2:$J$2649,AB$1)</f>
        <v>0</v>
      </c>
      <c r="AC151" s="144">
        <f>SUMIFS('февраль 2026'!$G$2:$G$2649,'февраль 2026'!$D$2:$D$2649,$B151,'февраль 2026'!$J$2:$J$2649,AC$1)</f>
        <v>0</v>
      </c>
      <c r="AD151" s="144">
        <f>SUMIFS('февраль 2026'!$G$2:$G$2649,'февраль 2026'!$D$2:$D$2649,$B151,'февраль 2026'!$J$2:$J$2649,AD$1)</f>
        <v>0</v>
      </c>
      <c r="AE151" s="144">
        <f>SUMIFS('февраль 2026'!$G$2:$G$2649,'февраль 2026'!$D$2:$D$2649,$B151,'февраль 2026'!$J$2:$J$2649,AE$1)</f>
        <v>0</v>
      </c>
      <c r="AF151" s="144">
        <f>SUMIFS('февраль 2026'!$G$2:$G$2649,'февраль 2026'!$D$2:$D$2649,$B151,'февраль 2026'!$J$2:$J$2649,AF$1)</f>
        <v>0</v>
      </c>
      <c r="AG151" s="144">
        <f>SUMIFS('февраль 2026'!$G$2:$G$2649,'февраль 2026'!$D$2:$D$2649,$B151,'февраль 2026'!$J$2:$J$2649,AG$1)</f>
        <v>0</v>
      </c>
      <c r="AH151" s="144">
        <f>SUMIFS('февраль 2026'!$G$2:$G$2649,'февраль 2026'!$D$2:$D$2649,$B151,'февраль 2026'!$J$2:$J$2649,AH$1)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SUMIFS('февраль 2026'!$G$2:$G$2649,'февраль 2026'!$D$2:$D$2649,$B152,'февраль 2026'!$J$2:$J$2649,D$1)</f>
        <v>0</v>
      </c>
      <c r="E152" s="144">
        <f>SUMIFS('февраль 2026'!$G$2:$G$2649,'февраль 2026'!$D$2:$D$2649,$B152,'февраль 2026'!$J$2:$J$2649,E$1)</f>
        <v>0</v>
      </c>
      <c r="F152" s="144">
        <f>SUMIFS('февраль 2026'!$G$2:$G$2649,'февраль 2026'!$D$2:$D$2649,$B152,'февраль 2026'!$J$2:$J$2649,F$1)</f>
        <v>0</v>
      </c>
      <c r="G152" s="144">
        <f>SUMIFS('февраль 2026'!$G$2:$G$2649,'февраль 2026'!$D$2:$D$2649,$B152,'февраль 2026'!$J$2:$J$2649,G$1)</f>
        <v>0</v>
      </c>
      <c r="H152" s="144">
        <f>SUMIFS('февраль 2026'!$G$2:$G$2649,'февраль 2026'!$D$2:$D$2649,$B152,'февраль 2026'!$J$2:$J$2649,H$1)</f>
        <v>0</v>
      </c>
      <c r="I152" s="144">
        <f>SUMIFS('февраль 2026'!$G$2:$G$2649,'февраль 2026'!$D$2:$D$2649,$B152,'февраль 2026'!$J$2:$J$2649,I$1)</f>
        <v>0</v>
      </c>
      <c r="J152" s="144">
        <f>SUMIFS('февраль 2026'!$G$2:$G$2649,'февраль 2026'!$D$2:$D$2649,$B152,'февраль 2026'!$J$2:$J$2649,J$1)</f>
        <v>0</v>
      </c>
      <c r="K152" s="144">
        <f>SUMIFS('февраль 2026'!$G$2:$G$2649,'февраль 2026'!$D$2:$D$2649,$B152,'февраль 2026'!$J$2:$J$2649,K$1)</f>
        <v>0</v>
      </c>
      <c r="L152" s="144">
        <f>SUMIFS('февраль 2026'!$G$2:$G$2649,'февраль 2026'!$D$2:$D$2649,$B152,'февраль 2026'!$J$2:$J$2649,L$1)</f>
        <v>0</v>
      </c>
      <c r="M152" s="144">
        <f>SUMIFS('февраль 2026'!$G$2:$G$2649,'февраль 2026'!$D$2:$D$2649,$B152,'февраль 2026'!$J$2:$J$2649,M$1)</f>
        <v>0</v>
      </c>
      <c r="N152" s="144">
        <f>SUMIFS('февраль 2026'!$G$2:$G$2649,'февраль 2026'!$D$2:$D$2649,$B152,'февраль 2026'!$J$2:$J$2649,N$1)</f>
        <v>0</v>
      </c>
      <c r="O152" s="144">
        <f>SUMIFS('февраль 2026'!$G$2:$G$2649,'февраль 2026'!$D$2:$D$2649,$B152,'февраль 2026'!$J$2:$J$2649,O$1)</f>
        <v>0</v>
      </c>
      <c r="P152" s="144">
        <f>SUMIFS('февраль 2026'!$G$2:$G$2649,'февраль 2026'!$D$2:$D$2649,$B152,'февраль 2026'!$J$2:$J$2649,P$1)</f>
        <v>0</v>
      </c>
      <c r="Q152" s="144">
        <f>SUMIFS('февраль 2026'!$G$2:$G$2649,'февраль 2026'!$D$2:$D$2649,$B152,'февраль 2026'!$J$2:$J$2649,Q$1)</f>
        <v>0</v>
      </c>
      <c r="R152" s="144">
        <f>SUMIFS('февраль 2026'!$G$2:$G$2649,'февраль 2026'!$D$2:$D$2649,$B152,'февраль 2026'!$J$2:$J$2649,R$1)</f>
        <v>0</v>
      </c>
      <c r="S152" s="144">
        <f>SUMIFS('февраль 2026'!$G$2:$G$2649,'февраль 2026'!$D$2:$D$2649,$B152,'февраль 2026'!$J$2:$J$2649,S$1)</f>
        <v>0</v>
      </c>
      <c r="T152" s="144">
        <f>SUMIFS('февраль 2026'!$G$2:$G$2649,'февраль 2026'!$D$2:$D$2649,$B152,'февраль 2026'!$J$2:$J$2649,T$1)</f>
        <v>0</v>
      </c>
      <c r="U152" s="144">
        <f>SUMIFS('февраль 2026'!$G$2:$G$2649,'февраль 2026'!$D$2:$D$2649,$B152,'февраль 2026'!$J$2:$J$2649,U$1)</f>
        <v>0</v>
      </c>
      <c r="V152" s="144">
        <f>SUMIFS('февраль 2026'!$G$2:$G$2649,'февраль 2026'!$D$2:$D$2649,$B152,'февраль 2026'!$J$2:$J$2649,V$1)</f>
        <v>0</v>
      </c>
      <c r="W152" s="144">
        <f>SUMIFS('февраль 2026'!$G$2:$G$2649,'февраль 2026'!$D$2:$D$2649,$B152,'февраль 2026'!$J$2:$J$2649,W$1)</f>
        <v>0</v>
      </c>
      <c r="X152" s="144">
        <f>SUMIFS('февраль 2026'!$G$2:$G$2649,'февраль 2026'!$D$2:$D$2649,$B152,'февраль 2026'!$J$2:$J$2649,X$1)</f>
        <v>0</v>
      </c>
      <c r="Y152" s="144">
        <f>SUMIFS('февраль 2026'!$G$2:$G$2649,'февраль 2026'!$D$2:$D$2649,$B152,'февраль 2026'!$J$2:$J$2649,Y$1)</f>
        <v>0</v>
      </c>
      <c r="Z152" s="144">
        <f>SUMIFS('февраль 2026'!$G$2:$G$2649,'февраль 2026'!$D$2:$D$2649,$B152,'февраль 2026'!$J$2:$J$2649,Z$1)</f>
        <v>0</v>
      </c>
      <c r="AA152" s="144">
        <f>SUMIFS('февраль 2026'!$G$2:$G$2649,'февраль 2026'!$D$2:$D$2649,$B152,'февраль 2026'!$J$2:$J$2649,AA$1)</f>
        <v>0</v>
      </c>
      <c r="AB152" s="144">
        <f>SUMIFS('февраль 2026'!$G$2:$G$2649,'февраль 2026'!$D$2:$D$2649,$B152,'февраль 2026'!$J$2:$J$2649,AB$1)</f>
        <v>0</v>
      </c>
      <c r="AC152" s="144">
        <f>SUMIFS('февраль 2026'!$G$2:$G$2649,'февраль 2026'!$D$2:$D$2649,$B152,'февраль 2026'!$J$2:$J$2649,AC$1)</f>
        <v>0</v>
      </c>
      <c r="AD152" s="144">
        <f>SUMIFS('февраль 2026'!$G$2:$G$2649,'февраль 2026'!$D$2:$D$2649,$B152,'февраль 2026'!$J$2:$J$2649,AD$1)</f>
        <v>0</v>
      </c>
      <c r="AE152" s="144">
        <f>SUMIFS('февраль 2026'!$G$2:$G$2649,'февраль 2026'!$D$2:$D$2649,$B152,'февраль 2026'!$J$2:$J$2649,AE$1)</f>
        <v>0</v>
      </c>
      <c r="AF152" s="144">
        <f>SUMIFS('февраль 2026'!$G$2:$G$2649,'февраль 2026'!$D$2:$D$2649,$B152,'февраль 2026'!$J$2:$J$2649,AF$1)</f>
        <v>0</v>
      </c>
      <c r="AG152" s="144">
        <f>SUMIFS('февраль 2026'!$G$2:$G$2649,'февраль 2026'!$D$2:$D$2649,$B152,'февраль 2026'!$J$2:$J$2649,AG$1)</f>
        <v>0</v>
      </c>
      <c r="AH152" s="144">
        <f>SUMIFS('февраль 2026'!$G$2:$G$2649,'февраль 2026'!$D$2:$D$2649,$B152,'февраль 2026'!$J$2:$J$2649,AH$1)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SUMIFS('февраль 2026'!$G$2:$G$2649,'февраль 2026'!$D$2:$D$2649,$B153,'февраль 2026'!$J$2:$J$2649,D$1)</f>
        <v>0</v>
      </c>
      <c r="E153" s="144">
        <f>SUMIFS('февраль 2026'!$G$2:$G$2649,'февраль 2026'!$D$2:$D$2649,$B153,'февраль 2026'!$J$2:$J$2649,E$1)</f>
        <v>0</v>
      </c>
      <c r="F153" s="144">
        <f>SUMIFS('февраль 2026'!$G$2:$G$2649,'февраль 2026'!$D$2:$D$2649,$B153,'февраль 2026'!$J$2:$J$2649,F$1)</f>
        <v>0</v>
      </c>
      <c r="G153" s="144">
        <f>SUMIFS('февраль 2026'!$G$2:$G$2649,'февраль 2026'!$D$2:$D$2649,$B153,'февраль 2026'!$J$2:$J$2649,G$1)</f>
        <v>0</v>
      </c>
      <c r="H153" s="144">
        <f>SUMIFS('февраль 2026'!$G$2:$G$2649,'февраль 2026'!$D$2:$D$2649,$B153,'февраль 2026'!$J$2:$J$2649,H$1)</f>
        <v>0</v>
      </c>
      <c r="I153" s="144">
        <f>SUMIFS('февраль 2026'!$G$2:$G$2649,'февраль 2026'!$D$2:$D$2649,$B153,'февраль 2026'!$J$2:$J$2649,I$1)</f>
        <v>0</v>
      </c>
      <c r="J153" s="144">
        <f>SUMIFS('февраль 2026'!$G$2:$G$2649,'февраль 2026'!$D$2:$D$2649,$B153,'февраль 2026'!$J$2:$J$2649,J$1)</f>
        <v>0</v>
      </c>
      <c r="K153" s="144">
        <f>SUMIFS('февраль 2026'!$G$2:$G$2649,'февраль 2026'!$D$2:$D$2649,$B153,'февраль 2026'!$J$2:$J$2649,K$1)</f>
        <v>0</v>
      </c>
      <c r="L153" s="144">
        <f>SUMIFS('февраль 2026'!$G$2:$G$2649,'февраль 2026'!$D$2:$D$2649,$B153,'февраль 2026'!$J$2:$J$2649,L$1)</f>
        <v>0</v>
      </c>
      <c r="M153" s="144">
        <f>SUMIFS('февраль 2026'!$G$2:$G$2649,'февраль 2026'!$D$2:$D$2649,$B153,'февраль 2026'!$J$2:$J$2649,M$1)</f>
        <v>0</v>
      </c>
      <c r="N153" s="144">
        <f>SUMIFS('февраль 2026'!$G$2:$G$2649,'февраль 2026'!$D$2:$D$2649,$B153,'февраль 2026'!$J$2:$J$2649,N$1)</f>
        <v>0</v>
      </c>
      <c r="O153" s="144">
        <f>SUMIFS('февраль 2026'!$G$2:$G$2649,'февраль 2026'!$D$2:$D$2649,$B153,'февраль 2026'!$J$2:$J$2649,O$1)</f>
        <v>0</v>
      </c>
      <c r="P153" s="144">
        <f>SUMIFS('февраль 2026'!$G$2:$G$2649,'февраль 2026'!$D$2:$D$2649,$B153,'февраль 2026'!$J$2:$J$2649,P$1)</f>
        <v>0</v>
      </c>
      <c r="Q153" s="144">
        <f>SUMIFS('февраль 2026'!$G$2:$G$2649,'февраль 2026'!$D$2:$D$2649,$B153,'февраль 2026'!$J$2:$J$2649,Q$1)</f>
        <v>0</v>
      </c>
      <c r="R153" s="144">
        <f>SUMIFS('февраль 2026'!$G$2:$G$2649,'февраль 2026'!$D$2:$D$2649,$B153,'февраль 2026'!$J$2:$J$2649,R$1)</f>
        <v>0</v>
      </c>
      <c r="S153" s="144">
        <f>SUMIFS('февраль 2026'!$G$2:$G$2649,'февраль 2026'!$D$2:$D$2649,$B153,'февраль 2026'!$J$2:$J$2649,S$1)</f>
        <v>0</v>
      </c>
      <c r="T153" s="144">
        <f>SUMIFS('февраль 2026'!$G$2:$G$2649,'февраль 2026'!$D$2:$D$2649,$B153,'февраль 2026'!$J$2:$J$2649,T$1)</f>
        <v>0</v>
      </c>
      <c r="U153" s="144">
        <f>SUMIFS('февраль 2026'!$G$2:$G$2649,'февраль 2026'!$D$2:$D$2649,$B153,'февраль 2026'!$J$2:$J$2649,U$1)</f>
        <v>0</v>
      </c>
      <c r="V153" s="144">
        <f>SUMIFS('февраль 2026'!$G$2:$G$2649,'февраль 2026'!$D$2:$D$2649,$B153,'февраль 2026'!$J$2:$J$2649,V$1)</f>
        <v>0</v>
      </c>
      <c r="W153" s="144">
        <f>SUMIFS('февраль 2026'!$G$2:$G$2649,'февраль 2026'!$D$2:$D$2649,$B153,'февраль 2026'!$J$2:$J$2649,W$1)</f>
        <v>0</v>
      </c>
      <c r="X153" s="144">
        <f>SUMIFS('февраль 2026'!$G$2:$G$2649,'февраль 2026'!$D$2:$D$2649,$B153,'февраль 2026'!$J$2:$J$2649,X$1)</f>
        <v>0</v>
      </c>
      <c r="Y153" s="144">
        <f>SUMIFS('февраль 2026'!$G$2:$G$2649,'февраль 2026'!$D$2:$D$2649,$B153,'февраль 2026'!$J$2:$J$2649,Y$1)</f>
        <v>0</v>
      </c>
      <c r="Z153" s="144">
        <f>SUMIFS('февраль 2026'!$G$2:$G$2649,'февраль 2026'!$D$2:$D$2649,$B153,'февраль 2026'!$J$2:$J$2649,Z$1)</f>
        <v>0</v>
      </c>
      <c r="AA153" s="144">
        <f>SUMIFS('февраль 2026'!$G$2:$G$2649,'февраль 2026'!$D$2:$D$2649,$B153,'февраль 2026'!$J$2:$J$2649,AA$1)</f>
        <v>0</v>
      </c>
      <c r="AB153" s="144">
        <f>SUMIFS('февраль 2026'!$G$2:$G$2649,'февраль 2026'!$D$2:$D$2649,$B153,'февраль 2026'!$J$2:$J$2649,AB$1)</f>
        <v>0</v>
      </c>
      <c r="AC153" s="144">
        <f>SUMIFS('февраль 2026'!$G$2:$G$2649,'февраль 2026'!$D$2:$D$2649,$B153,'февраль 2026'!$J$2:$J$2649,AC$1)</f>
        <v>0</v>
      </c>
      <c r="AD153" s="144">
        <f>SUMIFS('февраль 2026'!$G$2:$G$2649,'февраль 2026'!$D$2:$D$2649,$B153,'февраль 2026'!$J$2:$J$2649,AD$1)</f>
        <v>0</v>
      </c>
      <c r="AE153" s="144">
        <f>SUMIFS('февраль 2026'!$G$2:$G$2649,'февраль 2026'!$D$2:$D$2649,$B153,'февраль 2026'!$J$2:$J$2649,AE$1)</f>
        <v>0</v>
      </c>
      <c r="AF153" s="144">
        <f>SUMIFS('февраль 2026'!$G$2:$G$2649,'февраль 2026'!$D$2:$D$2649,$B153,'февраль 2026'!$J$2:$J$2649,AF$1)</f>
        <v>0</v>
      </c>
      <c r="AG153" s="144">
        <f>SUMIFS('февраль 2026'!$G$2:$G$2649,'февраль 2026'!$D$2:$D$2649,$B153,'февраль 2026'!$J$2:$J$2649,AG$1)</f>
        <v>0</v>
      </c>
      <c r="AH153" s="144">
        <f>SUMIFS('февраль 2026'!$G$2:$G$2649,'февраль 2026'!$D$2:$D$2649,$B153,'февраль 2026'!$J$2:$J$2649,AH$1)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SUMIFS('февраль 2026'!$G$2:$G$2649,'февраль 2026'!$D$2:$D$2649,$B154,'февраль 2026'!$J$2:$J$2649,D$1)</f>
        <v>0</v>
      </c>
      <c r="E154" s="144">
        <f>SUMIFS('февраль 2026'!$G$2:$G$2649,'февраль 2026'!$D$2:$D$2649,$B154,'февраль 2026'!$J$2:$J$2649,E$1)</f>
        <v>0</v>
      </c>
      <c r="F154" s="144">
        <f>SUMIFS('февраль 2026'!$G$2:$G$2649,'февраль 2026'!$D$2:$D$2649,$B154,'февраль 2026'!$J$2:$J$2649,F$1)</f>
        <v>0</v>
      </c>
      <c r="G154" s="144">
        <f>SUMIFS('февраль 2026'!$G$2:$G$2649,'февраль 2026'!$D$2:$D$2649,$B154,'февраль 2026'!$J$2:$J$2649,G$1)</f>
        <v>0</v>
      </c>
      <c r="H154" s="144">
        <f>SUMIFS('февраль 2026'!$G$2:$G$2649,'февраль 2026'!$D$2:$D$2649,$B154,'февраль 2026'!$J$2:$J$2649,H$1)</f>
        <v>0</v>
      </c>
      <c r="I154" s="144">
        <f>SUMIFS('февраль 2026'!$G$2:$G$2649,'февраль 2026'!$D$2:$D$2649,$B154,'февраль 2026'!$J$2:$J$2649,I$1)</f>
        <v>0</v>
      </c>
      <c r="J154" s="144">
        <f>SUMIFS('февраль 2026'!$G$2:$G$2649,'февраль 2026'!$D$2:$D$2649,$B154,'февраль 2026'!$J$2:$J$2649,J$1)</f>
        <v>0</v>
      </c>
      <c r="K154" s="144">
        <f>SUMIFS('февраль 2026'!$G$2:$G$2649,'февраль 2026'!$D$2:$D$2649,$B154,'февраль 2026'!$J$2:$J$2649,K$1)</f>
        <v>0</v>
      </c>
      <c r="L154" s="144">
        <f>SUMIFS('февраль 2026'!$G$2:$G$2649,'февраль 2026'!$D$2:$D$2649,$B154,'февраль 2026'!$J$2:$J$2649,L$1)</f>
        <v>0</v>
      </c>
      <c r="M154" s="144">
        <f>SUMIFS('февраль 2026'!$G$2:$G$2649,'февраль 2026'!$D$2:$D$2649,$B154,'февраль 2026'!$J$2:$J$2649,M$1)</f>
        <v>0</v>
      </c>
      <c r="N154" s="144">
        <f>SUMIFS('февраль 2026'!$G$2:$G$2649,'февраль 2026'!$D$2:$D$2649,$B154,'февраль 2026'!$J$2:$J$2649,N$1)</f>
        <v>0</v>
      </c>
      <c r="O154" s="144">
        <f>SUMIFS('февраль 2026'!$G$2:$G$2649,'февраль 2026'!$D$2:$D$2649,$B154,'февраль 2026'!$J$2:$J$2649,O$1)</f>
        <v>0</v>
      </c>
      <c r="P154" s="144">
        <f>SUMIFS('февраль 2026'!$G$2:$G$2649,'февраль 2026'!$D$2:$D$2649,$B154,'февраль 2026'!$J$2:$J$2649,P$1)</f>
        <v>0</v>
      </c>
      <c r="Q154" s="144">
        <f>SUMIFS('февраль 2026'!$G$2:$G$2649,'февраль 2026'!$D$2:$D$2649,$B154,'февраль 2026'!$J$2:$J$2649,Q$1)</f>
        <v>0</v>
      </c>
      <c r="R154" s="144">
        <f>SUMIFS('февраль 2026'!$G$2:$G$2649,'февраль 2026'!$D$2:$D$2649,$B154,'февраль 2026'!$J$2:$J$2649,R$1)</f>
        <v>0</v>
      </c>
      <c r="S154" s="144">
        <f>SUMIFS('февраль 2026'!$G$2:$G$2649,'февраль 2026'!$D$2:$D$2649,$B154,'февраль 2026'!$J$2:$J$2649,S$1)</f>
        <v>0</v>
      </c>
      <c r="T154" s="144">
        <f>SUMIFS('февраль 2026'!$G$2:$G$2649,'февраль 2026'!$D$2:$D$2649,$B154,'февраль 2026'!$J$2:$J$2649,T$1)</f>
        <v>0</v>
      </c>
      <c r="U154" s="144">
        <f>SUMIFS('февраль 2026'!$G$2:$G$2649,'февраль 2026'!$D$2:$D$2649,$B154,'февраль 2026'!$J$2:$J$2649,U$1)</f>
        <v>0</v>
      </c>
      <c r="V154" s="144">
        <f>SUMIFS('февраль 2026'!$G$2:$G$2649,'февраль 2026'!$D$2:$D$2649,$B154,'февраль 2026'!$J$2:$J$2649,V$1)</f>
        <v>0</v>
      </c>
      <c r="W154" s="144">
        <f>SUMIFS('февраль 2026'!$G$2:$G$2649,'февраль 2026'!$D$2:$D$2649,$B154,'февраль 2026'!$J$2:$J$2649,W$1)</f>
        <v>0</v>
      </c>
      <c r="X154" s="144">
        <f>SUMIFS('февраль 2026'!$G$2:$G$2649,'февраль 2026'!$D$2:$D$2649,$B154,'февраль 2026'!$J$2:$J$2649,X$1)</f>
        <v>0</v>
      </c>
      <c r="Y154" s="144">
        <f>SUMIFS('февраль 2026'!$G$2:$G$2649,'февраль 2026'!$D$2:$D$2649,$B154,'февраль 2026'!$J$2:$J$2649,Y$1)</f>
        <v>0</v>
      </c>
      <c r="Z154" s="144">
        <f>SUMIFS('февраль 2026'!$G$2:$G$2649,'февраль 2026'!$D$2:$D$2649,$B154,'февраль 2026'!$J$2:$J$2649,Z$1)</f>
        <v>0</v>
      </c>
      <c r="AA154" s="144">
        <f>SUMIFS('февраль 2026'!$G$2:$G$2649,'февраль 2026'!$D$2:$D$2649,$B154,'февраль 2026'!$J$2:$J$2649,AA$1)</f>
        <v>0</v>
      </c>
      <c r="AB154" s="144">
        <f>SUMIFS('февраль 2026'!$G$2:$G$2649,'февраль 2026'!$D$2:$D$2649,$B154,'февраль 2026'!$J$2:$J$2649,AB$1)</f>
        <v>0</v>
      </c>
      <c r="AC154" s="144">
        <f>SUMIFS('февраль 2026'!$G$2:$G$2649,'февраль 2026'!$D$2:$D$2649,$B154,'февраль 2026'!$J$2:$J$2649,AC$1)</f>
        <v>0</v>
      </c>
      <c r="AD154" s="144">
        <f>SUMIFS('февраль 2026'!$G$2:$G$2649,'февраль 2026'!$D$2:$D$2649,$B154,'февраль 2026'!$J$2:$J$2649,AD$1)</f>
        <v>0</v>
      </c>
      <c r="AE154" s="144">
        <f>SUMIFS('февраль 2026'!$G$2:$G$2649,'февраль 2026'!$D$2:$D$2649,$B154,'февраль 2026'!$J$2:$J$2649,AE$1)</f>
        <v>0</v>
      </c>
      <c r="AF154" s="144">
        <f>SUMIFS('февраль 2026'!$G$2:$G$2649,'февраль 2026'!$D$2:$D$2649,$B154,'февраль 2026'!$J$2:$J$2649,AF$1)</f>
        <v>0</v>
      </c>
      <c r="AG154" s="144">
        <f>SUMIFS('февраль 2026'!$G$2:$G$2649,'февраль 2026'!$D$2:$D$2649,$B154,'февраль 2026'!$J$2:$J$2649,AG$1)</f>
        <v>0</v>
      </c>
      <c r="AH154" s="144">
        <f>SUMIFS('февраль 2026'!$G$2:$G$2649,'февраль 2026'!$D$2:$D$2649,$B154,'февраль 2026'!$J$2:$J$2649,AH$1)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SUMIFS('февраль 2026'!$G$2:$G$2649,'февраль 2026'!$D$2:$D$2649,$B155,'февраль 2026'!$J$2:$J$2649,D$1)</f>
        <v>0</v>
      </c>
      <c r="E155" s="144">
        <f>SUMIFS('февраль 2026'!$G$2:$G$2649,'февраль 2026'!$D$2:$D$2649,$B155,'февраль 2026'!$J$2:$J$2649,E$1)</f>
        <v>0</v>
      </c>
      <c r="F155" s="144">
        <f>SUMIFS('февраль 2026'!$G$2:$G$2649,'февраль 2026'!$D$2:$D$2649,$B155,'февраль 2026'!$J$2:$J$2649,F$1)</f>
        <v>0</v>
      </c>
      <c r="G155" s="144">
        <f>SUMIFS('февраль 2026'!$G$2:$G$2649,'февраль 2026'!$D$2:$D$2649,$B155,'февраль 2026'!$J$2:$J$2649,G$1)</f>
        <v>0</v>
      </c>
      <c r="H155" s="144">
        <f>SUMIFS('февраль 2026'!$G$2:$G$2649,'февраль 2026'!$D$2:$D$2649,$B155,'февраль 2026'!$J$2:$J$2649,H$1)</f>
        <v>0</v>
      </c>
      <c r="I155" s="144">
        <f>SUMIFS('февраль 2026'!$G$2:$G$2649,'февраль 2026'!$D$2:$D$2649,$B155,'февраль 2026'!$J$2:$J$2649,I$1)</f>
        <v>0</v>
      </c>
      <c r="J155" s="144">
        <f>SUMIFS('февраль 2026'!$G$2:$G$2649,'февраль 2026'!$D$2:$D$2649,$B155,'февраль 2026'!$J$2:$J$2649,J$1)</f>
        <v>0</v>
      </c>
      <c r="K155" s="144">
        <f>SUMIFS('февраль 2026'!$G$2:$G$2649,'февраль 2026'!$D$2:$D$2649,$B155,'февраль 2026'!$J$2:$J$2649,K$1)</f>
        <v>0</v>
      </c>
      <c r="L155" s="144">
        <f>SUMIFS('февраль 2026'!$G$2:$G$2649,'февраль 2026'!$D$2:$D$2649,$B155,'февраль 2026'!$J$2:$J$2649,L$1)</f>
        <v>0</v>
      </c>
      <c r="M155" s="144">
        <f>SUMIFS('февраль 2026'!$G$2:$G$2649,'февраль 2026'!$D$2:$D$2649,$B155,'февраль 2026'!$J$2:$J$2649,M$1)</f>
        <v>0</v>
      </c>
      <c r="N155" s="144">
        <f>SUMIFS('февраль 2026'!$G$2:$G$2649,'февраль 2026'!$D$2:$D$2649,$B155,'февраль 2026'!$J$2:$J$2649,N$1)</f>
        <v>0</v>
      </c>
      <c r="O155" s="144">
        <f>SUMIFS('февраль 2026'!$G$2:$G$2649,'февраль 2026'!$D$2:$D$2649,$B155,'февраль 2026'!$J$2:$J$2649,O$1)</f>
        <v>0</v>
      </c>
      <c r="P155" s="144">
        <f>SUMIFS('февраль 2026'!$G$2:$G$2649,'февраль 2026'!$D$2:$D$2649,$B155,'февраль 2026'!$J$2:$J$2649,P$1)</f>
        <v>0</v>
      </c>
      <c r="Q155" s="144">
        <f>SUMIFS('февраль 2026'!$G$2:$G$2649,'февраль 2026'!$D$2:$D$2649,$B155,'февраль 2026'!$J$2:$J$2649,Q$1)</f>
        <v>0</v>
      </c>
      <c r="R155" s="144">
        <f>SUMIFS('февраль 2026'!$G$2:$G$2649,'февраль 2026'!$D$2:$D$2649,$B155,'февраль 2026'!$J$2:$J$2649,R$1)</f>
        <v>0</v>
      </c>
      <c r="S155" s="144">
        <f>SUMIFS('февраль 2026'!$G$2:$G$2649,'февраль 2026'!$D$2:$D$2649,$B155,'февраль 2026'!$J$2:$J$2649,S$1)</f>
        <v>0</v>
      </c>
      <c r="T155" s="144">
        <f>SUMIFS('февраль 2026'!$G$2:$G$2649,'февраль 2026'!$D$2:$D$2649,$B155,'февраль 2026'!$J$2:$J$2649,T$1)</f>
        <v>0</v>
      </c>
      <c r="U155" s="144">
        <f>SUMIFS('февраль 2026'!$G$2:$G$2649,'февраль 2026'!$D$2:$D$2649,$B155,'февраль 2026'!$J$2:$J$2649,U$1)</f>
        <v>0</v>
      </c>
      <c r="V155" s="144">
        <f>SUMIFS('февраль 2026'!$G$2:$G$2649,'февраль 2026'!$D$2:$D$2649,$B155,'февраль 2026'!$J$2:$J$2649,V$1)</f>
        <v>0</v>
      </c>
      <c r="W155" s="144">
        <f>SUMIFS('февраль 2026'!$G$2:$G$2649,'февраль 2026'!$D$2:$D$2649,$B155,'февраль 2026'!$J$2:$J$2649,W$1)</f>
        <v>0</v>
      </c>
      <c r="X155" s="144">
        <f>SUMIFS('февраль 2026'!$G$2:$G$2649,'февраль 2026'!$D$2:$D$2649,$B155,'февраль 2026'!$J$2:$J$2649,X$1)</f>
        <v>0</v>
      </c>
      <c r="Y155" s="144">
        <f>SUMIFS('февраль 2026'!$G$2:$G$2649,'февраль 2026'!$D$2:$D$2649,$B155,'февраль 2026'!$J$2:$J$2649,Y$1)</f>
        <v>0</v>
      </c>
      <c r="Z155" s="144">
        <f>SUMIFS('февраль 2026'!$G$2:$G$2649,'февраль 2026'!$D$2:$D$2649,$B155,'февраль 2026'!$J$2:$J$2649,Z$1)</f>
        <v>0</v>
      </c>
      <c r="AA155" s="144">
        <f>SUMIFS('февраль 2026'!$G$2:$G$2649,'февраль 2026'!$D$2:$D$2649,$B155,'февраль 2026'!$J$2:$J$2649,AA$1)</f>
        <v>0</v>
      </c>
      <c r="AB155" s="144">
        <f>SUMIFS('февраль 2026'!$G$2:$G$2649,'февраль 2026'!$D$2:$D$2649,$B155,'февраль 2026'!$J$2:$J$2649,AB$1)</f>
        <v>0</v>
      </c>
      <c r="AC155" s="144">
        <f>SUMIFS('февраль 2026'!$G$2:$G$2649,'февраль 2026'!$D$2:$D$2649,$B155,'февраль 2026'!$J$2:$J$2649,AC$1)</f>
        <v>0</v>
      </c>
      <c r="AD155" s="144">
        <f>SUMIFS('февраль 2026'!$G$2:$G$2649,'февраль 2026'!$D$2:$D$2649,$B155,'февраль 2026'!$J$2:$J$2649,AD$1)</f>
        <v>0</v>
      </c>
      <c r="AE155" s="144">
        <f>SUMIFS('февраль 2026'!$G$2:$G$2649,'февраль 2026'!$D$2:$D$2649,$B155,'февраль 2026'!$J$2:$J$2649,AE$1)</f>
        <v>0</v>
      </c>
      <c r="AF155" s="144">
        <f>SUMIFS('февраль 2026'!$G$2:$G$2649,'февраль 2026'!$D$2:$D$2649,$B155,'февраль 2026'!$J$2:$J$2649,AF$1)</f>
        <v>0</v>
      </c>
      <c r="AG155" s="144">
        <f>SUMIFS('февраль 2026'!$G$2:$G$2649,'февраль 2026'!$D$2:$D$2649,$B155,'февраль 2026'!$J$2:$J$2649,AG$1)</f>
        <v>0</v>
      </c>
      <c r="AH155" s="144">
        <f>SUMIFS('февраль 2026'!$G$2:$G$2649,'февраль 2026'!$D$2:$D$2649,$B155,'февраль 2026'!$J$2:$J$2649,AH$1)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SUMIFS('февраль 2026'!$G$2:$G$2649,'февраль 2026'!$D$2:$D$2649,$B156,'февраль 2026'!$J$2:$J$2649,D$1)</f>
        <v>0</v>
      </c>
      <c r="E156" s="144">
        <f>SUMIFS('февраль 2026'!$G$2:$G$2649,'февраль 2026'!$D$2:$D$2649,$B156,'февраль 2026'!$J$2:$J$2649,E$1)</f>
        <v>0</v>
      </c>
      <c r="F156" s="144">
        <f>SUMIFS('февраль 2026'!$G$2:$G$2649,'февраль 2026'!$D$2:$D$2649,$B156,'февраль 2026'!$J$2:$J$2649,F$1)</f>
        <v>0</v>
      </c>
      <c r="G156" s="144">
        <f>SUMIFS('февраль 2026'!$G$2:$G$2649,'февраль 2026'!$D$2:$D$2649,$B156,'февраль 2026'!$J$2:$J$2649,G$1)</f>
        <v>0</v>
      </c>
      <c r="H156" s="144">
        <f>SUMIFS('февраль 2026'!$G$2:$G$2649,'февраль 2026'!$D$2:$D$2649,$B156,'февраль 2026'!$J$2:$J$2649,H$1)</f>
        <v>0</v>
      </c>
      <c r="I156" s="144">
        <f>SUMIFS('февраль 2026'!$G$2:$G$2649,'февраль 2026'!$D$2:$D$2649,$B156,'февраль 2026'!$J$2:$J$2649,I$1)</f>
        <v>0</v>
      </c>
      <c r="J156" s="144">
        <f>SUMIFS('февраль 2026'!$G$2:$G$2649,'февраль 2026'!$D$2:$D$2649,$B156,'февраль 2026'!$J$2:$J$2649,J$1)</f>
        <v>0</v>
      </c>
      <c r="K156" s="144">
        <f>SUMIFS('февраль 2026'!$G$2:$G$2649,'февраль 2026'!$D$2:$D$2649,$B156,'февраль 2026'!$J$2:$J$2649,K$1)</f>
        <v>0</v>
      </c>
      <c r="L156" s="144">
        <f>SUMIFS('февраль 2026'!$G$2:$G$2649,'февраль 2026'!$D$2:$D$2649,$B156,'февраль 2026'!$J$2:$J$2649,L$1)</f>
        <v>0</v>
      </c>
      <c r="M156" s="144">
        <f>SUMIFS('февраль 2026'!$G$2:$G$2649,'февраль 2026'!$D$2:$D$2649,$B156,'февраль 2026'!$J$2:$J$2649,M$1)</f>
        <v>0</v>
      </c>
      <c r="N156" s="144">
        <f>SUMIFS('февраль 2026'!$G$2:$G$2649,'февраль 2026'!$D$2:$D$2649,$B156,'февраль 2026'!$J$2:$J$2649,N$1)</f>
        <v>0</v>
      </c>
      <c r="O156" s="144">
        <f>SUMIFS('февраль 2026'!$G$2:$G$2649,'февраль 2026'!$D$2:$D$2649,$B156,'февраль 2026'!$J$2:$J$2649,O$1)</f>
        <v>0</v>
      </c>
      <c r="P156" s="144">
        <f>SUMIFS('февраль 2026'!$G$2:$G$2649,'февраль 2026'!$D$2:$D$2649,$B156,'февраль 2026'!$J$2:$J$2649,P$1)</f>
        <v>0</v>
      </c>
      <c r="Q156" s="144">
        <f>SUMIFS('февраль 2026'!$G$2:$G$2649,'февраль 2026'!$D$2:$D$2649,$B156,'февраль 2026'!$J$2:$J$2649,Q$1)</f>
        <v>0</v>
      </c>
      <c r="R156" s="144">
        <f>SUMIFS('февраль 2026'!$G$2:$G$2649,'февраль 2026'!$D$2:$D$2649,$B156,'февраль 2026'!$J$2:$J$2649,R$1)</f>
        <v>0</v>
      </c>
      <c r="S156" s="144">
        <f>SUMIFS('февраль 2026'!$G$2:$G$2649,'февраль 2026'!$D$2:$D$2649,$B156,'февраль 2026'!$J$2:$J$2649,S$1)</f>
        <v>0</v>
      </c>
      <c r="T156" s="144">
        <f>SUMIFS('февраль 2026'!$G$2:$G$2649,'февраль 2026'!$D$2:$D$2649,$B156,'февраль 2026'!$J$2:$J$2649,T$1)</f>
        <v>0</v>
      </c>
      <c r="U156" s="144">
        <f>SUMIFS('февраль 2026'!$G$2:$G$2649,'февраль 2026'!$D$2:$D$2649,$B156,'февраль 2026'!$J$2:$J$2649,U$1)</f>
        <v>0</v>
      </c>
      <c r="V156" s="144">
        <f>SUMIFS('февраль 2026'!$G$2:$G$2649,'февраль 2026'!$D$2:$D$2649,$B156,'февраль 2026'!$J$2:$J$2649,V$1)</f>
        <v>0</v>
      </c>
      <c r="W156" s="144">
        <f>SUMIFS('февраль 2026'!$G$2:$G$2649,'февраль 2026'!$D$2:$D$2649,$B156,'февраль 2026'!$J$2:$J$2649,W$1)</f>
        <v>0</v>
      </c>
      <c r="X156" s="144">
        <f>SUMIFS('февраль 2026'!$G$2:$G$2649,'февраль 2026'!$D$2:$D$2649,$B156,'февраль 2026'!$J$2:$J$2649,X$1)</f>
        <v>0</v>
      </c>
      <c r="Y156" s="144">
        <f>SUMIFS('февраль 2026'!$G$2:$G$2649,'февраль 2026'!$D$2:$D$2649,$B156,'февраль 2026'!$J$2:$J$2649,Y$1)</f>
        <v>0</v>
      </c>
      <c r="Z156" s="144">
        <f>SUMIFS('февраль 2026'!$G$2:$G$2649,'февраль 2026'!$D$2:$D$2649,$B156,'февраль 2026'!$J$2:$J$2649,Z$1)</f>
        <v>0</v>
      </c>
      <c r="AA156" s="144">
        <f>SUMIFS('февраль 2026'!$G$2:$G$2649,'февраль 2026'!$D$2:$D$2649,$B156,'февраль 2026'!$J$2:$J$2649,AA$1)</f>
        <v>0</v>
      </c>
      <c r="AB156" s="144">
        <f>SUMIFS('февраль 2026'!$G$2:$G$2649,'февраль 2026'!$D$2:$D$2649,$B156,'февраль 2026'!$J$2:$J$2649,AB$1)</f>
        <v>0</v>
      </c>
      <c r="AC156" s="144">
        <f>SUMIFS('февраль 2026'!$G$2:$G$2649,'февраль 2026'!$D$2:$D$2649,$B156,'февраль 2026'!$J$2:$J$2649,AC$1)</f>
        <v>0</v>
      </c>
      <c r="AD156" s="144">
        <f>SUMIFS('февраль 2026'!$G$2:$G$2649,'февраль 2026'!$D$2:$D$2649,$B156,'февраль 2026'!$J$2:$J$2649,AD$1)</f>
        <v>0</v>
      </c>
      <c r="AE156" s="144">
        <f>SUMIFS('февраль 2026'!$G$2:$G$2649,'февраль 2026'!$D$2:$D$2649,$B156,'февраль 2026'!$J$2:$J$2649,AE$1)</f>
        <v>0</v>
      </c>
      <c r="AF156" s="144">
        <f>SUMIFS('февраль 2026'!$G$2:$G$2649,'февраль 2026'!$D$2:$D$2649,$B156,'февраль 2026'!$J$2:$J$2649,AF$1)</f>
        <v>0</v>
      </c>
      <c r="AG156" s="144">
        <f>SUMIFS('февраль 2026'!$G$2:$G$2649,'февраль 2026'!$D$2:$D$2649,$B156,'февраль 2026'!$J$2:$J$2649,AG$1)</f>
        <v>0</v>
      </c>
      <c r="AH156" s="144">
        <f>SUMIFS('февраль 2026'!$G$2:$G$2649,'февраль 2026'!$D$2:$D$2649,$B156,'февраль 2026'!$J$2:$J$2649,AH$1)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SUMIFS('февраль 2026'!$G$2:$G$2649,'февраль 2026'!$D$2:$D$2649,$B157,'февраль 2026'!$J$2:$J$2649,D$1)</f>
        <v>0</v>
      </c>
      <c r="E157" s="144">
        <f>SUMIFS('февраль 2026'!$G$2:$G$2649,'февраль 2026'!$D$2:$D$2649,$B157,'февраль 2026'!$J$2:$J$2649,E$1)</f>
        <v>0</v>
      </c>
      <c r="F157" s="144">
        <f>SUMIFS('февраль 2026'!$G$2:$G$2649,'февраль 2026'!$D$2:$D$2649,$B157,'февраль 2026'!$J$2:$J$2649,F$1)</f>
        <v>0</v>
      </c>
      <c r="G157" s="144">
        <f>SUMIFS('февраль 2026'!$G$2:$G$2649,'февраль 2026'!$D$2:$D$2649,$B157,'февраль 2026'!$J$2:$J$2649,G$1)</f>
        <v>0</v>
      </c>
      <c r="H157" s="144">
        <f>SUMIFS('февраль 2026'!$G$2:$G$2649,'февраль 2026'!$D$2:$D$2649,$B157,'февраль 2026'!$J$2:$J$2649,H$1)</f>
        <v>0</v>
      </c>
      <c r="I157" s="144">
        <f>SUMIFS('февраль 2026'!$G$2:$G$2649,'февраль 2026'!$D$2:$D$2649,$B157,'февраль 2026'!$J$2:$J$2649,I$1)</f>
        <v>0</v>
      </c>
      <c r="J157" s="144">
        <f>SUMIFS('февраль 2026'!$G$2:$G$2649,'февраль 2026'!$D$2:$D$2649,$B157,'февраль 2026'!$J$2:$J$2649,J$1)</f>
        <v>0</v>
      </c>
      <c r="K157" s="144">
        <f>SUMIFS('февраль 2026'!$G$2:$G$2649,'февраль 2026'!$D$2:$D$2649,$B157,'февраль 2026'!$J$2:$J$2649,K$1)</f>
        <v>0</v>
      </c>
      <c r="L157" s="144">
        <f>SUMIFS('февраль 2026'!$G$2:$G$2649,'февраль 2026'!$D$2:$D$2649,$B157,'февраль 2026'!$J$2:$J$2649,L$1)</f>
        <v>0</v>
      </c>
      <c r="M157" s="144">
        <f>SUMIFS('февраль 2026'!$G$2:$G$2649,'февраль 2026'!$D$2:$D$2649,$B157,'февраль 2026'!$J$2:$J$2649,M$1)</f>
        <v>0</v>
      </c>
      <c r="N157" s="144">
        <f>SUMIFS('февраль 2026'!$G$2:$G$2649,'февраль 2026'!$D$2:$D$2649,$B157,'февраль 2026'!$J$2:$J$2649,N$1)</f>
        <v>0</v>
      </c>
      <c r="O157" s="144">
        <f>SUMIFS('февраль 2026'!$G$2:$G$2649,'февраль 2026'!$D$2:$D$2649,$B157,'февраль 2026'!$J$2:$J$2649,O$1)</f>
        <v>0</v>
      </c>
      <c r="P157" s="144">
        <f>SUMIFS('февраль 2026'!$G$2:$G$2649,'февраль 2026'!$D$2:$D$2649,$B157,'февраль 2026'!$J$2:$J$2649,P$1)</f>
        <v>0</v>
      </c>
      <c r="Q157" s="144">
        <f>SUMIFS('февраль 2026'!$G$2:$G$2649,'февраль 2026'!$D$2:$D$2649,$B157,'февраль 2026'!$J$2:$J$2649,Q$1)</f>
        <v>0</v>
      </c>
      <c r="R157" s="144">
        <f>SUMIFS('февраль 2026'!$G$2:$G$2649,'февраль 2026'!$D$2:$D$2649,$B157,'февраль 2026'!$J$2:$J$2649,R$1)</f>
        <v>0</v>
      </c>
      <c r="S157" s="144">
        <f>SUMIFS('февраль 2026'!$G$2:$G$2649,'февраль 2026'!$D$2:$D$2649,$B157,'февраль 2026'!$J$2:$J$2649,S$1)</f>
        <v>0</v>
      </c>
      <c r="T157" s="144">
        <f>SUMIFS('февраль 2026'!$G$2:$G$2649,'февраль 2026'!$D$2:$D$2649,$B157,'февраль 2026'!$J$2:$J$2649,T$1)</f>
        <v>0</v>
      </c>
      <c r="U157" s="144">
        <f>SUMIFS('февраль 2026'!$G$2:$G$2649,'февраль 2026'!$D$2:$D$2649,$B157,'февраль 2026'!$J$2:$J$2649,U$1)</f>
        <v>0</v>
      </c>
      <c r="V157" s="144">
        <f>SUMIFS('февраль 2026'!$G$2:$G$2649,'февраль 2026'!$D$2:$D$2649,$B157,'февраль 2026'!$J$2:$J$2649,V$1)</f>
        <v>0</v>
      </c>
      <c r="W157" s="144">
        <f>SUMIFS('февраль 2026'!$G$2:$G$2649,'февраль 2026'!$D$2:$D$2649,$B157,'февраль 2026'!$J$2:$J$2649,W$1)</f>
        <v>0</v>
      </c>
      <c r="X157" s="144">
        <f>SUMIFS('февраль 2026'!$G$2:$G$2649,'февраль 2026'!$D$2:$D$2649,$B157,'февраль 2026'!$J$2:$J$2649,X$1)</f>
        <v>0</v>
      </c>
      <c r="Y157" s="144">
        <f>SUMIFS('февраль 2026'!$G$2:$G$2649,'февраль 2026'!$D$2:$D$2649,$B157,'февраль 2026'!$J$2:$J$2649,Y$1)</f>
        <v>0</v>
      </c>
      <c r="Z157" s="144">
        <f>SUMIFS('февраль 2026'!$G$2:$G$2649,'февраль 2026'!$D$2:$D$2649,$B157,'февраль 2026'!$J$2:$J$2649,Z$1)</f>
        <v>0</v>
      </c>
      <c r="AA157" s="144">
        <f>SUMIFS('февраль 2026'!$G$2:$G$2649,'февраль 2026'!$D$2:$D$2649,$B157,'февраль 2026'!$J$2:$J$2649,AA$1)</f>
        <v>0</v>
      </c>
      <c r="AB157" s="144">
        <f>SUMIFS('февраль 2026'!$G$2:$G$2649,'февраль 2026'!$D$2:$D$2649,$B157,'февраль 2026'!$J$2:$J$2649,AB$1)</f>
        <v>0</v>
      </c>
      <c r="AC157" s="144">
        <f>SUMIFS('февраль 2026'!$G$2:$G$2649,'февраль 2026'!$D$2:$D$2649,$B157,'февраль 2026'!$J$2:$J$2649,AC$1)</f>
        <v>0</v>
      </c>
      <c r="AD157" s="144">
        <f>SUMIFS('февраль 2026'!$G$2:$G$2649,'февраль 2026'!$D$2:$D$2649,$B157,'февраль 2026'!$J$2:$J$2649,AD$1)</f>
        <v>0</v>
      </c>
      <c r="AE157" s="144">
        <f>SUMIFS('февраль 2026'!$G$2:$G$2649,'февраль 2026'!$D$2:$D$2649,$B157,'февраль 2026'!$J$2:$J$2649,AE$1)</f>
        <v>0</v>
      </c>
      <c r="AF157" s="144">
        <f>SUMIFS('февраль 2026'!$G$2:$G$2649,'февраль 2026'!$D$2:$D$2649,$B157,'февраль 2026'!$J$2:$J$2649,AF$1)</f>
        <v>0</v>
      </c>
      <c r="AG157" s="144">
        <f>SUMIFS('февраль 2026'!$G$2:$G$2649,'февраль 2026'!$D$2:$D$2649,$B157,'февраль 2026'!$J$2:$J$2649,AG$1)</f>
        <v>0</v>
      </c>
      <c r="AH157" s="144">
        <f>SUMIFS('февраль 2026'!$G$2:$G$2649,'февраль 2026'!$D$2:$D$2649,$B157,'февраль 2026'!$J$2:$J$2649,AH$1)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SUMIFS('февраль 2026'!$G$2:$G$2649,'февраль 2026'!$D$2:$D$2649,$B158,'февраль 2026'!$J$2:$J$2649,D$1)</f>
        <v>0</v>
      </c>
      <c r="E158" s="144">
        <f>SUMIFS('февраль 2026'!$G$2:$G$2649,'февраль 2026'!$D$2:$D$2649,$B158,'февраль 2026'!$J$2:$J$2649,E$1)</f>
        <v>0</v>
      </c>
      <c r="F158" s="144">
        <f>SUMIFS('февраль 2026'!$G$2:$G$2649,'февраль 2026'!$D$2:$D$2649,$B158,'февраль 2026'!$J$2:$J$2649,F$1)</f>
        <v>0</v>
      </c>
      <c r="G158" s="144">
        <f>SUMIFS('февраль 2026'!$G$2:$G$2649,'февраль 2026'!$D$2:$D$2649,$B158,'февраль 2026'!$J$2:$J$2649,G$1)</f>
        <v>0</v>
      </c>
      <c r="H158" s="144">
        <f>SUMIFS('февраль 2026'!$G$2:$G$2649,'февраль 2026'!$D$2:$D$2649,$B158,'февраль 2026'!$J$2:$J$2649,H$1)</f>
        <v>0</v>
      </c>
      <c r="I158" s="144">
        <f>SUMIFS('февраль 2026'!$G$2:$G$2649,'февраль 2026'!$D$2:$D$2649,$B158,'февраль 2026'!$J$2:$J$2649,I$1)</f>
        <v>0</v>
      </c>
      <c r="J158" s="144">
        <f>SUMIFS('февраль 2026'!$G$2:$G$2649,'февраль 2026'!$D$2:$D$2649,$B158,'февраль 2026'!$J$2:$J$2649,J$1)</f>
        <v>0</v>
      </c>
      <c r="K158" s="144">
        <f>SUMIFS('февраль 2026'!$G$2:$G$2649,'февраль 2026'!$D$2:$D$2649,$B158,'февраль 2026'!$J$2:$J$2649,K$1)</f>
        <v>0</v>
      </c>
      <c r="L158" s="144">
        <f>SUMIFS('февраль 2026'!$G$2:$G$2649,'февраль 2026'!$D$2:$D$2649,$B158,'февраль 2026'!$J$2:$J$2649,L$1)</f>
        <v>0</v>
      </c>
      <c r="M158" s="144">
        <f>SUMIFS('февраль 2026'!$G$2:$G$2649,'февраль 2026'!$D$2:$D$2649,$B158,'февраль 2026'!$J$2:$J$2649,M$1)</f>
        <v>0</v>
      </c>
      <c r="N158" s="144">
        <f>SUMIFS('февраль 2026'!$G$2:$G$2649,'февраль 2026'!$D$2:$D$2649,$B158,'февраль 2026'!$J$2:$J$2649,N$1)</f>
        <v>0</v>
      </c>
      <c r="O158" s="144">
        <f>SUMIFS('февраль 2026'!$G$2:$G$2649,'февраль 2026'!$D$2:$D$2649,$B158,'февраль 2026'!$J$2:$J$2649,O$1)</f>
        <v>0</v>
      </c>
      <c r="P158" s="144">
        <f>SUMIFS('февраль 2026'!$G$2:$G$2649,'февраль 2026'!$D$2:$D$2649,$B158,'февраль 2026'!$J$2:$J$2649,P$1)</f>
        <v>0</v>
      </c>
      <c r="Q158" s="144">
        <f>SUMIFS('февраль 2026'!$G$2:$G$2649,'февраль 2026'!$D$2:$D$2649,$B158,'февраль 2026'!$J$2:$J$2649,Q$1)</f>
        <v>0</v>
      </c>
      <c r="R158" s="144">
        <f>SUMIFS('февраль 2026'!$G$2:$G$2649,'февраль 2026'!$D$2:$D$2649,$B158,'февраль 2026'!$J$2:$J$2649,R$1)</f>
        <v>0</v>
      </c>
      <c r="S158" s="144">
        <f>SUMIFS('февраль 2026'!$G$2:$G$2649,'февраль 2026'!$D$2:$D$2649,$B158,'февраль 2026'!$J$2:$J$2649,S$1)</f>
        <v>0</v>
      </c>
      <c r="T158" s="144">
        <f>SUMIFS('февраль 2026'!$G$2:$G$2649,'февраль 2026'!$D$2:$D$2649,$B158,'февраль 2026'!$J$2:$J$2649,T$1)</f>
        <v>0</v>
      </c>
      <c r="U158" s="144">
        <f>SUMIFS('февраль 2026'!$G$2:$G$2649,'февраль 2026'!$D$2:$D$2649,$B158,'февраль 2026'!$J$2:$J$2649,U$1)</f>
        <v>0</v>
      </c>
      <c r="V158" s="144">
        <f>SUMIFS('февраль 2026'!$G$2:$G$2649,'февраль 2026'!$D$2:$D$2649,$B158,'февраль 2026'!$J$2:$J$2649,V$1)</f>
        <v>0</v>
      </c>
      <c r="W158" s="144">
        <f>SUMIFS('февраль 2026'!$G$2:$G$2649,'февраль 2026'!$D$2:$D$2649,$B158,'февраль 2026'!$J$2:$J$2649,W$1)</f>
        <v>0</v>
      </c>
      <c r="X158" s="144">
        <f>SUMIFS('февраль 2026'!$G$2:$G$2649,'февраль 2026'!$D$2:$D$2649,$B158,'февраль 2026'!$J$2:$J$2649,X$1)</f>
        <v>0</v>
      </c>
      <c r="Y158" s="144">
        <f>SUMIFS('февраль 2026'!$G$2:$G$2649,'февраль 2026'!$D$2:$D$2649,$B158,'февраль 2026'!$J$2:$J$2649,Y$1)</f>
        <v>0</v>
      </c>
      <c r="Z158" s="144">
        <f>SUMIFS('февраль 2026'!$G$2:$G$2649,'февраль 2026'!$D$2:$D$2649,$B158,'февраль 2026'!$J$2:$J$2649,Z$1)</f>
        <v>0</v>
      </c>
      <c r="AA158" s="144">
        <f>SUMIFS('февраль 2026'!$G$2:$G$2649,'февраль 2026'!$D$2:$D$2649,$B158,'февраль 2026'!$J$2:$J$2649,AA$1)</f>
        <v>0</v>
      </c>
      <c r="AB158" s="144">
        <f>SUMIFS('февраль 2026'!$G$2:$G$2649,'февраль 2026'!$D$2:$D$2649,$B158,'февраль 2026'!$J$2:$J$2649,AB$1)</f>
        <v>0</v>
      </c>
      <c r="AC158" s="144">
        <f>SUMIFS('февраль 2026'!$G$2:$G$2649,'февраль 2026'!$D$2:$D$2649,$B158,'февраль 2026'!$J$2:$J$2649,AC$1)</f>
        <v>0</v>
      </c>
      <c r="AD158" s="144">
        <f>SUMIFS('февраль 2026'!$G$2:$G$2649,'февраль 2026'!$D$2:$D$2649,$B158,'февраль 2026'!$J$2:$J$2649,AD$1)</f>
        <v>0</v>
      </c>
      <c r="AE158" s="144">
        <f>SUMIFS('февраль 2026'!$G$2:$G$2649,'февраль 2026'!$D$2:$D$2649,$B158,'февраль 2026'!$J$2:$J$2649,AE$1)</f>
        <v>0</v>
      </c>
      <c r="AF158" s="144">
        <f>SUMIFS('февраль 2026'!$G$2:$G$2649,'февраль 2026'!$D$2:$D$2649,$B158,'февраль 2026'!$J$2:$J$2649,AF$1)</f>
        <v>0</v>
      </c>
      <c r="AG158" s="144">
        <f>SUMIFS('февраль 2026'!$G$2:$G$2649,'февраль 2026'!$D$2:$D$2649,$B158,'февраль 2026'!$J$2:$J$2649,AG$1)</f>
        <v>0</v>
      </c>
      <c r="AH158" s="144">
        <f>SUMIFS('февраль 2026'!$G$2:$G$2649,'февраль 2026'!$D$2:$D$2649,$B158,'февраль 2026'!$J$2:$J$2649,AH$1)</f>
        <v>0</v>
      </c>
      <c r="AI158" s="20">
        <f t="shared" si="1"/>
        <v>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SUMIFS('февраль 2026'!$G$2:$G$2649,'февраль 2026'!$D$2:$D$2649,$B159,'февраль 2026'!$J$2:$J$2649,D$1)</f>
        <v>0</v>
      </c>
      <c r="E159" s="144">
        <f>SUMIFS('февраль 2026'!$G$2:$G$2649,'февраль 2026'!$D$2:$D$2649,$B159,'февраль 2026'!$J$2:$J$2649,E$1)</f>
        <v>0</v>
      </c>
      <c r="F159" s="144">
        <f>SUMIFS('февраль 2026'!$G$2:$G$2649,'февраль 2026'!$D$2:$D$2649,$B159,'февраль 2026'!$J$2:$J$2649,F$1)</f>
        <v>0</v>
      </c>
      <c r="G159" s="144">
        <f>SUMIFS('февраль 2026'!$G$2:$G$2649,'февраль 2026'!$D$2:$D$2649,$B159,'февраль 2026'!$J$2:$J$2649,G$1)</f>
        <v>0</v>
      </c>
      <c r="H159" s="144">
        <f>SUMIFS('февраль 2026'!$G$2:$G$2649,'февраль 2026'!$D$2:$D$2649,$B159,'февраль 2026'!$J$2:$J$2649,H$1)</f>
        <v>0</v>
      </c>
      <c r="I159" s="144">
        <f>SUMIFS('февраль 2026'!$G$2:$G$2649,'февраль 2026'!$D$2:$D$2649,$B159,'февраль 2026'!$J$2:$J$2649,I$1)</f>
        <v>0</v>
      </c>
      <c r="J159" s="144">
        <f>SUMIFS('февраль 2026'!$G$2:$G$2649,'февраль 2026'!$D$2:$D$2649,$B159,'февраль 2026'!$J$2:$J$2649,J$1)</f>
        <v>0</v>
      </c>
      <c r="K159" s="144">
        <f>SUMIFS('февраль 2026'!$G$2:$G$2649,'февраль 2026'!$D$2:$D$2649,$B159,'февраль 2026'!$J$2:$J$2649,K$1)</f>
        <v>0</v>
      </c>
      <c r="L159" s="144">
        <f>SUMIFS('февраль 2026'!$G$2:$G$2649,'февраль 2026'!$D$2:$D$2649,$B159,'февраль 2026'!$J$2:$J$2649,L$1)</f>
        <v>0</v>
      </c>
      <c r="M159" s="144">
        <f>SUMIFS('февраль 2026'!$G$2:$G$2649,'февраль 2026'!$D$2:$D$2649,$B159,'февраль 2026'!$J$2:$J$2649,M$1)</f>
        <v>0</v>
      </c>
      <c r="N159" s="144">
        <f>SUMIFS('февраль 2026'!$G$2:$G$2649,'февраль 2026'!$D$2:$D$2649,$B159,'февраль 2026'!$J$2:$J$2649,N$1)</f>
        <v>0</v>
      </c>
      <c r="O159" s="144">
        <f>SUMIFS('февраль 2026'!$G$2:$G$2649,'февраль 2026'!$D$2:$D$2649,$B159,'февраль 2026'!$J$2:$J$2649,O$1)</f>
        <v>0</v>
      </c>
      <c r="P159" s="144">
        <f>SUMIFS('февраль 2026'!$G$2:$G$2649,'февраль 2026'!$D$2:$D$2649,$B159,'февраль 2026'!$J$2:$J$2649,P$1)</f>
        <v>0</v>
      </c>
      <c r="Q159" s="144">
        <f>SUMIFS('февраль 2026'!$G$2:$G$2649,'февраль 2026'!$D$2:$D$2649,$B159,'февраль 2026'!$J$2:$J$2649,Q$1)</f>
        <v>0</v>
      </c>
      <c r="R159" s="144">
        <f>SUMIFS('февраль 2026'!$G$2:$G$2649,'февраль 2026'!$D$2:$D$2649,$B159,'февраль 2026'!$J$2:$J$2649,R$1)</f>
        <v>0</v>
      </c>
      <c r="S159" s="144">
        <f>SUMIFS('февраль 2026'!$G$2:$G$2649,'февраль 2026'!$D$2:$D$2649,$B159,'февраль 2026'!$J$2:$J$2649,S$1)</f>
        <v>0</v>
      </c>
      <c r="T159" s="144">
        <f>SUMIFS('февраль 2026'!$G$2:$G$2649,'февраль 2026'!$D$2:$D$2649,$B159,'февраль 2026'!$J$2:$J$2649,T$1)</f>
        <v>0</v>
      </c>
      <c r="U159" s="144">
        <f>SUMIFS('февраль 2026'!$G$2:$G$2649,'февраль 2026'!$D$2:$D$2649,$B159,'февраль 2026'!$J$2:$J$2649,U$1)</f>
        <v>0</v>
      </c>
      <c r="V159" s="144">
        <f>SUMIFS('февраль 2026'!$G$2:$G$2649,'февраль 2026'!$D$2:$D$2649,$B159,'февраль 2026'!$J$2:$J$2649,V$1)</f>
        <v>0</v>
      </c>
      <c r="W159" s="144">
        <f>SUMIFS('февраль 2026'!$G$2:$G$2649,'февраль 2026'!$D$2:$D$2649,$B159,'февраль 2026'!$J$2:$J$2649,W$1)</f>
        <v>0</v>
      </c>
      <c r="X159" s="144">
        <f>SUMIFS('февраль 2026'!$G$2:$G$2649,'февраль 2026'!$D$2:$D$2649,$B159,'февраль 2026'!$J$2:$J$2649,X$1)</f>
        <v>0</v>
      </c>
      <c r="Y159" s="144">
        <f>SUMIFS('февраль 2026'!$G$2:$G$2649,'февраль 2026'!$D$2:$D$2649,$B159,'февраль 2026'!$J$2:$J$2649,Y$1)</f>
        <v>0</v>
      </c>
      <c r="Z159" s="144">
        <f>SUMIFS('февраль 2026'!$G$2:$G$2649,'февраль 2026'!$D$2:$D$2649,$B159,'февраль 2026'!$J$2:$J$2649,Z$1)</f>
        <v>0</v>
      </c>
      <c r="AA159" s="144">
        <f>SUMIFS('февраль 2026'!$G$2:$G$2649,'февраль 2026'!$D$2:$D$2649,$B159,'февраль 2026'!$J$2:$J$2649,AA$1)</f>
        <v>0</v>
      </c>
      <c r="AB159" s="144">
        <f>SUMIFS('февраль 2026'!$G$2:$G$2649,'февраль 2026'!$D$2:$D$2649,$B159,'февраль 2026'!$J$2:$J$2649,AB$1)</f>
        <v>0</v>
      </c>
      <c r="AC159" s="144">
        <f>SUMIFS('февраль 2026'!$G$2:$G$2649,'февраль 2026'!$D$2:$D$2649,$B159,'февраль 2026'!$J$2:$J$2649,AC$1)</f>
        <v>0</v>
      </c>
      <c r="AD159" s="144">
        <f>SUMIFS('февраль 2026'!$G$2:$G$2649,'февраль 2026'!$D$2:$D$2649,$B159,'февраль 2026'!$J$2:$J$2649,AD$1)</f>
        <v>0</v>
      </c>
      <c r="AE159" s="144">
        <f>SUMIFS('февраль 2026'!$G$2:$G$2649,'февраль 2026'!$D$2:$D$2649,$B159,'февраль 2026'!$J$2:$J$2649,AE$1)</f>
        <v>0</v>
      </c>
      <c r="AF159" s="144">
        <f>SUMIFS('февраль 2026'!$G$2:$G$2649,'февраль 2026'!$D$2:$D$2649,$B159,'февраль 2026'!$J$2:$J$2649,AF$1)</f>
        <v>0</v>
      </c>
      <c r="AG159" s="144">
        <f>SUMIFS('февраль 2026'!$G$2:$G$2649,'февраль 2026'!$D$2:$D$2649,$B159,'февраль 2026'!$J$2:$J$2649,AG$1)</f>
        <v>0</v>
      </c>
      <c r="AH159" s="144">
        <f>SUMIFS('февраль 2026'!$G$2:$G$2649,'февраль 2026'!$D$2:$D$2649,$B159,'февраль 2026'!$J$2:$J$2649,AH$1)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SUMIFS('февраль 2026'!$G$2:$G$2649,'февраль 2026'!$D$2:$D$2649,$B160,'февраль 2026'!$J$2:$J$2649,D$1)</f>
        <v>0</v>
      </c>
      <c r="E160" s="144">
        <f>SUMIFS('февраль 2026'!$G$2:$G$2649,'февраль 2026'!$D$2:$D$2649,$B160,'февраль 2026'!$J$2:$J$2649,E$1)</f>
        <v>0</v>
      </c>
      <c r="F160" s="144">
        <f>SUMIFS('февраль 2026'!$G$2:$G$2649,'февраль 2026'!$D$2:$D$2649,$B160,'февраль 2026'!$J$2:$J$2649,F$1)</f>
        <v>0</v>
      </c>
      <c r="G160" s="144">
        <f>SUMIFS('февраль 2026'!$G$2:$G$2649,'февраль 2026'!$D$2:$D$2649,$B160,'февраль 2026'!$J$2:$J$2649,G$1)</f>
        <v>0</v>
      </c>
      <c r="H160" s="144">
        <f>SUMIFS('февраль 2026'!$G$2:$G$2649,'февраль 2026'!$D$2:$D$2649,$B160,'февраль 2026'!$J$2:$J$2649,H$1)</f>
        <v>0</v>
      </c>
      <c r="I160" s="144">
        <f>SUMIFS('февраль 2026'!$G$2:$G$2649,'февраль 2026'!$D$2:$D$2649,$B160,'февраль 2026'!$J$2:$J$2649,I$1)</f>
        <v>0</v>
      </c>
      <c r="J160" s="144">
        <f>SUMIFS('февраль 2026'!$G$2:$G$2649,'февраль 2026'!$D$2:$D$2649,$B160,'февраль 2026'!$J$2:$J$2649,J$1)</f>
        <v>0</v>
      </c>
      <c r="K160" s="144">
        <f>SUMIFS('февраль 2026'!$G$2:$G$2649,'февраль 2026'!$D$2:$D$2649,$B160,'февраль 2026'!$J$2:$J$2649,K$1)</f>
        <v>0</v>
      </c>
      <c r="L160" s="144">
        <f>SUMIFS('февраль 2026'!$G$2:$G$2649,'февраль 2026'!$D$2:$D$2649,$B160,'февраль 2026'!$J$2:$J$2649,L$1)</f>
        <v>0</v>
      </c>
      <c r="M160" s="144">
        <f>SUMIFS('февраль 2026'!$G$2:$G$2649,'февраль 2026'!$D$2:$D$2649,$B160,'февраль 2026'!$J$2:$J$2649,M$1)</f>
        <v>0</v>
      </c>
      <c r="N160" s="144">
        <f>SUMIFS('февраль 2026'!$G$2:$G$2649,'февраль 2026'!$D$2:$D$2649,$B160,'февраль 2026'!$J$2:$J$2649,N$1)</f>
        <v>0</v>
      </c>
      <c r="O160" s="144">
        <f>SUMIFS('февраль 2026'!$G$2:$G$2649,'февраль 2026'!$D$2:$D$2649,$B160,'февраль 2026'!$J$2:$J$2649,O$1)</f>
        <v>0</v>
      </c>
      <c r="P160" s="144">
        <f>SUMIFS('февраль 2026'!$G$2:$G$2649,'февраль 2026'!$D$2:$D$2649,$B160,'февраль 2026'!$J$2:$J$2649,P$1)</f>
        <v>0</v>
      </c>
      <c r="Q160" s="144">
        <f>SUMIFS('февраль 2026'!$G$2:$G$2649,'февраль 2026'!$D$2:$D$2649,$B160,'февраль 2026'!$J$2:$J$2649,Q$1)</f>
        <v>0</v>
      </c>
      <c r="R160" s="144">
        <f>SUMIFS('февраль 2026'!$G$2:$G$2649,'февраль 2026'!$D$2:$D$2649,$B160,'февраль 2026'!$J$2:$J$2649,R$1)</f>
        <v>0</v>
      </c>
      <c r="S160" s="144">
        <f>SUMIFS('февраль 2026'!$G$2:$G$2649,'февраль 2026'!$D$2:$D$2649,$B160,'февраль 2026'!$J$2:$J$2649,S$1)</f>
        <v>0</v>
      </c>
      <c r="T160" s="144">
        <f>SUMIFS('февраль 2026'!$G$2:$G$2649,'февраль 2026'!$D$2:$D$2649,$B160,'февраль 2026'!$J$2:$J$2649,T$1)</f>
        <v>0</v>
      </c>
      <c r="U160" s="144">
        <f>SUMIFS('февраль 2026'!$G$2:$G$2649,'февраль 2026'!$D$2:$D$2649,$B160,'февраль 2026'!$J$2:$J$2649,U$1)</f>
        <v>0</v>
      </c>
      <c r="V160" s="144">
        <f>SUMIFS('февраль 2026'!$G$2:$G$2649,'февраль 2026'!$D$2:$D$2649,$B160,'февраль 2026'!$J$2:$J$2649,V$1)</f>
        <v>0</v>
      </c>
      <c r="W160" s="144">
        <f>SUMIFS('февраль 2026'!$G$2:$G$2649,'февраль 2026'!$D$2:$D$2649,$B160,'февраль 2026'!$J$2:$J$2649,W$1)</f>
        <v>0</v>
      </c>
      <c r="X160" s="144">
        <f>SUMIFS('февраль 2026'!$G$2:$G$2649,'февраль 2026'!$D$2:$D$2649,$B160,'февраль 2026'!$J$2:$J$2649,X$1)</f>
        <v>0</v>
      </c>
      <c r="Y160" s="144">
        <f>SUMIFS('февраль 2026'!$G$2:$G$2649,'февраль 2026'!$D$2:$D$2649,$B160,'февраль 2026'!$J$2:$J$2649,Y$1)</f>
        <v>0</v>
      </c>
      <c r="Z160" s="144">
        <f>SUMIFS('февраль 2026'!$G$2:$G$2649,'февраль 2026'!$D$2:$D$2649,$B160,'февраль 2026'!$J$2:$J$2649,Z$1)</f>
        <v>0</v>
      </c>
      <c r="AA160" s="144">
        <f>SUMIFS('февраль 2026'!$G$2:$G$2649,'февраль 2026'!$D$2:$D$2649,$B160,'февраль 2026'!$J$2:$J$2649,AA$1)</f>
        <v>0</v>
      </c>
      <c r="AB160" s="144">
        <f>SUMIFS('февраль 2026'!$G$2:$G$2649,'февраль 2026'!$D$2:$D$2649,$B160,'февраль 2026'!$J$2:$J$2649,AB$1)</f>
        <v>0</v>
      </c>
      <c r="AC160" s="144">
        <f>SUMIFS('февраль 2026'!$G$2:$G$2649,'февраль 2026'!$D$2:$D$2649,$B160,'февраль 2026'!$J$2:$J$2649,AC$1)</f>
        <v>0</v>
      </c>
      <c r="AD160" s="144">
        <f>SUMIFS('февраль 2026'!$G$2:$G$2649,'февраль 2026'!$D$2:$D$2649,$B160,'февраль 2026'!$J$2:$J$2649,AD$1)</f>
        <v>0</v>
      </c>
      <c r="AE160" s="144">
        <f>SUMIFS('февраль 2026'!$G$2:$G$2649,'февраль 2026'!$D$2:$D$2649,$B160,'февраль 2026'!$J$2:$J$2649,AE$1)</f>
        <v>0</v>
      </c>
      <c r="AF160" s="144">
        <f>SUMIFS('февраль 2026'!$G$2:$G$2649,'февраль 2026'!$D$2:$D$2649,$B160,'февраль 2026'!$J$2:$J$2649,AF$1)</f>
        <v>0</v>
      </c>
      <c r="AG160" s="144">
        <f>SUMIFS('февраль 2026'!$G$2:$G$2649,'февраль 2026'!$D$2:$D$2649,$B160,'февраль 2026'!$J$2:$J$2649,AG$1)</f>
        <v>0</v>
      </c>
      <c r="AH160" s="144">
        <f>SUMIFS('февраль 2026'!$G$2:$G$2649,'февраль 2026'!$D$2:$D$2649,$B160,'февраль 2026'!$J$2:$J$2649,AH$1)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SUMIFS('февраль 2026'!$G$2:$G$2649,'февраль 2026'!$D$2:$D$2649,$B161,'февраль 2026'!$J$2:$J$2649,D$1)</f>
        <v>0</v>
      </c>
      <c r="E161" s="144">
        <f>SUMIFS('февраль 2026'!$G$2:$G$2649,'февраль 2026'!$D$2:$D$2649,$B161,'февраль 2026'!$J$2:$J$2649,E$1)</f>
        <v>0</v>
      </c>
      <c r="F161" s="144">
        <f>SUMIFS('февраль 2026'!$G$2:$G$2649,'февраль 2026'!$D$2:$D$2649,$B161,'февраль 2026'!$J$2:$J$2649,F$1)</f>
        <v>0</v>
      </c>
      <c r="G161" s="144">
        <f>SUMIFS('февраль 2026'!$G$2:$G$2649,'февраль 2026'!$D$2:$D$2649,$B161,'февраль 2026'!$J$2:$J$2649,G$1)</f>
        <v>0</v>
      </c>
      <c r="H161" s="144">
        <f>SUMIFS('февраль 2026'!$G$2:$G$2649,'февраль 2026'!$D$2:$D$2649,$B161,'февраль 2026'!$J$2:$J$2649,H$1)</f>
        <v>0</v>
      </c>
      <c r="I161" s="144">
        <f>SUMIFS('февраль 2026'!$G$2:$G$2649,'февраль 2026'!$D$2:$D$2649,$B161,'февраль 2026'!$J$2:$J$2649,I$1)</f>
        <v>0</v>
      </c>
      <c r="J161" s="144">
        <f>SUMIFS('февраль 2026'!$G$2:$G$2649,'февраль 2026'!$D$2:$D$2649,$B161,'февраль 2026'!$J$2:$J$2649,J$1)</f>
        <v>0</v>
      </c>
      <c r="K161" s="144">
        <f>SUMIFS('февраль 2026'!$G$2:$G$2649,'февраль 2026'!$D$2:$D$2649,$B161,'февраль 2026'!$J$2:$J$2649,K$1)</f>
        <v>0</v>
      </c>
      <c r="L161" s="144">
        <f>SUMIFS('февраль 2026'!$G$2:$G$2649,'февраль 2026'!$D$2:$D$2649,$B161,'февраль 2026'!$J$2:$J$2649,L$1)</f>
        <v>0</v>
      </c>
      <c r="M161" s="144">
        <f>SUMIFS('февраль 2026'!$G$2:$G$2649,'февраль 2026'!$D$2:$D$2649,$B161,'февраль 2026'!$J$2:$J$2649,M$1)</f>
        <v>0</v>
      </c>
      <c r="N161" s="144">
        <f>SUMIFS('февраль 2026'!$G$2:$G$2649,'февраль 2026'!$D$2:$D$2649,$B161,'февраль 2026'!$J$2:$J$2649,N$1)</f>
        <v>0</v>
      </c>
      <c r="O161" s="144">
        <f>SUMIFS('февраль 2026'!$G$2:$G$2649,'февраль 2026'!$D$2:$D$2649,$B161,'февраль 2026'!$J$2:$J$2649,O$1)</f>
        <v>0</v>
      </c>
      <c r="P161" s="144">
        <f>SUMIFS('февраль 2026'!$G$2:$G$2649,'февраль 2026'!$D$2:$D$2649,$B161,'февраль 2026'!$J$2:$J$2649,P$1)</f>
        <v>0</v>
      </c>
      <c r="Q161" s="144">
        <f>SUMIFS('февраль 2026'!$G$2:$G$2649,'февраль 2026'!$D$2:$D$2649,$B161,'февраль 2026'!$J$2:$J$2649,Q$1)</f>
        <v>0</v>
      </c>
      <c r="R161" s="144">
        <f>SUMIFS('февраль 2026'!$G$2:$G$2649,'февраль 2026'!$D$2:$D$2649,$B161,'февраль 2026'!$J$2:$J$2649,R$1)</f>
        <v>0</v>
      </c>
      <c r="S161" s="144">
        <f>SUMIFS('февраль 2026'!$G$2:$G$2649,'февраль 2026'!$D$2:$D$2649,$B161,'февраль 2026'!$J$2:$J$2649,S$1)</f>
        <v>0</v>
      </c>
      <c r="T161" s="144">
        <f>SUMIFS('февраль 2026'!$G$2:$G$2649,'февраль 2026'!$D$2:$D$2649,$B161,'февраль 2026'!$J$2:$J$2649,T$1)</f>
        <v>0</v>
      </c>
      <c r="U161" s="144">
        <f>SUMIFS('февраль 2026'!$G$2:$G$2649,'февраль 2026'!$D$2:$D$2649,$B161,'февраль 2026'!$J$2:$J$2649,U$1)</f>
        <v>0</v>
      </c>
      <c r="V161" s="144">
        <f>SUMIFS('февраль 2026'!$G$2:$G$2649,'февраль 2026'!$D$2:$D$2649,$B161,'февраль 2026'!$J$2:$J$2649,V$1)</f>
        <v>0</v>
      </c>
      <c r="W161" s="144">
        <f>SUMIFS('февраль 2026'!$G$2:$G$2649,'февраль 2026'!$D$2:$D$2649,$B161,'февраль 2026'!$J$2:$J$2649,W$1)</f>
        <v>0</v>
      </c>
      <c r="X161" s="144">
        <f>SUMIFS('февраль 2026'!$G$2:$G$2649,'февраль 2026'!$D$2:$D$2649,$B161,'февраль 2026'!$J$2:$J$2649,X$1)</f>
        <v>0</v>
      </c>
      <c r="Y161" s="144">
        <f>SUMIFS('февраль 2026'!$G$2:$G$2649,'февраль 2026'!$D$2:$D$2649,$B161,'февраль 2026'!$J$2:$J$2649,Y$1)</f>
        <v>0</v>
      </c>
      <c r="Z161" s="144">
        <f>SUMIFS('февраль 2026'!$G$2:$G$2649,'февраль 2026'!$D$2:$D$2649,$B161,'февраль 2026'!$J$2:$J$2649,Z$1)</f>
        <v>0</v>
      </c>
      <c r="AA161" s="144">
        <f>SUMIFS('февраль 2026'!$G$2:$G$2649,'февраль 2026'!$D$2:$D$2649,$B161,'февраль 2026'!$J$2:$J$2649,AA$1)</f>
        <v>0</v>
      </c>
      <c r="AB161" s="144">
        <f>SUMIFS('февраль 2026'!$G$2:$G$2649,'февраль 2026'!$D$2:$D$2649,$B161,'февраль 2026'!$J$2:$J$2649,AB$1)</f>
        <v>0</v>
      </c>
      <c r="AC161" s="144">
        <f>SUMIFS('февраль 2026'!$G$2:$G$2649,'февраль 2026'!$D$2:$D$2649,$B161,'февраль 2026'!$J$2:$J$2649,AC$1)</f>
        <v>0</v>
      </c>
      <c r="AD161" s="144">
        <f>SUMIFS('февраль 2026'!$G$2:$G$2649,'февраль 2026'!$D$2:$D$2649,$B161,'февраль 2026'!$J$2:$J$2649,AD$1)</f>
        <v>0</v>
      </c>
      <c r="AE161" s="144">
        <f>SUMIFS('февраль 2026'!$G$2:$G$2649,'февраль 2026'!$D$2:$D$2649,$B161,'февраль 2026'!$J$2:$J$2649,AE$1)</f>
        <v>0</v>
      </c>
      <c r="AF161" s="144">
        <f>SUMIFS('февраль 2026'!$G$2:$G$2649,'февраль 2026'!$D$2:$D$2649,$B161,'февраль 2026'!$J$2:$J$2649,AF$1)</f>
        <v>0</v>
      </c>
      <c r="AG161" s="144">
        <f>SUMIFS('февраль 2026'!$G$2:$G$2649,'февраль 2026'!$D$2:$D$2649,$B161,'февраль 2026'!$J$2:$J$2649,AG$1)</f>
        <v>0</v>
      </c>
      <c r="AH161" s="144">
        <f>SUMIFS('февраль 2026'!$G$2:$G$2649,'февраль 2026'!$D$2:$D$2649,$B161,'февраль 2026'!$J$2:$J$2649,AH$1)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SUMIFS('февраль 2026'!$G$2:$G$2649,'февраль 2026'!$D$2:$D$2649,$B162,'февраль 2026'!$J$2:$J$2649,D$1)</f>
        <v>0</v>
      </c>
      <c r="E162" s="144">
        <f>SUMIFS('февраль 2026'!$G$2:$G$2649,'февраль 2026'!$D$2:$D$2649,$B162,'февраль 2026'!$J$2:$J$2649,E$1)</f>
        <v>0</v>
      </c>
      <c r="F162" s="144">
        <f>SUMIFS('февраль 2026'!$G$2:$G$2649,'февраль 2026'!$D$2:$D$2649,$B162,'февраль 2026'!$J$2:$J$2649,F$1)</f>
        <v>0</v>
      </c>
      <c r="G162" s="144">
        <f>SUMIFS('февраль 2026'!$G$2:$G$2649,'февраль 2026'!$D$2:$D$2649,$B162,'февраль 2026'!$J$2:$J$2649,G$1)</f>
        <v>0</v>
      </c>
      <c r="H162" s="144">
        <f>SUMIFS('февраль 2026'!$G$2:$G$2649,'февраль 2026'!$D$2:$D$2649,$B162,'февраль 2026'!$J$2:$J$2649,H$1)</f>
        <v>0</v>
      </c>
      <c r="I162" s="144">
        <f>SUMIFS('февраль 2026'!$G$2:$G$2649,'февраль 2026'!$D$2:$D$2649,$B162,'февраль 2026'!$J$2:$J$2649,I$1)</f>
        <v>0</v>
      </c>
      <c r="J162" s="144">
        <f>SUMIFS('февраль 2026'!$G$2:$G$2649,'февраль 2026'!$D$2:$D$2649,$B162,'февраль 2026'!$J$2:$J$2649,J$1)</f>
        <v>0</v>
      </c>
      <c r="K162" s="144">
        <f>SUMIFS('февраль 2026'!$G$2:$G$2649,'февраль 2026'!$D$2:$D$2649,$B162,'февраль 2026'!$J$2:$J$2649,K$1)</f>
        <v>0</v>
      </c>
      <c r="L162" s="144">
        <f>SUMIFS('февраль 2026'!$G$2:$G$2649,'февраль 2026'!$D$2:$D$2649,$B162,'февраль 2026'!$J$2:$J$2649,L$1)</f>
        <v>0</v>
      </c>
      <c r="M162" s="144">
        <f>SUMIFS('февраль 2026'!$G$2:$G$2649,'февраль 2026'!$D$2:$D$2649,$B162,'февраль 2026'!$J$2:$J$2649,M$1)</f>
        <v>0</v>
      </c>
      <c r="N162" s="144">
        <f>SUMIFS('февраль 2026'!$G$2:$G$2649,'февраль 2026'!$D$2:$D$2649,$B162,'февраль 2026'!$J$2:$J$2649,N$1)</f>
        <v>0</v>
      </c>
      <c r="O162" s="144">
        <f>SUMIFS('февраль 2026'!$G$2:$G$2649,'февраль 2026'!$D$2:$D$2649,$B162,'февраль 2026'!$J$2:$J$2649,O$1)</f>
        <v>0</v>
      </c>
      <c r="P162" s="144">
        <f>SUMIFS('февраль 2026'!$G$2:$G$2649,'февраль 2026'!$D$2:$D$2649,$B162,'февраль 2026'!$J$2:$J$2649,P$1)</f>
        <v>0</v>
      </c>
      <c r="Q162" s="144">
        <f>SUMIFS('февраль 2026'!$G$2:$G$2649,'февраль 2026'!$D$2:$D$2649,$B162,'февраль 2026'!$J$2:$J$2649,Q$1)</f>
        <v>0</v>
      </c>
      <c r="R162" s="144">
        <f>SUMIFS('февраль 2026'!$G$2:$G$2649,'февраль 2026'!$D$2:$D$2649,$B162,'февраль 2026'!$J$2:$J$2649,R$1)</f>
        <v>0</v>
      </c>
      <c r="S162" s="144">
        <f>SUMIFS('февраль 2026'!$G$2:$G$2649,'февраль 2026'!$D$2:$D$2649,$B162,'февраль 2026'!$J$2:$J$2649,S$1)</f>
        <v>0</v>
      </c>
      <c r="T162" s="144">
        <f>SUMIFS('февраль 2026'!$G$2:$G$2649,'февраль 2026'!$D$2:$D$2649,$B162,'февраль 2026'!$J$2:$J$2649,T$1)</f>
        <v>0</v>
      </c>
      <c r="U162" s="144">
        <f>SUMIFS('февраль 2026'!$G$2:$G$2649,'февраль 2026'!$D$2:$D$2649,$B162,'февраль 2026'!$J$2:$J$2649,U$1)</f>
        <v>0</v>
      </c>
      <c r="V162" s="144">
        <f>SUMIFS('февраль 2026'!$G$2:$G$2649,'февраль 2026'!$D$2:$D$2649,$B162,'февраль 2026'!$J$2:$J$2649,V$1)</f>
        <v>0</v>
      </c>
      <c r="W162" s="144">
        <f>SUMIFS('февраль 2026'!$G$2:$G$2649,'февраль 2026'!$D$2:$D$2649,$B162,'февраль 2026'!$J$2:$J$2649,W$1)</f>
        <v>0</v>
      </c>
      <c r="X162" s="144">
        <f>SUMIFS('февраль 2026'!$G$2:$G$2649,'февраль 2026'!$D$2:$D$2649,$B162,'февраль 2026'!$J$2:$J$2649,X$1)</f>
        <v>0</v>
      </c>
      <c r="Y162" s="144">
        <f>SUMIFS('февраль 2026'!$G$2:$G$2649,'февраль 2026'!$D$2:$D$2649,$B162,'февраль 2026'!$J$2:$J$2649,Y$1)</f>
        <v>0</v>
      </c>
      <c r="Z162" s="144">
        <f>SUMIFS('февраль 2026'!$G$2:$G$2649,'февраль 2026'!$D$2:$D$2649,$B162,'февраль 2026'!$J$2:$J$2649,Z$1)</f>
        <v>0</v>
      </c>
      <c r="AA162" s="144">
        <f>SUMIFS('февраль 2026'!$G$2:$G$2649,'февраль 2026'!$D$2:$D$2649,$B162,'февраль 2026'!$J$2:$J$2649,AA$1)</f>
        <v>0</v>
      </c>
      <c r="AB162" s="144">
        <f>SUMIFS('февраль 2026'!$G$2:$G$2649,'февраль 2026'!$D$2:$D$2649,$B162,'февраль 2026'!$J$2:$J$2649,AB$1)</f>
        <v>0</v>
      </c>
      <c r="AC162" s="144">
        <f>SUMIFS('февраль 2026'!$G$2:$G$2649,'февраль 2026'!$D$2:$D$2649,$B162,'февраль 2026'!$J$2:$J$2649,AC$1)</f>
        <v>0</v>
      </c>
      <c r="AD162" s="144">
        <f>SUMIFS('февраль 2026'!$G$2:$G$2649,'февраль 2026'!$D$2:$D$2649,$B162,'февраль 2026'!$J$2:$J$2649,AD$1)</f>
        <v>0</v>
      </c>
      <c r="AE162" s="144">
        <f>SUMIFS('февраль 2026'!$G$2:$G$2649,'февраль 2026'!$D$2:$D$2649,$B162,'февраль 2026'!$J$2:$J$2649,AE$1)</f>
        <v>0</v>
      </c>
      <c r="AF162" s="144">
        <f>SUMIFS('февраль 2026'!$G$2:$G$2649,'февраль 2026'!$D$2:$D$2649,$B162,'февраль 2026'!$J$2:$J$2649,AF$1)</f>
        <v>0</v>
      </c>
      <c r="AG162" s="144">
        <f>SUMIFS('февраль 2026'!$G$2:$G$2649,'февраль 2026'!$D$2:$D$2649,$B162,'февраль 2026'!$J$2:$J$2649,AG$1)</f>
        <v>0</v>
      </c>
      <c r="AH162" s="144">
        <f>SUMIFS('февраль 2026'!$G$2:$G$2649,'февраль 2026'!$D$2:$D$2649,$B162,'февраль 2026'!$J$2:$J$2649,AH$1)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SUMIFS('февраль 2026'!$G$2:$G$2649,'февраль 2026'!$D$2:$D$2649,$B163,'февраль 2026'!$J$2:$J$2649,D$1)</f>
        <v>0</v>
      </c>
      <c r="E163" s="144">
        <f>SUMIFS('февраль 2026'!$G$2:$G$2649,'февраль 2026'!$D$2:$D$2649,$B163,'февраль 2026'!$J$2:$J$2649,E$1)</f>
        <v>0</v>
      </c>
      <c r="F163" s="144">
        <f>SUMIFS('февраль 2026'!$G$2:$G$2649,'февраль 2026'!$D$2:$D$2649,$B163,'февраль 2026'!$J$2:$J$2649,F$1)</f>
        <v>0</v>
      </c>
      <c r="G163" s="144">
        <f>SUMIFS('февраль 2026'!$G$2:$G$2649,'февраль 2026'!$D$2:$D$2649,$B163,'февраль 2026'!$J$2:$J$2649,G$1)</f>
        <v>0</v>
      </c>
      <c r="H163" s="144">
        <f>SUMIFS('февраль 2026'!$G$2:$G$2649,'февраль 2026'!$D$2:$D$2649,$B163,'февраль 2026'!$J$2:$J$2649,H$1)</f>
        <v>0</v>
      </c>
      <c r="I163" s="144">
        <f>SUMIFS('февраль 2026'!$G$2:$G$2649,'февраль 2026'!$D$2:$D$2649,$B163,'февраль 2026'!$J$2:$J$2649,I$1)</f>
        <v>0</v>
      </c>
      <c r="J163" s="144">
        <f>SUMIFS('февраль 2026'!$G$2:$G$2649,'февраль 2026'!$D$2:$D$2649,$B163,'февраль 2026'!$J$2:$J$2649,J$1)</f>
        <v>0</v>
      </c>
      <c r="K163" s="144">
        <f>SUMIFS('февраль 2026'!$G$2:$G$2649,'февраль 2026'!$D$2:$D$2649,$B163,'февраль 2026'!$J$2:$J$2649,K$1)</f>
        <v>0</v>
      </c>
      <c r="L163" s="144">
        <f>SUMIFS('февраль 2026'!$G$2:$G$2649,'февраль 2026'!$D$2:$D$2649,$B163,'февраль 2026'!$J$2:$J$2649,L$1)</f>
        <v>0</v>
      </c>
      <c r="M163" s="144">
        <f>SUMIFS('февраль 2026'!$G$2:$G$2649,'февраль 2026'!$D$2:$D$2649,$B163,'февраль 2026'!$J$2:$J$2649,M$1)</f>
        <v>0</v>
      </c>
      <c r="N163" s="144">
        <f>SUMIFS('февраль 2026'!$G$2:$G$2649,'февраль 2026'!$D$2:$D$2649,$B163,'февраль 2026'!$J$2:$J$2649,N$1)</f>
        <v>0</v>
      </c>
      <c r="O163" s="144">
        <f>SUMIFS('февраль 2026'!$G$2:$G$2649,'февраль 2026'!$D$2:$D$2649,$B163,'февраль 2026'!$J$2:$J$2649,O$1)</f>
        <v>0</v>
      </c>
      <c r="P163" s="144">
        <f>SUMIFS('февраль 2026'!$G$2:$G$2649,'февраль 2026'!$D$2:$D$2649,$B163,'февраль 2026'!$J$2:$J$2649,P$1)</f>
        <v>0</v>
      </c>
      <c r="Q163" s="144">
        <f>SUMIFS('февраль 2026'!$G$2:$G$2649,'февраль 2026'!$D$2:$D$2649,$B163,'февраль 2026'!$J$2:$J$2649,Q$1)</f>
        <v>0</v>
      </c>
      <c r="R163" s="144">
        <f>SUMIFS('февраль 2026'!$G$2:$G$2649,'февраль 2026'!$D$2:$D$2649,$B163,'февраль 2026'!$J$2:$J$2649,R$1)</f>
        <v>0</v>
      </c>
      <c r="S163" s="144">
        <f>SUMIFS('февраль 2026'!$G$2:$G$2649,'февраль 2026'!$D$2:$D$2649,$B163,'февраль 2026'!$J$2:$J$2649,S$1)</f>
        <v>0</v>
      </c>
      <c r="T163" s="144">
        <f>SUMIFS('февраль 2026'!$G$2:$G$2649,'февраль 2026'!$D$2:$D$2649,$B163,'февраль 2026'!$J$2:$J$2649,T$1)</f>
        <v>0</v>
      </c>
      <c r="U163" s="144">
        <f>SUMIFS('февраль 2026'!$G$2:$G$2649,'февраль 2026'!$D$2:$D$2649,$B163,'февраль 2026'!$J$2:$J$2649,U$1)</f>
        <v>0</v>
      </c>
      <c r="V163" s="144">
        <f>SUMIFS('февраль 2026'!$G$2:$G$2649,'февраль 2026'!$D$2:$D$2649,$B163,'февраль 2026'!$J$2:$J$2649,V$1)</f>
        <v>0</v>
      </c>
      <c r="W163" s="144">
        <f>SUMIFS('февраль 2026'!$G$2:$G$2649,'февраль 2026'!$D$2:$D$2649,$B163,'февраль 2026'!$J$2:$J$2649,W$1)</f>
        <v>0</v>
      </c>
      <c r="X163" s="144">
        <f>SUMIFS('февраль 2026'!$G$2:$G$2649,'февраль 2026'!$D$2:$D$2649,$B163,'февраль 2026'!$J$2:$J$2649,X$1)</f>
        <v>0</v>
      </c>
      <c r="Y163" s="144">
        <f>SUMIFS('февраль 2026'!$G$2:$G$2649,'февраль 2026'!$D$2:$D$2649,$B163,'февраль 2026'!$J$2:$J$2649,Y$1)</f>
        <v>0</v>
      </c>
      <c r="Z163" s="144">
        <f>SUMIFS('февраль 2026'!$G$2:$G$2649,'февраль 2026'!$D$2:$D$2649,$B163,'февраль 2026'!$J$2:$J$2649,Z$1)</f>
        <v>0</v>
      </c>
      <c r="AA163" s="144">
        <f>SUMIFS('февраль 2026'!$G$2:$G$2649,'февраль 2026'!$D$2:$D$2649,$B163,'февраль 2026'!$J$2:$J$2649,AA$1)</f>
        <v>0</v>
      </c>
      <c r="AB163" s="144">
        <f>SUMIFS('февраль 2026'!$G$2:$G$2649,'февраль 2026'!$D$2:$D$2649,$B163,'февраль 2026'!$J$2:$J$2649,AB$1)</f>
        <v>0</v>
      </c>
      <c r="AC163" s="144">
        <f>SUMIFS('февраль 2026'!$G$2:$G$2649,'февраль 2026'!$D$2:$D$2649,$B163,'февраль 2026'!$J$2:$J$2649,AC$1)</f>
        <v>0</v>
      </c>
      <c r="AD163" s="144">
        <f>SUMIFS('февраль 2026'!$G$2:$G$2649,'февраль 2026'!$D$2:$D$2649,$B163,'февраль 2026'!$J$2:$J$2649,AD$1)</f>
        <v>0</v>
      </c>
      <c r="AE163" s="144">
        <f>SUMIFS('февраль 2026'!$G$2:$G$2649,'февраль 2026'!$D$2:$D$2649,$B163,'февраль 2026'!$J$2:$J$2649,AE$1)</f>
        <v>0</v>
      </c>
      <c r="AF163" s="144">
        <f>SUMIFS('февраль 2026'!$G$2:$G$2649,'февраль 2026'!$D$2:$D$2649,$B163,'февраль 2026'!$J$2:$J$2649,AF$1)</f>
        <v>0</v>
      </c>
      <c r="AG163" s="144">
        <f>SUMIFS('февраль 2026'!$G$2:$G$2649,'февраль 2026'!$D$2:$D$2649,$B163,'февраль 2026'!$J$2:$J$2649,AG$1)</f>
        <v>0</v>
      </c>
      <c r="AH163" s="144">
        <f>SUMIFS('февраль 2026'!$G$2:$G$2649,'февраль 2026'!$D$2:$D$2649,$B163,'февраль 2026'!$J$2:$J$2649,AH$1)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SUMIFS('февраль 2026'!$G$2:$G$2649,'февраль 2026'!$D$2:$D$2649,$B164,'февраль 2026'!$J$2:$J$2649,D$1)</f>
        <v>0</v>
      </c>
      <c r="E164" s="144">
        <f>SUMIFS('февраль 2026'!$G$2:$G$2649,'февраль 2026'!$D$2:$D$2649,$B164,'февраль 2026'!$J$2:$J$2649,E$1)</f>
        <v>0</v>
      </c>
      <c r="F164" s="144">
        <f>SUMIFS('февраль 2026'!$G$2:$G$2649,'февраль 2026'!$D$2:$D$2649,$B164,'февраль 2026'!$J$2:$J$2649,F$1)</f>
        <v>0</v>
      </c>
      <c r="G164" s="144">
        <f>SUMIFS('февраль 2026'!$G$2:$G$2649,'февраль 2026'!$D$2:$D$2649,$B164,'февраль 2026'!$J$2:$J$2649,G$1)</f>
        <v>0</v>
      </c>
      <c r="H164" s="144">
        <f>SUMIFS('февраль 2026'!$G$2:$G$2649,'февраль 2026'!$D$2:$D$2649,$B164,'февраль 2026'!$J$2:$J$2649,H$1)</f>
        <v>0</v>
      </c>
      <c r="I164" s="144">
        <f>SUMIFS('февраль 2026'!$G$2:$G$2649,'февраль 2026'!$D$2:$D$2649,$B164,'февраль 2026'!$J$2:$J$2649,I$1)</f>
        <v>0</v>
      </c>
      <c r="J164" s="144">
        <f>SUMIFS('февраль 2026'!$G$2:$G$2649,'февраль 2026'!$D$2:$D$2649,$B164,'февраль 2026'!$J$2:$J$2649,J$1)</f>
        <v>0</v>
      </c>
      <c r="K164" s="144">
        <f>SUMIFS('февраль 2026'!$G$2:$G$2649,'февраль 2026'!$D$2:$D$2649,$B164,'февраль 2026'!$J$2:$J$2649,K$1)</f>
        <v>0</v>
      </c>
      <c r="L164" s="144">
        <f>SUMIFS('февраль 2026'!$G$2:$G$2649,'февраль 2026'!$D$2:$D$2649,$B164,'февраль 2026'!$J$2:$J$2649,L$1)</f>
        <v>0</v>
      </c>
      <c r="M164" s="144">
        <f>SUMIFS('февраль 2026'!$G$2:$G$2649,'февраль 2026'!$D$2:$D$2649,$B164,'февраль 2026'!$J$2:$J$2649,M$1)</f>
        <v>0</v>
      </c>
      <c r="N164" s="144">
        <f>SUMIFS('февраль 2026'!$G$2:$G$2649,'февраль 2026'!$D$2:$D$2649,$B164,'февраль 2026'!$J$2:$J$2649,N$1)</f>
        <v>0</v>
      </c>
      <c r="O164" s="144">
        <f>SUMIFS('февраль 2026'!$G$2:$G$2649,'февраль 2026'!$D$2:$D$2649,$B164,'февраль 2026'!$J$2:$J$2649,O$1)</f>
        <v>0</v>
      </c>
      <c r="P164" s="144">
        <f>SUMIFS('февраль 2026'!$G$2:$G$2649,'февраль 2026'!$D$2:$D$2649,$B164,'февраль 2026'!$J$2:$J$2649,P$1)</f>
        <v>0</v>
      </c>
      <c r="Q164" s="144">
        <f>SUMIFS('февраль 2026'!$G$2:$G$2649,'февраль 2026'!$D$2:$D$2649,$B164,'февраль 2026'!$J$2:$J$2649,Q$1)</f>
        <v>0</v>
      </c>
      <c r="R164" s="144">
        <f>SUMIFS('февраль 2026'!$G$2:$G$2649,'февраль 2026'!$D$2:$D$2649,$B164,'февраль 2026'!$J$2:$J$2649,R$1)</f>
        <v>0</v>
      </c>
      <c r="S164" s="144">
        <f>SUMIFS('февраль 2026'!$G$2:$G$2649,'февраль 2026'!$D$2:$D$2649,$B164,'февраль 2026'!$J$2:$J$2649,S$1)</f>
        <v>0</v>
      </c>
      <c r="T164" s="144">
        <f>SUMIFS('февраль 2026'!$G$2:$G$2649,'февраль 2026'!$D$2:$D$2649,$B164,'февраль 2026'!$J$2:$J$2649,T$1)</f>
        <v>0</v>
      </c>
      <c r="U164" s="144">
        <f>SUMIFS('февраль 2026'!$G$2:$G$2649,'февраль 2026'!$D$2:$D$2649,$B164,'февраль 2026'!$J$2:$J$2649,U$1)</f>
        <v>0</v>
      </c>
      <c r="V164" s="144">
        <f>SUMIFS('февраль 2026'!$G$2:$G$2649,'февраль 2026'!$D$2:$D$2649,$B164,'февраль 2026'!$J$2:$J$2649,V$1)</f>
        <v>0</v>
      </c>
      <c r="W164" s="144">
        <f>SUMIFS('февраль 2026'!$G$2:$G$2649,'февраль 2026'!$D$2:$D$2649,$B164,'февраль 2026'!$J$2:$J$2649,W$1)</f>
        <v>0</v>
      </c>
      <c r="X164" s="144">
        <f>SUMIFS('февраль 2026'!$G$2:$G$2649,'февраль 2026'!$D$2:$D$2649,$B164,'февраль 2026'!$J$2:$J$2649,X$1)</f>
        <v>0</v>
      </c>
      <c r="Y164" s="144">
        <f>SUMIFS('февраль 2026'!$G$2:$G$2649,'февраль 2026'!$D$2:$D$2649,$B164,'февраль 2026'!$J$2:$J$2649,Y$1)</f>
        <v>0</v>
      </c>
      <c r="Z164" s="144">
        <f>SUMIFS('февраль 2026'!$G$2:$G$2649,'февраль 2026'!$D$2:$D$2649,$B164,'февраль 2026'!$J$2:$J$2649,Z$1)</f>
        <v>0</v>
      </c>
      <c r="AA164" s="144">
        <f>SUMIFS('февраль 2026'!$G$2:$G$2649,'февраль 2026'!$D$2:$D$2649,$B164,'февраль 2026'!$J$2:$J$2649,AA$1)</f>
        <v>0</v>
      </c>
      <c r="AB164" s="144">
        <f>SUMIFS('февраль 2026'!$G$2:$G$2649,'февраль 2026'!$D$2:$D$2649,$B164,'февраль 2026'!$J$2:$J$2649,AB$1)</f>
        <v>0</v>
      </c>
      <c r="AC164" s="144">
        <f>SUMIFS('февраль 2026'!$G$2:$G$2649,'февраль 2026'!$D$2:$D$2649,$B164,'февраль 2026'!$J$2:$J$2649,AC$1)</f>
        <v>0</v>
      </c>
      <c r="AD164" s="144">
        <f>SUMIFS('февраль 2026'!$G$2:$G$2649,'февраль 2026'!$D$2:$D$2649,$B164,'февраль 2026'!$J$2:$J$2649,AD$1)</f>
        <v>0</v>
      </c>
      <c r="AE164" s="144">
        <f>SUMIFS('февраль 2026'!$G$2:$G$2649,'февраль 2026'!$D$2:$D$2649,$B164,'февраль 2026'!$J$2:$J$2649,AE$1)</f>
        <v>0</v>
      </c>
      <c r="AF164" s="144">
        <f>SUMIFS('февраль 2026'!$G$2:$G$2649,'февраль 2026'!$D$2:$D$2649,$B164,'февраль 2026'!$J$2:$J$2649,AF$1)</f>
        <v>0</v>
      </c>
      <c r="AG164" s="144">
        <f>SUMIFS('февраль 2026'!$G$2:$G$2649,'февраль 2026'!$D$2:$D$2649,$B164,'февраль 2026'!$J$2:$J$2649,AG$1)</f>
        <v>0</v>
      </c>
      <c r="AH164" s="144">
        <f>SUMIFS('февраль 2026'!$G$2:$G$2649,'февраль 2026'!$D$2:$D$2649,$B164,'февраль 2026'!$J$2:$J$2649,AH$1)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SUMIFS('февраль 2026'!$G$2:$G$2649,'февраль 2026'!$D$2:$D$2649,$B165,'февраль 2026'!$J$2:$J$2649,D$1)</f>
        <v>0</v>
      </c>
      <c r="E165" s="144">
        <f>SUMIFS('февраль 2026'!$G$2:$G$2649,'февраль 2026'!$D$2:$D$2649,$B165,'февраль 2026'!$J$2:$J$2649,E$1)</f>
        <v>0</v>
      </c>
      <c r="F165" s="144">
        <f>SUMIFS('февраль 2026'!$G$2:$G$2649,'февраль 2026'!$D$2:$D$2649,$B165,'февраль 2026'!$J$2:$J$2649,F$1)</f>
        <v>0</v>
      </c>
      <c r="G165" s="144">
        <f>SUMIFS('февраль 2026'!$G$2:$G$2649,'февраль 2026'!$D$2:$D$2649,$B165,'февраль 2026'!$J$2:$J$2649,G$1)</f>
        <v>0</v>
      </c>
      <c r="H165" s="144">
        <f>SUMIFS('февраль 2026'!$G$2:$G$2649,'февраль 2026'!$D$2:$D$2649,$B165,'февраль 2026'!$J$2:$J$2649,H$1)</f>
        <v>0</v>
      </c>
      <c r="I165" s="144">
        <f>SUMIFS('февраль 2026'!$G$2:$G$2649,'февраль 2026'!$D$2:$D$2649,$B165,'февраль 2026'!$J$2:$J$2649,I$1)</f>
        <v>0</v>
      </c>
      <c r="J165" s="144">
        <f>SUMIFS('февраль 2026'!$G$2:$G$2649,'февраль 2026'!$D$2:$D$2649,$B165,'февраль 2026'!$J$2:$J$2649,J$1)</f>
        <v>0</v>
      </c>
      <c r="K165" s="144">
        <f>SUMIFS('февраль 2026'!$G$2:$G$2649,'февраль 2026'!$D$2:$D$2649,$B165,'февраль 2026'!$J$2:$J$2649,K$1)</f>
        <v>0</v>
      </c>
      <c r="L165" s="144">
        <f>SUMIFS('февраль 2026'!$G$2:$G$2649,'февраль 2026'!$D$2:$D$2649,$B165,'февраль 2026'!$J$2:$J$2649,L$1)</f>
        <v>0</v>
      </c>
      <c r="M165" s="144">
        <f>SUMIFS('февраль 2026'!$G$2:$G$2649,'февраль 2026'!$D$2:$D$2649,$B165,'февраль 2026'!$J$2:$J$2649,M$1)</f>
        <v>0</v>
      </c>
      <c r="N165" s="144">
        <f>SUMIFS('февраль 2026'!$G$2:$G$2649,'февраль 2026'!$D$2:$D$2649,$B165,'февраль 2026'!$J$2:$J$2649,N$1)</f>
        <v>0</v>
      </c>
      <c r="O165" s="144">
        <f>SUMIFS('февраль 2026'!$G$2:$G$2649,'февраль 2026'!$D$2:$D$2649,$B165,'февраль 2026'!$J$2:$J$2649,O$1)</f>
        <v>0</v>
      </c>
      <c r="P165" s="144">
        <f>SUMIFS('февраль 2026'!$G$2:$G$2649,'февраль 2026'!$D$2:$D$2649,$B165,'февраль 2026'!$J$2:$J$2649,P$1)</f>
        <v>0</v>
      </c>
      <c r="Q165" s="144">
        <f>SUMIFS('февраль 2026'!$G$2:$G$2649,'февраль 2026'!$D$2:$D$2649,$B165,'февраль 2026'!$J$2:$J$2649,Q$1)</f>
        <v>0</v>
      </c>
      <c r="R165" s="144">
        <f>SUMIFS('февраль 2026'!$G$2:$G$2649,'февраль 2026'!$D$2:$D$2649,$B165,'февраль 2026'!$J$2:$J$2649,R$1)</f>
        <v>0</v>
      </c>
      <c r="S165" s="144">
        <f>SUMIFS('февраль 2026'!$G$2:$G$2649,'февраль 2026'!$D$2:$D$2649,$B165,'февраль 2026'!$J$2:$J$2649,S$1)</f>
        <v>0</v>
      </c>
      <c r="T165" s="144">
        <f>SUMIFS('февраль 2026'!$G$2:$G$2649,'февраль 2026'!$D$2:$D$2649,$B165,'февраль 2026'!$J$2:$J$2649,T$1)</f>
        <v>0</v>
      </c>
      <c r="U165" s="144">
        <f>SUMIFS('февраль 2026'!$G$2:$G$2649,'февраль 2026'!$D$2:$D$2649,$B165,'февраль 2026'!$J$2:$J$2649,U$1)</f>
        <v>0</v>
      </c>
      <c r="V165" s="144">
        <f>SUMIFS('февраль 2026'!$G$2:$G$2649,'февраль 2026'!$D$2:$D$2649,$B165,'февраль 2026'!$J$2:$J$2649,V$1)</f>
        <v>0</v>
      </c>
      <c r="W165" s="144">
        <f>SUMIFS('февраль 2026'!$G$2:$G$2649,'февраль 2026'!$D$2:$D$2649,$B165,'февраль 2026'!$J$2:$J$2649,W$1)</f>
        <v>0</v>
      </c>
      <c r="X165" s="144">
        <f>SUMIFS('февраль 2026'!$G$2:$G$2649,'февраль 2026'!$D$2:$D$2649,$B165,'февраль 2026'!$J$2:$J$2649,X$1)</f>
        <v>0</v>
      </c>
      <c r="Y165" s="144">
        <f>SUMIFS('февраль 2026'!$G$2:$G$2649,'февраль 2026'!$D$2:$D$2649,$B165,'февраль 2026'!$J$2:$J$2649,Y$1)</f>
        <v>0</v>
      </c>
      <c r="Z165" s="144">
        <f>SUMIFS('февраль 2026'!$G$2:$G$2649,'февраль 2026'!$D$2:$D$2649,$B165,'февраль 2026'!$J$2:$J$2649,Z$1)</f>
        <v>0</v>
      </c>
      <c r="AA165" s="144">
        <f>SUMIFS('февраль 2026'!$G$2:$G$2649,'февраль 2026'!$D$2:$D$2649,$B165,'февраль 2026'!$J$2:$J$2649,AA$1)</f>
        <v>0</v>
      </c>
      <c r="AB165" s="144">
        <f>SUMIFS('февраль 2026'!$G$2:$G$2649,'февраль 2026'!$D$2:$D$2649,$B165,'февраль 2026'!$J$2:$J$2649,AB$1)</f>
        <v>0</v>
      </c>
      <c r="AC165" s="144">
        <f>SUMIFS('февраль 2026'!$G$2:$G$2649,'февраль 2026'!$D$2:$D$2649,$B165,'февраль 2026'!$J$2:$J$2649,AC$1)</f>
        <v>0</v>
      </c>
      <c r="AD165" s="144">
        <f>SUMIFS('февраль 2026'!$G$2:$G$2649,'февраль 2026'!$D$2:$D$2649,$B165,'февраль 2026'!$J$2:$J$2649,AD$1)</f>
        <v>0</v>
      </c>
      <c r="AE165" s="144">
        <f>SUMIFS('февраль 2026'!$G$2:$G$2649,'февраль 2026'!$D$2:$D$2649,$B165,'февраль 2026'!$J$2:$J$2649,AE$1)</f>
        <v>0</v>
      </c>
      <c r="AF165" s="144">
        <f>SUMIFS('февраль 2026'!$G$2:$G$2649,'февраль 2026'!$D$2:$D$2649,$B165,'февраль 2026'!$J$2:$J$2649,AF$1)</f>
        <v>0</v>
      </c>
      <c r="AG165" s="144">
        <f>SUMIFS('февраль 2026'!$G$2:$G$2649,'февраль 2026'!$D$2:$D$2649,$B165,'февраль 2026'!$J$2:$J$2649,AG$1)</f>
        <v>0</v>
      </c>
      <c r="AH165" s="144">
        <f>SUMIFS('февраль 2026'!$G$2:$G$2649,'февраль 2026'!$D$2:$D$2649,$B165,'февраль 2026'!$J$2:$J$2649,AH$1)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SUMIFS('февраль 2026'!$G$2:$G$2649,'февраль 2026'!$D$2:$D$2649,$B166,'февраль 2026'!$J$2:$J$2649,D$1)</f>
        <v>0</v>
      </c>
      <c r="E166" s="144">
        <f>SUMIFS('февраль 2026'!$G$2:$G$2649,'февраль 2026'!$D$2:$D$2649,$B166,'февраль 2026'!$J$2:$J$2649,E$1)</f>
        <v>0</v>
      </c>
      <c r="F166" s="144">
        <f>SUMIFS('февраль 2026'!$G$2:$G$2649,'февраль 2026'!$D$2:$D$2649,$B166,'февраль 2026'!$J$2:$J$2649,F$1)</f>
        <v>0</v>
      </c>
      <c r="G166" s="144">
        <f>SUMIFS('февраль 2026'!$G$2:$G$2649,'февраль 2026'!$D$2:$D$2649,$B166,'февраль 2026'!$J$2:$J$2649,G$1)</f>
        <v>0</v>
      </c>
      <c r="H166" s="144">
        <f>SUMIFS('февраль 2026'!$G$2:$G$2649,'февраль 2026'!$D$2:$D$2649,$B166,'февраль 2026'!$J$2:$J$2649,H$1)</f>
        <v>0</v>
      </c>
      <c r="I166" s="144">
        <f>SUMIFS('февраль 2026'!$G$2:$G$2649,'февраль 2026'!$D$2:$D$2649,$B166,'февраль 2026'!$J$2:$J$2649,I$1)</f>
        <v>0</v>
      </c>
      <c r="J166" s="144">
        <f>SUMIFS('февраль 2026'!$G$2:$G$2649,'февраль 2026'!$D$2:$D$2649,$B166,'февраль 2026'!$J$2:$J$2649,J$1)</f>
        <v>0</v>
      </c>
      <c r="K166" s="144">
        <f>SUMIFS('февраль 2026'!$G$2:$G$2649,'февраль 2026'!$D$2:$D$2649,$B166,'февраль 2026'!$J$2:$J$2649,K$1)</f>
        <v>0</v>
      </c>
      <c r="L166" s="144">
        <f>SUMIFS('февраль 2026'!$G$2:$G$2649,'февраль 2026'!$D$2:$D$2649,$B166,'февраль 2026'!$J$2:$J$2649,L$1)</f>
        <v>0</v>
      </c>
      <c r="M166" s="144">
        <f>SUMIFS('февраль 2026'!$G$2:$G$2649,'февраль 2026'!$D$2:$D$2649,$B166,'февраль 2026'!$J$2:$J$2649,M$1)</f>
        <v>0</v>
      </c>
      <c r="N166" s="144">
        <f>SUMIFS('февраль 2026'!$G$2:$G$2649,'февраль 2026'!$D$2:$D$2649,$B166,'февраль 2026'!$J$2:$J$2649,N$1)</f>
        <v>0</v>
      </c>
      <c r="O166" s="144">
        <f>SUMIFS('февраль 2026'!$G$2:$G$2649,'февраль 2026'!$D$2:$D$2649,$B166,'февраль 2026'!$J$2:$J$2649,O$1)</f>
        <v>0</v>
      </c>
      <c r="P166" s="144">
        <f>SUMIFS('февраль 2026'!$G$2:$G$2649,'февраль 2026'!$D$2:$D$2649,$B166,'февраль 2026'!$J$2:$J$2649,P$1)</f>
        <v>0</v>
      </c>
      <c r="Q166" s="144">
        <f>SUMIFS('февраль 2026'!$G$2:$G$2649,'февраль 2026'!$D$2:$D$2649,$B166,'февраль 2026'!$J$2:$J$2649,Q$1)</f>
        <v>0</v>
      </c>
      <c r="R166" s="144">
        <f>SUMIFS('февраль 2026'!$G$2:$G$2649,'февраль 2026'!$D$2:$D$2649,$B166,'февраль 2026'!$J$2:$J$2649,R$1)</f>
        <v>0</v>
      </c>
      <c r="S166" s="144">
        <f>SUMIFS('февраль 2026'!$G$2:$G$2649,'февраль 2026'!$D$2:$D$2649,$B166,'февраль 2026'!$J$2:$J$2649,S$1)</f>
        <v>0</v>
      </c>
      <c r="T166" s="144">
        <f>SUMIFS('февраль 2026'!$G$2:$G$2649,'февраль 2026'!$D$2:$D$2649,$B166,'февраль 2026'!$J$2:$J$2649,T$1)</f>
        <v>0</v>
      </c>
      <c r="U166" s="144">
        <f>SUMIFS('февраль 2026'!$G$2:$G$2649,'февраль 2026'!$D$2:$D$2649,$B166,'февраль 2026'!$J$2:$J$2649,U$1)</f>
        <v>0</v>
      </c>
      <c r="V166" s="144">
        <f>SUMIFS('февраль 2026'!$G$2:$G$2649,'февраль 2026'!$D$2:$D$2649,$B166,'февраль 2026'!$J$2:$J$2649,V$1)</f>
        <v>0</v>
      </c>
      <c r="W166" s="144">
        <f>SUMIFS('февраль 2026'!$G$2:$G$2649,'февраль 2026'!$D$2:$D$2649,$B166,'февраль 2026'!$J$2:$J$2649,W$1)</f>
        <v>0</v>
      </c>
      <c r="X166" s="144">
        <f>SUMIFS('февраль 2026'!$G$2:$G$2649,'февраль 2026'!$D$2:$D$2649,$B166,'февраль 2026'!$J$2:$J$2649,X$1)</f>
        <v>0</v>
      </c>
      <c r="Y166" s="144">
        <f>SUMIFS('февраль 2026'!$G$2:$G$2649,'февраль 2026'!$D$2:$D$2649,$B166,'февраль 2026'!$J$2:$J$2649,Y$1)</f>
        <v>0</v>
      </c>
      <c r="Z166" s="144">
        <f>SUMIFS('февраль 2026'!$G$2:$G$2649,'февраль 2026'!$D$2:$D$2649,$B166,'февраль 2026'!$J$2:$J$2649,Z$1)</f>
        <v>0</v>
      </c>
      <c r="AA166" s="144">
        <f>SUMIFS('февраль 2026'!$G$2:$G$2649,'февраль 2026'!$D$2:$D$2649,$B166,'февраль 2026'!$J$2:$J$2649,AA$1)</f>
        <v>0</v>
      </c>
      <c r="AB166" s="144">
        <f>SUMIFS('февраль 2026'!$G$2:$G$2649,'февраль 2026'!$D$2:$D$2649,$B166,'февраль 2026'!$J$2:$J$2649,AB$1)</f>
        <v>0</v>
      </c>
      <c r="AC166" s="144">
        <f>SUMIFS('февраль 2026'!$G$2:$G$2649,'февраль 2026'!$D$2:$D$2649,$B166,'февраль 2026'!$J$2:$J$2649,AC$1)</f>
        <v>0</v>
      </c>
      <c r="AD166" s="144">
        <f>SUMIFS('февраль 2026'!$G$2:$G$2649,'февраль 2026'!$D$2:$D$2649,$B166,'февраль 2026'!$J$2:$J$2649,AD$1)</f>
        <v>0</v>
      </c>
      <c r="AE166" s="144">
        <f>SUMIFS('февраль 2026'!$G$2:$G$2649,'февраль 2026'!$D$2:$D$2649,$B166,'февраль 2026'!$J$2:$J$2649,AE$1)</f>
        <v>0</v>
      </c>
      <c r="AF166" s="144">
        <f>SUMIFS('февраль 2026'!$G$2:$G$2649,'февраль 2026'!$D$2:$D$2649,$B166,'февраль 2026'!$J$2:$J$2649,AF$1)</f>
        <v>0</v>
      </c>
      <c r="AG166" s="144">
        <f>SUMIFS('февраль 2026'!$G$2:$G$2649,'февраль 2026'!$D$2:$D$2649,$B166,'февраль 2026'!$J$2:$J$2649,AG$1)</f>
        <v>0</v>
      </c>
      <c r="AH166" s="144">
        <f>SUMIFS('февраль 2026'!$G$2:$G$2649,'февраль 2026'!$D$2:$D$2649,$B166,'февраль 2026'!$J$2:$J$2649,AH$1)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SUMIFS('февраль 2026'!$G$2:$G$2649,'февраль 2026'!$D$2:$D$2649,$B167,'февраль 2026'!$J$2:$J$2649,D$1)</f>
        <v>0</v>
      </c>
      <c r="E167" s="144">
        <f>SUMIFS('февраль 2026'!$G$2:$G$2649,'февраль 2026'!$D$2:$D$2649,$B167,'февраль 2026'!$J$2:$J$2649,E$1)</f>
        <v>0</v>
      </c>
      <c r="F167" s="144">
        <f>SUMIFS('февраль 2026'!$G$2:$G$2649,'февраль 2026'!$D$2:$D$2649,$B167,'февраль 2026'!$J$2:$J$2649,F$1)</f>
        <v>0</v>
      </c>
      <c r="G167" s="144">
        <f>SUMIFS('февраль 2026'!$G$2:$G$2649,'февраль 2026'!$D$2:$D$2649,$B167,'февраль 2026'!$J$2:$J$2649,G$1)</f>
        <v>0</v>
      </c>
      <c r="H167" s="144">
        <f>SUMIFS('февраль 2026'!$G$2:$G$2649,'февраль 2026'!$D$2:$D$2649,$B167,'февраль 2026'!$J$2:$J$2649,H$1)</f>
        <v>0</v>
      </c>
      <c r="I167" s="144">
        <f>SUMIFS('февраль 2026'!$G$2:$G$2649,'февраль 2026'!$D$2:$D$2649,$B167,'февраль 2026'!$J$2:$J$2649,I$1)</f>
        <v>0</v>
      </c>
      <c r="J167" s="144">
        <f>SUMIFS('февраль 2026'!$G$2:$G$2649,'февраль 2026'!$D$2:$D$2649,$B167,'февраль 2026'!$J$2:$J$2649,J$1)</f>
        <v>0</v>
      </c>
      <c r="K167" s="144">
        <f>SUMIFS('февраль 2026'!$G$2:$G$2649,'февраль 2026'!$D$2:$D$2649,$B167,'февраль 2026'!$J$2:$J$2649,K$1)</f>
        <v>0</v>
      </c>
      <c r="L167" s="144">
        <f>SUMIFS('февраль 2026'!$G$2:$G$2649,'февраль 2026'!$D$2:$D$2649,$B167,'февраль 2026'!$J$2:$J$2649,L$1)</f>
        <v>0</v>
      </c>
      <c r="M167" s="144">
        <f>SUMIFS('февраль 2026'!$G$2:$G$2649,'февраль 2026'!$D$2:$D$2649,$B167,'февраль 2026'!$J$2:$J$2649,M$1)</f>
        <v>0</v>
      </c>
      <c r="N167" s="144">
        <f>SUMIFS('февраль 2026'!$G$2:$G$2649,'февраль 2026'!$D$2:$D$2649,$B167,'февраль 2026'!$J$2:$J$2649,N$1)</f>
        <v>0</v>
      </c>
      <c r="O167" s="144">
        <f>SUMIFS('февраль 2026'!$G$2:$G$2649,'февраль 2026'!$D$2:$D$2649,$B167,'февраль 2026'!$J$2:$J$2649,O$1)</f>
        <v>0</v>
      </c>
      <c r="P167" s="144">
        <f>SUMIFS('февраль 2026'!$G$2:$G$2649,'февраль 2026'!$D$2:$D$2649,$B167,'февраль 2026'!$J$2:$J$2649,P$1)</f>
        <v>0</v>
      </c>
      <c r="Q167" s="144">
        <f>SUMIFS('февраль 2026'!$G$2:$G$2649,'февраль 2026'!$D$2:$D$2649,$B167,'февраль 2026'!$J$2:$J$2649,Q$1)</f>
        <v>0</v>
      </c>
      <c r="R167" s="144">
        <f>SUMIFS('февраль 2026'!$G$2:$G$2649,'февраль 2026'!$D$2:$D$2649,$B167,'февраль 2026'!$J$2:$J$2649,R$1)</f>
        <v>0</v>
      </c>
      <c r="S167" s="144">
        <f>SUMIFS('февраль 2026'!$G$2:$G$2649,'февраль 2026'!$D$2:$D$2649,$B167,'февраль 2026'!$J$2:$J$2649,S$1)</f>
        <v>0</v>
      </c>
      <c r="T167" s="144">
        <f>SUMIFS('февраль 2026'!$G$2:$G$2649,'февраль 2026'!$D$2:$D$2649,$B167,'февраль 2026'!$J$2:$J$2649,T$1)</f>
        <v>0</v>
      </c>
      <c r="U167" s="144">
        <f>SUMIFS('февраль 2026'!$G$2:$G$2649,'февраль 2026'!$D$2:$D$2649,$B167,'февраль 2026'!$J$2:$J$2649,U$1)</f>
        <v>0</v>
      </c>
      <c r="V167" s="144">
        <f>SUMIFS('февраль 2026'!$G$2:$G$2649,'февраль 2026'!$D$2:$D$2649,$B167,'февраль 2026'!$J$2:$J$2649,V$1)</f>
        <v>0</v>
      </c>
      <c r="W167" s="144">
        <f>SUMIFS('февраль 2026'!$G$2:$G$2649,'февраль 2026'!$D$2:$D$2649,$B167,'февраль 2026'!$J$2:$J$2649,W$1)</f>
        <v>0</v>
      </c>
      <c r="X167" s="144">
        <f>SUMIFS('февраль 2026'!$G$2:$G$2649,'февраль 2026'!$D$2:$D$2649,$B167,'февраль 2026'!$J$2:$J$2649,X$1)</f>
        <v>0</v>
      </c>
      <c r="Y167" s="144">
        <f>SUMIFS('февраль 2026'!$G$2:$G$2649,'февраль 2026'!$D$2:$D$2649,$B167,'февраль 2026'!$J$2:$J$2649,Y$1)</f>
        <v>0</v>
      </c>
      <c r="Z167" s="144">
        <f>SUMIFS('февраль 2026'!$G$2:$G$2649,'февраль 2026'!$D$2:$D$2649,$B167,'февраль 2026'!$J$2:$J$2649,Z$1)</f>
        <v>0</v>
      </c>
      <c r="AA167" s="144">
        <f>SUMIFS('февраль 2026'!$G$2:$G$2649,'февраль 2026'!$D$2:$D$2649,$B167,'февраль 2026'!$J$2:$J$2649,AA$1)</f>
        <v>0</v>
      </c>
      <c r="AB167" s="144">
        <f>SUMIFS('февраль 2026'!$G$2:$G$2649,'февраль 2026'!$D$2:$D$2649,$B167,'февраль 2026'!$J$2:$J$2649,AB$1)</f>
        <v>0</v>
      </c>
      <c r="AC167" s="144">
        <f>SUMIFS('февраль 2026'!$G$2:$G$2649,'февраль 2026'!$D$2:$D$2649,$B167,'февраль 2026'!$J$2:$J$2649,AC$1)</f>
        <v>0</v>
      </c>
      <c r="AD167" s="144">
        <f>SUMIFS('февраль 2026'!$G$2:$G$2649,'февраль 2026'!$D$2:$D$2649,$B167,'февраль 2026'!$J$2:$J$2649,AD$1)</f>
        <v>0</v>
      </c>
      <c r="AE167" s="144">
        <f>SUMIFS('февраль 2026'!$G$2:$G$2649,'февраль 2026'!$D$2:$D$2649,$B167,'февраль 2026'!$J$2:$J$2649,AE$1)</f>
        <v>0</v>
      </c>
      <c r="AF167" s="144">
        <f>SUMIFS('февраль 2026'!$G$2:$G$2649,'февраль 2026'!$D$2:$D$2649,$B167,'февраль 2026'!$J$2:$J$2649,AF$1)</f>
        <v>0</v>
      </c>
      <c r="AG167" s="144">
        <f>SUMIFS('февраль 2026'!$G$2:$G$2649,'февраль 2026'!$D$2:$D$2649,$B167,'февраль 2026'!$J$2:$J$2649,AG$1)</f>
        <v>0</v>
      </c>
      <c r="AH167" s="144">
        <f>SUMIFS('февраль 2026'!$G$2:$G$2649,'февраль 2026'!$D$2:$D$2649,$B167,'февраль 2026'!$J$2:$J$2649,AH$1)</f>
        <v>0</v>
      </c>
      <c r="AI167" s="20">
        <f t="shared" si="1"/>
        <v>0</v>
      </c>
    </row>
    <row r="168" spans="2:35" ht="15" customHeight="1" x14ac:dyDescent="0.25">
      <c r="B168" s="85" t="s">
        <v>175</v>
      </c>
      <c r="C168" s="83">
        <v>25</v>
      </c>
      <c r="D168" s="144">
        <f>SUMIFS('февраль 2026'!$G$2:$G$2649,'февраль 2026'!$D$2:$D$2649,$B168,'февраль 2026'!$J$2:$J$2649,D$1)</f>
        <v>0</v>
      </c>
      <c r="E168" s="144">
        <f>SUMIFS('февраль 2026'!$G$2:$G$2649,'февраль 2026'!$D$2:$D$2649,$B168,'февраль 2026'!$J$2:$J$2649,E$1)</f>
        <v>0</v>
      </c>
      <c r="F168" s="144">
        <f>SUMIFS('февраль 2026'!$G$2:$G$2649,'февраль 2026'!$D$2:$D$2649,$B168,'февраль 2026'!$J$2:$J$2649,F$1)</f>
        <v>0</v>
      </c>
      <c r="G168" s="144">
        <f>SUMIFS('февраль 2026'!$G$2:$G$2649,'февраль 2026'!$D$2:$D$2649,$B168,'февраль 2026'!$J$2:$J$2649,G$1)</f>
        <v>0</v>
      </c>
      <c r="H168" s="144">
        <f>SUMIFS('февраль 2026'!$G$2:$G$2649,'февраль 2026'!$D$2:$D$2649,$B168,'февраль 2026'!$J$2:$J$2649,H$1)</f>
        <v>0</v>
      </c>
      <c r="I168" s="144">
        <f>SUMIFS('февраль 2026'!$G$2:$G$2649,'февраль 2026'!$D$2:$D$2649,$B168,'февраль 2026'!$J$2:$J$2649,I$1)</f>
        <v>0</v>
      </c>
      <c r="J168" s="144">
        <f>SUMIFS('февраль 2026'!$G$2:$G$2649,'февраль 2026'!$D$2:$D$2649,$B168,'февраль 2026'!$J$2:$J$2649,J$1)</f>
        <v>0</v>
      </c>
      <c r="K168" s="144">
        <f>SUMIFS('февраль 2026'!$G$2:$G$2649,'февраль 2026'!$D$2:$D$2649,$B168,'февраль 2026'!$J$2:$J$2649,K$1)</f>
        <v>0</v>
      </c>
      <c r="L168" s="144">
        <f>SUMIFS('февраль 2026'!$G$2:$G$2649,'февраль 2026'!$D$2:$D$2649,$B168,'февраль 2026'!$J$2:$J$2649,L$1)</f>
        <v>0</v>
      </c>
      <c r="M168" s="144">
        <f>SUMIFS('февраль 2026'!$G$2:$G$2649,'февраль 2026'!$D$2:$D$2649,$B168,'февраль 2026'!$J$2:$J$2649,M$1)</f>
        <v>0</v>
      </c>
      <c r="N168" s="144">
        <f>SUMIFS('февраль 2026'!$G$2:$G$2649,'февраль 2026'!$D$2:$D$2649,$B168,'февраль 2026'!$J$2:$J$2649,N$1)</f>
        <v>0</v>
      </c>
      <c r="O168" s="144">
        <f>SUMIFS('февраль 2026'!$G$2:$G$2649,'февраль 2026'!$D$2:$D$2649,$B168,'февраль 2026'!$J$2:$J$2649,O$1)</f>
        <v>0</v>
      </c>
      <c r="P168" s="144">
        <f>SUMIFS('февраль 2026'!$G$2:$G$2649,'февраль 2026'!$D$2:$D$2649,$B168,'февраль 2026'!$J$2:$J$2649,P$1)</f>
        <v>0</v>
      </c>
      <c r="Q168" s="144">
        <f>SUMIFS('февраль 2026'!$G$2:$G$2649,'февраль 2026'!$D$2:$D$2649,$B168,'февраль 2026'!$J$2:$J$2649,Q$1)</f>
        <v>0</v>
      </c>
      <c r="R168" s="144">
        <f>SUMIFS('февраль 2026'!$G$2:$G$2649,'февраль 2026'!$D$2:$D$2649,$B168,'февраль 2026'!$J$2:$J$2649,R$1)</f>
        <v>0</v>
      </c>
      <c r="S168" s="144">
        <f>SUMIFS('февраль 2026'!$G$2:$G$2649,'февраль 2026'!$D$2:$D$2649,$B168,'февраль 2026'!$J$2:$J$2649,S$1)</f>
        <v>0</v>
      </c>
      <c r="T168" s="144">
        <f>SUMIFS('февраль 2026'!$G$2:$G$2649,'февраль 2026'!$D$2:$D$2649,$B168,'февраль 2026'!$J$2:$J$2649,T$1)</f>
        <v>0</v>
      </c>
      <c r="U168" s="144">
        <f>SUMIFS('февраль 2026'!$G$2:$G$2649,'февраль 2026'!$D$2:$D$2649,$B168,'февраль 2026'!$J$2:$J$2649,U$1)</f>
        <v>0</v>
      </c>
      <c r="V168" s="144">
        <f>SUMIFS('февраль 2026'!$G$2:$G$2649,'февраль 2026'!$D$2:$D$2649,$B168,'февраль 2026'!$J$2:$J$2649,V$1)</f>
        <v>0</v>
      </c>
      <c r="W168" s="144">
        <f>SUMIFS('февраль 2026'!$G$2:$G$2649,'февраль 2026'!$D$2:$D$2649,$B168,'февраль 2026'!$J$2:$J$2649,W$1)</f>
        <v>0</v>
      </c>
      <c r="X168" s="144">
        <f>SUMIFS('февраль 2026'!$G$2:$G$2649,'февраль 2026'!$D$2:$D$2649,$B168,'февраль 2026'!$J$2:$J$2649,X$1)</f>
        <v>0</v>
      </c>
      <c r="Y168" s="144">
        <f>SUMIFS('февраль 2026'!$G$2:$G$2649,'февраль 2026'!$D$2:$D$2649,$B168,'февраль 2026'!$J$2:$J$2649,Y$1)</f>
        <v>0</v>
      </c>
      <c r="Z168" s="144">
        <f>SUMIFS('февраль 2026'!$G$2:$G$2649,'февраль 2026'!$D$2:$D$2649,$B168,'февраль 2026'!$J$2:$J$2649,Z$1)</f>
        <v>0</v>
      </c>
      <c r="AA168" s="144">
        <f>SUMIFS('февраль 2026'!$G$2:$G$2649,'февраль 2026'!$D$2:$D$2649,$B168,'февраль 2026'!$J$2:$J$2649,AA$1)</f>
        <v>0</v>
      </c>
      <c r="AB168" s="144">
        <f>SUMIFS('февраль 2026'!$G$2:$G$2649,'февраль 2026'!$D$2:$D$2649,$B168,'февраль 2026'!$J$2:$J$2649,AB$1)</f>
        <v>0</v>
      </c>
      <c r="AC168" s="144">
        <f>SUMIFS('февраль 2026'!$G$2:$G$2649,'февраль 2026'!$D$2:$D$2649,$B168,'февраль 2026'!$J$2:$J$2649,AC$1)</f>
        <v>0</v>
      </c>
      <c r="AD168" s="144">
        <f>SUMIFS('февраль 2026'!$G$2:$G$2649,'февраль 2026'!$D$2:$D$2649,$B168,'февраль 2026'!$J$2:$J$2649,AD$1)</f>
        <v>0</v>
      </c>
      <c r="AE168" s="144">
        <f>SUMIFS('февраль 2026'!$G$2:$G$2649,'февраль 2026'!$D$2:$D$2649,$B168,'февраль 2026'!$J$2:$J$2649,AE$1)</f>
        <v>0</v>
      </c>
      <c r="AF168" s="144">
        <f>SUMIFS('февраль 2026'!$G$2:$G$2649,'февраль 2026'!$D$2:$D$2649,$B168,'февраль 2026'!$J$2:$J$2649,AF$1)</f>
        <v>0</v>
      </c>
      <c r="AG168" s="144">
        <f>SUMIFS('февраль 2026'!$G$2:$G$2649,'февраль 2026'!$D$2:$D$2649,$B168,'февраль 2026'!$J$2:$J$2649,AG$1)</f>
        <v>0</v>
      </c>
      <c r="AH168" s="144">
        <f>SUMIFS('февраль 2026'!$G$2:$G$2649,'февраль 2026'!$D$2:$D$2649,$B168,'февраль 2026'!$J$2:$J$2649,AH$1)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SUMIFS('февраль 2026'!$G$2:$G$2649,'февраль 2026'!$D$2:$D$2649,$B169,'февраль 2026'!$J$2:$J$2649,D$1)</f>
        <v>0</v>
      </c>
      <c r="E169" s="144">
        <f>SUMIFS('февраль 2026'!$G$2:$G$2649,'февраль 2026'!$D$2:$D$2649,$B169,'февраль 2026'!$J$2:$J$2649,E$1)</f>
        <v>0</v>
      </c>
      <c r="F169" s="144">
        <f>SUMIFS('февраль 2026'!$G$2:$G$2649,'февраль 2026'!$D$2:$D$2649,$B169,'февраль 2026'!$J$2:$J$2649,F$1)</f>
        <v>0</v>
      </c>
      <c r="G169" s="144">
        <f>SUMIFS('февраль 2026'!$G$2:$G$2649,'февраль 2026'!$D$2:$D$2649,$B169,'февраль 2026'!$J$2:$J$2649,G$1)</f>
        <v>0</v>
      </c>
      <c r="H169" s="144">
        <f>SUMIFS('февраль 2026'!$G$2:$G$2649,'февраль 2026'!$D$2:$D$2649,$B169,'февраль 2026'!$J$2:$J$2649,H$1)</f>
        <v>0</v>
      </c>
      <c r="I169" s="144">
        <f>SUMIFS('февраль 2026'!$G$2:$G$2649,'февраль 2026'!$D$2:$D$2649,$B169,'февраль 2026'!$J$2:$J$2649,I$1)</f>
        <v>0</v>
      </c>
      <c r="J169" s="144">
        <f>SUMIFS('февраль 2026'!$G$2:$G$2649,'февраль 2026'!$D$2:$D$2649,$B169,'февраль 2026'!$J$2:$J$2649,J$1)</f>
        <v>0</v>
      </c>
      <c r="K169" s="144">
        <f>SUMIFS('февраль 2026'!$G$2:$G$2649,'февраль 2026'!$D$2:$D$2649,$B169,'февраль 2026'!$J$2:$J$2649,K$1)</f>
        <v>0</v>
      </c>
      <c r="L169" s="144">
        <f>SUMIFS('февраль 2026'!$G$2:$G$2649,'февраль 2026'!$D$2:$D$2649,$B169,'февраль 2026'!$J$2:$J$2649,L$1)</f>
        <v>0</v>
      </c>
      <c r="M169" s="144">
        <f>SUMIFS('февраль 2026'!$G$2:$G$2649,'февраль 2026'!$D$2:$D$2649,$B169,'февраль 2026'!$J$2:$J$2649,M$1)</f>
        <v>0</v>
      </c>
      <c r="N169" s="144">
        <f>SUMIFS('февраль 2026'!$G$2:$G$2649,'февраль 2026'!$D$2:$D$2649,$B169,'февраль 2026'!$J$2:$J$2649,N$1)</f>
        <v>0</v>
      </c>
      <c r="O169" s="144">
        <f>SUMIFS('февраль 2026'!$G$2:$G$2649,'февраль 2026'!$D$2:$D$2649,$B169,'февраль 2026'!$J$2:$J$2649,O$1)</f>
        <v>0</v>
      </c>
      <c r="P169" s="144">
        <f>SUMIFS('февраль 2026'!$G$2:$G$2649,'февраль 2026'!$D$2:$D$2649,$B169,'февраль 2026'!$J$2:$J$2649,P$1)</f>
        <v>0</v>
      </c>
      <c r="Q169" s="144">
        <f>SUMIFS('февраль 2026'!$G$2:$G$2649,'февраль 2026'!$D$2:$D$2649,$B169,'февраль 2026'!$J$2:$J$2649,Q$1)</f>
        <v>0</v>
      </c>
      <c r="R169" s="144">
        <f>SUMIFS('февраль 2026'!$G$2:$G$2649,'февраль 2026'!$D$2:$D$2649,$B169,'февраль 2026'!$J$2:$J$2649,R$1)</f>
        <v>0</v>
      </c>
      <c r="S169" s="144">
        <f>SUMIFS('февраль 2026'!$G$2:$G$2649,'февраль 2026'!$D$2:$D$2649,$B169,'февраль 2026'!$J$2:$J$2649,S$1)</f>
        <v>0</v>
      </c>
      <c r="T169" s="144">
        <f>SUMIFS('февраль 2026'!$G$2:$G$2649,'февраль 2026'!$D$2:$D$2649,$B169,'февраль 2026'!$J$2:$J$2649,T$1)</f>
        <v>0</v>
      </c>
      <c r="U169" s="144">
        <f>SUMIFS('февраль 2026'!$G$2:$G$2649,'февраль 2026'!$D$2:$D$2649,$B169,'февраль 2026'!$J$2:$J$2649,U$1)</f>
        <v>0</v>
      </c>
      <c r="V169" s="144">
        <f>SUMIFS('февраль 2026'!$G$2:$G$2649,'февраль 2026'!$D$2:$D$2649,$B169,'февраль 2026'!$J$2:$J$2649,V$1)</f>
        <v>0</v>
      </c>
      <c r="W169" s="144">
        <f>SUMIFS('февраль 2026'!$G$2:$G$2649,'февраль 2026'!$D$2:$D$2649,$B169,'февраль 2026'!$J$2:$J$2649,W$1)</f>
        <v>0</v>
      </c>
      <c r="X169" s="144">
        <f>SUMIFS('февраль 2026'!$G$2:$G$2649,'февраль 2026'!$D$2:$D$2649,$B169,'февраль 2026'!$J$2:$J$2649,X$1)</f>
        <v>0</v>
      </c>
      <c r="Y169" s="144">
        <f>SUMIFS('февраль 2026'!$G$2:$G$2649,'февраль 2026'!$D$2:$D$2649,$B169,'февраль 2026'!$J$2:$J$2649,Y$1)</f>
        <v>0</v>
      </c>
      <c r="Z169" s="144">
        <f>SUMIFS('февраль 2026'!$G$2:$G$2649,'февраль 2026'!$D$2:$D$2649,$B169,'февраль 2026'!$J$2:$J$2649,Z$1)</f>
        <v>0</v>
      </c>
      <c r="AA169" s="144">
        <f>SUMIFS('февраль 2026'!$G$2:$G$2649,'февраль 2026'!$D$2:$D$2649,$B169,'февраль 2026'!$J$2:$J$2649,AA$1)</f>
        <v>0</v>
      </c>
      <c r="AB169" s="144">
        <f>SUMIFS('февраль 2026'!$G$2:$G$2649,'февраль 2026'!$D$2:$D$2649,$B169,'февраль 2026'!$J$2:$J$2649,AB$1)</f>
        <v>0</v>
      </c>
      <c r="AC169" s="144">
        <f>SUMIFS('февраль 2026'!$G$2:$G$2649,'февраль 2026'!$D$2:$D$2649,$B169,'февраль 2026'!$J$2:$J$2649,AC$1)</f>
        <v>0</v>
      </c>
      <c r="AD169" s="144">
        <f>SUMIFS('февраль 2026'!$G$2:$G$2649,'февраль 2026'!$D$2:$D$2649,$B169,'февраль 2026'!$J$2:$J$2649,AD$1)</f>
        <v>0</v>
      </c>
      <c r="AE169" s="144">
        <f>SUMIFS('февраль 2026'!$G$2:$G$2649,'февраль 2026'!$D$2:$D$2649,$B169,'февраль 2026'!$J$2:$J$2649,AE$1)</f>
        <v>0</v>
      </c>
      <c r="AF169" s="144">
        <f>SUMIFS('февраль 2026'!$G$2:$G$2649,'февраль 2026'!$D$2:$D$2649,$B169,'февраль 2026'!$J$2:$J$2649,AF$1)</f>
        <v>0</v>
      </c>
      <c r="AG169" s="144">
        <f>SUMIFS('февраль 2026'!$G$2:$G$2649,'февраль 2026'!$D$2:$D$2649,$B169,'февраль 2026'!$J$2:$J$2649,AG$1)</f>
        <v>0</v>
      </c>
      <c r="AH169" s="144">
        <f>SUMIFS('февраль 2026'!$G$2:$G$2649,'февраль 2026'!$D$2:$D$2649,$B169,'февраль 2026'!$J$2:$J$2649,AH$1)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SUMIFS('февраль 2026'!$G$2:$G$2649,'февраль 2026'!$D$2:$D$2649,$B170,'февраль 2026'!$J$2:$J$2649,D$1)</f>
        <v>0</v>
      </c>
      <c r="E170" s="144">
        <f>SUMIFS('февраль 2026'!$G$2:$G$2649,'февраль 2026'!$D$2:$D$2649,$B170,'февраль 2026'!$J$2:$J$2649,E$1)</f>
        <v>0</v>
      </c>
      <c r="F170" s="144">
        <f>SUMIFS('февраль 2026'!$G$2:$G$2649,'февраль 2026'!$D$2:$D$2649,$B170,'февраль 2026'!$J$2:$J$2649,F$1)</f>
        <v>0</v>
      </c>
      <c r="G170" s="144">
        <f>SUMIFS('февраль 2026'!$G$2:$G$2649,'февраль 2026'!$D$2:$D$2649,$B170,'февраль 2026'!$J$2:$J$2649,G$1)</f>
        <v>0</v>
      </c>
      <c r="H170" s="144">
        <f>SUMIFS('февраль 2026'!$G$2:$G$2649,'февраль 2026'!$D$2:$D$2649,$B170,'февраль 2026'!$J$2:$J$2649,H$1)</f>
        <v>0</v>
      </c>
      <c r="I170" s="144">
        <f>SUMIFS('февраль 2026'!$G$2:$G$2649,'февраль 2026'!$D$2:$D$2649,$B170,'февраль 2026'!$J$2:$J$2649,I$1)</f>
        <v>0</v>
      </c>
      <c r="J170" s="144">
        <f>SUMIFS('февраль 2026'!$G$2:$G$2649,'февраль 2026'!$D$2:$D$2649,$B170,'февраль 2026'!$J$2:$J$2649,J$1)</f>
        <v>0</v>
      </c>
      <c r="K170" s="144">
        <f>SUMIFS('февраль 2026'!$G$2:$G$2649,'февраль 2026'!$D$2:$D$2649,$B170,'февраль 2026'!$J$2:$J$2649,K$1)</f>
        <v>0</v>
      </c>
      <c r="L170" s="144">
        <f>SUMIFS('февраль 2026'!$G$2:$G$2649,'февраль 2026'!$D$2:$D$2649,$B170,'февраль 2026'!$J$2:$J$2649,L$1)</f>
        <v>0</v>
      </c>
      <c r="M170" s="144">
        <f>SUMIFS('февраль 2026'!$G$2:$G$2649,'февраль 2026'!$D$2:$D$2649,$B170,'февраль 2026'!$J$2:$J$2649,M$1)</f>
        <v>0</v>
      </c>
      <c r="N170" s="144">
        <f>SUMIFS('февраль 2026'!$G$2:$G$2649,'февраль 2026'!$D$2:$D$2649,$B170,'февраль 2026'!$J$2:$J$2649,N$1)</f>
        <v>0</v>
      </c>
      <c r="O170" s="144">
        <f>SUMIFS('февраль 2026'!$G$2:$G$2649,'февраль 2026'!$D$2:$D$2649,$B170,'февраль 2026'!$J$2:$J$2649,O$1)</f>
        <v>0</v>
      </c>
      <c r="P170" s="144">
        <f>SUMIFS('февраль 2026'!$G$2:$G$2649,'февраль 2026'!$D$2:$D$2649,$B170,'февраль 2026'!$J$2:$J$2649,P$1)</f>
        <v>0</v>
      </c>
      <c r="Q170" s="144">
        <f>SUMIFS('февраль 2026'!$G$2:$G$2649,'февраль 2026'!$D$2:$D$2649,$B170,'февраль 2026'!$J$2:$J$2649,Q$1)</f>
        <v>0</v>
      </c>
      <c r="R170" s="144">
        <f>SUMIFS('февраль 2026'!$G$2:$G$2649,'февраль 2026'!$D$2:$D$2649,$B170,'февраль 2026'!$J$2:$J$2649,R$1)</f>
        <v>0</v>
      </c>
      <c r="S170" s="144">
        <f>SUMIFS('февраль 2026'!$G$2:$G$2649,'февраль 2026'!$D$2:$D$2649,$B170,'февраль 2026'!$J$2:$J$2649,S$1)</f>
        <v>0</v>
      </c>
      <c r="T170" s="144">
        <f>SUMIFS('февраль 2026'!$G$2:$G$2649,'февраль 2026'!$D$2:$D$2649,$B170,'февраль 2026'!$J$2:$J$2649,T$1)</f>
        <v>0</v>
      </c>
      <c r="U170" s="144">
        <f>SUMIFS('февраль 2026'!$G$2:$G$2649,'февраль 2026'!$D$2:$D$2649,$B170,'февраль 2026'!$J$2:$J$2649,U$1)</f>
        <v>0</v>
      </c>
      <c r="V170" s="144">
        <f>SUMIFS('февраль 2026'!$G$2:$G$2649,'февраль 2026'!$D$2:$D$2649,$B170,'февраль 2026'!$J$2:$J$2649,V$1)</f>
        <v>0</v>
      </c>
      <c r="W170" s="144">
        <f>SUMIFS('февраль 2026'!$G$2:$G$2649,'февраль 2026'!$D$2:$D$2649,$B170,'февраль 2026'!$J$2:$J$2649,W$1)</f>
        <v>0</v>
      </c>
      <c r="X170" s="144">
        <f>SUMIFS('февраль 2026'!$G$2:$G$2649,'февраль 2026'!$D$2:$D$2649,$B170,'февраль 2026'!$J$2:$J$2649,X$1)</f>
        <v>0</v>
      </c>
      <c r="Y170" s="144">
        <f>SUMIFS('февраль 2026'!$G$2:$G$2649,'февраль 2026'!$D$2:$D$2649,$B170,'февраль 2026'!$J$2:$J$2649,Y$1)</f>
        <v>0</v>
      </c>
      <c r="Z170" s="144">
        <f>SUMIFS('февраль 2026'!$G$2:$G$2649,'февраль 2026'!$D$2:$D$2649,$B170,'февраль 2026'!$J$2:$J$2649,Z$1)</f>
        <v>0</v>
      </c>
      <c r="AA170" s="144">
        <f>SUMIFS('февраль 2026'!$G$2:$G$2649,'февраль 2026'!$D$2:$D$2649,$B170,'февраль 2026'!$J$2:$J$2649,AA$1)</f>
        <v>0</v>
      </c>
      <c r="AB170" s="144">
        <f>SUMIFS('февраль 2026'!$G$2:$G$2649,'февраль 2026'!$D$2:$D$2649,$B170,'февраль 2026'!$J$2:$J$2649,AB$1)</f>
        <v>0</v>
      </c>
      <c r="AC170" s="144">
        <f>SUMIFS('февраль 2026'!$G$2:$G$2649,'февраль 2026'!$D$2:$D$2649,$B170,'февраль 2026'!$J$2:$J$2649,AC$1)</f>
        <v>0</v>
      </c>
      <c r="AD170" s="144">
        <f>SUMIFS('февраль 2026'!$G$2:$G$2649,'февраль 2026'!$D$2:$D$2649,$B170,'февраль 2026'!$J$2:$J$2649,AD$1)</f>
        <v>0</v>
      </c>
      <c r="AE170" s="144">
        <f>SUMIFS('февраль 2026'!$G$2:$G$2649,'февраль 2026'!$D$2:$D$2649,$B170,'февраль 2026'!$J$2:$J$2649,AE$1)</f>
        <v>0</v>
      </c>
      <c r="AF170" s="144">
        <f>SUMIFS('февраль 2026'!$G$2:$G$2649,'февраль 2026'!$D$2:$D$2649,$B170,'февраль 2026'!$J$2:$J$2649,AF$1)</f>
        <v>0</v>
      </c>
      <c r="AG170" s="144">
        <f>SUMIFS('февраль 2026'!$G$2:$G$2649,'февраль 2026'!$D$2:$D$2649,$B170,'февраль 2026'!$J$2:$J$2649,AG$1)</f>
        <v>0</v>
      </c>
      <c r="AH170" s="144">
        <f>SUMIFS('февраль 2026'!$G$2:$G$2649,'февраль 2026'!$D$2:$D$2649,$B170,'февраль 2026'!$J$2:$J$2649,AH$1)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SUMIFS('февраль 2026'!$G$2:$G$2649,'февраль 2026'!$D$2:$D$2649,$B171,'февраль 2026'!$J$2:$J$2649,D$1)</f>
        <v>0</v>
      </c>
      <c r="E171" s="144">
        <f>SUMIFS('февраль 2026'!$G$2:$G$2649,'февраль 2026'!$D$2:$D$2649,$B171,'февраль 2026'!$J$2:$J$2649,E$1)</f>
        <v>0</v>
      </c>
      <c r="F171" s="144">
        <f>SUMIFS('февраль 2026'!$G$2:$G$2649,'февраль 2026'!$D$2:$D$2649,$B171,'февраль 2026'!$J$2:$J$2649,F$1)</f>
        <v>0</v>
      </c>
      <c r="G171" s="144">
        <f>SUMIFS('февраль 2026'!$G$2:$G$2649,'февраль 2026'!$D$2:$D$2649,$B171,'февраль 2026'!$J$2:$J$2649,G$1)</f>
        <v>0</v>
      </c>
      <c r="H171" s="144">
        <f>SUMIFS('февраль 2026'!$G$2:$G$2649,'февраль 2026'!$D$2:$D$2649,$B171,'февраль 2026'!$J$2:$J$2649,H$1)</f>
        <v>0</v>
      </c>
      <c r="I171" s="144">
        <f>SUMIFS('февраль 2026'!$G$2:$G$2649,'февраль 2026'!$D$2:$D$2649,$B171,'февраль 2026'!$J$2:$J$2649,I$1)</f>
        <v>0</v>
      </c>
      <c r="J171" s="144">
        <f>SUMIFS('февраль 2026'!$G$2:$G$2649,'февраль 2026'!$D$2:$D$2649,$B171,'февраль 2026'!$J$2:$J$2649,J$1)</f>
        <v>0</v>
      </c>
      <c r="K171" s="144">
        <f>SUMIFS('февраль 2026'!$G$2:$G$2649,'февраль 2026'!$D$2:$D$2649,$B171,'февраль 2026'!$J$2:$J$2649,K$1)</f>
        <v>0</v>
      </c>
      <c r="L171" s="144">
        <f>SUMIFS('февраль 2026'!$G$2:$G$2649,'февраль 2026'!$D$2:$D$2649,$B171,'февраль 2026'!$J$2:$J$2649,L$1)</f>
        <v>0</v>
      </c>
      <c r="M171" s="144">
        <f>SUMIFS('февраль 2026'!$G$2:$G$2649,'февраль 2026'!$D$2:$D$2649,$B171,'февраль 2026'!$J$2:$J$2649,M$1)</f>
        <v>0</v>
      </c>
      <c r="N171" s="144">
        <f>SUMIFS('февраль 2026'!$G$2:$G$2649,'февраль 2026'!$D$2:$D$2649,$B171,'февраль 2026'!$J$2:$J$2649,N$1)</f>
        <v>0</v>
      </c>
      <c r="O171" s="144">
        <f>SUMIFS('февраль 2026'!$G$2:$G$2649,'февраль 2026'!$D$2:$D$2649,$B171,'февраль 2026'!$J$2:$J$2649,O$1)</f>
        <v>0</v>
      </c>
      <c r="P171" s="144">
        <f>SUMIFS('февраль 2026'!$G$2:$G$2649,'февраль 2026'!$D$2:$D$2649,$B171,'февраль 2026'!$J$2:$J$2649,P$1)</f>
        <v>0</v>
      </c>
      <c r="Q171" s="144">
        <f>SUMIFS('февраль 2026'!$G$2:$G$2649,'февраль 2026'!$D$2:$D$2649,$B171,'февраль 2026'!$J$2:$J$2649,Q$1)</f>
        <v>0</v>
      </c>
      <c r="R171" s="144">
        <f>SUMIFS('февраль 2026'!$G$2:$G$2649,'февраль 2026'!$D$2:$D$2649,$B171,'февраль 2026'!$J$2:$J$2649,R$1)</f>
        <v>0</v>
      </c>
      <c r="S171" s="144">
        <f>SUMIFS('февраль 2026'!$G$2:$G$2649,'февраль 2026'!$D$2:$D$2649,$B171,'февраль 2026'!$J$2:$J$2649,S$1)</f>
        <v>0</v>
      </c>
      <c r="T171" s="144">
        <f>SUMIFS('февраль 2026'!$G$2:$G$2649,'февраль 2026'!$D$2:$D$2649,$B171,'февраль 2026'!$J$2:$J$2649,T$1)</f>
        <v>0</v>
      </c>
      <c r="U171" s="144">
        <f>SUMIFS('февраль 2026'!$G$2:$G$2649,'февраль 2026'!$D$2:$D$2649,$B171,'февраль 2026'!$J$2:$J$2649,U$1)</f>
        <v>0</v>
      </c>
      <c r="V171" s="144">
        <f>SUMIFS('февраль 2026'!$G$2:$G$2649,'февраль 2026'!$D$2:$D$2649,$B171,'февраль 2026'!$J$2:$J$2649,V$1)</f>
        <v>0</v>
      </c>
      <c r="W171" s="144">
        <f>SUMIFS('февраль 2026'!$G$2:$G$2649,'февраль 2026'!$D$2:$D$2649,$B171,'февраль 2026'!$J$2:$J$2649,W$1)</f>
        <v>0</v>
      </c>
      <c r="X171" s="144">
        <f>SUMIFS('февраль 2026'!$G$2:$G$2649,'февраль 2026'!$D$2:$D$2649,$B171,'февраль 2026'!$J$2:$J$2649,X$1)</f>
        <v>0</v>
      </c>
      <c r="Y171" s="144">
        <f>SUMIFS('февраль 2026'!$G$2:$G$2649,'февраль 2026'!$D$2:$D$2649,$B171,'февраль 2026'!$J$2:$J$2649,Y$1)</f>
        <v>0</v>
      </c>
      <c r="Z171" s="144">
        <f>SUMIFS('февраль 2026'!$G$2:$G$2649,'февраль 2026'!$D$2:$D$2649,$B171,'февраль 2026'!$J$2:$J$2649,Z$1)</f>
        <v>0</v>
      </c>
      <c r="AA171" s="144">
        <f>SUMIFS('февраль 2026'!$G$2:$G$2649,'февраль 2026'!$D$2:$D$2649,$B171,'февраль 2026'!$J$2:$J$2649,AA$1)</f>
        <v>0</v>
      </c>
      <c r="AB171" s="144">
        <f>SUMIFS('февраль 2026'!$G$2:$G$2649,'февраль 2026'!$D$2:$D$2649,$B171,'февраль 2026'!$J$2:$J$2649,AB$1)</f>
        <v>0</v>
      </c>
      <c r="AC171" s="144">
        <f>SUMIFS('февраль 2026'!$G$2:$G$2649,'февраль 2026'!$D$2:$D$2649,$B171,'февраль 2026'!$J$2:$J$2649,AC$1)</f>
        <v>0</v>
      </c>
      <c r="AD171" s="144">
        <f>SUMIFS('февраль 2026'!$G$2:$G$2649,'февраль 2026'!$D$2:$D$2649,$B171,'февраль 2026'!$J$2:$J$2649,AD$1)</f>
        <v>0</v>
      </c>
      <c r="AE171" s="144">
        <f>SUMIFS('февраль 2026'!$G$2:$G$2649,'февраль 2026'!$D$2:$D$2649,$B171,'февраль 2026'!$J$2:$J$2649,AE$1)</f>
        <v>0</v>
      </c>
      <c r="AF171" s="144">
        <f>SUMIFS('февраль 2026'!$G$2:$G$2649,'февраль 2026'!$D$2:$D$2649,$B171,'февраль 2026'!$J$2:$J$2649,AF$1)</f>
        <v>0</v>
      </c>
      <c r="AG171" s="144">
        <f>SUMIFS('февраль 2026'!$G$2:$G$2649,'февраль 2026'!$D$2:$D$2649,$B171,'февраль 2026'!$J$2:$J$2649,AG$1)</f>
        <v>0</v>
      </c>
      <c r="AH171" s="144">
        <f>SUMIFS('февраль 2026'!$G$2:$G$2649,'февраль 2026'!$D$2:$D$2649,$B171,'февраль 2026'!$J$2:$J$2649,AH$1)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SUMIFS('февраль 2026'!$G$2:$G$2649,'февраль 2026'!$D$2:$D$2649,$B172,'февраль 2026'!$J$2:$J$2649,D$1)</f>
        <v>0</v>
      </c>
      <c r="E172" s="144">
        <f>SUMIFS('февраль 2026'!$G$2:$G$2649,'февраль 2026'!$D$2:$D$2649,$B172,'февраль 2026'!$J$2:$J$2649,E$1)</f>
        <v>0</v>
      </c>
      <c r="F172" s="144">
        <f>SUMIFS('февраль 2026'!$G$2:$G$2649,'февраль 2026'!$D$2:$D$2649,$B172,'февраль 2026'!$J$2:$J$2649,F$1)</f>
        <v>0</v>
      </c>
      <c r="G172" s="144">
        <f>SUMIFS('февраль 2026'!$G$2:$G$2649,'февраль 2026'!$D$2:$D$2649,$B172,'февраль 2026'!$J$2:$J$2649,G$1)</f>
        <v>0</v>
      </c>
      <c r="H172" s="144">
        <f>SUMIFS('февраль 2026'!$G$2:$G$2649,'февраль 2026'!$D$2:$D$2649,$B172,'февраль 2026'!$J$2:$J$2649,H$1)</f>
        <v>0</v>
      </c>
      <c r="I172" s="144">
        <f>SUMIFS('февраль 2026'!$G$2:$G$2649,'февраль 2026'!$D$2:$D$2649,$B172,'февраль 2026'!$J$2:$J$2649,I$1)</f>
        <v>0</v>
      </c>
      <c r="J172" s="144">
        <f>SUMIFS('февраль 2026'!$G$2:$G$2649,'февраль 2026'!$D$2:$D$2649,$B172,'февраль 2026'!$J$2:$J$2649,J$1)</f>
        <v>0</v>
      </c>
      <c r="K172" s="144">
        <f>SUMIFS('февраль 2026'!$G$2:$G$2649,'февраль 2026'!$D$2:$D$2649,$B172,'февраль 2026'!$J$2:$J$2649,K$1)</f>
        <v>0</v>
      </c>
      <c r="L172" s="144">
        <f>SUMIFS('февраль 2026'!$G$2:$G$2649,'февраль 2026'!$D$2:$D$2649,$B172,'февраль 2026'!$J$2:$J$2649,L$1)</f>
        <v>0</v>
      </c>
      <c r="M172" s="144">
        <f>SUMIFS('февраль 2026'!$G$2:$G$2649,'февраль 2026'!$D$2:$D$2649,$B172,'февраль 2026'!$J$2:$J$2649,M$1)</f>
        <v>0</v>
      </c>
      <c r="N172" s="144">
        <f>SUMIFS('февраль 2026'!$G$2:$G$2649,'февраль 2026'!$D$2:$D$2649,$B172,'февраль 2026'!$J$2:$J$2649,N$1)</f>
        <v>0</v>
      </c>
      <c r="O172" s="144">
        <f>SUMIFS('февраль 2026'!$G$2:$G$2649,'февраль 2026'!$D$2:$D$2649,$B172,'февраль 2026'!$J$2:$J$2649,O$1)</f>
        <v>0</v>
      </c>
      <c r="P172" s="144">
        <f>SUMIFS('февраль 2026'!$G$2:$G$2649,'февраль 2026'!$D$2:$D$2649,$B172,'февраль 2026'!$J$2:$J$2649,P$1)</f>
        <v>0</v>
      </c>
      <c r="Q172" s="144">
        <f>SUMIFS('февраль 2026'!$G$2:$G$2649,'февраль 2026'!$D$2:$D$2649,$B172,'февраль 2026'!$J$2:$J$2649,Q$1)</f>
        <v>0</v>
      </c>
      <c r="R172" s="144">
        <f>SUMIFS('февраль 2026'!$G$2:$G$2649,'февраль 2026'!$D$2:$D$2649,$B172,'февраль 2026'!$J$2:$J$2649,R$1)</f>
        <v>0</v>
      </c>
      <c r="S172" s="144">
        <f>SUMIFS('февраль 2026'!$G$2:$G$2649,'февраль 2026'!$D$2:$D$2649,$B172,'февраль 2026'!$J$2:$J$2649,S$1)</f>
        <v>0</v>
      </c>
      <c r="T172" s="144">
        <f>SUMIFS('февраль 2026'!$G$2:$G$2649,'февраль 2026'!$D$2:$D$2649,$B172,'февраль 2026'!$J$2:$J$2649,T$1)</f>
        <v>0</v>
      </c>
      <c r="U172" s="144">
        <f>SUMIFS('февраль 2026'!$G$2:$G$2649,'февраль 2026'!$D$2:$D$2649,$B172,'февраль 2026'!$J$2:$J$2649,U$1)</f>
        <v>0</v>
      </c>
      <c r="V172" s="144">
        <f>SUMIFS('февраль 2026'!$G$2:$G$2649,'февраль 2026'!$D$2:$D$2649,$B172,'февраль 2026'!$J$2:$J$2649,V$1)</f>
        <v>0</v>
      </c>
      <c r="W172" s="144">
        <f>SUMIFS('февраль 2026'!$G$2:$G$2649,'февраль 2026'!$D$2:$D$2649,$B172,'февраль 2026'!$J$2:$J$2649,W$1)</f>
        <v>0</v>
      </c>
      <c r="X172" s="144">
        <f>SUMIFS('февраль 2026'!$G$2:$G$2649,'февраль 2026'!$D$2:$D$2649,$B172,'февраль 2026'!$J$2:$J$2649,X$1)</f>
        <v>0</v>
      </c>
      <c r="Y172" s="144">
        <f>SUMIFS('февраль 2026'!$G$2:$G$2649,'февраль 2026'!$D$2:$D$2649,$B172,'февраль 2026'!$J$2:$J$2649,Y$1)</f>
        <v>0</v>
      </c>
      <c r="Z172" s="144">
        <f>SUMIFS('февраль 2026'!$G$2:$G$2649,'февраль 2026'!$D$2:$D$2649,$B172,'февраль 2026'!$J$2:$J$2649,Z$1)</f>
        <v>0</v>
      </c>
      <c r="AA172" s="144">
        <f>SUMIFS('февраль 2026'!$G$2:$G$2649,'февраль 2026'!$D$2:$D$2649,$B172,'февраль 2026'!$J$2:$J$2649,AA$1)</f>
        <v>0</v>
      </c>
      <c r="AB172" s="144">
        <f>SUMIFS('февраль 2026'!$G$2:$G$2649,'февраль 2026'!$D$2:$D$2649,$B172,'февраль 2026'!$J$2:$J$2649,AB$1)</f>
        <v>0</v>
      </c>
      <c r="AC172" s="144">
        <f>SUMIFS('февраль 2026'!$G$2:$G$2649,'февраль 2026'!$D$2:$D$2649,$B172,'февраль 2026'!$J$2:$J$2649,AC$1)</f>
        <v>0</v>
      </c>
      <c r="AD172" s="144">
        <f>SUMIFS('февраль 2026'!$G$2:$G$2649,'февраль 2026'!$D$2:$D$2649,$B172,'февраль 2026'!$J$2:$J$2649,AD$1)</f>
        <v>0</v>
      </c>
      <c r="AE172" s="144">
        <f>SUMIFS('февраль 2026'!$G$2:$G$2649,'февраль 2026'!$D$2:$D$2649,$B172,'февраль 2026'!$J$2:$J$2649,AE$1)</f>
        <v>0</v>
      </c>
      <c r="AF172" s="144">
        <f>SUMIFS('февраль 2026'!$G$2:$G$2649,'февраль 2026'!$D$2:$D$2649,$B172,'февраль 2026'!$J$2:$J$2649,AF$1)</f>
        <v>0</v>
      </c>
      <c r="AG172" s="144">
        <f>SUMIFS('февраль 2026'!$G$2:$G$2649,'февраль 2026'!$D$2:$D$2649,$B172,'февраль 2026'!$J$2:$J$2649,AG$1)</f>
        <v>0</v>
      </c>
      <c r="AH172" s="144">
        <f>SUMIFS('февраль 2026'!$G$2:$G$2649,'февраль 2026'!$D$2:$D$2649,$B172,'февраль 2026'!$J$2:$J$2649,AH$1)</f>
        <v>0</v>
      </c>
      <c r="AI172" s="20">
        <f t="shared" ref="AI172:AI179" si="2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SUMIFS('февраль 2026'!$G$2:$G$2649,'февраль 2026'!$D$2:$D$2649,$B173,'февраль 2026'!$J$2:$J$2649,D$1)</f>
        <v>0</v>
      </c>
      <c r="E173" s="144">
        <f>SUMIFS('февраль 2026'!$G$2:$G$2649,'февраль 2026'!$D$2:$D$2649,$B173,'февраль 2026'!$J$2:$J$2649,E$1)</f>
        <v>0</v>
      </c>
      <c r="F173" s="144">
        <f>SUMIFS('февраль 2026'!$G$2:$G$2649,'февраль 2026'!$D$2:$D$2649,$B173,'февраль 2026'!$J$2:$J$2649,F$1)</f>
        <v>0</v>
      </c>
      <c r="G173" s="144">
        <f>SUMIFS('февраль 2026'!$G$2:$G$2649,'февраль 2026'!$D$2:$D$2649,$B173,'февраль 2026'!$J$2:$J$2649,G$1)</f>
        <v>0</v>
      </c>
      <c r="H173" s="144">
        <f>SUMIFS('февраль 2026'!$G$2:$G$2649,'февраль 2026'!$D$2:$D$2649,$B173,'февраль 2026'!$J$2:$J$2649,H$1)</f>
        <v>0</v>
      </c>
      <c r="I173" s="144">
        <f>SUMIFS('февраль 2026'!$G$2:$G$2649,'февраль 2026'!$D$2:$D$2649,$B173,'февраль 2026'!$J$2:$J$2649,I$1)</f>
        <v>0</v>
      </c>
      <c r="J173" s="144">
        <f>SUMIFS('февраль 2026'!$G$2:$G$2649,'февраль 2026'!$D$2:$D$2649,$B173,'февраль 2026'!$J$2:$J$2649,J$1)</f>
        <v>0</v>
      </c>
      <c r="K173" s="144">
        <f>SUMIFS('февраль 2026'!$G$2:$G$2649,'февраль 2026'!$D$2:$D$2649,$B173,'февраль 2026'!$J$2:$J$2649,K$1)</f>
        <v>0</v>
      </c>
      <c r="L173" s="144">
        <f>SUMIFS('февраль 2026'!$G$2:$G$2649,'февраль 2026'!$D$2:$D$2649,$B173,'февраль 2026'!$J$2:$J$2649,L$1)</f>
        <v>0</v>
      </c>
      <c r="M173" s="144">
        <f>SUMIFS('февраль 2026'!$G$2:$G$2649,'февраль 2026'!$D$2:$D$2649,$B173,'февраль 2026'!$J$2:$J$2649,M$1)</f>
        <v>0</v>
      </c>
      <c r="N173" s="144">
        <f>SUMIFS('февраль 2026'!$G$2:$G$2649,'февраль 2026'!$D$2:$D$2649,$B173,'февраль 2026'!$J$2:$J$2649,N$1)</f>
        <v>0</v>
      </c>
      <c r="O173" s="144">
        <f>SUMIFS('февраль 2026'!$G$2:$G$2649,'февраль 2026'!$D$2:$D$2649,$B173,'февраль 2026'!$J$2:$J$2649,O$1)</f>
        <v>0</v>
      </c>
      <c r="P173" s="144">
        <f>SUMIFS('февраль 2026'!$G$2:$G$2649,'февраль 2026'!$D$2:$D$2649,$B173,'февраль 2026'!$J$2:$J$2649,P$1)</f>
        <v>0</v>
      </c>
      <c r="Q173" s="144">
        <f>SUMIFS('февраль 2026'!$G$2:$G$2649,'февраль 2026'!$D$2:$D$2649,$B173,'февраль 2026'!$J$2:$J$2649,Q$1)</f>
        <v>0</v>
      </c>
      <c r="R173" s="144">
        <f>SUMIFS('февраль 2026'!$G$2:$G$2649,'февраль 2026'!$D$2:$D$2649,$B173,'февраль 2026'!$J$2:$J$2649,R$1)</f>
        <v>0</v>
      </c>
      <c r="S173" s="144">
        <f>SUMIFS('февраль 2026'!$G$2:$G$2649,'февраль 2026'!$D$2:$D$2649,$B173,'февраль 2026'!$J$2:$J$2649,S$1)</f>
        <v>0</v>
      </c>
      <c r="T173" s="144">
        <f>SUMIFS('февраль 2026'!$G$2:$G$2649,'февраль 2026'!$D$2:$D$2649,$B173,'февраль 2026'!$J$2:$J$2649,T$1)</f>
        <v>0</v>
      </c>
      <c r="U173" s="144">
        <f>SUMIFS('февраль 2026'!$G$2:$G$2649,'февраль 2026'!$D$2:$D$2649,$B173,'февраль 2026'!$J$2:$J$2649,U$1)</f>
        <v>0</v>
      </c>
      <c r="V173" s="144">
        <f>SUMIFS('февраль 2026'!$G$2:$G$2649,'февраль 2026'!$D$2:$D$2649,$B173,'февраль 2026'!$J$2:$J$2649,V$1)</f>
        <v>0</v>
      </c>
      <c r="W173" s="144">
        <f>SUMIFS('февраль 2026'!$G$2:$G$2649,'февраль 2026'!$D$2:$D$2649,$B173,'февраль 2026'!$J$2:$J$2649,W$1)</f>
        <v>0</v>
      </c>
      <c r="X173" s="144">
        <f>SUMIFS('февраль 2026'!$G$2:$G$2649,'февраль 2026'!$D$2:$D$2649,$B173,'февраль 2026'!$J$2:$J$2649,X$1)</f>
        <v>0</v>
      </c>
      <c r="Y173" s="144">
        <f>SUMIFS('февраль 2026'!$G$2:$G$2649,'февраль 2026'!$D$2:$D$2649,$B173,'февраль 2026'!$J$2:$J$2649,Y$1)</f>
        <v>0</v>
      </c>
      <c r="Z173" s="144">
        <f>SUMIFS('февраль 2026'!$G$2:$G$2649,'февраль 2026'!$D$2:$D$2649,$B173,'февраль 2026'!$J$2:$J$2649,Z$1)</f>
        <v>0</v>
      </c>
      <c r="AA173" s="144">
        <f>SUMIFS('февраль 2026'!$G$2:$G$2649,'февраль 2026'!$D$2:$D$2649,$B173,'февраль 2026'!$J$2:$J$2649,AA$1)</f>
        <v>0</v>
      </c>
      <c r="AB173" s="144">
        <f>SUMIFS('февраль 2026'!$G$2:$G$2649,'февраль 2026'!$D$2:$D$2649,$B173,'февраль 2026'!$J$2:$J$2649,AB$1)</f>
        <v>0</v>
      </c>
      <c r="AC173" s="144">
        <f>SUMIFS('февраль 2026'!$G$2:$G$2649,'февраль 2026'!$D$2:$D$2649,$B173,'февраль 2026'!$J$2:$J$2649,AC$1)</f>
        <v>0</v>
      </c>
      <c r="AD173" s="144">
        <f>SUMIFS('февраль 2026'!$G$2:$G$2649,'февраль 2026'!$D$2:$D$2649,$B173,'февраль 2026'!$J$2:$J$2649,AD$1)</f>
        <v>0</v>
      </c>
      <c r="AE173" s="144">
        <f>SUMIFS('февраль 2026'!$G$2:$G$2649,'февраль 2026'!$D$2:$D$2649,$B173,'февраль 2026'!$J$2:$J$2649,AE$1)</f>
        <v>0</v>
      </c>
      <c r="AF173" s="144">
        <f>SUMIFS('февраль 2026'!$G$2:$G$2649,'февраль 2026'!$D$2:$D$2649,$B173,'февраль 2026'!$J$2:$J$2649,AF$1)</f>
        <v>0</v>
      </c>
      <c r="AG173" s="144">
        <f>SUMIFS('февраль 2026'!$G$2:$G$2649,'февраль 2026'!$D$2:$D$2649,$B173,'февраль 2026'!$J$2:$J$2649,AG$1)</f>
        <v>0</v>
      </c>
      <c r="AH173" s="144">
        <f>SUMIFS('февраль 2026'!$G$2:$G$2649,'февраль 2026'!$D$2:$D$2649,$B173,'февраль 2026'!$J$2:$J$2649,AH$1)</f>
        <v>0</v>
      </c>
      <c r="AI173" s="20">
        <f t="shared" si="2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SUMIFS('февраль 2026'!$G$2:$G$2649,'февраль 2026'!$D$2:$D$2649,$B174,'февраль 2026'!$J$2:$J$2649,D$1)</f>
        <v>0</v>
      </c>
      <c r="E174" s="144">
        <f>SUMIFS('февраль 2026'!$G$2:$G$2649,'февраль 2026'!$D$2:$D$2649,$B174,'февраль 2026'!$J$2:$J$2649,E$1)</f>
        <v>0</v>
      </c>
      <c r="F174" s="144">
        <f>SUMIFS('февраль 2026'!$G$2:$G$2649,'февраль 2026'!$D$2:$D$2649,$B174,'февраль 2026'!$J$2:$J$2649,F$1)</f>
        <v>0</v>
      </c>
      <c r="G174" s="144">
        <f>SUMIFS('февраль 2026'!$G$2:$G$2649,'февраль 2026'!$D$2:$D$2649,$B174,'февраль 2026'!$J$2:$J$2649,G$1)</f>
        <v>0</v>
      </c>
      <c r="H174" s="144">
        <f>SUMIFS('февраль 2026'!$G$2:$G$2649,'февраль 2026'!$D$2:$D$2649,$B174,'февраль 2026'!$J$2:$J$2649,H$1)</f>
        <v>0</v>
      </c>
      <c r="I174" s="144">
        <f>SUMIFS('февраль 2026'!$G$2:$G$2649,'февраль 2026'!$D$2:$D$2649,$B174,'февраль 2026'!$J$2:$J$2649,I$1)</f>
        <v>0</v>
      </c>
      <c r="J174" s="144">
        <f>SUMIFS('февраль 2026'!$G$2:$G$2649,'февраль 2026'!$D$2:$D$2649,$B174,'февраль 2026'!$J$2:$J$2649,J$1)</f>
        <v>0</v>
      </c>
      <c r="K174" s="144">
        <f>SUMIFS('февраль 2026'!$G$2:$G$2649,'февраль 2026'!$D$2:$D$2649,$B174,'февраль 2026'!$J$2:$J$2649,K$1)</f>
        <v>0</v>
      </c>
      <c r="L174" s="144">
        <f>SUMIFS('февраль 2026'!$G$2:$G$2649,'февраль 2026'!$D$2:$D$2649,$B174,'февраль 2026'!$J$2:$J$2649,L$1)</f>
        <v>0</v>
      </c>
      <c r="M174" s="144">
        <f>SUMIFS('февраль 2026'!$G$2:$G$2649,'февраль 2026'!$D$2:$D$2649,$B174,'февраль 2026'!$J$2:$J$2649,M$1)</f>
        <v>0</v>
      </c>
      <c r="N174" s="144">
        <f>SUMIFS('февраль 2026'!$G$2:$G$2649,'февраль 2026'!$D$2:$D$2649,$B174,'февраль 2026'!$J$2:$J$2649,N$1)</f>
        <v>0</v>
      </c>
      <c r="O174" s="144">
        <f>SUMIFS('февраль 2026'!$G$2:$G$2649,'февраль 2026'!$D$2:$D$2649,$B174,'февраль 2026'!$J$2:$J$2649,O$1)</f>
        <v>0</v>
      </c>
      <c r="P174" s="144">
        <f>SUMIFS('февраль 2026'!$G$2:$G$2649,'февраль 2026'!$D$2:$D$2649,$B174,'февраль 2026'!$J$2:$J$2649,P$1)</f>
        <v>0</v>
      </c>
      <c r="Q174" s="144">
        <f>SUMIFS('февраль 2026'!$G$2:$G$2649,'февраль 2026'!$D$2:$D$2649,$B174,'февраль 2026'!$J$2:$J$2649,Q$1)</f>
        <v>0</v>
      </c>
      <c r="R174" s="144">
        <f>SUMIFS('февраль 2026'!$G$2:$G$2649,'февраль 2026'!$D$2:$D$2649,$B174,'февраль 2026'!$J$2:$J$2649,R$1)</f>
        <v>0</v>
      </c>
      <c r="S174" s="144">
        <f>SUMIFS('февраль 2026'!$G$2:$G$2649,'февраль 2026'!$D$2:$D$2649,$B174,'февраль 2026'!$J$2:$J$2649,S$1)</f>
        <v>0</v>
      </c>
      <c r="T174" s="144">
        <f>SUMIFS('февраль 2026'!$G$2:$G$2649,'февраль 2026'!$D$2:$D$2649,$B174,'февраль 2026'!$J$2:$J$2649,T$1)</f>
        <v>0</v>
      </c>
      <c r="U174" s="144">
        <f>SUMIFS('февраль 2026'!$G$2:$G$2649,'февраль 2026'!$D$2:$D$2649,$B174,'февраль 2026'!$J$2:$J$2649,U$1)</f>
        <v>0</v>
      </c>
      <c r="V174" s="144">
        <f>SUMIFS('февраль 2026'!$G$2:$G$2649,'февраль 2026'!$D$2:$D$2649,$B174,'февраль 2026'!$J$2:$J$2649,V$1)</f>
        <v>0</v>
      </c>
      <c r="W174" s="144">
        <f>SUMIFS('февраль 2026'!$G$2:$G$2649,'февраль 2026'!$D$2:$D$2649,$B174,'февраль 2026'!$J$2:$J$2649,W$1)</f>
        <v>0</v>
      </c>
      <c r="X174" s="144">
        <f>SUMIFS('февраль 2026'!$G$2:$G$2649,'февраль 2026'!$D$2:$D$2649,$B174,'февраль 2026'!$J$2:$J$2649,X$1)</f>
        <v>0</v>
      </c>
      <c r="Y174" s="144">
        <f>SUMIFS('февраль 2026'!$G$2:$G$2649,'февраль 2026'!$D$2:$D$2649,$B174,'февраль 2026'!$J$2:$J$2649,Y$1)</f>
        <v>0</v>
      </c>
      <c r="Z174" s="144">
        <f>SUMIFS('февраль 2026'!$G$2:$G$2649,'февраль 2026'!$D$2:$D$2649,$B174,'февраль 2026'!$J$2:$J$2649,Z$1)</f>
        <v>0</v>
      </c>
      <c r="AA174" s="144">
        <f>SUMIFS('февраль 2026'!$G$2:$G$2649,'февраль 2026'!$D$2:$D$2649,$B174,'февраль 2026'!$J$2:$J$2649,AA$1)</f>
        <v>0</v>
      </c>
      <c r="AB174" s="144">
        <f>SUMIFS('февраль 2026'!$G$2:$G$2649,'февраль 2026'!$D$2:$D$2649,$B174,'февраль 2026'!$J$2:$J$2649,AB$1)</f>
        <v>0</v>
      </c>
      <c r="AC174" s="144">
        <f>SUMIFS('февраль 2026'!$G$2:$G$2649,'февраль 2026'!$D$2:$D$2649,$B174,'февраль 2026'!$J$2:$J$2649,AC$1)</f>
        <v>0</v>
      </c>
      <c r="AD174" s="144">
        <f>SUMIFS('февраль 2026'!$G$2:$G$2649,'февраль 2026'!$D$2:$D$2649,$B174,'февраль 2026'!$J$2:$J$2649,AD$1)</f>
        <v>0</v>
      </c>
      <c r="AE174" s="144">
        <f>SUMIFS('февраль 2026'!$G$2:$G$2649,'февраль 2026'!$D$2:$D$2649,$B174,'февраль 2026'!$J$2:$J$2649,AE$1)</f>
        <v>0</v>
      </c>
      <c r="AF174" s="144">
        <f>SUMIFS('февраль 2026'!$G$2:$G$2649,'февраль 2026'!$D$2:$D$2649,$B174,'февраль 2026'!$J$2:$J$2649,AF$1)</f>
        <v>0</v>
      </c>
      <c r="AG174" s="144">
        <f>SUMIFS('февраль 2026'!$G$2:$G$2649,'февраль 2026'!$D$2:$D$2649,$B174,'февраль 2026'!$J$2:$J$2649,AG$1)</f>
        <v>0</v>
      </c>
      <c r="AH174" s="144">
        <f>SUMIFS('февраль 2026'!$G$2:$G$2649,'февраль 2026'!$D$2:$D$2649,$B174,'февраль 2026'!$J$2:$J$2649,AH$1)</f>
        <v>0</v>
      </c>
      <c r="AI174" s="20">
        <f t="shared" si="2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SUMIFS('февраль 2026'!$G$2:$G$2649,'февраль 2026'!$D$2:$D$2649,$B175,'февраль 2026'!$J$2:$J$2649,D$1)</f>
        <v>0</v>
      </c>
      <c r="E175" s="144">
        <f>SUMIFS('февраль 2026'!$G$2:$G$2649,'февраль 2026'!$D$2:$D$2649,$B175,'февраль 2026'!$J$2:$J$2649,E$1)</f>
        <v>0</v>
      </c>
      <c r="F175" s="144">
        <f>SUMIFS('февраль 2026'!$G$2:$G$2649,'февраль 2026'!$D$2:$D$2649,$B175,'февраль 2026'!$J$2:$J$2649,F$1)</f>
        <v>0</v>
      </c>
      <c r="G175" s="144">
        <f>SUMIFS('февраль 2026'!$G$2:$G$2649,'февраль 2026'!$D$2:$D$2649,$B175,'февраль 2026'!$J$2:$J$2649,G$1)</f>
        <v>0</v>
      </c>
      <c r="H175" s="144">
        <f>SUMIFS('февраль 2026'!$G$2:$G$2649,'февраль 2026'!$D$2:$D$2649,$B175,'февраль 2026'!$J$2:$J$2649,H$1)</f>
        <v>0</v>
      </c>
      <c r="I175" s="144">
        <f>SUMIFS('февраль 2026'!$G$2:$G$2649,'февраль 2026'!$D$2:$D$2649,$B175,'февраль 2026'!$J$2:$J$2649,I$1)</f>
        <v>0</v>
      </c>
      <c r="J175" s="144">
        <f>SUMIFS('февраль 2026'!$G$2:$G$2649,'февраль 2026'!$D$2:$D$2649,$B175,'февраль 2026'!$J$2:$J$2649,J$1)</f>
        <v>0</v>
      </c>
      <c r="K175" s="144">
        <f>SUMIFS('февраль 2026'!$G$2:$G$2649,'февраль 2026'!$D$2:$D$2649,$B175,'февраль 2026'!$J$2:$J$2649,K$1)</f>
        <v>0</v>
      </c>
      <c r="L175" s="144">
        <f>SUMIFS('февраль 2026'!$G$2:$G$2649,'февраль 2026'!$D$2:$D$2649,$B175,'февраль 2026'!$J$2:$J$2649,L$1)</f>
        <v>0</v>
      </c>
      <c r="M175" s="144">
        <f>SUMIFS('февраль 2026'!$G$2:$G$2649,'февраль 2026'!$D$2:$D$2649,$B175,'февраль 2026'!$J$2:$J$2649,M$1)</f>
        <v>0</v>
      </c>
      <c r="N175" s="144">
        <f>SUMIFS('февраль 2026'!$G$2:$G$2649,'февраль 2026'!$D$2:$D$2649,$B175,'февраль 2026'!$J$2:$J$2649,N$1)</f>
        <v>0</v>
      </c>
      <c r="O175" s="144">
        <f>SUMIFS('февраль 2026'!$G$2:$G$2649,'февраль 2026'!$D$2:$D$2649,$B175,'февраль 2026'!$J$2:$J$2649,O$1)</f>
        <v>0</v>
      </c>
      <c r="P175" s="144">
        <f>SUMIFS('февраль 2026'!$G$2:$G$2649,'февраль 2026'!$D$2:$D$2649,$B175,'февраль 2026'!$J$2:$J$2649,P$1)</f>
        <v>0</v>
      </c>
      <c r="Q175" s="144">
        <f>SUMIFS('февраль 2026'!$G$2:$G$2649,'февраль 2026'!$D$2:$D$2649,$B175,'февраль 2026'!$J$2:$J$2649,Q$1)</f>
        <v>0</v>
      </c>
      <c r="R175" s="144">
        <f>SUMIFS('февраль 2026'!$G$2:$G$2649,'февраль 2026'!$D$2:$D$2649,$B175,'февраль 2026'!$J$2:$J$2649,R$1)</f>
        <v>0</v>
      </c>
      <c r="S175" s="144">
        <f>SUMIFS('февраль 2026'!$G$2:$G$2649,'февраль 2026'!$D$2:$D$2649,$B175,'февраль 2026'!$J$2:$J$2649,S$1)</f>
        <v>0</v>
      </c>
      <c r="T175" s="144">
        <f>SUMIFS('февраль 2026'!$G$2:$G$2649,'февраль 2026'!$D$2:$D$2649,$B175,'февраль 2026'!$J$2:$J$2649,T$1)</f>
        <v>0</v>
      </c>
      <c r="U175" s="144">
        <f>SUMIFS('февраль 2026'!$G$2:$G$2649,'февраль 2026'!$D$2:$D$2649,$B175,'февраль 2026'!$J$2:$J$2649,U$1)</f>
        <v>0</v>
      </c>
      <c r="V175" s="144">
        <f>SUMIFS('февраль 2026'!$G$2:$G$2649,'февраль 2026'!$D$2:$D$2649,$B175,'февраль 2026'!$J$2:$J$2649,V$1)</f>
        <v>0</v>
      </c>
      <c r="W175" s="144">
        <f>SUMIFS('февраль 2026'!$G$2:$G$2649,'февраль 2026'!$D$2:$D$2649,$B175,'февраль 2026'!$J$2:$J$2649,W$1)</f>
        <v>0</v>
      </c>
      <c r="X175" s="144">
        <f>SUMIFS('февраль 2026'!$G$2:$G$2649,'февраль 2026'!$D$2:$D$2649,$B175,'февраль 2026'!$J$2:$J$2649,X$1)</f>
        <v>0</v>
      </c>
      <c r="Y175" s="144">
        <f>SUMIFS('февраль 2026'!$G$2:$G$2649,'февраль 2026'!$D$2:$D$2649,$B175,'февраль 2026'!$J$2:$J$2649,Y$1)</f>
        <v>0</v>
      </c>
      <c r="Z175" s="144">
        <f>SUMIFS('февраль 2026'!$G$2:$G$2649,'февраль 2026'!$D$2:$D$2649,$B175,'февраль 2026'!$J$2:$J$2649,Z$1)</f>
        <v>0</v>
      </c>
      <c r="AA175" s="144">
        <f>SUMIFS('февраль 2026'!$G$2:$G$2649,'февраль 2026'!$D$2:$D$2649,$B175,'февраль 2026'!$J$2:$J$2649,AA$1)</f>
        <v>0</v>
      </c>
      <c r="AB175" s="144">
        <f>SUMIFS('февраль 2026'!$G$2:$G$2649,'февраль 2026'!$D$2:$D$2649,$B175,'февраль 2026'!$J$2:$J$2649,AB$1)</f>
        <v>0</v>
      </c>
      <c r="AC175" s="144">
        <f>SUMIFS('февраль 2026'!$G$2:$G$2649,'февраль 2026'!$D$2:$D$2649,$B175,'февраль 2026'!$J$2:$J$2649,AC$1)</f>
        <v>0</v>
      </c>
      <c r="AD175" s="144">
        <f>SUMIFS('февраль 2026'!$G$2:$G$2649,'февраль 2026'!$D$2:$D$2649,$B175,'февраль 2026'!$J$2:$J$2649,AD$1)</f>
        <v>0</v>
      </c>
      <c r="AE175" s="144">
        <f>SUMIFS('февраль 2026'!$G$2:$G$2649,'февраль 2026'!$D$2:$D$2649,$B175,'февраль 2026'!$J$2:$J$2649,AE$1)</f>
        <v>0</v>
      </c>
      <c r="AF175" s="144">
        <f>SUMIFS('февраль 2026'!$G$2:$G$2649,'февраль 2026'!$D$2:$D$2649,$B175,'февраль 2026'!$J$2:$J$2649,AF$1)</f>
        <v>0</v>
      </c>
      <c r="AG175" s="144">
        <f>SUMIFS('февраль 2026'!$G$2:$G$2649,'февраль 2026'!$D$2:$D$2649,$B175,'февраль 2026'!$J$2:$J$2649,AG$1)</f>
        <v>0</v>
      </c>
      <c r="AH175" s="144">
        <f>SUMIFS('февраль 2026'!$G$2:$G$2649,'февраль 2026'!$D$2:$D$2649,$B175,'февраль 2026'!$J$2:$J$2649,AH$1)</f>
        <v>0</v>
      </c>
      <c r="AI175" s="20">
        <f t="shared" si="2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SUMIFS('февраль 2026'!$G$2:$G$2649,'февраль 2026'!$D$2:$D$2649,$B176,'февраль 2026'!$J$2:$J$2649,D$1)</f>
        <v>0</v>
      </c>
      <c r="E176" s="144">
        <f>SUMIFS('февраль 2026'!$G$2:$G$2649,'февраль 2026'!$D$2:$D$2649,$B176,'февраль 2026'!$J$2:$J$2649,E$1)</f>
        <v>0</v>
      </c>
      <c r="F176" s="144">
        <f>SUMIFS('февраль 2026'!$G$2:$G$2649,'февраль 2026'!$D$2:$D$2649,$B176,'февраль 2026'!$J$2:$J$2649,F$1)</f>
        <v>0</v>
      </c>
      <c r="G176" s="144">
        <f>SUMIFS('февраль 2026'!$G$2:$G$2649,'февраль 2026'!$D$2:$D$2649,$B176,'февраль 2026'!$J$2:$J$2649,G$1)</f>
        <v>0</v>
      </c>
      <c r="H176" s="144">
        <f>SUMIFS('февраль 2026'!$G$2:$G$2649,'февраль 2026'!$D$2:$D$2649,$B176,'февраль 2026'!$J$2:$J$2649,H$1)</f>
        <v>0</v>
      </c>
      <c r="I176" s="144">
        <f>SUMIFS('февраль 2026'!$G$2:$G$2649,'февраль 2026'!$D$2:$D$2649,$B176,'февраль 2026'!$J$2:$J$2649,I$1)</f>
        <v>0</v>
      </c>
      <c r="J176" s="144">
        <f>SUMIFS('февраль 2026'!$G$2:$G$2649,'февраль 2026'!$D$2:$D$2649,$B176,'февраль 2026'!$J$2:$J$2649,J$1)</f>
        <v>0</v>
      </c>
      <c r="K176" s="144">
        <f>SUMIFS('февраль 2026'!$G$2:$G$2649,'февраль 2026'!$D$2:$D$2649,$B176,'февраль 2026'!$J$2:$J$2649,K$1)</f>
        <v>0</v>
      </c>
      <c r="L176" s="144">
        <f>SUMIFS('февраль 2026'!$G$2:$G$2649,'февраль 2026'!$D$2:$D$2649,$B176,'февраль 2026'!$J$2:$J$2649,L$1)</f>
        <v>0</v>
      </c>
      <c r="M176" s="144">
        <f>SUMIFS('февраль 2026'!$G$2:$G$2649,'февраль 2026'!$D$2:$D$2649,$B176,'февраль 2026'!$J$2:$J$2649,M$1)</f>
        <v>0</v>
      </c>
      <c r="N176" s="144">
        <f>SUMIFS('февраль 2026'!$G$2:$G$2649,'февраль 2026'!$D$2:$D$2649,$B176,'февраль 2026'!$J$2:$J$2649,N$1)</f>
        <v>0</v>
      </c>
      <c r="O176" s="144">
        <f>SUMIFS('февраль 2026'!$G$2:$G$2649,'февраль 2026'!$D$2:$D$2649,$B176,'февраль 2026'!$J$2:$J$2649,O$1)</f>
        <v>0</v>
      </c>
      <c r="P176" s="144">
        <f>SUMIFS('февраль 2026'!$G$2:$G$2649,'февраль 2026'!$D$2:$D$2649,$B176,'февраль 2026'!$J$2:$J$2649,P$1)</f>
        <v>0</v>
      </c>
      <c r="Q176" s="144">
        <f>SUMIFS('февраль 2026'!$G$2:$G$2649,'февраль 2026'!$D$2:$D$2649,$B176,'февраль 2026'!$J$2:$J$2649,Q$1)</f>
        <v>0</v>
      </c>
      <c r="R176" s="144">
        <f>SUMIFS('февраль 2026'!$G$2:$G$2649,'февраль 2026'!$D$2:$D$2649,$B176,'февраль 2026'!$J$2:$J$2649,R$1)</f>
        <v>0</v>
      </c>
      <c r="S176" s="144">
        <f>SUMIFS('февраль 2026'!$G$2:$G$2649,'февраль 2026'!$D$2:$D$2649,$B176,'февраль 2026'!$J$2:$J$2649,S$1)</f>
        <v>0</v>
      </c>
      <c r="T176" s="144">
        <f>SUMIFS('февраль 2026'!$G$2:$G$2649,'февраль 2026'!$D$2:$D$2649,$B176,'февраль 2026'!$J$2:$J$2649,T$1)</f>
        <v>0</v>
      </c>
      <c r="U176" s="144">
        <f>SUMIFS('февраль 2026'!$G$2:$G$2649,'февраль 2026'!$D$2:$D$2649,$B176,'февраль 2026'!$J$2:$J$2649,U$1)</f>
        <v>0</v>
      </c>
      <c r="V176" s="144">
        <f>SUMIFS('февраль 2026'!$G$2:$G$2649,'февраль 2026'!$D$2:$D$2649,$B176,'февраль 2026'!$J$2:$J$2649,V$1)</f>
        <v>0</v>
      </c>
      <c r="W176" s="144">
        <f>SUMIFS('февраль 2026'!$G$2:$G$2649,'февраль 2026'!$D$2:$D$2649,$B176,'февраль 2026'!$J$2:$J$2649,W$1)</f>
        <v>0</v>
      </c>
      <c r="X176" s="144">
        <f>SUMIFS('февраль 2026'!$G$2:$G$2649,'февраль 2026'!$D$2:$D$2649,$B176,'февраль 2026'!$J$2:$J$2649,X$1)</f>
        <v>0</v>
      </c>
      <c r="Y176" s="144">
        <f>SUMIFS('февраль 2026'!$G$2:$G$2649,'февраль 2026'!$D$2:$D$2649,$B176,'февраль 2026'!$J$2:$J$2649,Y$1)</f>
        <v>0</v>
      </c>
      <c r="Z176" s="144">
        <f>SUMIFS('февраль 2026'!$G$2:$G$2649,'февраль 2026'!$D$2:$D$2649,$B176,'февраль 2026'!$J$2:$J$2649,Z$1)</f>
        <v>0</v>
      </c>
      <c r="AA176" s="144">
        <f>SUMIFS('февраль 2026'!$G$2:$G$2649,'февраль 2026'!$D$2:$D$2649,$B176,'февраль 2026'!$J$2:$J$2649,AA$1)</f>
        <v>0</v>
      </c>
      <c r="AB176" s="144">
        <f>SUMIFS('февраль 2026'!$G$2:$G$2649,'февраль 2026'!$D$2:$D$2649,$B176,'февраль 2026'!$J$2:$J$2649,AB$1)</f>
        <v>0</v>
      </c>
      <c r="AC176" s="144">
        <f>SUMIFS('февраль 2026'!$G$2:$G$2649,'февраль 2026'!$D$2:$D$2649,$B176,'февраль 2026'!$J$2:$J$2649,AC$1)</f>
        <v>0</v>
      </c>
      <c r="AD176" s="144">
        <f>SUMIFS('февраль 2026'!$G$2:$G$2649,'февраль 2026'!$D$2:$D$2649,$B176,'февраль 2026'!$J$2:$J$2649,AD$1)</f>
        <v>0</v>
      </c>
      <c r="AE176" s="144">
        <f>SUMIFS('февраль 2026'!$G$2:$G$2649,'февраль 2026'!$D$2:$D$2649,$B176,'февраль 2026'!$J$2:$J$2649,AE$1)</f>
        <v>0</v>
      </c>
      <c r="AF176" s="144">
        <f>SUMIFS('февраль 2026'!$G$2:$G$2649,'февраль 2026'!$D$2:$D$2649,$B176,'февраль 2026'!$J$2:$J$2649,AF$1)</f>
        <v>0</v>
      </c>
      <c r="AG176" s="144">
        <f>SUMIFS('февраль 2026'!$G$2:$G$2649,'февраль 2026'!$D$2:$D$2649,$B176,'февраль 2026'!$J$2:$J$2649,AG$1)</f>
        <v>0</v>
      </c>
      <c r="AH176" s="144">
        <f>SUMIFS('февраль 2026'!$G$2:$G$2649,'февраль 2026'!$D$2:$D$2649,$B176,'февраль 2026'!$J$2:$J$2649,AH$1)</f>
        <v>0</v>
      </c>
      <c r="AI176" s="20">
        <f t="shared" si="2"/>
        <v>0</v>
      </c>
    </row>
    <row r="177" spans="2:35" ht="15" customHeight="1" x14ac:dyDescent="0.25">
      <c r="B177" s="82" t="s">
        <v>330</v>
      </c>
      <c r="C177" s="81">
        <v>200</v>
      </c>
      <c r="D177" s="144">
        <f>SUMIFS('февраль 2026'!$G$2:$G$2649,'февраль 2026'!$D$2:$D$2649,$B177,'февраль 2026'!$J$2:$J$2649,D$1)</f>
        <v>0</v>
      </c>
      <c r="E177" s="144">
        <f>SUMIFS('февраль 2026'!$G$2:$G$2649,'февраль 2026'!$D$2:$D$2649,$B177,'февраль 2026'!$J$2:$J$2649,E$1)</f>
        <v>0</v>
      </c>
      <c r="F177" s="144">
        <f>SUMIFS('февраль 2026'!$G$2:$G$2649,'февраль 2026'!$D$2:$D$2649,$B177,'февраль 2026'!$J$2:$J$2649,F$1)</f>
        <v>0</v>
      </c>
      <c r="G177" s="144">
        <f>SUMIFS('февраль 2026'!$G$2:$G$2649,'февраль 2026'!$D$2:$D$2649,$B177,'февраль 2026'!$J$2:$J$2649,G$1)</f>
        <v>0</v>
      </c>
      <c r="H177" s="144">
        <f>SUMIFS('февраль 2026'!$G$2:$G$2649,'февраль 2026'!$D$2:$D$2649,$B177,'февраль 2026'!$J$2:$J$2649,H$1)</f>
        <v>0</v>
      </c>
      <c r="I177" s="144">
        <f>SUMIFS('февраль 2026'!$G$2:$G$2649,'февраль 2026'!$D$2:$D$2649,$B177,'февраль 2026'!$J$2:$J$2649,I$1)</f>
        <v>0</v>
      </c>
      <c r="J177" s="144">
        <f>SUMIFS('февраль 2026'!$G$2:$G$2649,'февраль 2026'!$D$2:$D$2649,$B177,'февраль 2026'!$J$2:$J$2649,J$1)</f>
        <v>0</v>
      </c>
      <c r="K177" s="144">
        <f>SUMIFS('февраль 2026'!$G$2:$G$2649,'февраль 2026'!$D$2:$D$2649,$B177,'февраль 2026'!$J$2:$J$2649,K$1)</f>
        <v>0</v>
      </c>
      <c r="L177" s="144">
        <f>SUMIFS('февраль 2026'!$G$2:$G$2649,'февраль 2026'!$D$2:$D$2649,$B177,'февраль 2026'!$J$2:$J$2649,L$1)</f>
        <v>0</v>
      </c>
      <c r="M177" s="144">
        <f>SUMIFS('февраль 2026'!$G$2:$G$2649,'февраль 2026'!$D$2:$D$2649,$B177,'февраль 2026'!$J$2:$J$2649,M$1)</f>
        <v>0</v>
      </c>
      <c r="N177" s="144">
        <f>SUMIFS('февраль 2026'!$G$2:$G$2649,'февраль 2026'!$D$2:$D$2649,$B177,'февраль 2026'!$J$2:$J$2649,N$1)</f>
        <v>0</v>
      </c>
      <c r="O177" s="144">
        <f>SUMIFS('февраль 2026'!$G$2:$G$2649,'февраль 2026'!$D$2:$D$2649,$B177,'февраль 2026'!$J$2:$J$2649,O$1)</f>
        <v>0</v>
      </c>
      <c r="P177" s="144">
        <f>SUMIFS('февраль 2026'!$G$2:$G$2649,'февраль 2026'!$D$2:$D$2649,$B177,'февраль 2026'!$J$2:$J$2649,P$1)</f>
        <v>0</v>
      </c>
      <c r="Q177" s="144">
        <f>SUMIFS('февраль 2026'!$G$2:$G$2649,'февраль 2026'!$D$2:$D$2649,$B177,'февраль 2026'!$J$2:$J$2649,Q$1)</f>
        <v>0</v>
      </c>
      <c r="R177" s="144">
        <f>SUMIFS('февраль 2026'!$G$2:$G$2649,'февраль 2026'!$D$2:$D$2649,$B177,'февраль 2026'!$J$2:$J$2649,R$1)</f>
        <v>0</v>
      </c>
      <c r="S177" s="144">
        <f>SUMIFS('февраль 2026'!$G$2:$G$2649,'февраль 2026'!$D$2:$D$2649,$B177,'февраль 2026'!$J$2:$J$2649,S$1)</f>
        <v>0</v>
      </c>
      <c r="T177" s="144">
        <f>SUMIFS('февраль 2026'!$G$2:$G$2649,'февраль 2026'!$D$2:$D$2649,$B177,'февраль 2026'!$J$2:$J$2649,T$1)</f>
        <v>0</v>
      </c>
      <c r="U177" s="144">
        <f>SUMIFS('февраль 2026'!$G$2:$G$2649,'февраль 2026'!$D$2:$D$2649,$B177,'февраль 2026'!$J$2:$J$2649,U$1)</f>
        <v>0</v>
      </c>
      <c r="V177" s="144">
        <f>SUMIFS('февраль 2026'!$G$2:$G$2649,'февраль 2026'!$D$2:$D$2649,$B177,'февраль 2026'!$J$2:$J$2649,V$1)</f>
        <v>0</v>
      </c>
      <c r="W177" s="144">
        <f>SUMIFS('февраль 2026'!$G$2:$G$2649,'февраль 2026'!$D$2:$D$2649,$B177,'февраль 2026'!$J$2:$J$2649,W$1)</f>
        <v>0</v>
      </c>
      <c r="X177" s="144">
        <f>SUMIFS('февраль 2026'!$G$2:$G$2649,'февраль 2026'!$D$2:$D$2649,$B177,'февраль 2026'!$J$2:$J$2649,X$1)</f>
        <v>0</v>
      </c>
      <c r="Y177" s="144">
        <f>SUMIFS('февраль 2026'!$G$2:$G$2649,'февраль 2026'!$D$2:$D$2649,$B177,'февраль 2026'!$J$2:$J$2649,Y$1)</f>
        <v>0</v>
      </c>
      <c r="Z177" s="144">
        <f>SUMIFS('февраль 2026'!$G$2:$G$2649,'февраль 2026'!$D$2:$D$2649,$B177,'февраль 2026'!$J$2:$J$2649,Z$1)</f>
        <v>0</v>
      </c>
      <c r="AA177" s="144">
        <f>SUMIFS('февраль 2026'!$G$2:$G$2649,'февраль 2026'!$D$2:$D$2649,$B177,'февраль 2026'!$J$2:$J$2649,AA$1)</f>
        <v>0</v>
      </c>
      <c r="AB177" s="144">
        <f>SUMIFS('февраль 2026'!$G$2:$G$2649,'февраль 2026'!$D$2:$D$2649,$B177,'февраль 2026'!$J$2:$J$2649,AB$1)</f>
        <v>0</v>
      </c>
      <c r="AC177" s="144">
        <f>SUMIFS('февраль 2026'!$G$2:$G$2649,'февраль 2026'!$D$2:$D$2649,$B177,'февраль 2026'!$J$2:$J$2649,AC$1)</f>
        <v>0</v>
      </c>
      <c r="AD177" s="144">
        <f>SUMIFS('февраль 2026'!$G$2:$G$2649,'февраль 2026'!$D$2:$D$2649,$B177,'февраль 2026'!$J$2:$J$2649,AD$1)</f>
        <v>0</v>
      </c>
      <c r="AE177" s="144">
        <f>SUMIFS('февраль 2026'!$G$2:$G$2649,'февраль 2026'!$D$2:$D$2649,$B177,'февраль 2026'!$J$2:$J$2649,AE$1)</f>
        <v>0</v>
      </c>
      <c r="AF177" s="144">
        <f>SUMIFS('февраль 2026'!$G$2:$G$2649,'февраль 2026'!$D$2:$D$2649,$B177,'февраль 2026'!$J$2:$J$2649,AF$1)</f>
        <v>0</v>
      </c>
      <c r="AG177" s="144">
        <f>SUMIFS('февраль 2026'!$G$2:$G$2649,'февраль 2026'!$D$2:$D$2649,$B177,'февраль 2026'!$J$2:$J$2649,AG$1)</f>
        <v>0</v>
      </c>
      <c r="AH177" s="144">
        <f>SUMIFS('февраль 2026'!$G$2:$G$2649,'февраль 2026'!$D$2:$D$2649,$B177,'февраль 2026'!$J$2:$J$2649,AH$1)</f>
        <v>0</v>
      </c>
      <c r="AI177" s="20">
        <f t="shared" si="2"/>
        <v>0</v>
      </c>
    </row>
    <row r="178" spans="2:35" ht="15" customHeight="1" x14ac:dyDescent="0.25">
      <c r="B178" s="82" t="s">
        <v>362</v>
      </c>
      <c r="C178" s="81">
        <v>30</v>
      </c>
      <c r="D178" s="144">
        <f>SUMIFS('февраль 2026'!$G$2:$G$2649,'февраль 2026'!$D$2:$D$2649,$B178,'февраль 2026'!$J$2:$J$2649,D$1)</f>
        <v>0</v>
      </c>
      <c r="E178" s="144">
        <f>SUMIFS('февраль 2026'!$G$2:$G$2649,'февраль 2026'!$D$2:$D$2649,$B178,'февраль 2026'!$J$2:$J$2649,E$1)</f>
        <v>0</v>
      </c>
      <c r="F178" s="144">
        <f>SUMIFS('февраль 2026'!$G$2:$G$2649,'февраль 2026'!$D$2:$D$2649,$B178,'февраль 2026'!$J$2:$J$2649,F$1)</f>
        <v>0</v>
      </c>
      <c r="G178" s="144">
        <f>SUMIFS('февраль 2026'!$G$2:$G$2649,'февраль 2026'!$D$2:$D$2649,$B178,'февраль 2026'!$J$2:$J$2649,G$1)</f>
        <v>0</v>
      </c>
      <c r="H178" s="144">
        <f>SUMIFS('февраль 2026'!$G$2:$G$2649,'февраль 2026'!$D$2:$D$2649,$B178,'февраль 2026'!$J$2:$J$2649,H$1)</f>
        <v>0</v>
      </c>
      <c r="I178" s="144">
        <f>SUMIFS('февраль 2026'!$G$2:$G$2649,'февраль 2026'!$D$2:$D$2649,$B178,'февраль 2026'!$J$2:$J$2649,I$1)</f>
        <v>0</v>
      </c>
      <c r="J178" s="144">
        <f>SUMIFS('февраль 2026'!$G$2:$G$2649,'февраль 2026'!$D$2:$D$2649,$B178,'февраль 2026'!$J$2:$J$2649,J$1)</f>
        <v>0</v>
      </c>
      <c r="K178" s="144">
        <f>SUMIFS('февраль 2026'!$G$2:$G$2649,'февраль 2026'!$D$2:$D$2649,$B178,'февраль 2026'!$J$2:$J$2649,K$1)</f>
        <v>0</v>
      </c>
      <c r="L178" s="144">
        <f>SUMIFS('февраль 2026'!$G$2:$G$2649,'февраль 2026'!$D$2:$D$2649,$B178,'февраль 2026'!$J$2:$J$2649,L$1)</f>
        <v>0</v>
      </c>
      <c r="M178" s="144">
        <f>SUMIFS('февраль 2026'!$G$2:$G$2649,'февраль 2026'!$D$2:$D$2649,$B178,'февраль 2026'!$J$2:$J$2649,M$1)</f>
        <v>0</v>
      </c>
      <c r="N178" s="144">
        <f>SUMIFS('февраль 2026'!$G$2:$G$2649,'февраль 2026'!$D$2:$D$2649,$B178,'февраль 2026'!$J$2:$J$2649,N$1)</f>
        <v>0</v>
      </c>
      <c r="O178" s="144">
        <f>SUMIFS('февраль 2026'!$G$2:$G$2649,'февраль 2026'!$D$2:$D$2649,$B178,'февраль 2026'!$J$2:$J$2649,O$1)</f>
        <v>0</v>
      </c>
      <c r="P178" s="144">
        <f>SUMIFS('февраль 2026'!$G$2:$G$2649,'февраль 2026'!$D$2:$D$2649,$B178,'февраль 2026'!$J$2:$J$2649,P$1)</f>
        <v>0</v>
      </c>
      <c r="Q178" s="144">
        <f>SUMIFS('февраль 2026'!$G$2:$G$2649,'февраль 2026'!$D$2:$D$2649,$B178,'февраль 2026'!$J$2:$J$2649,Q$1)</f>
        <v>0</v>
      </c>
      <c r="R178" s="144">
        <f>SUMIFS('февраль 2026'!$G$2:$G$2649,'февраль 2026'!$D$2:$D$2649,$B178,'февраль 2026'!$J$2:$J$2649,R$1)</f>
        <v>0</v>
      </c>
      <c r="S178" s="144">
        <f>SUMIFS('февраль 2026'!$G$2:$G$2649,'февраль 2026'!$D$2:$D$2649,$B178,'февраль 2026'!$J$2:$J$2649,S$1)</f>
        <v>0</v>
      </c>
      <c r="T178" s="144">
        <f>SUMIFS('февраль 2026'!$G$2:$G$2649,'февраль 2026'!$D$2:$D$2649,$B178,'февраль 2026'!$J$2:$J$2649,T$1)</f>
        <v>0</v>
      </c>
      <c r="U178" s="144">
        <f>SUMIFS('февраль 2026'!$G$2:$G$2649,'февраль 2026'!$D$2:$D$2649,$B178,'февраль 2026'!$J$2:$J$2649,U$1)</f>
        <v>0</v>
      </c>
      <c r="V178" s="144">
        <f>SUMIFS('февраль 2026'!$G$2:$G$2649,'февраль 2026'!$D$2:$D$2649,$B178,'февраль 2026'!$J$2:$J$2649,V$1)</f>
        <v>0</v>
      </c>
      <c r="W178" s="144">
        <f>SUMIFS('февраль 2026'!$G$2:$G$2649,'февраль 2026'!$D$2:$D$2649,$B178,'февраль 2026'!$J$2:$J$2649,W$1)</f>
        <v>0</v>
      </c>
      <c r="X178" s="144">
        <f>SUMIFS('февраль 2026'!$G$2:$G$2649,'февраль 2026'!$D$2:$D$2649,$B178,'февраль 2026'!$J$2:$J$2649,X$1)</f>
        <v>0</v>
      </c>
      <c r="Y178" s="144">
        <f>SUMIFS('февраль 2026'!$G$2:$G$2649,'февраль 2026'!$D$2:$D$2649,$B178,'февраль 2026'!$J$2:$J$2649,Y$1)</f>
        <v>0</v>
      </c>
      <c r="Z178" s="144">
        <f>SUMIFS('февраль 2026'!$G$2:$G$2649,'февраль 2026'!$D$2:$D$2649,$B178,'февраль 2026'!$J$2:$J$2649,Z$1)</f>
        <v>0</v>
      </c>
      <c r="AA178" s="144">
        <f>SUMIFS('февраль 2026'!$G$2:$G$2649,'февраль 2026'!$D$2:$D$2649,$B178,'февраль 2026'!$J$2:$J$2649,AA$1)</f>
        <v>0</v>
      </c>
      <c r="AB178" s="144">
        <f>SUMIFS('февраль 2026'!$G$2:$G$2649,'февраль 2026'!$D$2:$D$2649,$B178,'февраль 2026'!$J$2:$J$2649,AB$1)</f>
        <v>0</v>
      </c>
      <c r="AC178" s="144">
        <f>SUMIFS('февраль 2026'!$G$2:$G$2649,'февраль 2026'!$D$2:$D$2649,$B178,'февраль 2026'!$J$2:$J$2649,AC$1)</f>
        <v>0</v>
      </c>
      <c r="AD178" s="144">
        <f>SUMIFS('февраль 2026'!$G$2:$G$2649,'февраль 2026'!$D$2:$D$2649,$B178,'февраль 2026'!$J$2:$J$2649,AD$1)</f>
        <v>0</v>
      </c>
      <c r="AE178" s="144">
        <f>SUMIFS('февраль 2026'!$G$2:$G$2649,'февраль 2026'!$D$2:$D$2649,$B178,'февраль 2026'!$J$2:$J$2649,AE$1)</f>
        <v>0</v>
      </c>
      <c r="AF178" s="144">
        <f>SUMIFS('февраль 2026'!$G$2:$G$2649,'февраль 2026'!$D$2:$D$2649,$B178,'февраль 2026'!$J$2:$J$2649,AF$1)</f>
        <v>0</v>
      </c>
      <c r="AG178" s="144">
        <f>SUMIFS('февраль 2026'!$G$2:$G$2649,'февраль 2026'!$D$2:$D$2649,$B178,'февраль 2026'!$J$2:$J$2649,AG$1)</f>
        <v>0</v>
      </c>
      <c r="AH178" s="144">
        <f>SUMIFS('февраль 2026'!$G$2:$G$2649,'февраль 2026'!$D$2:$D$2649,$B178,'февраль 2026'!$J$2:$J$2649,AH$1)</f>
        <v>0</v>
      </c>
      <c r="AI178" s="20">
        <f t="shared" si="2"/>
        <v>0</v>
      </c>
    </row>
    <row r="179" spans="2:35" ht="15" customHeight="1" x14ac:dyDescent="0.25">
      <c r="B179" s="82" t="s">
        <v>376</v>
      </c>
      <c r="C179" s="81">
        <v>30</v>
      </c>
      <c r="D179" s="144">
        <f>SUMIFS('февраль 2026'!$G$2:$G$2649,'февраль 2026'!$D$2:$D$2649,$B179,'февраль 2026'!$J$2:$J$2649,D$1)</f>
        <v>0</v>
      </c>
      <c r="E179" s="144">
        <f>SUMIFS('февраль 2026'!$G$2:$G$2649,'февраль 2026'!$D$2:$D$2649,$B179,'февраль 2026'!$J$2:$J$2649,E$1)</f>
        <v>0</v>
      </c>
      <c r="F179" s="144">
        <f>SUMIFS('февраль 2026'!$G$2:$G$2649,'февраль 2026'!$D$2:$D$2649,$B179,'февраль 2026'!$J$2:$J$2649,F$1)</f>
        <v>0</v>
      </c>
      <c r="G179" s="144">
        <f>SUMIFS('февраль 2026'!$G$2:$G$2649,'февраль 2026'!$D$2:$D$2649,$B179,'февраль 2026'!$J$2:$J$2649,G$1)</f>
        <v>0</v>
      </c>
      <c r="H179" s="144">
        <f>SUMIFS('февраль 2026'!$G$2:$G$2649,'февраль 2026'!$D$2:$D$2649,$B179,'февраль 2026'!$J$2:$J$2649,H$1)</f>
        <v>0</v>
      </c>
      <c r="I179" s="144">
        <f>SUMIFS('февраль 2026'!$G$2:$G$2649,'февраль 2026'!$D$2:$D$2649,$B179,'февраль 2026'!$J$2:$J$2649,I$1)</f>
        <v>0</v>
      </c>
      <c r="J179" s="144">
        <f>SUMIFS('февраль 2026'!$G$2:$G$2649,'февраль 2026'!$D$2:$D$2649,$B179,'февраль 2026'!$J$2:$J$2649,J$1)</f>
        <v>0</v>
      </c>
      <c r="K179" s="144">
        <f>SUMIFS('февраль 2026'!$G$2:$G$2649,'февраль 2026'!$D$2:$D$2649,$B179,'февраль 2026'!$J$2:$J$2649,K$1)</f>
        <v>0</v>
      </c>
      <c r="L179" s="144">
        <f>SUMIFS('февраль 2026'!$G$2:$G$2649,'февраль 2026'!$D$2:$D$2649,$B179,'февраль 2026'!$J$2:$J$2649,L$1)</f>
        <v>0</v>
      </c>
      <c r="M179" s="144">
        <f>SUMIFS('февраль 2026'!$G$2:$G$2649,'февраль 2026'!$D$2:$D$2649,$B179,'февраль 2026'!$J$2:$J$2649,M$1)</f>
        <v>0</v>
      </c>
      <c r="N179" s="144">
        <f>SUMIFS('февраль 2026'!$G$2:$G$2649,'февраль 2026'!$D$2:$D$2649,$B179,'февраль 2026'!$J$2:$J$2649,N$1)</f>
        <v>0</v>
      </c>
      <c r="O179" s="144">
        <f>SUMIFS('февраль 2026'!$G$2:$G$2649,'февраль 2026'!$D$2:$D$2649,$B179,'февраль 2026'!$J$2:$J$2649,O$1)</f>
        <v>0</v>
      </c>
      <c r="P179" s="144">
        <f>SUMIFS('февраль 2026'!$G$2:$G$2649,'февраль 2026'!$D$2:$D$2649,$B179,'февраль 2026'!$J$2:$J$2649,P$1)</f>
        <v>0</v>
      </c>
      <c r="Q179" s="144">
        <f>SUMIFS('февраль 2026'!$G$2:$G$2649,'февраль 2026'!$D$2:$D$2649,$B179,'февраль 2026'!$J$2:$J$2649,Q$1)</f>
        <v>0</v>
      </c>
      <c r="R179" s="144">
        <f>SUMIFS('февраль 2026'!$G$2:$G$2649,'февраль 2026'!$D$2:$D$2649,$B179,'февраль 2026'!$J$2:$J$2649,R$1)</f>
        <v>0</v>
      </c>
      <c r="S179" s="144">
        <f>SUMIFS('февраль 2026'!$G$2:$G$2649,'февраль 2026'!$D$2:$D$2649,$B179,'февраль 2026'!$J$2:$J$2649,S$1)</f>
        <v>0</v>
      </c>
      <c r="T179" s="144">
        <f>SUMIFS('февраль 2026'!$G$2:$G$2649,'февраль 2026'!$D$2:$D$2649,$B179,'февраль 2026'!$J$2:$J$2649,T$1)</f>
        <v>0</v>
      </c>
      <c r="U179" s="144">
        <f>SUMIFS('февраль 2026'!$G$2:$G$2649,'февраль 2026'!$D$2:$D$2649,$B179,'февраль 2026'!$J$2:$J$2649,U$1)</f>
        <v>0</v>
      </c>
      <c r="V179" s="144">
        <f>SUMIFS('февраль 2026'!$G$2:$G$2649,'февраль 2026'!$D$2:$D$2649,$B179,'февраль 2026'!$J$2:$J$2649,V$1)</f>
        <v>0</v>
      </c>
      <c r="W179" s="144">
        <f>SUMIFS('февраль 2026'!$G$2:$G$2649,'февраль 2026'!$D$2:$D$2649,$B179,'февраль 2026'!$J$2:$J$2649,W$1)</f>
        <v>0</v>
      </c>
      <c r="X179" s="144">
        <f>SUMIFS('февраль 2026'!$G$2:$G$2649,'февраль 2026'!$D$2:$D$2649,$B179,'февраль 2026'!$J$2:$J$2649,X$1)</f>
        <v>0</v>
      </c>
      <c r="Y179" s="144">
        <f>SUMIFS('февраль 2026'!$G$2:$G$2649,'февраль 2026'!$D$2:$D$2649,$B179,'февраль 2026'!$J$2:$J$2649,Y$1)</f>
        <v>0</v>
      </c>
      <c r="Z179" s="144">
        <f>SUMIFS('февраль 2026'!$G$2:$G$2649,'февраль 2026'!$D$2:$D$2649,$B179,'февраль 2026'!$J$2:$J$2649,Z$1)</f>
        <v>0</v>
      </c>
      <c r="AA179" s="144">
        <f>SUMIFS('февраль 2026'!$G$2:$G$2649,'февраль 2026'!$D$2:$D$2649,$B179,'февраль 2026'!$J$2:$J$2649,AA$1)</f>
        <v>0</v>
      </c>
      <c r="AB179" s="144">
        <f>SUMIFS('февраль 2026'!$G$2:$G$2649,'февраль 2026'!$D$2:$D$2649,$B179,'февраль 2026'!$J$2:$J$2649,AB$1)</f>
        <v>0</v>
      </c>
      <c r="AC179" s="144">
        <f>SUMIFS('февраль 2026'!$G$2:$G$2649,'февраль 2026'!$D$2:$D$2649,$B179,'февраль 2026'!$J$2:$J$2649,AC$1)</f>
        <v>0</v>
      </c>
      <c r="AD179" s="144">
        <f>SUMIFS('февраль 2026'!$G$2:$G$2649,'февраль 2026'!$D$2:$D$2649,$B179,'февраль 2026'!$J$2:$J$2649,AD$1)</f>
        <v>0</v>
      </c>
      <c r="AE179" s="144">
        <f>SUMIFS('февраль 2026'!$G$2:$G$2649,'февраль 2026'!$D$2:$D$2649,$B179,'февраль 2026'!$J$2:$J$2649,AE$1)</f>
        <v>0</v>
      </c>
      <c r="AF179" s="144">
        <f>SUMIFS('февраль 2026'!$G$2:$G$2649,'февраль 2026'!$D$2:$D$2649,$B179,'февраль 2026'!$J$2:$J$2649,AF$1)</f>
        <v>0</v>
      </c>
      <c r="AG179" s="144">
        <f>SUMIFS('февраль 2026'!$G$2:$G$2649,'февраль 2026'!$D$2:$D$2649,$B179,'февраль 2026'!$J$2:$J$2649,AG$1)</f>
        <v>0</v>
      </c>
      <c r="AH179" s="144">
        <f>SUMIFS('февраль 2026'!$G$2:$G$2649,'февраль 2026'!$D$2:$D$2649,$B179,'февраль 2026'!$J$2:$J$2649,AH$1)</f>
        <v>0</v>
      </c>
      <c r="AI179" s="20">
        <f t="shared" si="2"/>
        <v>0</v>
      </c>
    </row>
    <row r="180" spans="2:35" ht="15" customHeight="1" x14ac:dyDescent="0.25">
      <c r="B180" s="82"/>
      <c r="C180" s="81"/>
      <c r="D180" s="144">
        <f>SUMIFS('февраль 2026'!$G$2:$G$2649,'февраль 2026'!$D$2:$D$2649,$B180,'февраль 2026'!$J$2:$J$2649,D$1)</f>
        <v>0</v>
      </c>
      <c r="E180" s="144">
        <f>SUMIFS('февраль 2026'!$G$2:$G$2649,'февраль 2026'!$D$2:$D$2649,$B180,'февраль 2026'!$J$2:$J$2649,E$1)</f>
        <v>0</v>
      </c>
      <c r="F180" s="144">
        <f>SUMIFS('февраль 2026'!$G$2:$G$2649,'февраль 2026'!$D$2:$D$2649,$B180,'февраль 2026'!$J$2:$J$2649,F$1)</f>
        <v>0</v>
      </c>
      <c r="G180" s="144">
        <f>SUMIFS('февраль 2026'!$G$2:$G$2649,'февраль 2026'!$D$2:$D$2649,$B180,'февраль 2026'!$J$2:$J$2649,G$1)</f>
        <v>0</v>
      </c>
      <c r="H180" s="144">
        <f>SUMIFS('февраль 2026'!$G$2:$G$2649,'февраль 2026'!$D$2:$D$2649,$B180,'февраль 2026'!$J$2:$J$2649,H$1)</f>
        <v>0</v>
      </c>
      <c r="I180" s="144">
        <f>SUMIFS('февраль 2026'!$G$2:$G$2649,'февраль 2026'!$D$2:$D$2649,$B180,'февраль 2026'!$J$2:$J$2649,I$1)</f>
        <v>0</v>
      </c>
      <c r="J180" s="144">
        <f>SUMIFS('февраль 2026'!$G$2:$G$2649,'февраль 2026'!$D$2:$D$2649,$B180,'февраль 2026'!$J$2:$J$2649,J$1)</f>
        <v>0</v>
      </c>
      <c r="K180" s="144">
        <f>SUMIFS('февраль 2026'!$G$2:$G$2649,'февраль 2026'!$D$2:$D$2649,$B180,'февраль 2026'!$J$2:$J$2649,K$1)</f>
        <v>0</v>
      </c>
      <c r="L180" s="144">
        <f>SUMIFS('февраль 2026'!$G$2:$G$2649,'февраль 2026'!$D$2:$D$2649,$B180,'февраль 2026'!$J$2:$J$2649,L$1)</f>
        <v>0</v>
      </c>
      <c r="M180" s="144">
        <f>SUMIFS('февраль 2026'!$G$2:$G$2649,'февраль 2026'!$D$2:$D$2649,$B180,'февраль 2026'!$J$2:$J$2649,M$1)</f>
        <v>0</v>
      </c>
      <c r="N180" s="144">
        <f>SUMIFS('февраль 2026'!$G$2:$G$2649,'февраль 2026'!$D$2:$D$2649,$B180,'февраль 2026'!$J$2:$J$2649,N$1)</f>
        <v>0</v>
      </c>
      <c r="O180" s="144">
        <f>SUMIFS('февраль 2026'!$G$2:$G$2649,'февраль 2026'!$D$2:$D$2649,$B180,'февраль 2026'!$J$2:$J$2649,O$1)</f>
        <v>0</v>
      </c>
      <c r="P180" s="144">
        <f>SUMIFS('февраль 2026'!$G$2:$G$2649,'февраль 2026'!$D$2:$D$2649,$B180,'февраль 2026'!$J$2:$J$2649,P$1)</f>
        <v>0</v>
      </c>
      <c r="Q180" s="144">
        <f>SUMIFS('февраль 2026'!$G$2:$G$2649,'февраль 2026'!$D$2:$D$2649,$B180,'февраль 2026'!$J$2:$J$2649,Q$1)</f>
        <v>0</v>
      </c>
      <c r="R180" s="144">
        <f>SUMIFS('февраль 2026'!$G$2:$G$2649,'февраль 2026'!$D$2:$D$2649,$B180,'февраль 2026'!$J$2:$J$2649,R$1)</f>
        <v>0</v>
      </c>
      <c r="S180" s="144">
        <f>SUMIFS('февраль 2026'!$G$2:$G$2649,'февраль 2026'!$D$2:$D$2649,$B180,'февраль 2026'!$J$2:$J$2649,S$1)</f>
        <v>0</v>
      </c>
      <c r="T180" s="144">
        <f>SUMIFS('февраль 2026'!$G$2:$G$2649,'февраль 2026'!$D$2:$D$2649,$B180,'февраль 2026'!$J$2:$J$2649,T$1)</f>
        <v>0</v>
      </c>
      <c r="U180" s="144">
        <f>SUMIFS('февраль 2026'!$G$2:$G$2649,'февраль 2026'!$D$2:$D$2649,$B180,'февраль 2026'!$J$2:$J$2649,U$1)</f>
        <v>0</v>
      </c>
      <c r="V180" s="144">
        <f>SUMIFS('февраль 2026'!$G$2:$G$2649,'февраль 2026'!$D$2:$D$2649,$B180,'февраль 2026'!$J$2:$J$2649,V$1)</f>
        <v>0</v>
      </c>
      <c r="W180" s="144">
        <f>SUMIFS('февраль 2026'!$G$2:$G$2649,'февраль 2026'!$D$2:$D$2649,$B180,'февраль 2026'!$J$2:$J$2649,W$1)</f>
        <v>0</v>
      </c>
      <c r="X180" s="144">
        <f>SUMIFS('февраль 2026'!$G$2:$G$2649,'февраль 2026'!$D$2:$D$2649,$B180,'февраль 2026'!$J$2:$J$2649,X$1)</f>
        <v>0</v>
      </c>
      <c r="Y180" s="144">
        <f>SUMIFS('февраль 2026'!$G$2:$G$2649,'февраль 2026'!$D$2:$D$2649,$B180,'февраль 2026'!$J$2:$J$2649,Y$1)</f>
        <v>0</v>
      </c>
      <c r="Z180" s="144">
        <f>SUMIFS('февраль 2026'!$G$2:$G$2649,'февраль 2026'!$D$2:$D$2649,$B180,'февраль 2026'!$J$2:$J$2649,Z$1)</f>
        <v>0</v>
      </c>
      <c r="AA180" s="144">
        <f>SUMIFS('февраль 2026'!$G$2:$G$2649,'февраль 2026'!$D$2:$D$2649,$B180,'февраль 2026'!$J$2:$J$2649,AA$1)</f>
        <v>0</v>
      </c>
      <c r="AB180" s="144">
        <f>SUMIFS('февраль 2026'!$G$2:$G$2649,'февраль 2026'!$D$2:$D$2649,$B180,'февраль 2026'!$J$2:$J$2649,AB$1)</f>
        <v>0</v>
      </c>
      <c r="AC180" s="144">
        <f>SUMIFS('февраль 2026'!$G$2:$G$2649,'февраль 2026'!$D$2:$D$2649,$B180,'февраль 2026'!$J$2:$J$2649,AC$1)</f>
        <v>0</v>
      </c>
      <c r="AD180" s="144">
        <f>SUMIFS('февраль 2026'!$G$2:$G$2649,'февраль 2026'!$D$2:$D$2649,$B180,'февраль 2026'!$J$2:$J$2649,AD$1)</f>
        <v>0</v>
      </c>
      <c r="AE180" s="144">
        <f>SUMIFS('февраль 2026'!$G$2:$G$2649,'февраль 2026'!$D$2:$D$2649,$B180,'февраль 2026'!$J$2:$J$2649,AE$1)</f>
        <v>0</v>
      </c>
      <c r="AF180" s="144">
        <f>SUMIFS('февраль 2026'!$G$2:$G$2649,'февраль 2026'!$D$2:$D$2649,$B180,'февраль 2026'!$J$2:$J$2649,AF$1)</f>
        <v>0</v>
      </c>
      <c r="AG180" s="144">
        <f>SUMIFS('февраль 2026'!$G$2:$G$2649,'февраль 2026'!$D$2:$D$2649,$B180,'февраль 2026'!$J$2:$J$2649,AG$1)</f>
        <v>0</v>
      </c>
      <c r="AH180" s="144">
        <f>SUMIFS('февраль 2026'!$G$2:$G$2649,'февраль 2026'!$D$2:$D$2649,$B180,'февраль 2026'!$J$2:$J$2649,AH$1)</f>
        <v>0</v>
      </c>
      <c r="AI180" s="20"/>
    </row>
    <row r="181" spans="2:35" ht="15" customHeight="1" x14ac:dyDescent="0.25">
      <c r="B181" s="82"/>
      <c r="C181" s="81"/>
      <c r="D181" s="144">
        <f>SUMIFS('февраль 2026'!$G$2:$G$2649,'февраль 2026'!$D$2:$D$2649,$B181,'февраль 2026'!$J$2:$J$2649,D$1)</f>
        <v>0</v>
      </c>
      <c r="E181" s="144">
        <f>SUMIFS('февраль 2026'!$G$2:$G$2649,'февраль 2026'!$D$2:$D$2649,$B181,'февраль 2026'!$J$2:$J$2649,E$1)</f>
        <v>0</v>
      </c>
      <c r="F181" s="144">
        <f>SUMIFS('февраль 2026'!$G$2:$G$2649,'февраль 2026'!$D$2:$D$2649,$B181,'февраль 2026'!$J$2:$J$2649,F$1)</f>
        <v>0</v>
      </c>
      <c r="G181" s="144">
        <f>SUMIFS('февраль 2026'!$G$2:$G$2649,'февраль 2026'!$D$2:$D$2649,$B181,'февраль 2026'!$J$2:$J$2649,G$1)</f>
        <v>0</v>
      </c>
      <c r="H181" s="144">
        <f>SUMIFS('февраль 2026'!$G$2:$G$2649,'февраль 2026'!$D$2:$D$2649,$B181,'февраль 2026'!$J$2:$J$2649,H$1)</f>
        <v>0</v>
      </c>
      <c r="I181" s="144">
        <f>SUMIFS('февраль 2026'!$G$2:$G$2649,'февраль 2026'!$D$2:$D$2649,$B181,'февраль 2026'!$J$2:$J$2649,I$1)</f>
        <v>0</v>
      </c>
      <c r="J181" s="144">
        <f>SUMIFS('февраль 2026'!$G$2:$G$2649,'февраль 2026'!$D$2:$D$2649,$B181,'февраль 2026'!$J$2:$J$2649,J$1)</f>
        <v>0</v>
      </c>
      <c r="K181" s="144">
        <f>SUMIFS('февраль 2026'!$G$2:$G$2649,'февраль 2026'!$D$2:$D$2649,$B181,'февраль 2026'!$J$2:$J$2649,K$1)</f>
        <v>0</v>
      </c>
      <c r="L181" s="144">
        <f>SUMIFS('февраль 2026'!$G$2:$G$2649,'февраль 2026'!$D$2:$D$2649,$B181,'февраль 2026'!$J$2:$J$2649,L$1)</f>
        <v>0</v>
      </c>
      <c r="M181" s="144">
        <f>SUMIFS('февраль 2026'!$G$2:$G$2649,'февраль 2026'!$D$2:$D$2649,$B181,'февраль 2026'!$J$2:$J$2649,M$1)</f>
        <v>0</v>
      </c>
      <c r="N181" s="144">
        <f>SUMIFS('февраль 2026'!$G$2:$G$2649,'февраль 2026'!$D$2:$D$2649,$B181,'февраль 2026'!$J$2:$J$2649,N$1)</f>
        <v>0</v>
      </c>
      <c r="O181" s="144">
        <f>SUMIFS('февраль 2026'!$G$2:$G$2649,'февраль 2026'!$D$2:$D$2649,$B181,'февраль 2026'!$J$2:$J$2649,O$1)</f>
        <v>0</v>
      </c>
      <c r="P181" s="144">
        <f>SUMIFS('февраль 2026'!$G$2:$G$2649,'февраль 2026'!$D$2:$D$2649,$B181,'февраль 2026'!$J$2:$J$2649,P$1)</f>
        <v>0</v>
      </c>
      <c r="Q181" s="144">
        <f>SUMIFS('февраль 2026'!$G$2:$G$2649,'февраль 2026'!$D$2:$D$2649,$B181,'февраль 2026'!$J$2:$J$2649,Q$1)</f>
        <v>0</v>
      </c>
      <c r="R181" s="144">
        <f>SUMIFS('февраль 2026'!$G$2:$G$2649,'февраль 2026'!$D$2:$D$2649,$B181,'февраль 2026'!$J$2:$J$2649,R$1)</f>
        <v>0</v>
      </c>
      <c r="S181" s="144">
        <f>SUMIFS('февраль 2026'!$G$2:$G$2649,'февраль 2026'!$D$2:$D$2649,$B181,'февраль 2026'!$J$2:$J$2649,S$1)</f>
        <v>0</v>
      </c>
      <c r="T181" s="144">
        <f>SUMIFS('февраль 2026'!$G$2:$G$2649,'февраль 2026'!$D$2:$D$2649,$B181,'февраль 2026'!$J$2:$J$2649,T$1)</f>
        <v>0</v>
      </c>
      <c r="U181" s="144">
        <f>SUMIFS('февраль 2026'!$G$2:$G$2649,'февраль 2026'!$D$2:$D$2649,$B181,'февраль 2026'!$J$2:$J$2649,U$1)</f>
        <v>0</v>
      </c>
      <c r="V181" s="144">
        <f>SUMIFS('февраль 2026'!$G$2:$G$2649,'февраль 2026'!$D$2:$D$2649,$B181,'февраль 2026'!$J$2:$J$2649,V$1)</f>
        <v>0</v>
      </c>
      <c r="W181" s="144">
        <f>SUMIFS('февраль 2026'!$G$2:$G$2649,'февраль 2026'!$D$2:$D$2649,$B181,'февраль 2026'!$J$2:$J$2649,W$1)</f>
        <v>0</v>
      </c>
      <c r="X181" s="144">
        <f>SUMIFS('февраль 2026'!$G$2:$G$2649,'февраль 2026'!$D$2:$D$2649,$B181,'февраль 2026'!$J$2:$J$2649,X$1)</f>
        <v>0</v>
      </c>
      <c r="Y181" s="144">
        <f>SUMIFS('февраль 2026'!$G$2:$G$2649,'февраль 2026'!$D$2:$D$2649,$B181,'февраль 2026'!$J$2:$J$2649,Y$1)</f>
        <v>0</v>
      </c>
      <c r="Z181" s="144">
        <f>SUMIFS('февраль 2026'!$G$2:$G$2649,'февраль 2026'!$D$2:$D$2649,$B181,'февраль 2026'!$J$2:$J$2649,Z$1)</f>
        <v>0</v>
      </c>
      <c r="AA181" s="144">
        <f>SUMIFS('февраль 2026'!$G$2:$G$2649,'февраль 2026'!$D$2:$D$2649,$B181,'февраль 2026'!$J$2:$J$2649,AA$1)</f>
        <v>0</v>
      </c>
      <c r="AB181" s="144">
        <f>SUMIFS('февраль 2026'!$G$2:$G$2649,'февраль 2026'!$D$2:$D$2649,$B181,'февраль 2026'!$J$2:$J$2649,AB$1)</f>
        <v>0</v>
      </c>
      <c r="AC181" s="144">
        <f>SUMIFS('февраль 2026'!$G$2:$G$2649,'февраль 2026'!$D$2:$D$2649,$B181,'февраль 2026'!$J$2:$J$2649,AC$1)</f>
        <v>0</v>
      </c>
      <c r="AD181" s="144">
        <f>SUMIFS('февраль 2026'!$G$2:$G$2649,'февраль 2026'!$D$2:$D$2649,$B181,'февраль 2026'!$J$2:$J$2649,AD$1)</f>
        <v>0</v>
      </c>
      <c r="AE181" s="144">
        <f>SUMIFS('февраль 2026'!$G$2:$G$2649,'февраль 2026'!$D$2:$D$2649,$B181,'февраль 2026'!$J$2:$J$2649,AE$1)</f>
        <v>0</v>
      </c>
      <c r="AF181" s="144">
        <f>SUMIFS('февраль 2026'!$G$2:$G$2649,'февраль 2026'!$D$2:$D$2649,$B181,'февраль 2026'!$J$2:$J$2649,AF$1)</f>
        <v>0</v>
      </c>
      <c r="AG181" s="144">
        <f>SUMIFS('февраль 2026'!$G$2:$G$2649,'февраль 2026'!$D$2:$D$2649,$B181,'февраль 2026'!$J$2:$J$2649,AG$1)</f>
        <v>0</v>
      </c>
      <c r="AH181" s="144">
        <f>SUMIFS('февраль 2026'!$G$2:$G$2649,'февраль 2026'!$D$2:$D$2649,$B181,'февраль 2026'!$J$2:$J$2649,AH$1)</f>
        <v>0</v>
      </c>
      <c r="AI181" s="20"/>
    </row>
    <row r="182" spans="2:35" ht="15" customHeight="1" x14ac:dyDescent="0.25">
      <c r="B182" s="82"/>
      <c r="C182" s="81"/>
      <c r="D182" s="144">
        <f>SUMIFS('февраль 2026'!$G$2:$G$2649,'февраль 2026'!$D$2:$D$2649,$B182,'февраль 2026'!$J$2:$J$2649,D$1)</f>
        <v>0</v>
      </c>
      <c r="E182" s="144">
        <f>SUMIFS('февраль 2026'!$G$2:$G$2649,'февраль 2026'!$D$2:$D$2649,$B182,'февраль 2026'!$J$2:$J$2649,E$1)</f>
        <v>0</v>
      </c>
      <c r="F182" s="144">
        <f>SUMIFS('февраль 2026'!$G$2:$G$2649,'февраль 2026'!$D$2:$D$2649,$B182,'февраль 2026'!$J$2:$J$2649,F$1)</f>
        <v>0</v>
      </c>
      <c r="G182" s="144">
        <f>SUMIFS('февраль 2026'!$G$2:$G$2649,'февраль 2026'!$D$2:$D$2649,$B182,'февраль 2026'!$J$2:$J$2649,G$1)</f>
        <v>0</v>
      </c>
      <c r="H182" s="144">
        <f>SUMIFS('февраль 2026'!$G$2:$G$2649,'февраль 2026'!$D$2:$D$2649,$B182,'февраль 2026'!$J$2:$J$2649,H$1)</f>
        <v>0</v>
      </c>
      <c r="I182" s="144">
        <f>SUMIFS('февраль 2026'!$G$2:$G$2649,'февраль 2026'!$D$2:$D$2649,$B182,'февраль 2026'!$J$2:$J$2649,I$1)</f>
        <v>0</v>
      </c>
      <c r="J182" s="144">
        <f>SUMIFS('февраль 2026'!$G$2:$G$2649,'февраль 2026'!$D$2:$D$2649,$B182,'февраль 2026'!$J$2:$J$2649,J$1)</f>
        <v>0</v>
      </c>
      <c r="K182" s="144">
        <f>SUMIFS('февраль 2026'!$G$2:$G$2649,'февраль 2026'!$D$2:$D$2649,$B182,'февраль 2026'!$J$2:$J$2649,K$1)</f>
        <v>0</v>
      </c>
      <c r="L182" s="144">
        <f>SUMIFS('февраль 2026'!$G$2:$G$2649,'февраль 2026'!$D$2:$D$2649,$B182,'февраль 2026'!$J$2:$J$2649,L$1)</f>
        <v>0</v>
      </c>
      <c r="M182" s="144">
        <f>SUMIFS('февраль 2026'!$G$2:$G$2649,'февраль 2026'!$D$2:$D$2649,$B182,'февраль 2026'!$J$2:$J$2649,M$1)</f>
        <v>0</v>
      </c>
      <c r="N182" s="144">
        <f>SUMIFS('февраль 2026'!$G$2:$G$2649,'февраль 2026'!$D$2:$D$2649,$B182,'февраль 2026'!$J$2:$J$2649,N$1)</f>
        <v>0</v>
      </c>
      <c r="O182" s="144">
        <f>SUMIFS('февраль 2026'!$G$2:$G$2649,'февраль 2026'!$D$2:$D$2649,$B182,'февраль 2026'!$J$2:$J$2649,O$1)</f>
        <v>0</v>
      </c>
      <c r="P182" s="144">
        <f>SUMIFS('февраль 2026'!$G$2:$G$2649,'февраль 2026'!$D$2:$D$2649,$B182,'февраль 2026'!$J$2:$J$2649,P$1)</f>
        <v>0</v>
      </c>
      <c r="Q182" s="144">
        <f>SUMIFS('февраль 2026'!$G$2:$G$2649,'февраль 2026'!$D$2:$D$2649,$B182,'февраль 2026'!$J$2:$J$2649,Q$1)</f>
        <v>0</v>
      </c>
      <c r="R182" s="144">
        <f>SUMIFS('февраль 2026'!$G$2:$G$2649,'февраль 2026'!$D$2:$D$2649,$B182,'февраль 2026'!$J$2:$J$2649,R$1)</f>
        <v>0</v>
      </c>
      <c r="S182" s="144">
        <f>SUMIFS('февраль 2026'!$G$2:$G$2649,'февраль 2026'!$D$2:$D$2649,$B182,'февраль 2026'!$J$2:$J$2649,S$1)</f>
        <v>0</v>
      </c>
      <c r="T182" s="144">
        <f>SUMIFS('февраль 2026'!$G$2:$G$2649,'февраль 2026'!$D$2:$D$2649,$B182,'февраль 2026'!$J$2:$J$2649,T$1)</f>
        <v>0</v>
      </c>
      <c r="U182" s="144">
        <f>SUMIFS('февраль 2026'!$G$2:$G$2649,'февраль 2026'!$D$2:$D$2649,$B182,'февраль 2026'!$J$2:$J$2649,U$1)</f>
        <v>0</v>
      </c>
      <c r="V182" s="144">
        <f>SUMIFS('февраль 2026'!$G$2:$G$2649,'февраль 2026'!$D$2:$D$2649,$B182,'февраль 2026'!$J$2:$J$2649,V$1)</f>
        <v>0</v>
      </c>
      <c r="W182" s="144">
        <f>SUMIFS('февраль 2026'!$G$2:$G$2649,'февраль 2026'!$D$2:$D$2649,$B182,'февраль 2026'!$J$2:$J$2649,W$1)</f>
        <v>0</v>
      </c>
      <c r="X182" s="144">
        <f>SUMIFS('февраль 2026'!$G$2:$G$2649,'февраль 2026'!$D$2:$D$2649,$B182,'февраль 2026'!$J$2:$J$2649,X$1)</f>
        <v>0</v>
      </c>
      <c r="Y182" s="144">
        <f>SUMIFS('февраль 2026'!$G$2:$G$2649,'февраль 2026'!$D$2:$D$2649,$B182,'февраль 2026'!$J$2:$J$2649,Y$1)</f>
        <v>0</v>
      </c>
      <c r="Z182" s="144">
        <f>SUMIFS('февраль 2026'!$G$2:$G$2649,'февраль 2026'!$D$2:$D$2649,$B182,'февраль 2026'!$J$2:$J$2649,Z$1)</f>
        <v>0</v>
      </c>
      <c r="AA182" s="144">
        <f>SUMIFS('февраль 2026'!$G$2:$G$2649,'февраль 2026'!$D$2:$D$2649,$B182,'февраль 2026'!$J$2:$J$2649,AA$1)</f>
        <v>0</v>
      </c>
      <c r="AB182" s="144">
        <f>SUMIFS('февраль 2026'!$G$2:$G$2649,'февраль 2026'!$D$2:$D$2649,$B182,'февраль 2026'!$J$2:$J$2649,AB$1)</f>
        <v>0</v>
      </c>
      <c r="AC182" s="144">
        <f>SUMIFS('февраль 2026'!$G$2:$G$2649,'февраль 2026'!$D$2:$D$2649,$B182,'февраль 2026'!$J$2:$J$2649,AC$1)</f>
        <v>0</v>
      </c>
      <c r="AD182" s="144">
        <f>SUMIFS('февраль 2026'!$G$2:$G$2649,'февраль 2026'!$D$2:$D$2649,$B182,'февраль 2026'!$J$2:$J$2649,AD$1)</f>
        <v>0</v>
      </c>
      <c r="AE182" s="144">
        <f>SUMIFS('февраль 2026'!$G$2:$G$2649,'февраль 2026'!$D$2:$D$2649,$B182,'февраль 2026'!$J$2:$J$2649,AE$1)</f>
        <v>0</v>
      </c>
      <c r="AF182" s="144">
        <f>SUMIFS('февраль 2026'!$G$2:$G$2649,'февраль 2026'!$D$2:$D$2649,$B182,'февраль 2026'!$J$2:$J$2649,AF$1)</f>
        <v>0</v>
      </c>
      <c r="AG182" s="144">
        <f>SUMIFS('февраль 2026'!$G$2:$G$2649,'февраль 2026'!$D$2:$D$2649,$B182,'февраль 2026'!$J$2:$J$2649,AG$1)</f>
        <v>0</v>
      </c>
      <c r="AH182" s="144">
        <f>SUMIFS('февраль 2026'!$G$2:$G$2649,'февраль 2026'!$D$2:$D$2649,$B182,'февраль 2026'!$J$2:$J$2649,AH$1)</f>
        <v>0</v>
      </c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I237"/>
  <sheetViews>
    <sheetView showZeros="0" topLeftCell="A124" zoomScale="70" zoomScaleNormal="70" workbookViewId="0">
      <selection activeCell="L76" sqref="L76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46023</v>
      </c>
      <c r="C1" s="67"/>
      <c r="D1" s="68">
        <f>B1</f>
        <v>46023</v>
      </c>
      <c r="E1" s="68">
        <f>D1+1</f>
        <v>46024</v>
      </c>
      <c r="F1" s="68">
        <f t="shared" ref="F1:AH1" si="0">E1+1</f>
        <v>46025</v>
      </c>
      <c r="G1" s="68">
        <f t="shared" si="0"/>
        <v>46026</v>
      </c>
      <c r="H1" s="68">
        <f t="shared" si="0"/>
        <v>46027</v>
      </c>
      <c r="I1" s="68">
        <f t="shared" si="0"/>
        <v>46028</v>
      </c>
      <c r="J1" s="68">
        <f t="shared" si="0"/>
        <v>46029</v>
      </c>
      <c r="K1" s="68">
        <f t="shared" si="0"/>
        <v>46030</v>
      </c>
      <c r="L1" s="68">
        <f t="shared" si="0"/>
        <v>46031</v>
      </c>
      <c r="M1" s="68">
        <f t="shared" si="0"/>
        <v>46032</v>
      </c>
      <c r="N1" s="68">
        <f t="shared" si="0"/>
        <v>46033</v>
      </c>
      <c r="O1" s="68">
        <f t="shared" si="0"/>
        <v>46034</v>
      </c>
      <c r="P1" s="68">
        <f t="shared" si="0"/>
        <v>46035</v>
      </c>
      <c r="Q1" s="68">
        <f t="shared" si="0"/>
        <v>46036</v>
      </c>
      <c r="R1" s="68">
        <f t="shared" si="0"/>
        <v>46037</v>
      </c>
      <c r="S1" s="68">
        <f t="shared" si="0"/>
        <v>46038</v>
      </c>
      <c r="T1" s="68">
        <f t="shared" si="0"/>
        <v>46039</v>
      </c>
      <c r="U1" s="68">
        <f t="shared" si="0"/>
        <v>46040</v>
      </c>
      <c r="V1" s="68">
        <f t="shared" si="0"/>
        <v>46041</v>
      </c>
      <c r="W1" s="68">
        <f t="shared" si="0"/>
        <v>46042</v>
      </c>
      <c r="X1" s="68">
        <f t="shared" si="0"/>
        <v>46043</v>
      </c>
      <c r="Y1" s="68">
        <f t="shared" si="0"/>
        <v>46044</v>
      </c>
      <c r="Z1" s="68">
        <f t="shared" si="0"/>
        <v>46045</v>
      </c>
      <c r="AA1" s="68">
        <f t="shared" si="0"/>
        <v>46046</v>
      </c>
      <c r="AB1" s="68">
        <f t="shared" si="0"/>
        <v>46047</v>
      </c>
      <c r="AC1" s="68">
        <f t="shared" si="0"/>
        <v>46048</v>
      </c>
      <c r="AD1" s="68">
        <f t="shared" si="0"/>
        <v>46049</v>
      </c>
      <c r="AE1" s="68">
        <f t="shared" si="0"/>
        <v>46050</v>
      </c>
      <c r="AF1" s="68">
        <f t="shared" si="0"/>
        <v>46051</v>
      </c>
      <c r="AG1" s="68">
        <f t="shared" si="0"/>
        <v>46052</v>
      </c>
      <c r="AH1" s="68">
        <f t="shared" si="0"/>
        <v>46053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SUMIFS('январь 2026'!$G$2:$G$2684,'январь 2026'!$D$2:$D$2684,$B3,'январь 2026'!$J$2:$J$2684,D$1)</f>
        <v>0</v>
      </c>
      <c r="E3" s="75">
        <f>SUMIFS('январь 2026'!$G$2:$G$2684,'январь 2026'!$D$2:$D$2684,$B3,'январь 2026'!$J$2:$J$2684,E$1)</f>
        <v>0</v>
      </c>
      <c r="F3" s="75">
        <f>SUMIFS('январь 2026'!$G$2:$G$2684,'январь 2026'!$D$2:$D$2684,$B3,'январь 2026'!$J$2:$J$2684,F$1)</f>
        <v>0</v>
      </c>
      <c r="G3" s="75">
        <f>SUMIFS('январь 2026'!$G$2:$G$2684,'январь 2026'!$D$2:$D$2684,$B3,'январь 2026'!$J$2:$J$2684,G$1)</f>
        <v>0</v>
      </c>
      <c r="H3" s="75">
        <f>SUMIFS('январь 2026'!$G$2:$G$2684,'январь 2026'!$D$2:$D$2684,$B3,'январь 2026'!$J$2:$J$2684,H$1)</f>
        <v>0</v>
      </c>
      <c r="I3" s="75">
        <f>SUMIFS('январь 2026'!$G$2:$G$2684,'январь 2026'!$D$2:$D$2684,$B3,'январь 2026'!$J$2:$J$2684,I$1)</f>
        <v>0</v>
      </c>
      <c r="J3" s="75">
        <f>SUMIFS('январь 2026'!$G$2:$G$2684,'январь 2026'!$D$2:$D$2684,$B3,'январь 2026'!$J$2:$J$2684,J$1)</f>
        <v>0</v>
      </c>
      <c r="K3" s="75">
        <f>SUMIFS('январь 2026'!$G$2:$G$2684,'январь 2026'!$D$2:$D$2684,$B3,'январь 2026'!$J$2:$J$2684,K$1)</f>
        <v>0</v>
      </c>
      <c r="L3" s="75">
        <f>SUMIFS('январь 2026'!$G$2:$G$2684,'январь 2026'!$D$2:$D$2684,$B3,'январь 2026'!$J$2:$J$2684,L$1)</f>
        <v>0</v>
      </c>
      <c r="M3" s="75">
        <f>SUMIFS('январь 2026'!$G$2:$G$2684,'январь 2026'!$D$2:$D$2684,$B3,'январь 2026'!$J$2:$J$2684,M$1)</f>
        <v>0</v>
      </c>
      <c r="N3" s="75">
        <f>SUMIFS('январь 2026'!$G$2:$G$2684,'январь 2026'!$D$2:$D$2684,$B3,'январь 2026'!$J$2:$J$2684,N$1)</f>
        <v>0</v>
      </c>
      <c r="O3" s="75">
        <f>SUMIFS('январь 2026'!$G$2:$G$2684,'январь 2026'!$D$2:$D$2684,$B3,'январь 2026'!$J$2:$J$2684,O$1)</f>
        <v>0</v>
      </c>
      <c r="P3" s="75">
        <f>SUMIFS('январь 2026'!$G$2:$G$2684,'январь 2026'!$D$2:$D$2684,$B3,'январь 2026'!$J$2:$J$2684,P$1)</f>
        <v>0</v>
      </c>
      <c r="Q3" s="75">
        <f>SUMIFS('январь 2026'!$G$2:$G$2684,'январь 2026'!$D$2:$D$2684,$B3,'январь 2026'!$J$2:$J$2684,Q$1)</f>
        <v>0</v>
      </c>
      <c r="R3" s="75">
        <f>SUMIFS('январь 2026'!$G$2:$G$2684,'январь 2026'!$D$2:$D$2684,$B3,'январь 2026'!$J$2:$J$2684,R$1)</f>
        <v>0</v>
      </c>
      <c r="S3" s="75">
        <f>SUMIFS('январь 2026'!$G$2:$G$2684,'январь 2026'!$D$2:$D$2684,$B3,'январь 2026'!$J$2:$J$2684,S$1)</f>
        <v>0</v>
      </c>
      <c r="T3" s="75">
        <f>SUMIFS('январь 2026'!$G$2:$G$2684,'январь 2026'!$D$2:$D$2684,$B3,'январь 2026'!$J$2:$J$2684,T$1)</f>
        <v>0</v>
      </c>
      <c r="U3" s="75">
        <f>SUMIFS('январь 2026'!$G$2:$G$2684,'январь 2026'!$D$2:$D$2684,$B3,'январь 2026'!$J$2:$J$2684,U$1)</f>
        <v>0</v>
      </c>
      <c r="V3" s="75">
        <f>SUMIFS('январь 2026'!$G$2:$G$2684,'январь 2026'!$D$2:$D$2684,$B3,'январь 2026'!$J$2:$J$2684,V$1)</f>
        <v>0</v>
      </c>
      <c r="W3" s="75">
        <f>SUMIFS('январь 2026'!$G$2:$G$2684,'январь 2026'!$D$2:$D$2684,$B3,'январь 2026'!$J$2:$J$2684,W$1)</f>
        <v>0</v>
      </c>
      <c r="X3" s="75">
        <f>SUMIFS('январь 2026'!$G$2:$G$2684,'январь 2026'!$D$2:$D$2684,$B3,'январь 2026'!$J$2:$J$2684,X$1)</f>
        <v>0</v>
      </c>
      <c r="Y3" s="75">
        <f>SUMIFS('январь 2026'!$G$2:$G$2684,'январь 2026'!$D$2:$D$2684,$B3,'январь 2026'!$J$2:$J$2684,Y$1)</f>
        <v>0</v>
      </c>
      <c r="Z3" s="75">
        <f>SUMIFS('январь 2026'!$G$2:$G$2684,'январь 2026'!$D$2:$D$2684,$B3,'январь 2026'!$J$2:$J$2684,Z$1)</f>
        <v>0</v>
      </c>
      <c r="AA3" s="75">
        <f>SUMIFS('январь 2026'!$G$2:$G$2684,'январь 2026'!$D$2:$D$2684,$B3,'январь 2026'!$J$2:$J$2684,AA$1)</f>
        <v>0</v>
      </c>
      <c r="AB3" s="75">
        <f>SUMIFS('январь 2026'!$G$2:$G$2684,'январь 2026'!$D$2:$D$2684,$B3,'январь 2026'!$J$2:$J$2684,AB$1)</f>
        <v>0</v>
      </c>
      <c r="AC3" s="75">
        <f>SUMIFS('январь 2026'!$G$2:$G$2684,'январь 2026'!$D$2:$D$2684,$B3,'январь 2026'!$J$2:$J$2684,AC$1)</f>
        <v>0</v>
      </c>
      <c r="AD3" s="75">
        <f>SUMIFS('январь 2026'!$G$2:$G$2684,'январь 2026'!$D$2:$D$2684,$B3,'январь 2026'!$J$2:$J$2684,AD$1)</f>
        <v>0</v>
      </c>
      <c r="AE3" s="75">
        <f>SUMIFS('январь 2026'!$G$2:$G$2684,'январь 2026'!$D$2:$D$2684,$B3,'январь 2026'!$J$2:$J$2684,AE$1)</f>
        <v>0</v>
      </c>
      <c r="AF3" s="75">
        <f>SUMIFS('январь 2026'!$G$2:$G$2684,'январь 2026'!$D$2:$D$2684,$B3,'январь 2026'!$J$2:$J$2684,AF$1)</f>
        <v>0</v>
      </c>
      <c r="AG3" s="75">
        <f>SUMIFS('январь 2026'!$G$2:$G$2684,'январь 2026'!$D$2:$D$2684,$B3,'январь 2026'!$J$2:$J$2684,AG$1)</f>
        <v>0</v>
      </c>
      <c r="AH3" s="75">
        <f>SUMIFS('январь 2026'!$G$2:$G$2684,'январь 2026'!$D$2:$D$2684,$B3,'январь 2026'!$J$2:$J$2684,AH$1)</f>
        <v>0</v>
      </c>
      <c r="AI3" s="48">
        <f t="shared" ref="AI3:AI166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SUMIFS('январь 2026'!$G$2:$G$2684,'январь 2026'!$D$2:$D$2684,$B4,'январь 2026'!$J$2:$J$2684,D$1)</f>
        <v>0</v>
      </c>
      <c r="E4" s="75">
        <f>SUMIFS('январь 2026'!$G$2:$G$2684,'январь 2026'!$D$2:$D$2684,$B4,'январь 2026'!$J$2:$J$2684,E$1)</f>
        <v>0</v>
      </c>
      <c r="F4" s="75">
        <f>SUMIFS('январь 2026'!$G$2:$G$2684,'январь 2026'!$D$2:$D$2684,$B4,'январь 2026'!$J$2:$J$2684,F$1)</f>
        <v>0</v>
      </c>
      <c r="G4" s="75">
        <f>SUMIFS('январь 2026'!$G$2:$G$2684,'январь 2026'!$D$2:$D$2684,$B4,'январь 2026'!$J$2:$J$2684,G$1)</f>
        <v>0</v>
      </c>
      <c r="H4" s="75">
        <f>SUMIFS('январь 2026'!$G$2:$G$2684,'январь 2026'!$D$2:$D$2684,$B4,'январь 2026'!$J$2:$J$2684,H$1)</f>
        <v>0</v>
      </c>
      <c r="I4" s="75">
        <f>SUMIFS('январь 2026'!$G$2:$G$2684,'январь 2026'!$D$2:$D$2684,$B4,'январь 2026'!$J$2:$J$2684,I$1)</f>
        <v>0</v>
      </c>
      <c r="J4" s="75">
        <f>SUMIFS('январь 2026'!$G$2:$G$2684,'январь 2026'!$D$2:$D$2684,$B4,'январь 2026'!$J$2:$J$2684,J$1)</f>
        <v>0</v>
      </c>
      <c r="K4" s="75">
        <f>SUMIFS('январь 2026'!$G$2:$G$2684,'январь 2026'!$D$2:$D$2684,$B4,'январь 2026'!$J$2:$J$2684,K$1)</f>
        <v>0</v>
      </c>
      <c r="L4" s="75">
        <f>SUMIFS('январь 2026'!$G$2:$G$2684,'январь 2026'!$D$2:$D$2684,$B4,'январь 2026'!$J$2:$J$2684,L$1)</f>
        <v>0</v>
      </c>
      <c r="M4" s="75">
        <f>SUMIFS('январь 2026'!$G$2:$G$2684,'январь 2026'!$D$2:$D$2684,$B4,'январь 2026'!$J$2:$J$2684,M$1)</f>
        <v>0</v>
      </c>
      <c r="N4" s="75">
        <f>SUMIFS('январь 2026'!$G$2:$G$2684,'январь 2026'!$D$2:$D$2684,$B4,'январь 2026'!$J$2:$J$2684,N$1)</f>
        <v>0</v>
      </c>
      <c r="O4" s="75">
        <f>SUMIFS('январь 2026'!$G$2:$G$2684,'январь 2026'!$D$2:$D$2684,$B4,'январь 2026'!$J$2:$J$2684,O$1)</f>
        <v>0</v>
      </c>
      <c r="P4" s="75">
        <f>SUMIFS('январь 2026'!$G$2:$G$2684,'январь 2026'!$D$2:$D$2684,$B4,'январь 2026'!$J$2:$J$2684,P$1)</f>
        <v>0</v>
      </c>
      <c r="Q4" s="75">
        <f>SUMIFS('январь 2026'!$G$2:$G$2684,'январь 2026'!$D$2:$D$2684,$B4,'январь 2026'!$J$2:$J$2684,Q$1)</f>
        <v>0</v>
      </c>
      <c r="R4" s="75">
        <f>SUMIFS('январь 2026'!$G$2:$G$2684,'январь 2026'!$D$2:$D$2684,$B4,'январь 2026'!$J$2:$J$2684,R$1)</f>
        <v>0</v>
      </c>
      <c r="S4" s="75">
        <f>SUMIFS('январь 2026'!$G$2:$G$2684,'январь 2026'!$D$2:$D$2684,$B4,'январь 2026'!$J$2:$J$2684,S$1)</f>
        <v>0</v>
      </c>
      <c r="T4" s="75">
        <f>SUMIFS('январь 2026'!$G$2:$G$2684,'январь 2026'!$D$2:$D$2684,$B4,'январь 2026'!$J$2:$J$2684,T$1)</f>
        <v>0</v>
      </c>
      <c r="U4" s="75">
        <f>SUMIFS('январь 2026'!$G$2:$G$2684,'январь 2026'!$D$2:$D$2684,$B4,'январь 2026'!$J$2:$J$2684,U$1)</f>
        <v>0</v>
      </c>
      <c r="V4" s="75">
        <f>SUMIFS('январь 2026'!$G$2:$G$2684,'январь 2026'!$D$2:$D$2684,$B4,'январь 2026'!$J$2:$J$2684,V$1)</f>
        <v>800</v>
      </c>
      <c r="W4" s="75">
        <f>SUMIFS('январь 2026'!$G$2:$G$2684,'январь 2026'!$D$2:$D$2684,$B4,'январь 2026'!$J$2:$J$2684,W$1)</f>
        <v>0</v>
      </c>
      <c r="X4" s="75">
        <f>SUMIFS('январь 2026'!$G$2:$G$2684,'январь 2026'!$D$2:$D$2684,$B4,'январь 2026'!$J$2:$J$2684,X$1)</f>
        <v>0</v>
      </c>
      <c r="Y4" s="75">
        <f>SUMIFS('январь 2026'!$G$2:$G$2684,'январь 2026'!$D$2:$D$2684,$B4,'январь 2026'!$J$2:$J$2684,Y$1)</f>
        <v>0</v>
      </c>
      <c r="Z4" s="75">
        <f>SUMIFS('январь 2026'!$G$2:$G$2684,'январь 2026'!$D$2:$D$2684,$B4,'январь 2026'!$J$2:$J$2684,Z$1)</f>
        <v>0</v>
      </c>
      <c r="AA4" s="75">
        <f>SUMIFS('январь 2026'!$G$2:$G$2684,'январь 2026'!$D$2:$D$2684,$B4,'январь 2026'!$J$2:$J$2684,AA$1)</f>
        <v>0</v>
      </c>
      <c r="AB4" s="75">
        <f>SUMIFS('январь 2026'!$G$2:$G$2684,'январь 2026'!$D$2:$D$2684,$B4,'январь 2026'!$J$2:$J$2684,AB$1)</f>
        <v>0</v>
      </c>
      <c r="AC4" s="75">
        <f>SUMIFS('январь 2026'!$G$2:$G$2684,'январь 2026'!$D$2:$D$2684,$B4,'январь 2026'!$J$2:$J$2684,AC$1)</f>
        <v>800</v>
      </c>
      <c r="AD4" s="75">
        <f>SUMIFS('январь 2026'!$G$2:$G$2684,'январь 2026'!$D$2:$D$2684,$B4,'январь 2026'!$J$2:$J$2684,AD$1)</f>
        <v>0</v>
      </c>
      <c r="AE4" s="75">
        <f>SUMIFS('январь 2026'!$G$2:$G$2684,'январь 2026'!$D$2:$D$2684,$B4,'январь 2026'!$J$2:$J$2684,AE$1)</f>
        <v>0</v>
      </c>
      <c r="AF4" s="75">
        <f>SUMIFS('январь 2026'!$G$2:$G$2684,'январь 2026'!$D$2:$D$2684,$B4,'январь 2026'!$J$2:$J$2684,AF$1)</f>
        <v>0</v>
      </c>
      <c r="AG4" s="75">
        <f>SUMIFS('январь 2026'!$G$2:$G$2684,'январь 2026'!$D$2:$D$2684,$B4,'январь 2026'!$J$2:$J$2684,AG$1)</f>
        <v>0</v>
      </c>
      <c r="AH4" s="75">
        <f>SUMIFS('январь 2026'!$G$2:$G$2684,'январь 2026'!$D$2:$D$2684,$B4,'январь 2026'!$J$2:$J$2684,AH$1)</f>
        <v>0</v>
      </c>
      <c r="AI4" s="164">
        <f t="shared" si="1"/>
        <v>1600</v>
      </c>
    </row>
    <row r="5" spans="2:35" ht="15" customHeight="1" x14ac:dyDescent="0.25">
      <c r="B5" s="76" t="s">
        <v>210</v>
      </c>
      <c r="C5" s="77">
        <v>25</v>
      </c>
      <c r="D5" s="75">
        <f>SUMIFS('январь 2026'!$G$2:$G$2684,'январь 2026'!$D$2:$D$2684,$B5,'январь 2026'!$J$2:$J$2684,D$1)</f>
        <v>0</v>
      </c>
      <c r="E5" s="75">
        <f>SUMIFS('январь 2026'!$G$2:$G$2684,'январь 2026'!$D$2:$D$2684,$B5,'январь 2026'!$J$2:$J$2684,E$1)</f>
        <v>0</v>
      </c>
      <c r="F5" s="75">
        <f>SUMIFS('январь 2026'!$G$2:$G$2684,'январь 2026'!$D$2:$D$2684,$B5,'январь 2026'!$J$2:$J$2684,F$1)</f>
        <v>0</v>
      </c>
      <c r="G5" s="75">
        <f>SUMIFS('январь 2026'!$G$2:$G$2684,'январь 2026'!$D$2:$D$2684,$B5,'январь 2026'!$J$2:$J$2684,G$1)</f>
        <v>0</v>
      </c>
      <c r="H5" s="75">
        <f>SUMIFS('январь 2026'!$G$2:$G$2684,'январь 2026'!$D$2:$D$2684,$B5,'январь 2026'!$J$2:$J$2684,H$1)</f>
        <v>0</v>
      </c>
      <c r="I5" s="75">
        <f>SUMIFS('январь 2026'!$G$2:$G$2684,'январь 2026'!$D$2:$D$2684,$B5,'январь 2026'!$J$2:$J$2684,I$1)</f>
        <v>0</v>
      </c>
      <c r="J5" s="75">
        <f>SUMIFS('январь 2026'!$G$2:$G$2684,'январь 2026'!$D$2:$D$2684,$B5,'январь 2026'!$J$2:$J$2684,J$1)</f>
        <v>0</v>
      </c>
      <c r="K5" s="75">
        <f>SUMIFS('январь 2026'!$G$2:$G$2684,'январь 2026'!$D$2:$D$2684,$B5,'январь 2026'!$J$2:$J$2684,K$1)</f>
        <v>0</v>
      </c>
      <c r="L5" s="75">
        <f>SUMIFS('январь 2026'!$G$2:$G$2684,'январь 2026'!$D$2:$D$2684,$B5,'январь 2026'!$J$2:$J$2684,L$1)</f>
        <v>0</v>
      </c>
      <c r="M5" s="75">
        <f>SUMIFS('январь 2026'!$G$2:$G$2684,'январь 2026'!$D$2:$D$2684,$B5,'январь 2026'!$J$2:$J$2684,M$1)</f>
        <v>0</v>
      </c>
      <c r="N5" s="75">
        <f>SUMIFS('январь 2026'!$G$2:$G$2684,'январь 2026'!$D$2:$D$2684,$B5,'январь 2026'!$J$2:$J$2684,N$1)</f>
        <v>0</v>
      </c>
      <c r="O5" s="75">
        <f>SUMIFS('январь 2026'!$G$2:$G$2684,'январь 2026'!$D$2:$D$2684,$B5,'январь 2026'!$J$2:$J$2684,O$1)</f>
        <v>0</v>
      </c>
      <c r="P5" s="75">
        <f>SUMIFS('январь 2026'!$G$2:$G$2684,'январь 2026'!$D$2:$D$2684,$B5,'январь 2026'!$J$2:$J$2684,P$1)</f>
        <v>0</v>
      </c>
      <c r="Q5" s="75">
        <f>SUMIFS('январь 2026'!$G$2:$G$2684,'январь 2026'!$D$2:$D$2684,$B5,'январь 2026'!$J$2:$J$2684,Q$1)</f>
        <v>0</v>
      </c>
      <c r="R5" s="75">
        <f>SUMIFS('январь 2026'!$G$2:$G$2684,'январь 2026'!$D$2:$D$2684,$B5,'январь 2026'!$J$2:$J$2684,R$1)</f>
        <v>0</v>
      </c>
      <c r="S5" s="75">
        <f>SUMIFS('январь 2026'!$G$2:$G$2684,'январь 2026'!$D$2:$D$2684,$B5,'январь 2026'!$J$2:$J$2684,S$1)</f>
        <v>0</v>
      </c>
      <c r="T5" s="75">
        <f>SUMIFS('январь 2026'!$G$2:$G$2684,'январь 2026'!$D$2:$D$2684,$B5,'январь 2026'!$J$2:$J$2684,T$1)</f>
        <v>0</v>
      </c>
      <c r="U5" s="75">
        <f>SUMIFS('январь 2026'!$G$2:$G$2684,'январь 2026'!$D$2:$D$2684,$B5,'январь 2026'!$J$2:$J$2684,U$1)</f>
        <v>0</v>
      </c>
      <c r="V5" s="75">
        <f>SUMIFS('январь 2026'!$G$2:$G$2684,'январь 2026'!$D$2:$D$2684,$B5,'январь 2026'!$J$2:$J$2684,V$1)</f>
        <v>0</v>
      </c>
      <c r="W5" s="75">
        <f>SUMIFS('январь 2026'!$G$2:$G$2684,'январь 2026'!$D$2:$D$2684,$B5,'январь 2026'!$J$2:$J$2684,W$1)</f>
        <v>0</v>
      </c>
      <c r="X5" s="75">
        <f>SUMIFS('январь 2026'!$G$2:$G$2684,'январь 2026'!$D$2:$D$2684,$B5,'январь 2026'!$J$2:$J$2684,X$1)</f>
        <v>0</v>
      </c>
      <c r="Y5" s="75">
        <f>SUMIFS('январь 2026'!$G$2:$G$2684,'январь 2026'!$D$2:$D$2684,$B5,'январь 2026'!$J$2:$J$2684,Y$1)</f>
        <v>0</v>
      </c>
      <c r="Z5" s="75">
        <f>SUMIFS('январь 2026'!$G$2:$G$2684,'январь 2026'!$D$2:$D$2684,$B5,'январь 2026'!$J$2:$J$2684,Z$1)</f>
        <v>0</v>
      </c>
      <c r="AA5" s="75">
        <f>SUMIFS('январь 2026'!$G$2:$G$2684,'январь 2026'!$D$2:$D$2684,$B5,'январь 2026'!$J$2:$J$2684,AA$1)</f>
        <v>0</v>
      </c>
      <c r="AB5" s="75">
        <f>SUMIFS('январь 2026'!$G$2:$G$2684,'январь 2026'!$D$2:$D$2684,$B5,'январь 2026'!$J$2:$J$2684,AB$1)</f>
        <v>0</v>
      </c>
      <c r="AC5" s="75">
        <f>SUMIFS('январь 2026'!$G$2:$G$2684,'январь 2026'!$D$2:$D$2684,$B5,'январь 2026'!$J$2:$J$2684,AC$1)</f>
        <v>0</v>
      </c>
      <c r="AD5" s="75">
        <f>SUMIFS('январь 2026'!$G$2:$G$2684,'январь 2026'!$D$2:$D$2684,$B5,'январь 2026'!$J$2:$J$2684,AD$1)</f>
        <v>0</v>
      </c>
      <c r="AE5" s="75">
        <f>SUMIFS('январь 2026'!$G$2:$G$2684,'январь 2026'!$D$2:$D$2684,$B5,'январь 2026'!$J$2:$J$2684,AE$1)</f>
        <v>0</v>
      </c>
      <c r="AF5" s="75">
        <f>SUMIFS('январь 2026'!$G$2:$G$2684,'январь 2026'!$D$2:$D$2684,$B5,'январь 2026'!$J$2:$J$2684,AF$1)</f>
        <v>0</v>
      </c>
      <c r="AG5" s="75">
        <f>SUMIFS('январь 2026'!$G$2:$G$2684,'январь 2026'!$D$2:$D$2684,$B5,'январь 2026'!$J$2:$J$2684,AG$1)</f>
        <v>0</v>
      </c>
      <c r="AH5" s="75">
        <f>SUMIFS('январь 2026'!$G$2:$G$2684,'январь 2026'!$D$2:$D$2684,$B5,'январь 2026'!$J$2:$J$2684,AH$1)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SUMIFS('январь 2026'!$G$2:$G$2684,'январь 2026'!$D$2:$D$2684,$B6,'январь 2026'!$J$2:$J$2684,D$1)</f>
        <v>0</v>
      </c>
      <c r="E6" s="75">
        <f>SUMIFS('январь 2026'!$G$2:$G$2684,'январь 2026'!$D$2:$D$2684,$B6,'январь 2026'!$J$2:$J$2684,E$1)</f>
        <v>0</v>
      </c>
      <c r="F6" s="75">
        <f>SUMIFS('январь 2026'!$G$2:$G$2684,'январь 2026'!$D$2:$D$2684,$B6,'январь 2026'!$J$2:$J$2684,F$1)</f>
        <v>0</v>
      </c>
      <c r="G6" s="75">
        <f>SUMIFS('январь 2026'!$G$2:$G$2684,'январь 2026'!$D$2:$D$2684,$B6,'январь 2026'!$J$2:$J$2684,G$1)</f>
        <v>0</v>
      </c>
      <c r="H6" s="75">
        <f>SUMIFS('январь 2026'!$G$2:$G$2684,'январь 2026'!$D$2:$D$2684,$B6,'январь 2026'!$J$2:$J$2684,H$1)</f>
        <v>0</v>
      </c>
      <c r="I6" s="75">
        <f>SUMIFS('январь 2026'!$G$2:$G$2684,'январь 2026'!$D$2:$D$2684,$B6,'январь 2026'!$J$2:$J$2684,I$1)</f>
        <v>0</v>
      </c>
      <c r="J6" s="75">
        <f>SUMIFS('январь 2026'!$G$2:$G$2684,'январь 2026'!$D$2:$D$2684,$B6,'январь 2026'!$J$2:$J$2684,J$1)</f>
        <v>0</v>
      </c>
      <c r="K6" s="75">
        <f>SUMIFS('январь 2026'!$G$2:$G$2684,'январь 2026'!$D$2:$D$2684,$B6,'январь 2026'!$J$2:$J$2684,K$1)</f>
        <v>0</v>
      </c>
      <c r="L6" s="75">
        <f>SUMIFS('январь 2026'!$G$2:$G$2684,'январь 2026'!$D$2:$D$2684,$B6,'январь 2026'!$J$2:$J$2684,L$1)</f>
        <v>0</v>
      </c>
      <c r="M6" s="75">
        <f>SUMIFS('январь 2026'!$G$2:$G$2684,'январь 2026'!$D$2:$D$2684,$B6,'январь 2026'!$J$2:$J$2684,M$1)</f>
        <v>0</v>
      </c>
      <c r="N6" s="75">
        <f>SUMIFS('январь 2026'!$G$2:$G$2684,'январь 2026'!$D$2:$D$2684,$B6,'январь 2026'!$J$2:$J$2684,N$1)</f>
        <v>0</v>
      </c>
      <c r="O6" s="75">
        <f>SUMIFS('январь 2026'!$G$2:$G$2684,'январь 2026'!$D$2:$D$2684,$B6,'январь 2026'!$J$2:$J$2684,O$1)</f>
        <v>0</v>
      </c>
      <c r="P6" s="75">
        <f>SUMIFS('январь 2026'!$G$2:$G$2684,'январь 2026'!$D$2:$D$2684,$B6,'январь 2026'!$J$2:$J$2684,P$1)</f>
        <v>0</v>
      </c>
      <c r="Q6" s="75">
        <f>SUMIFS('январь 2026'!$G$2:$G$2684,'январь 2026'!$D$2:$D$2684,$B6,'январь 2026'!$J$2:$J$2684,Q$1)</f>
        <v>0</v>
      </c>
      <c r="R6" s="75">
        <f>SUMIFS('январь 2026'!$G$2:$G$2684,'январь 2026'!$D$2:$D$2684,$B6,'январь 2026'!$J$2:$J$2684,R$1)</f>
        <v>0</v>
      </c>
      <c r="S6" s="75">
        <f>SUMIFS('январь 2026'!$G$2:$G$2684,'январь 2026'!$D$2:$D$2684,$B6,'январь 2026'!$J$2:$J$2684,S$1)</f>
        <v>0</v>
      </c>
      <c r="T6" s="75">
        <f>SUMIFS('январь 2026'!$G$2:$G$2684,'январь 2026'!$D$2:$D$2684,$B6,'январь 2026'!$J$2:$J$2684,T$1)</f>
        <v>0</v>
      </c>
      <c r="U6" s="75">
        <f>SUMIFS('январь 2026'!$G$2:$G$2684,'январь 2026'!$D$2:$D$2684,$B6,'январь 2026'!$J$2:$J$2684,U$1)</f>
        <v>0</v>
      </c>
      <c r="V6" s="75">
        <f>SUMIFS('январь 2026'!$G$2:$G$2684,'январь 2026'!$D$2:$D$2684,$B6,'январь 2026'!$J$2:$J$2684,V$1)</f>
        <v>0</v>
      </c>
      <c r="W6" s="75">
        <f>SUMIFS('январь 2026'!$G$2:$G$2684,'январь 2026'!$D$2:$D$2684,$B6,'январь 2026'!$J$2:$J$2684,W$1)</f>
        <v>0</v>
      </c>
      <c r="X6" s="75">
        <f>SUMIFS('январь 2026'!$G$2:$G$2684,'январь 2026'!$D$2:$D$2684,$B6,'январь 2026'!$J$2:$J$2684,X$1)</f>
        <v>0</v>
      </c>
      <c r="Y6" s="75">
        <f>SUMIFS('январь 2026'!$G$2:$G$2684,'январь 2026'!$D$2:$D$2684,$B6,'январь 2026'!$J$2:$J$2684,Y$1)</f>
        <v>0</v>
      </c>
      <c r="Z6" s="75">
        <f>SUMIFS('январь 2026'!$G$2:$G$2684,'январь 2026'!$D$2:$D$2684,$B6,'январь 2026'!$J$2:$J$2684,Z$1)</f>
        <v>0</v>
      </c>
      <c r="AA6" s="75">
        <f>SUMIFS('январь 2026'!$G$2:$G$2684,'январь 2026'!$D$2:$D$2684,$B6,'январь 2026'!$J$2:$J$2684,AA$1)</f>
        <v>0</v>
      </c>
      <c r="AB6" s="75">
        <f>SUMIFS('январь 2026'!$G$2:$G$2684,'январь 2026'!$D$2:$D$2684,$B6,'январь 2026'!$J$2:$J$2684,AB$1)</f>
        <v>0</v>
      </c>
      <c r="AC6" s="75">
        <f>SUMIFS('январь 2026'!$G$2:$G$2684,'январь 2026'!$D$2:$D$2684,$B6,'январь 2026'!$J$2:$J$2684,AC$1)</f>
        <v>0</v>
      </c>
      <c r="AD6" s="75">
        <f>SUMIFS('январь 2026'!$G$2:$G$2684,'январь 2026'!$D$2:$D$2684,$B6,'январь 2026'!$J$2:$J$2684,AD$1)</f>
        <v>0</v>
      </c>
      <c r="AE6" s="75">
        <f>SUMIFS('январь 2026'!$G$2:$G$2684,'январь 2026'!$D$2:$D$2684,$B6,'январь 2026'!$J$2:$J$2684,AE$1)</f>
        <v>0</v>
      </c>
      <c r="AF6" s="75">
        <f>SUMIFS('январь 2026'!$G$2:$G$2684,'январь 2026'!$D$2:$D$2684,$B6,'январь 2026'!$J$2:$J$2684,AF$1)</f>
        <v>0</v>
      </c>
      <c r="AG6" s="75">
        <f>SUMIFS('январь 2026'!$G$2:$G$2684,'январь 2026'!$D$2:$D$2684,$B6,'январь 2026'!$J$2:$J$2684,AG$1)</f>
        <v>0</v>
      </c>
      <c r="AH6" s="75">
        <f>SUMIFS('январь 2026'!$G$2:$G$2684,'январь 2026'!$D$2:$D$2684,$B6,'январь 2026'!$J$2:$J$2684,AH$1)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SUMIFS('январь 2026'!$G$2:$G$2684,'январь 2026'!$D$2:$D$2684,$B7,'январь 2026'!$J$2:$J$2684,D$1)</f>
        <v>0</v>
      </c>
      <c r="E7" s="75">
        <f>SUMIFS('январь 2026'!$G$2:$G$2684,'январь 2026'!$D$2:$D$2684,$B7,'январь 2026'!$J$2:$J$2684,E$1)</f>
        <v>0</v>
      </c>
      <c r="F7" s="75">
        <f>SUMIFS('январь 2026'!$G$2:$G$2684,'январь 2026'!$D$2:$D$2684,$B7,'январь 2026'!$J$2:$J$2684,F$1)</f>
        <v>0</v>
      </c>
      <c r="G7" s="75">
        <f>SUMIFS('январь 2026'!$G$2:$G$2684,'январь 2026'!$D$2:$D$2684,$B7,'январь 2026'!$J$2:$J$2684,G$1)</f>
        <v>0</v>
      </c>
      <c r="H7" s="75">
        <f>SUMIFS('январь 2026'!$G$2:$G$2684,'январь 2026'!$D$2:$D$2684,$B7,'январь 2026'!$J$2:$J$2684,H$1)</f>
        <v>0</v>
      </c>
      <c r="I7" s="75">
        <f>SUMIFS('январь 2026'!$G$2:$G$2684,'январь 2026'!$D$2:$D$2684,$B7,'январь 2026'!$J$2:$J$2684,I$1)</f>
        <v>0</v>
      </c>
      <c r="J7" s="75">
        <f>SUMIFS('январь 2026'!$G$2:$G$2684,'январь 2026'!$D$2:$D$2684,$B7,'январь 2026'!$J$2:$J$2684,J$1)</f>
        <v>0</v>
      </c>
      <c r="K7" s="75">
        <f>SUMIFS('январь 2026'!$G$2:$G$2684,'январь 2026'!$D$2:$D$2684,$B7,'январь 2026'!$J$2:$J$2684,K$1)</f>
        <v>0</v>
      </c>
      <c r="L7" s="75">
        <f>SUMIFS('январь 2026'!$G$2:$G$2684,'январь 2026'!$D$2:$D$2684,$B7,'январь 2026'!$J$2:$J$2684,L$1)</f>
        <v>0</v>
      </c>
      <c r="M7" s="75">
        <f>SUMIFS('январь 2026'!$G$2:$G$2684,'январь 2026'!$D$2:$D$2684,$B7,'январь 2026'!$J$2:$J$2684,M$1)</f>
        <v>0</v>
      </c>
      <c r="N7" s="75">
        <f>SUMIFS('январь 2026'!$G$2:$G$2684,'январь 2026'!$D$2:$D$2684,$B7,'январь 2026'!$J$2:$J$2684,N$1)</f>
        <v>0</v>
      </c>
      <c r="O7" s="75">
        <f>SUMIFS('январь 2026'!$G$2:$G$2684,'январь 2026'!$D$2:$D$2684,$B7,'январь 2026'!$J$2:$J$2684,O$1)</f>
        <v>0</v>
      </c>
      <c r="P7" s="75">
        <f>SUMIFS('январь 2026'!$G$2:$G$2684,'январь 2026'!$D$2:$D$2684,$B7,'январь 2026'!$J$2:$J$2684,P$1)</f>
        <v>0</v>
      </c>
      <c r="Q7" s="75">
        <f>SUMIFS('январь 2026'!$G$2:$G$2684,'январь 2026'!$D$2:$D$2684,$B7,'январь 2026'!$J$2:$J$2684,Q$1)</f>
        <v>0</v>
      </c>
      <c r="R7" s="75">
        <f>SUMIFS('январь 2026'!$G$2:$G$2684,'январь 2026'!$D$2:$D$2684,$B7,'январь 2026'!$J$2:$J$2684,R$1)</f>
        <v>0</v>
      </c>
      <c r="S7" s="75">
        <f>SUMIFS('январь 2026'!$G$2:$G$2684,'январь 2026'!$D$2:$D$2684,$B7,'январь 2026'!$J$2:$J$2684,S$1)</f>
        <v>0</v>
      </c>
      <c r="T7" s="75">
        <f>SUMIFS('январь 2026'!$G$2:$G$2684,'январь 2026'!$D$2:$D$2684,$B7,'январь 2026'!$J$2:$J$2684,T$1)</f>
        <v>0</v>
      </c>
      <c r="U7" s="75">
        <f>SUMIFS('январь 2026'!$G$2:$G$2684,'январь 2026'!$D$2:$D$2684,$B7,'январь 2026'!$J$2:$J$2684,U$1)</f>
        <v>0</v>
      </c>
      <c r="V7" s="75">
        <f>SUMIFS('январь 2026'!$G$2:$G$2684,'январь 2026'!$D$2:$D$2684,$B7,'январь 2026'!$J$2:$J$2684,V$1)</f>
        <v>0</v>
      </c>
      <c r="W7" s="75">
        <f>SUMIFS('январь 2026'!$G$2:$G$2684,'январь 2026'!$D$2:$D$2684,$B7,'январь 2026'!$J$2:$J$2684,W$1)</f>
        <v>0</v>
      </c>
      <c r="X7" s="75">
        <f>SUMIFS('январь 2026'!$G$2:$G$2684,'январь 2026'!$D$2:$D$2684,$B7,'январь 2026'!$J$2:$J$2684,X$1)</f>
        <v>0</v>
      </c>
      <c r="Y7" s="75">
        <f>SUMIFS('январь 2026'!$G$2:$G$2684,'январь 2026'!$D$2:$D$2684,$B7,'январь 2026'!$J$2:$J$2684,Y$1)</f>
        <v>0</v>
      </c>
      <c r="Z7" s="75">
        <f>SUMIFS('январь 2026'!$G$2:$G$2684,'январь 2026'!$D$2:$D$2684,$B7,'январь 2026'!$J$2:$J$2684,Z$1)</f>
        <v>0</v>
      </c>
      <c r="AA7" s="75">
        <f>SUMIFS('январь 2026'!$G$2:$G$2684,'январь 2026'!$D$2:$D$2684,$B7,'январь 2026'!$J$2:$J$2684,AA$1)</f>
        <v>0</v>
      </c>
      <c r="AB7" s="75">
        <f>SUMIFS('январь 2026'!$G$2:$G$2684,'январь 2026'!$D$2:$D$2684,$B7,'январь 2026'!$J$2:$J$2684,AB$1)</f>
        <v>0</v>
      </c>
      <c r="AC7" s="75">
        <f>SUMIFS('январь 2026'!$G$2:$G$2684,'январь 2026'!$D$2:$D$2684,$B7,'январь 2026'!$J$2:$J$2684,AC$1)</f>
        <v>0</v>
      </c>
      <c r="AD7" s="75">
        <f>SUMIFS('январь 2026'!$G$2:$G$2684,'январь 2026'!$D$2:$D$2684,$B7,'январь 2026'!$J$2:$J$2684,AD$1)</f>
        <v>0</v>
      </c>
      <c r="AE7" s="75">
        <f>SUMIFS('январь 2026'!$G$2:$G$2684,'январь 2026'!$D$2:$D$2684,$B7,'январь 2026'!$J$2:$J$2684,AE$1)</f>
        <v>0</v>
      </c>
      <c r="AF7" s="75">
        <f>SUMIFS('январь 2026'!$G$2:$G$2684,'январь 2026'!$D$2:$D$2684,$B7,'январь 2026'!$J$2:$J$2684,AF$1)</f>
        <v>0</v>
      </c>
      <c r="AG7" s="75">
        <f>SUMIFS('январь 2026'!$G$2:$G$2684,'январь 2026'!$D$2:$D$2684,$B7,'январь 2026'!$J$2:$J$2684,AG$1)</f>
        <v>0</v>
      </c>
      <c r="AH7" s="75">
        <f>SUMIFS('январь 2026'!$G$2:$G$2684,'январь 2026'!$D$2:$D$2684,$B7,'январь 2026'!$J$2:$J$2684,AH$1)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SUMIFS('январь 2026'!$G$2:$G$2684,'январь 2026'!$D$2:$D$2684,$B8,'январь 2026'!$J$2:$J$2684,D$1)</f>
        <v>0</v>
      </c>
      <c r="E8" s="75">
        <f>SUMIFS('январь 2026'!$G$2:$G$2684,'январь 2026'!$D$2:$D$2684,$B8,'январь 2026'!$J$2:$J$2684,E$1)</f>
        <v>0</v>
      </c>
      <c r="F8" s="75">
        <f>SUMIFS('январь 2026'!$G$2:$G$2684,'январь 2026'!$D$2:$D$2684,$B8,'январь 2026'!$J$2:$J$2684,F$1)</f>
        <v>0</v>
      </c>
      <c r="G8" s="75">
        <f>SUMIFS('январь 2026'!$G$2:$G$2684,'январь 2026'!$D$2:$D$2684,$B8,'январь 2026'!$J$2:$J$2684,G$1)</f>
        <v>0</v>
      </c>
      <c r="H8" s="75">
        <f>SUMIFS('январь 2026'!$G$2:$G$2684,'январь 2026'!$D$2:$D$2684,$B8,'январь 2026'!$J$2:$J$2684,H$1)</f>
        <v>0</v>
      </c>
      <c r="I8" s="75">
        <f>SUMIFS('январь 2026'!$G$2:$G$2684,'январь 2026'!$D$2:$D$2684,$B8,'январь 2026'!$J$2:$J$2684,I$1)</f>
        <v>0</v>
      </c>
      <c r="J8" s="75">
        <f>SUMIFS('январь 2026'!$G$2:$G$2684,'январь 2026'!$D$2:$D$2684,$B8,'январь 2026'!$J$2:$J$2684,J$1)</f>
        <v>0</v>
      </c>
      <c r="K8" s="75">
        <f>SUMIFS('январь 2026'!$G$2:$G$2684,'январь 2026'!$D$2:$D$2684,$B8,'январь 2026'!$J$2:$J$2684,K$1)</f>
        <v>0</v>
      </c>
      <c r="L8" s="75">
        <f>SUMIFS('январь 2026'!$G$2:$G$2684,'январь 2026'!$D$2:$D$2684,$B8,'январь 2026'!$J$2:$J$2684,L$1)</f>
        <v>0</v>
      </c>
      <c r="M8" s="75">
        <f>SUMIFS('январь 2026'!$G$2:$G$2684,'январь 2026'!$D$2:$D$2684,$B8,'январь 2026'!$J$2:$J$2684,M$1)</f>
        <v>0</v>
      </c>
      <c r="N8" s="75">
        <f>SUMIFS('январь 2026'!$G$2:$G$2684,'январь 2026'!$D$2:$D$2684,$B8,'январь 2026'!$J$2:$J$2684,N$1)</f>
        <v>0</v>
      </c>
      <c r="O8" s="75">
        <f>SUMIFS('январь 2026'!$G$2:$G$2684,'январь 2026'!$D$2:$D$2684,$B8,'январь 2026'!$J$2:$J$2684,O$1)</f>
        <v>0</v>
      </c>
      <c r="P8" s="75">
        <f>SUMIFS('январь 2026'!$G$2:$G$2684,'январь 2026'!$D$2:$D$2684,$B8,'январь 2026'!$J$2:$J$2684,P$1)</f>
        <v>0</v>
      </c>
      <c r="Q8" s="75">
        <f>SUMIFS('январь 2026'!$G$2:$G$2684,'январь 2026'!$D$2:$D$2684,$B8,'январь 2026'!$J$2:$J$2684,Q$1)</f>
        <v>0</v>
      </c>
      <c r="R8" s="75">
        <f>SUMIFS('январь 2026'!$G$2:$G$2684,'январь 2026'!$D$2:$D$2684,$B8,'январь 2026'!$J$2:$J$2684,R$1)</f>
        <v>0</v>
      </c>
      <c r="S8" s="75">
        <f>SUMIFS('январь 2026'!$G$2:$G$2684,'январь 2026'!$D$2:$D$2684,$B8,'январь 2026'!$J$2:$J$2684,S$1)</f>
        <v>0</v>
      </c>
      <c r="T8" s="75">
        <f>SUMIFS('январь 2026'!$G$2:$G$2684,'январь 2026'!$D$2:$D$2684,$B8,'январь 2026'!$J$2:$J$2684,T$1)</f>
        <v>0</v>
      </c>
      <c r="U8" s="75">
        <f>SUMIFS('январь 2026'!$G$2:$G$2684,'январь 2026'!$D$2:$D$2684,$B8,'январь 2026'!$J$2:$J$2684,U$1)</f>
        <v>0</v>
      </c>
      <c r="V8" s="75">
        <f>SUMIFS('январь 2026'!$G$2:$G$2684,'январь 2026'!$D$2:$D$2684,$B8,'январь 2026'!$J$2:$J$2684,V$1)</f>
        <v>0</v>
      </c>
      <c r="W8" s="75">
        <f>SUMIFS('январь 2026'!$G$2:$G$2684,'январь 2026'!$D$2:$D$2684,$B8,'январь 2026'!$J$2:$J$2684,W$1)</f>
        <v>0</v>
      </c>
      <c r="X8" s="75">
        <f>SUMIFS('январь 2026'!$G$2:$G$2684,'январь 2026'!$D$2:$D$2684,$B8,'январь 2026'!$J$2:$J$2684,X$1)</f>
        <v>0</v>
      </c>
      <c r="Y8" s="75">
        <f>SUMIFS('январь 2026'!$G$2:$G$2684,'январь 2026'!$D$2:$D$2684,$B8,'январь 2026'!$J$2:$J$2684,Y$1)</f>
        <v>0</v>
      </c>
      <c r="Z8" s="75">
        <f>SUMIFS('январь 2026'!$G$2:$G$2684,'январь 2026'!$D$2:$D$2684,$B8,'январь 2026'!$J$2:$J$2684,Z$1)</f>
        <v>0</v>
      </c>
      <c r="AA8" s="75">
        <f>SUMIFS('январь 2026'!$G$2:$G$2684,'январь 2026'!$D$2:$D$2684,$B8,'январь 2026'!$J$2:$J$2684,AA$1)</f>
        <v>0</v>
      </c>
      <c r="AB8" s="75">
        <f>SUMIFS('январь 2026'!$G$2:$G$2684,'январь 2026'!$D$2:$D$2684,$B8,'январь 2026'!$J$2:$J$2684,AB$1)</f>
        <v>0</v>
      </c>
      <c r="AC8" s="75">
        <f>SUMIFS('январь 2026'!$G$2:$G$2684,'январь 2026'!$D$2:$D$2684,$B8,'январь 2026'!$J$2:$J$2684,AC$1)</f>
        <v>0</v>
      </c>
      <c r="AD8" s="75">
        <f>SUMIFS('январь 2026'!$G$2:$G$2684,'январь 2026'!$D$2:$D$2684,$B8,'январь 2026'!$J$2:$J$2684,AD$1)</f>
        <v>0</v>
      </c>
      <c r="AE8" s="75">
        <f>SUMIFS('январь 2026'!$G$2:$G$2684,'январь 2026'!$D$2:$D$2684,$B8,'январь 2026'!$J$2:$J$2684,AE$1)</f>
        <v>0</v>
      </c>
      <c r="AF8" s="75">
        <f>SUMIFS('январь 2026'!$G$2:$G$2684,'январь 2026'!$D$2:$D$2684,$B8,'январь 2026'!$J$2:$J$2684,AF$1)</f>
        <v>0</v>
      </c>
      <c r="AG8" s="75">
        <f>SUMIFS('январь 2026'!$G$2:$G$2684,'январь 2026'!$D$2:$D$2684,$B8,'январь 2026'!$J$2:$J$2684,AG$1)</f>
        <v>0</v>
      </c>
      <c r="AH8" s="75">
        <f>SUMIFS('январь 2026'!$G$2:$G$2684,'январь 2026'!$D$2:$D$2684,$B8,'январь 2026'!$J$2:$J$2684,AH$1)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SUMIFS('январь 2026'!$G$2:$G$2684,'январь 2026'!$D$2:$D$2684,$B9,'январь 2026'!$J$2:$J$2684,D$1)</f>
        <v>0</v>
      </c>
      <c r="E9" s="75">
        <f>SUMIFS('январь 2026'!$G$2:$G$2684,'январь 2026'!$D$2:$D$2684,$B9,'январь 2026'!$J$2:$J$2684,E$1)</f>
        <v>0</v>
      </c>
      <c r="F9" s="75">
        <f>SUMIFS('январь 2026'!$G$2:$G$2684,'январь 2026'!$D$2:$D$2684,$B9,'январь 2026'!$J$2:$J$2684,F$1)</f>
        <v>0</v>
      </c>
      <c r="G9" s="75">
        <f>SUMIFS('январь 2026'!$G$2:$G$2684,'январь 2026'!$D$2:$D$2684,$B9,'январь 2026'!$J$2:$J$2684,G$1)</f>
        <v>0</v>
      </c>
      <c r="H9" s="75">
        <f>SUMIFS('январь 2026'!$G$2:$G$2684,'январь 2026'!$D$2:$D$2684,$B9,'январь 2026'!$J$2:$J$2684,H$1)</f>
        <v>0</v>
      </c>
      <c r="I9" s="75">
        <f>SUMIFS('январь 2026'!$G$2:$G$2684,'январь 2026'!$D$2:$D$2684,$B9,'январь 2026'!$J$2:$J$2684,I$1)</f>
        <v>0</v>
      </c>
      <c r="J9" s="75">
        <f>SUMIFS('январь 2026'!$G$2:$G$2684,'январь 2026'!$D$2:$D$2684,$B9,'январь 2026'!$J$2:$J$2684,J$1)</f>
        <v>0</v>
      </c>
      <c r="K9" s="75">
        <f>SUMIFS('январь 2026'!$G$2:$G$2684,'январь 2026'!$D$2:$D$2684,$B9,'январь 2026'!$J$2:$J$2684,K$1)</f>
        <v>0</v>
      </c>
      <c r="L9" s="75">
        <f>SUMIFS('январь 2026'!$G$2:$G$2684,'январь 2026'!$D$2:$D$2684,$B9,'январь 2026'!$J$2:$J$2684,L$1)</f>
        <v>0</v>
      </c>
      <c r="M9" s="75">
        <f>SUMIFS('январь 2026'!$G$2:$G$2684,'январь 2026'!$D$2:$D$2684,$B9,'январь 2026'!$J$2:$J$2684,M$1)</f>
        <v>0</v>
      </c>
      <c r="N9" s="75">
        <f>SUMIFS('январь 2026'!$G$2:$G$2684,'январь 2026'!$D$2:$D$2684,$B9,'январь 2026'!$J$2:$J$2684,N$1)</f>
        <v>0</v>
      </c>
      <c r="O9" s="75">
        <f>SUMIFS('январь 2026'!$G$2:$G$2684,'январь 2026'!$D$2:$D$2684,$B9,'январь 2026'!$J$2:$J$2684,O$1)</f>
        <v>0</v>
      </c>
      <c r="P9" s="75">
        <f>SUMIFS('январь 2026'!$G$2:$G$2684,'январь 2026'!$D$2:$D$2684,$B9,'январь 2026'!$J$2:$J$2684,P$1)</f>
        <v>0</v>
      </c>
      <c r="Q9" s="75">
        <f>SUMIFS('январь 2026'!$G$2:$G$2684,'январь 2026'!$D$2:$D$2684,$B9,'январь 2026'!$J$2:$J$2684,Q$1)</f>
        <v>0</v>
      </c>
      <c r="R9" s="75">
        <f>SUMIFS('январь 2026'!$G$2:$G$2684,'январь 2026'!$D$2:$D$2684,$B9,'январь 2026'!$J$2:$J$2684,R$1)</f>
        <v>0</v>
      </c>
      <c r="S9" s="75">
        <f>SUMIFS('январь 2026'!$G$2:$G$2684,'январь 2026'!$D$2:$D$2684,$B9,'январь 2026'!$J$2:$J$2684,S$1)</f>
        <v>0</v>
      </c>
      <c r="T9" s="75">
        <f>SUMIFS('январь 2026'!$G$2:$G$2684,'январь 2026'!$D$2:$D$2684,$B9,'январь 2026'!$J$2:$J$2684,T$1)</f>
        <v>0</v>
      </c>
      <c r="U9" s="75">
        <f>SUMIFS('январь 2026'!$G$2:$G$2684,'январь 2026'!$D$2:$D$2684,$B9,'январь 2026'!$J$2:$J$2684,U$1)</f>
        <v>0</v>
      </c>
      <c r="V9" s="75">
        <f>SUMIFS('январь 2026'!$G$2:$G$2684,'январь 2026'!$D$2:$D$2684,$B9,'январь 2026'!$J$2:$J$2684,V$1)</f>
        <v>0</v>
      </c>
      <c r="W9" s="75">
        <f>SUMIFS('январь 2026'!$G$2:$G$2684,'январь 2026'!$D$2:$D$2684,$B9,'январь 2026'!$J$2:$J$2684,W$1)</f>
        <v>0</v>
      </c>
      <c r="X9" s="75">
        <f>SUMIFS('январь 2026'!$G$2:$G$2684,'январь 2026'!$D$2:$D$2684,$B9,'январь 2026'!$J$2:$J$2684,X$1)</f>
        <v>0</v>
      </c>
      <c r="Y9" s="75">
        <f>SUMIFS('январь 2026'!$G$2:$G$2684,'январь 2026'!$D$2:$D$2684,$B9,'январь 2026'!$J$2:$J$2684,Y$1)</f>
        <v>0</v>
      </c>
      <c r="Z9" s="75">
        <f>SUMIFS('январь 2026'!$G$2:$G$2684,'январь 2026'!$D$2:$D$2684,$B9,'январь 2026'!$J$2:$J$2684,Z$1)</f>
        <v>0</v>
      </c>
      <c r="AA9" s="75">
        <f>SUMIFS('январь 2026'!$G$2:$G$2684,'январь 2026'!$D$2:$D$2684,$B9,'январь 2026'!$J$2:$J$2684,AA$1)</f>
        <v>0</v>
      </c>
      <c r="AB9" s="75">
        <f>SUMIFS('январь 2026'!$G$2:$G$2684,'январь 2026'!$D$2:$D$2684,$B9,'январь 2026'!$J$2:$J$2684,AB$1)</f>
        <v>0</v>
      </c>
      <c r="AC9" s="75">
        <f>SUMIFS('январь 2026'!$G$2:$G$2684,'январь 2026'!$D$2:$D$2684,$B9,'январь 2026'!$J$2:$J$2684,AC$1)</f>
        <v>0</v>
      </c>
      <c r="AD9" s="75">
        <f>SUMIFS('январь 2026'!$G$2:$G$2684,'январь 2026'!$D$2:$D$2684,$B9,'январь 2026'!$J$2:$J$2684,AD$1)</f>
        <v>0</v>
      </c>
      <c r="AE9" s="75">
        <f>SUMIFS('январь 2026'!$G$2:$G$2684,'январь 2026'!$D$2:$D$2684,$B9,'январь 2026'!$J$2:$J$2684,AE$1)</f>
        <v>0</v>
      </c>
      <c r="AF9" s="75">
        <f>SUMIFS('январь 2026'!$G$2:$G$2684,'январь 2026'!$D$2:$D$2684,$B9,'январь 2026'!$J$2:$J$2684,AF$1)</f>
        <v>0</v>
      </c>
      <c r="AG9" s="75">
        <f>SUMIFS('январь 2026'!$G$2:$G$2684,'январь 2026'!$D$2:$D$2684,$B9,'январь 2026'!$J$2:$J$2684,AG$1)</f>
        <v>0</v>
      </c>
      <c r="AH9" s="75">
        <f>SUMIFS('январь 2026'!$G$2:$G$2684,'январь 2026'!$D$2:$D$2684,$B9,'январь 2026'!$J$2:$J$2684,AH$1)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SUMIFS('январь 2026'!$G$2:$G$2684,'январь 2026'!$D$2:$D$2684,$B10,'январь 2026'!$J$2:$J$2684,D$1)</f>
        <v>0</v>
      </c>
      <c r="E10" s="75">
        <f>SUMIFS('январь 2026'!$G$2:$G$2684,'январь 2026'!$D$2:$D$2684,$B10,'январь 2026'!$J$2:$J$2684,E$1)</f>
        <v>0</v>
      </c>
      <c r="F10" s="75">
        <f>SUMIFS('январь 2026'!$G$2:$G$2684,'январь 2026'!$D$2:$D$2684,$B10,'январь 2026'!$J$2:$J$2684,F$1)</f>
        <v>0</v>
      </c>
      <c r="G10" s="75">
        <f>SUMIFS('январь 2026'!$G$2:$G$2684,'январь 2026'!$D$2:$D$2684,$B10,'январь 2026'!$J$2:$J$2684,G$1)</f>
        <v>0</v>
      </c>
      <c r="H10" s="75">
        <f>SUMIFS('январь 2026'!$G$2:$G$2684,'январь 2026'!$D$2:$D$2684,$B10,'январь 2026'!$J$2:$J$2684,H$1)</f>
        <v>0</v>
      </c>
      <c r="I10" s="75">
        <f>SUMIFS('январь 2026'!$G$2:$G$2684,'январь 2026'!$D$2:$D$2684,$B10,'январь 2026'!$J$2:$J$2684,I$1)</f>
        <v>0</v>
      </c>
      <c r="J10" s="75">
        <f>SUMIFS('январь 2026'!$G$2:$G$2684,'январь 2026'!$D$2:$D$2684,$B10,'январь 2026'!$J$2:$J$2684,J$1)</f>
        <v>0</v>
      </c>
      <c r="K10" s="75">
        <f>SUMIFS('январь 2026'!$G$2:$G$2684,'январь 2026'!$D$2:$D$2684,$B10,'январь 2026'!$J$2:$J$2684,K$1)</f>
        <v>0</v>
      </c>
      <c r="L10" s="75">
        <f>SUMIFS('январь 2026'!$G$2:$G$2684,'январь 2026'!$D$2:$D$2684,$B10,'январь 2026'!$J$2:$J$2684,L$1)</f>
        <v>0</v>
      </c>
      <c r="M10" s="75">
        <f>SUMIFS('январь 2026'!$G$2:$G$2684,'январь 2026'!$D$2:$D$2684,$B10,'январь 2026'!$J$2:$J$2684,M$1)</f>
        <v>0</v>
      </c>
      <c r="N10" s="75">
        <f>SUMIFS('январь 2026'!$G$2:$G$2684,'январь 2026'!$D$2:$D$2684,$B10,'январь 2026'!$J$2:$J$2684,N$1)</f>
        <v>0</v>
      </c>
      <c r="O10" s="75">
        <f>SUMIFS('январь 2026'!$G$2:$G$2684,'январь 2026'!$D$2:$D$2684,$B10,'январь 2026'!$J$2:$J$2684,O$1)</f>
        <v>0</v>
      </c>
      <c r="P10" s="75">
        <f>SUMIFS('январь 2026'!$G$2:$G$2684,'январь 2026'!$D$2:$D$2684,$B10,'январь 2026'!$J$2:$J$2684,P$1)</f>
        <v>0</v>
      </c>
      <c r="Q10" s="75">
        <f>SUMIFS('январь 2026'!$G$2:$G$2684,'январь 2026'!$D$2:$D$2684,$B10,'январь 2026'!$J$2:$J$2684,Q$1)</f>
        <v>0</v>
      </c>
      <c r="R10" s="75">
        <f>SUMIFS('январь 2026'!$G$2:$G$2684,'январь 2026'!$D$2:$D$2684,$B10,'январь 2026'!$J$2:$J$2684,R$1)</f>
        <v>0</v>
      </c>
      <c r="S10" s="75">
        <f>SUMIFS('январь 2026'!$G$2:$G$2684,'январь 2026'!$D$2:$D$2684,$B10,'январь 2026'!$J$2:$J$2684,S$1)</f>
        <v>0</v>
      </c>
      <c r="T10" s="75">
        <f>SUMIFS('январь 2026'!$G$2:$G$2684,'январь 2026'!$D$2:$D$2684,$B10,'январь 2026'!$J$2:$J$2684,T$1)</f>
        <v>0</v>
      </c>
      <c r="U10" s="75">
        <f>SUMIFS('январь 2026'!$G$2:$G$2684,'январь 2026'!$D$2:$D$2684,$B10,'январь 2026'!$J$2:$J$2684,U$1)</f>
        <v>0</v>
      </c>
      <c r="V10" s="75">
        <f>SUMIFS('январь 2026'!$G$2:$G$2684,'январь 2026'!$D$2:$D$2684,$B10,'январь 2026'!$J$2:$J$2684,V$1)</f>
        <v>0</v>
      </c>
      <c r="W10" s="75">
        <f>SUMIFS('январь 2026'!$G$2:$G$2684,'январь 2026'!$D$2:$D$2684,$B10,'январь 2026'!$J$2:$J$2684,W$1)</f>
        <v>0</v>
      </c>
      <c r="X10" s="75">
        <f>SUMIFS('январь 2026'!$G$2:$G$2684,'январь 2026'!$D$2:$D$2684,$B10,'январь 2026'!$J$2:$J$2684,X$1)</f>
        <v>0</v>
      </c>
      <c r="Y10" s="75">
        <f>SUMIFS('январь 2026'!$G$2:$G$2684,'январь 2026'!$D$2:$D$2684,$B10,'январь 2026'!$J$2:$J$2684,Y$1)</f>
        <v>0</v>
      </c>
      <c r="Z10" s="75">
        <f>SUMIFS('январь 2026'!$G$2:$G$2684,'январь 2026'!$D$2:$D$2684,$B10,'январь 2026'!$J$2:$J$2684,Z$1)</f>
        <v>0</v>
      </c>
      <c r="AA10" s="75">
        <f>SUMIFS('январь 2026'!$G$2:$G$2684,'январь 2026'!$D$2:$D$2684,$B10,'январь 2026'!$J$2:$J$2684,AA$1)</f>
        <v>0</v>
      </c>
      <c r="AB10" s="75">
        <f>SUMIFS('январь 2026'!$G$2:$G$2684,'январь 2026'!$D$2:$D$2684,$B10,'январь 2026'!$J$2:$J$2684,AB$1)</f>
        <v>0</v>
      </c>
      <c r="AC10" s="75">
        <f>SUMIFS('январь 2026'!$G$2:$G$2684,'январь 2026'!$D$2:$D$2684,$B10,'январь 2026'!$J$2:$J$2684,AC$1)</f>
        <v>0</v>
      </c>
      <c r="AD10" s="75">
        <f>SUMIFS('январь 2026'!$G$2:$G$2684,'январь 2026'!$D$2:$D$2684,$B10,'январь 2026'!$J$2:$J$2684,AD$1)</f>
        <v>0</v>
      </c>
      <c r="AE10" s="75">
        <f>SUMIFS('январь 2026'!$G$2:$G$2684,'январь 2026'!$D$2:$D$2684,$B10,'январь 2026'!$J$2:$J$2684,AE$1)</f>
        <v>0</v>
      </c>
      <c r="AF10" s="75">
        <f>SUMIFS('январь 2026'!$G$2:$G$2684,'январь 2026'!$D$2:$D$2684,$B10,'январь 2026'!$J$2:$J$2684,AF$1)</f>
        <v>0</v>
      </c>
      <c r="AG10" s="75">
        <f>SUMIFS('январь 2026'!$G$2:$G$2684,'январь 2026'!$D$2:$D$2684,$B10,'январь 2026'!$J$2:$J$2684,AG$1)</f>
        <v>0</v>
      </c>
      <c r="AH10" s="75">
        <f>SUMIFS('январь 2026'!$G$2:$G$2684,'январь 2026'!$D$2:$D$2684,$B10,'январь 2026'!$J$2:$J$2684,AH$1)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SUMIFS('январь 2026'!$G$2:$G$2684,'январь 2026'!$D$2:$D$2684,$B11,'январь 2026'!$J$2:$J$2684,D$1)</f>
        <v>0</v>
      </c>
      <c r="E11" s="75">
        <f>SUMIFS('январь 2026'!$G$2:$G$2684,'январь 2026'!$D$2:$D$2684,$B11,'январь 2026'!$J$2:$J$2684,E$1)</f>
        <v>0</v>
      </c>
      <c r="F11" s="75">
        <f>SUMIFS('январь 2026'!$G$2:$G$2684,'январь 2026'!$D$2:$D$2684,$B11,'январь 2026'!$J$2:$J$2684,F$1)</f>
        <v>0</v>
      </c>
      <c r="G11" s="75">
        <f>SUMIFS('январь 2026'!$G$2:$G$2684,'январь 2026'!$D$2:$D$2684,$B11,'январь 2026'!$J$2:$J$2684,G$1)</f>
        <v>0</v>
      </c>
      <c r="H11" s="75">
        <f>SUMIFS('январь 2026'!$G$2:$G$2684,'январь 2026'!$D$2:$D$2684,$B11,'январь 2026'!$J$2:$J$2684,H$1)</f>
        <v>0</v>
      </c>
      <c r="I11" s="75">
        <f>SUMIFS('январь 2026'!$G$2:$G$2684,'январь 2026'!$D$2:$D$2684,$B11,'январь 2026'!$J$2:$J$2684,I$1)</f>
        <v>0</v>
      </c>
      <c r="J11" s="75">
        <f>SUMIFS('январь 2026'!$G$2:$G$2684,'январь 2026'!$D$2:$D$2684,$B11,'январь 2026'!$J$2:$J$2684,J$1)</f>
        <v>0</v>
      </c>
      <c r="K11" s="75">
        <f>SUMIFS('январь 2026'!$G$2:$G$2684,'январь 2026'!$D$2:$D$2684,$B11,'январь 2026'!$J$2:$J$2684,K$1)</f>
        <v>0</v>
      </c>
      <c r="L11" s="75">
        <f>SUMIFS('январь 2026'!$G$2:$G$2684,'январь 2026'!$D$2:$D$2684,$B11,'январь 2026'!$J$2:$J$2684,L$1)</f>
        <v>0</v>
      </c>
      <c r="M11" s="75">
        <f>SUMIFS('январь 2026'!$G$2:$G$2684,'январь 2026'!$D$2:$D$2684,$B11,'январь 2026'!$J$2:$J$2684,M$1)</f>
        <v>0</v>
      </c>
      <c r="N11" s="75">
        <f>SUMIFS('январь 2026'!$G$2:$G$2684,'январь 2026'!$D$2:$D$2684,$B11,'январь 2026'!$J$2:$J$2684,N$1)</f>
        <v>0</v>
      </c>
      <c r="O11" s="75">
        <f>SUMIFS('январь 2026'!$G$2:$G$2684,'январь 2026'!$D$2:$D$2684,$B11,'январь 2026'!$J$2:$J$2684,O$1)</f>
        <v>2400</v>
      </c>
      <c r="P11" s="75">
        <f>SUMIFS('январь 2026'!$G$2:$G$2684,'январь 2026'!$D$2:$D$2684,$B11,'январь 2026'!$J$2:$J$2684,P$1)</f>
        <v>0</v>
      </c>
      <c r="Q11" s="75">
        <f>SUMIFS('январь 2026'!$G$2:$G$2684,'январь 2026'!$D$2:$D$2684,$B11,'январь 2026'!$J$2:$J$2684,Q$1)</f>
        <v>0</v>
      </c>
      <c r="R11" s="75">
        <f>SUMIFS('январь 2026'!$G$2:$G$2684,'январь 2026'!$D$2:$D$2684,$B11,'январь 2026'!$J$2:$J$2684,R$1)</f>
        <v>0</v>
      </c>
      <c r="S11" s="75">
        <f>SUMIFS('январь 2026'!$G$2:$G$2684,'январь 2026'!$D$2:$D$2684,$B11,'январь 2026'!$J$2:$J$2684,S$1)</f>
        <v>0</v>
      </c>
      <c r="T11" s="75">
        <f>SUMIFS('январь 2026'!$G$2:$G$2684,'январь 2026'!$D$2:$D$2684,$B11,'январь 2026'!$J$2:$J$2684,T$1)</f>
        <v>0</v>
      </c>
      <c r="U11" s="75">
        <f>SUMIFS('январь 2026'!$G$2:$G$2684,'январь 2026'!$D$2:$D$2684,$B11,'январь 2026'!$J$2:$J$2684,U$1)</f>
        <v>0</v>
      </c>
      <c r="V11" s="75">
        <f>SUMIFS('январь 2026'!$G$2:$G$2684,'январь 2026'!$D$2:$D$2684,$B11,'январь 2026'!$J$2:$J$2684,V$1)</f>
        <v>800</v>
      </c>
      <c r="W11" s="75">
        <f>SUMIFS('январь 2026'!$G$2:$G$2684,'январь 2026'!$D$2:$D$2684,$B11,'январь 2026'!$J$2:$J$2684,W$1)</f>
        <v>0</v>
      </c>
      <c r="X11" s="75">
        <f>SUMIFS('январь 2026'!$G$2:$G$2684,'январь 2026'!$D$2:$D$2684,$B11,'январь 2026'!$J$2:$J$2684,X$1)</f>
        <v>0</v>
      </c>
      <c r="Y11" s="75">
        <f>SUMIFS('январь 2026'!$G$2:$G$2684,'январь 2026'!$D$2:$D$2684,$B11,'январь 2026'!$J$2:$J$2684,Y$1)</f>
        <v>0</v>
      </c>
      <c r="Z11" s="75">
        <f>SUMIFS('январь 2026'!$G$2:$G$2684,'январь 2026'!$D$2:$D$2684,$B11,'январь 2026'!$J$2:$J$2684,Z$1)</f>
        <v>0</v>
      </c>
      <c r="AA11" s="75">
        <f>SUMIFS('январь 2026'!$G$2:$G$2684,'январь 2026'!$D$2:$D$2684,$B11,'январь 2026'!$J$2:$J$2684,AA$1)</f>
        <v>0</v>
      </c>
      <c r="AB11" s="75">
        <f>SUMIFS('январь 2026'!$G$2:$G$2684,'январь 2026'!$D$2:$D$2684,$B11,'январь 2026'!$J$2:$J$2684,AB$1)</f>
        <v>0</v>
      </c>
      <c r="AC11" s="75">
        <f>SUMIFS('январь 2026'!$G$2:$G$2684,'январь 2026'!$D$2:$D$2684,$B11,'январь 2026'!$J$2:$J$2684,AC$1)</f>
        <v>0</v>
      </c>
      <c r="AD11" s="75">
        <f>SUMIFS('январь 2026'!$G$2:$G$2684,'январь 2026'!$D$2:$D$2684,$B11,'январь 2026'!$J$2:$J$2684,AD$1)</f>
        <v>0</v>
      </c>
      <c r="AE11" s="75">
        <f>SUMIFS('январь 2026'!$G$2:$G$2684,'январь 2026'!$D$2:$D$2684,$B11,'январь 2026'!$J$2:$J$2684,AE$1)</f>
        <v>800</v>
      </c>
      <c r="AF11" s="75">
        <f>SUMIFS('январь 2026'!$G$2:$G$2684,'январь 2026'!$D$2:$D$2684,$B11,'январь 2026'!$J$2:$J$2684,AF$1)</f>
        <v>160</v>
      </c>
      <c r="AG11" s="75">
        <f>SUMIFS('январь 2026'!$G$2:$G$2684,'январь 2026'!$D$2:$D$2684,$B11,'январь 2026'!$J$2:$J$2684,AG$1)</f>
        <v>640</v>
      </c>
      <c r="AH11" s="75">
        <f>SUMIFS('январь 2026'!$G$2:$G$2684,'январь 2026'!$D$2:$D$2684,$B11,'январь 2026'!$J$2:$J$2684,AH$1)</f>
        <v>0</v>
      </c>
      <c r="AI11" s="20">
        <f t="shared" si="1"/>
        <v>4800</v>
      </c>
    </row>
    <row r="12" spans="2:35" ht="15" customHeight="1" x14ac:dyDescent="0.25">
      <c r="B12" s="79" t="s">
        <v>224</v>
      </c>
      <c r="C12" s="80">
        <v>22.68</v>
      </c>
      <c r="D12" s="75">
        <f>SUMIFS('январь 2026'!$G$2:$G$2684,'январь 2026'!$D$2:$D$2684,$B12,'январь 2026'!$J$2:$J$2684,D$1)</f>
        <v>0</v>
      </c>
      <c r="E12" s="75">
        <f>SUMIFS('январь 2026'!$G$2:$G$2684,'январь 2026'!$D$2:$D$2684,$B12,'январь 2026'!$J$2:$J$2684,E$1)</f>
        <v>0</v>
      </c>
      <c r="F12" s="75">
        <f>SUMIFS('январь 2026'!$G$2:$G$2684,'январь 2026'!$D$2:$D$2684,$B12,'январь 2026'!$J$2:$J$2684,F$1)</f>
        <v>0</v>
      </c>
      <c r="G12" s="75">
        <f>SUMIFS('январь 2026'!$G$2:$G$2684,'январь 2026'!$D$2:$D$2684,$B12,'январь 2026'!$J$2:$J$2684,G$1)</f>
        <v>0</v>
      </c>
      <c r="H12" s="75">
        <f>SUMIFS('январь 2026'!$G$2:$G$2684,'январь 2026'!$D$2:$D$2684,$B12,'январь 2026'!$J$2:$J$2684,H$1)</f>
        <v>0</v>
      </c>
      <c r="I12" s="75">
        <f>SUMIFS('январь 2026'!$G$2:$G$2684,'январь 2026'!$D$2:$D$2684,$B12,'январь 2026'!$J$2:$J$2684,I$1)</f>
        <v>0</v>
      </c>
      <c r="J12" s="75">
        <f>SUMIFS('январь 2026'!$G$2:$G$2684,'январь 2026'!$D$2:$D$2684,$B12,'январь 2026'!$J$2:$J$2684,J$1)</f>
        <v>0</v>
      </c>
      <c r="K12" s="75">
        <f>SUMIFS('январь 2026'!$G$2:$G$2684,'январь 2026'!$D$2:$D$2684,$B12,'январь 2026'!$J$2:$J$2684,K$1)</f>
        <v>0</v>
      </c>
      <c r="L12" s="75">
        <f>SUMIFS('январь 2026'!$G$2:$G$2684,'январь 2026'!$D$2:$D$2684,$B12,'январь 2026'!$J$2:$J$2684,L$1)</f>
        <v>0</v>
      </c>
      <c r="M12" s="75">
        <f>SUMIFS('январь 2026'!$G$2:$G$2684,'январь 2026'!$D$2:$D$2684,$B12,'январь 2026'!$J$2:$J$2684,M$1)</f>
        <v>0</v>
      </c>
      <c r="N12" s="75">
        <f>SUMIFS('январь 2026'!$G$2:$G$2684,'январь 2026'!$D$2:$D$2684,$B12,'январь 2026'!$J$2:$J$2684,N$1)</f>
        <v>0</v>
      </c>
      <c r="O12" s="75">
        <f>SUMIFS('январь 2026'!$G$2:$G$2684,'январь 2026'!$D$2:$D$2684,$B12,'январь 2026'!$J$2:$J$2684,O$1)</f>
        <v>0</v>
      </c>
      <c r="P12" s="75">
        <f>SUMIFS('январь 2026'!$G$2:$G$2684,'январь 2026'!$D$2:$D$2684,$B12,'январь 2026'!$J$2:$J$2684,P$1)</f>
        <v>0</v>
      </c>
      <c r="Q12" s="75">
        <f>SUMIFS('январь 2026'!$G$2:$G$2684,'январь 2026'!$D$2:$D$2684,$B12,'январь 2026'!$J$2:$J$2684,Q$1)</f>
        <v>0</v>
      </c>
      <c r="R12" s="75">
        <f>SUMIFS('январь 2026'!$G$2:$G$2684,'январь 2026'!$D$2:$D$2684,$B12,'январь 2026'!$J$2:$J$2684,R$1)</f>
        <v>0</v>
      </c>
      <c r="S12" s="75">
        <f>SUMIFS('январь 2026'!$G$2:$G$2684,'январь 2026'!$D$2:$D$2684,$B12,'январь 2026'!$J$2:$J$2684,S$1)</f>
        <v>0</v>
      </c>
      <c r="T12" s="75">
        <f>SUMIFS('январь 2026'!$G$2:$G$2684,'январь 2026'!$D$2:$D$2684,$B12,'январь 2026'!$J$2:$J$2684,T$1)</f>
        <v>0</v>
      </c>
      <c r="U12" s="75">
        <f>SUMIFS('январь 2026'!$G$2:$G$2684,'январь 2026'!$D$2:$D$2684,$B12,'январь 2026'!$J$2:$J$2684,U$1)</f>
        <v>0</v>
      </c>
      <c r="V12" s="75">
        <f>SUMIFS('январь 2026'!$G$2:$G$2684,'январь 2026'!$D$2:$D$2684,$B12,'январь 2026'!$J$2:$J$2684,V$1)</f>
        <v>0</v>
      </c>
      <c r="W12" s="75">
        <f>SUMIFS('январь 2026'!$G$2:$G$2684,'январь 2026'!$D$2:$D$2684,$B12,'январь 2026'!$J$2:$J$2684,W$1)</f>
        <v>0</v>
      </c>
      <c r="X12" s="75">
        <f>SUMIFS('январь 2026'!$G$2:$G$2684,'январь 2026'!$D$2:$D$2684,$B12,'январь 2026'!$J$2:$J$2684,X$1)</f>
        <v>0</v>
      </c>
      <c r="Y12" s="75">
        <f>SUMIFS('январь 2026'!$G$2:$G$2684,'январь 2026'!$D$2:$D$2684,$B12,'январь 2026'!$J$2:$J$2684,Y$1)</f>
        <v>0</v>
      </c>
      <c r="Z12" s="75">
        <f>SUMIFS('январь 2026'!$G$2:$G$2684,'январь 2026'!$D$2:$D$2684,$B12,'январь 2026'!$J$2:$J$2684,Z$1)</f>
        <v>0</v>
      </c>
      <c r="AA12" s="75">
        <f>SUMIFS('январь 2026'!$G$2:$G$2684,'январь 2026'!$D$2:$D$2684,$B12,'январь 2026'!$J$2:$J$2684,AA$1)</f>
        <v>0</v>
      </c>
      <c r="AB12" s="75">
        <f>SUMIFS('январь 2026'!$G$2:$G$2684,'январь 2026'!$D$2:$D$2684,$B12,'январь 2026'!$J$2:$J$2684,AB$1)</f>
        <v>0</v>
      </c>
      <c r="AC12" s="75">
        <f>SUMIFS('январь 2026'!$G$2:$G$2684,'январь 2026'!$D$2:$D$2684,$B12,'январь 2026'!$J$2:$J$2684,AC$1)</f>
        <v>0</v>
      </c>
      <c r="AD12" s="75">
        <f>SUMIFS('январь 2026'!$G$2:$G$2684,'январь 2026'!$D$2:$D$2684,$B12,'январь 2026'!$J$2:$J$2684,AD$1)</f>
        <v>0</v>
      </c>
      <c r="AE12" s="75">
        <f>SUMIFS('январь 2026'!$G$2:$G$2684,'январь 2026'!$D$2:$D$2684,$B12,'январь 2026'!$J$2:$J$2684,AE$1)</f>
        <v>0</v>
      </c>
      <c r="AF12" s="75">
        <f>SUMIFS('январь 2026'!$G$2:$G$2684,'январь 2026'!$D$2:$D$2684,$B12,'январь 2026'!$J$2:$J$2684,AF$1)</f>
        <v>0</v>
      </c>
      <c r="AG12" s="75">
        <f>SUMIFS('январь 2026'!$G$2:$G$2684,'январь 2026'!$D$2:$D$2684,$B12,'январь 2026'!$J$2:$J$2684,AG$1)</f>
        <v>0</v>
      </c>
      <c r="AH12" s="75">
        <f>SUMIFS('январь 2026'!$G$2:$G$2684,'январь 2026'!$D$2:$D$2684,$B12,'январь 2026'!$J$2:$J$2684,AH$1)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SUMIFS('январь 2026'!$G$2:$G$2684,'январь 2026'!$D$2:$D$2684,$B13,'январь 2026'!$J$2:$J$2684,D$1)</f>
        <v>0</v>
      </c>
      <c r="E13" s="75">
        <f>SUMIFS('январь 2026'!$G$2:$G$2684,'январь 2026'!$D$2:$D$2684,$B13,'январь 2026'!$J$2:$J$2684,E$1)</f>
        <v>0</v>
      </c>
      <c r="F13" s="75">
        <f>SUMIFS('январь 2026'!$G$2:$G$2684,'январь 2026'!$D$2:$D$2684,$B13,'январь 2026'!$J$2:$J$2684,F$1)</f>
        <v>0</v>
      </c>
      <c r="G13" s="75">
        <f>SUMIFS('январь 2026'!$G$2:$G$2684,'январь 2026'!$D$2:$D$2684,$B13,'январь 2026'!$J$2:$J$2684,G$1)</f>
        <v>0</v>
      </c>
      <c r="H13" s="75">
        <f>SUMIFS('январь 2026'!$G$2:$G$2684,'январь 2026'!$D$2:$D$2684,$B13,'январь 2026'!$J$2:$J$2684,H$1)</f>
        <v>0</v>
      </c>
      <c r="I13" s="75">
        <f>SUMIFS('январь 2026'!$G$2:$G$2684,'январь 2026'!$D$2:$D$2684,$B13,'январь 2026'!$J$2:$J$2684,I$1)</f>
        <v>0</v>
      </c>
      <c r="J13" s="75">
        <f>SUMIFS('январь 2026'!$G$2:$G$2684,'январь 2026'!$D$2:$D$2684,$B13,'январь 2026'!$J$2:$J$2684,J$1)</f>
        <v>0</v>
      </c>
      <c r="K13" s="75">
        <f>SUMIFS('январь 2026'!$G$2:$G$2684,'январь 2026'!$D$2:$D$2684,$B13,'январь 2026'!$J$2:$J$2684,K$1)</f>
        <v>0</v>
      </c>
      <c r="L13" s="75">
        <f>SUMIFS('январь 2026'!$G$2:$G$2684,'январь 2026'!$D$2:$D$2684,$B13,'январь 2026'!$J$2:$J$2684,L$1)</f>
        <v>0</v>
      </c>
      <c r="M13" s="75">
        <f>SUMIFS('январь 2026'!$G$2:$G$2684,'январь 2026'!$D$2:$D$2684,$B13,'январь 2026'!$J$2:$J$2684,M$1)</f>
        <v>0</v>
      </c>
      <c r="N13" s="75">
        <f>SUMIFS('январь 2026'!$G$2:$G$2684,'январь 2026'!$D$2:$D$2684,$B13,'январь 2026'!$J$2:$J$2684,N$1)</f>
        <v>0</v>
      </c>
      <c r="O13" s="75">
        <f>SUMIFS('январь 2026'!$G$2:$G$2684,'январь 2026'!$D$2:$D$2684,$B13,'январь 2026'!$J$2:$J$2684,O$1)</f>
        <v>0</v>
      </c>
      <c r="P13" s="75">
        <f>SUMIFS('январь 2026'!$G$2:$G$2684,'январь 2026'!$D$2:$D$2684,$B13,'январь 2026'!$J$2:$J$2684,P$1)</f>
        <v>0</v>
      </c>
      <c r="Q13" s="75">
        <f>SUMIFS('январь 2026'!$G$2:$G$2684,'январь 2026'!$D$2:$D$2684,$B13,'январь 2026'!$J$2:$J$2684,Q$1)</f>
        <v>0</v>
      </c>
      <c r="R13" s="75">
        <f>SUMIFS('январь 2026'!$G$2:$G$2684,'январь 2026'!$D$2:$D$2684,$B13,'январь 2026'!$J$2:$J$2684,R$1)</f>
        <v>0</v>
      </c>
      <c r="S13" s="75">
        <f>SUMIFS('январь 2026'!$G$2:$G$2684,'январь 2026'!$D$2:$D$2684,$B13,'январь 2026'!$J$2:$J$2684,S$1)</f>
        <v>0</v>
      </c>
      <c r="T13" s="75">
        <f>SUMIFS('январь 2026'!$G$2:$G$2684,'январь 2026'!$D$2:$D$2684,$B13,'январь 2026'!$J$2:$J$2684,T$1)</f>
        <v>0</v>
      </c>
      <c r="U13" s="75">
        <f>SUMIFS('январь 2026'!$G$2:$G$2684,'январь 2026'!$D$2:$D$2684,$B13,'январь 2026'!$J$2:$J$2684,U$1)</f>
        <v>0</v>
      </c>
      <c r="V13" s="75">
        <f>SUMIFS('январь 2026'!$G$2:$G$2684,'январь 2026'!$D$2:$D$2684,$B13,'январь 2026'!$J$2:$J$2684,V$1)</f>
        <v>0</v>
      </c>
      <c r="W13" s="75">
        <f>SUMIFS('январь 2026'!$G$2:$G$2684,'январь 2026'!$D$2:$D$2684,$B13,'январь 2026'!$J$2:$J$2684,W$1)</f>
        <v>0</v>
      </c>
      <c r="X13" s="75">
        <f>SUMIFS('январь 2026'!$G$2:$G$2684,'январь 2026'!$D$2:$D$2684,$B13,'январь 2026'!$J$2:$J$2684,X$1)</f>
        <v>0</v>
      </c>
      <c r="Y13" s="75">
        <f>SUMIFS('январь 2026'!$G$2:$G$2684,'январь 2026'!$D$2:$D$2684,$B13,'январь 2026'!$J$2:$J$2684,Y$1)</f>
        <v>0</v>
      </c>
      <c r="Z13" s="75">
        <f>SUMIFS('январь 2026'!$G$2:$G$2684,'январь 2026'!$D$2:$D$2684,$B13,'январь 2026'!$J$2:$J$2684,Z$1)</f>
        <v>0</v>
      </c>
      <c r="AA13" s="75">
        <f>SUMIFS('январь 2026'!$G$2:$G$2684,'январь 2026'!$D$2:$D$2684,$B13,'январь 2026'!$J$2:$J$2684,AA$1)</f>
        <v>0</v>
      </c>
      <c r="AB13" s="75">
        <f>SUMIFS('январь 2026'!$G$2:$G$2684,'январь 2026'!$D$2:$D$2684,$B13,'январь 2026'!$J$2:$J$2684,AB$1)</f>
        <v>0</v>
      </c>
      <c r="AC13" s="75">
        <f>SUMIFS('январь 2026'!$G$2:$G$2684,'январь 2026'!$D$2:$D$2684,$B13,'январь 2026'!$J$2:$J$2684,AC$1)</f>
        <v>0</v>
      </c>
      <c r="AD13" s="75">
        <f>SUMIFS('январь 2026'!$G$2:$G$2684,'январь 2026'!$D$2:$D$2684,$B13,'январь 2026'!$J$2:$J$2684,AD$1)</f>
        <v>0</v>
      </c>
      <c r="AE13" s="75">
        <f>SUMIFS('январь 2026'!$G$2:$G$2684,'январь 2026'!$D$2:$D$2684,$B13,'январь 2026'!$J$2:$J$2684,AE$1)</f>
        <v>0</v>
      </c>
      <c r="AF13" s="75">
        <f>SUMIFS('январь 2026'!$G$2:$G$2684,'январь 2026'!$D$2:$D$2684,$B13,'январь 2026'!$J$2:$J$2684,AF$1)</f>
        <v>0</v>
      </c>
      <c r="AG13" s="75">
        <f>SUMIFS('январь 2026'!$G$2:$G$2684,'январь 2026'!$D$2:$D$2684,$B13,'январь 2026'!$J$2:$J$2684,AG$1)</f>
        <v>0</v>
      </c>
      <c r="AH13" s="75">
        <f>SUMIFS('январь 2026'!$G$2:$G$2684,'январь 2026'!$D$2:$D$2684,$B13,'январь 2026'!$J$2:$J$2684,AH$1)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SUMIFS('январь 2026'!$G$2:$G$2684,'январь 2026'!$D$2:$D$2684,$B14,'январь 2026'!$J$2:$J$2684,D$1)</f>
        <v>0</v>
      </c>
      <c r="E14" s="75">
        <f>SUMIFS('январь 2026'!$G$2:$G$2684,'январь 2026'!$D$2:$D$2684,$B14,'январь 2026'!$J$2:$J$2684,E$1)</f>
        <v>0</v>
      </c>
      <c r="F14" s="75">
        <f>SUMIFS('январь 2026'!$G$2:$G$2684,'январь 2026'!$D$2:$D$2684,$B14,'январь 2026'!$J$2:$J$2684,F$1)</f>
        <v>0</v>
      </c>
      <c r="G14" s="75">
        <f>SUMIFS('январь 2026'!$G$2:$G$2684,'январь 2026'!$D$2:$D$2684,$B14,'январь 2026'!$J$2:$J$2684,G$1)</f>
        <v>0</v>
      </c>
      <c r="H14" s="75">
        <f>SUMIFS('январь 2026'!$G$2:$G$2684,'январь 2026'!$D$2:$D$2684,$B14,'январь 2026'!$J$2:$J$2684,H$1)</f>
        <v>0</v>
      </c>
      <c r="I14" s="75">
        <f>SUMIFS('январь 2026'!$G$2:$G$2684,'январь 2026'!$D$2:$D$2684,$B14,'январь 2026'!$J$2:$J$2684,I$1)</f>
        <v>0</v>
      </c>
      <c r="J14" s="75">
        <f>SUMIFS('январь 2026'!$G$2:$G$2684,'январь 2026'!$D$2:$D$2684,$B14,'январь 2026'!$J$2:$J$2684,J$1)</f>
        <v>0</v>
      </c>
      <c r="K14" s="75">
        <f>SUMIFS('январь 2026'!$G$2:$G$2684,'январь 2026'!$D$2:$D$2684,$B14,'январь 2026'!$J$2:$J$2684,K$1)</f>
        <v>0</v>
      </c>
      <c r="L14" s="75">
        <f>SUMIFS('январь 2026'!$G$2:$G$2684,'январь 2026'!$D$2:$D$2684,$B14,'январь 2026'!$J$2:$J$2684,L$1)</f>
        <v>0</v>
      </c>
      <c r="M14" s="75">
        <f>SUMIFS('январь 2026'!$G$2:$G$2684,'январь 2026'!$D$2:$D$2684,$B14,'январь 2026'!$J$2:$J$2684,M$1)</f>
        <v>0</v>
      </c>
      <c r="N14" s="75">
        <f>SUMIFS('январь 2026'!$G$2:$G$2684,'январь 2026'!$D$2:$D$2684,$B14,'январь 2026'!$J$2:$J$2684,N$1)</f>
        <v>0</v>
      </c>
      <c r="O14" s="75">
        <f>SUMIFS('январь 2026'!$G$2:$G$2684,'январь 2026'!$D$2:$D$2684,$B14,'январь 2026'!$J$2:$J$2684,O$1)</f>
        <v>0</v>
      </c>
      <c r="P14" s="75">
        <f>SUMIFS('январь 2026'!$G$2:$G$2684,'январь 2026'!$D$2:$D$2684,$B14,'январь 2026'!$J$2:$J$2684,P$1)</f>
        <v>0</v>
      </c>
      <c r="Q14" s="75">
        <f>SUMIFS('январь 2026'!$G$2:$G$2684,'январь 2026'!$D$2:$D$2684,$B14,'январь 2026'!$J$2:$J$2684,Q$1)</f>
        <v>0</v>
      </c>
      <c r="R14" s="75">
        <f>SUMIFS('январь 2026'!$G$2:$G$2684,'январь 2026'!$D$2:$D$2684,$B14,'январь 2026'!$J$2:$J$2684,R$1)</f>
        <v>0</v>
      </c>
      <c r="S14" s="75">
        <f>SUMIFS('январь 2026'!$G$2:$G$2684,'январь 2026'!$D$2:$D$2684,$B14,'январь 2026'!$J$2:$J$2684,S$1)</f>
        <v>0</v>
      </c>
      <c r="T14" s="75">
        <f>SUMIFS('январь 2026'!$G$2:$G$2684,'январь 2026'!$D$2:$D$2684,$B14,'январь 2026'!$J$2:$J$2684,T$1)</f>
        <v>0</v>
      </c>
      <c r="U14" s="75">
        <f>SUMIFS('январь 2026'!$G$2:$G$2684,'январь 2026'!$D$2:$D$2684,$B14,'январь 2026'!$J$2:$J$2684,U$1)</f>
        <v>0</v>
      </c>
      <c r="V14" s="75">
        <f>SUMIFS('январь 2026'!$G$2:$G$2684,'январь 2026'!$D$2:$D$2684,$B14,'январь 2026'!$J$2:$J$2684,V$1)</f>
        <v>0</v>
      </c>
      <c r="W14" s="75">
        <f>SUMIFS('январь 2026'!$G$2:$G$2684,'январь 2026'!$D$2:$D$2684,$B14,'январь 2026'!$J$2:$J$2684,W$1)</f>
        <v>0</v>
      </c>
      <c r="X14" s="75">
        <f>SUMIFS('январь 2026'!$G$2:$G$2684,'январь 2026'!$D$2:$D$2684,$B14,'январь 2026'!$J$2:$J$2684,X$1)</f>
        <v>0</v>
      </c>
      <c r="Y14" s="75">
        <f>SUMIFS('январь 2026'!$G$2:$G$2684,'январь 2026'!$D$2:$D$2684,$B14,'январь 2026'!$J$2:$J$2684,Y$1)</f>
        <v>0</v>
      </c>
      <c r="Z14" s="75">
        <f>SUMIFS('январь 2026'!$G$2:$G$2684,'январь 2026'!$D$2:$D$2684,$B14,'январь 2026'!$J$2:$J$2684,Z$1)</f>
        <v>0</v>
      </c>
      <c r="AA14" s="75">
        <f>SUMIFS('январь 2026'!$G$2:$G$2684,'январь 2026'!$D$2:$D$2684,$B14,'январь 2026'!$J$2:$J$2684,AA$1)</f>
        <v>0</v>
      </c>
      <c r="AB14" s="75">
        <f>SUMIFS('январь 2026'!$G$2:$G$2684,'январь 2026'!$D$2:$D$2684,$B14,'январь 2026'!$J$2:$J$2684,AB$1)</f>
        <v>0</v>
      </c>
      <c r="AC14" s="75">
        <f>SUMIFS('январь 2026'!$G$2:$G$2684,'январь 2026'!$D$2:$D$2684,$B14,'январь 2026'!$J$2:$J$2684,AC$1)</f>
        <v>0</v>
      </c>
      <c r="AD14" s="75">
        <f>SUMIFS('январь 2026'!$G$2:$G$2684,'январь 2026'!$D$2:$D$2684,$B14,'январь 2026'!$J$2:$J$2684,AD$1)</f>
        <v>0</v>
      </c>
      <c r="AE14" s="75">
        <f>SUMIFS('январь 2026'!$G$2:$G$2684,'январь 2026'!$D$2:$D$2684,$B14,'январь 2026'!$J$2:$J$2684,AE$1)</f>
        <v>0</v>
      </c>
      <c r="AF14" s="75">
        <f>SUMIFS('январь 2026'!$G$2:$G$2684,'январь 2026'!$D$2:$D$2684,$B14,'январь 2026'!$J$2:$J$2684,AF$1)</f>
        <v>0</v>
      </c>
      <c r="AG14" s="75">
        <f>SUMIFS('январь 2026'!$G$2:$G$2684,'январь 2026'!$D$2:$D$2684,$B14,'январь 2026'!$J$2:$J$2684,AG$1)</f>
        <v>0</v>
      </c>
      <c r="AH14" s="75">
        <f>SUMIFS('январь 2026'!$G$2:$G$2684,'январь 2026'!$D$2:$D$2684,$B14,'январь 2026'!$J$2:$J$2684,AH$1)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SUMIFS('январь 2026'!$G$2:$G$2684,'январь 2026'!$D$2:$D$2684,$B15,'январь 2026'!$J$2:$J$2684,D$1)</f>
        <v>0</v>
      </c>
      <c r="E15" s="75">
        <f>SUMIFS('январь 2026'!$G$2:$G$2684,'январь 2026'!$D$2:$D$2684,$B15,'январь 2026'!$J$2:$J$2684,E$1)</f>
        <v>0</v>
      </c>
      <c r="F15" s="75">
        <f>SUMIFS('январь 2026'!$G$2:$G$2684,'январь 2026'!$D$2:$D$2684,$B15,'январь 2026'!$J$2:$J$2684,F$1)</f>
        <v>0</v>
      </c>
      <c r="G15" s="75">
        <f>SUMIFS('январь 2026'!$G$2:$G$2684,'январь 2026'!$D$2:$D$2684,$B15,'январь 2026'!$J$2:$J$2684,G$1)</f>
        <v>0</v>
      </c>
      <c r="H15" s="75">
        <f>SUMIFS('январь 2026'!$G$2:$G$2684,'январь 2026'!$D$2:$D$2684,$B15,'январь 2026'!$J$2:$J$2684,H$1)</f>
        <v>0</v>
      </c>
      <c r="I15" s="75">
        <f>SUMIFS('январь 2026'!$G$2:$G$2684,'январь 2026'!$D$2:$D$2684,$B15,'январь 2026'!$J$2:$J$2684,I$1)</f>
        <v>0</v>
      </c>
      <c r="J15" s="75">
        <f>SUMIFS('январь 2026'!$G$2:$G$2684,'январь 2026'!$D$2:$D$2684,$B15,'январь 2026'!$J$2:$J$2684,J$1)</f>
        <v>0</v>
      </c>
      <c r="K15" s="75">
        <f>SUMIFS('январь 2026'!$G$2:$G$2684,'январь 2026'!$D$2:$D$2684,$B15,'январь 2026'!$J$2:$J$2684,K$1)</f>
        <v>0</v>
      </c>
      <c r="L15" s="75">
        <f>SUMIFS('январь 2026'!$G$2:$G$2684,'январь 2026'!$D$2:$D$2684,$B15,'январь 2026'!$J$2:$J$2684,L$1)</f>
        <v>0</v>
      </c>
      <c r="M15" s="75">
        <f>SUMIFS('январь 2026'!$G$2:$G$2684,'январь 2026'!$D$2:$D$2684,$B15,'январь 2026'!$J$2:$J$2684,M$1)</f>
        <v>0</v>
      </c>
      <c r="N15" s="75">
        <f>SUMIFS('январь 2026'!$G$2:$G$2684,'январь 2026'!$D$2:$D$2684,$B15,'январь 2026'!$J$2:$J$2684,N$1)</f>
        <v>0</v>
      </c>
      <c r="O15" s="75">
        <f>SUMIFS('январь 2026'!$G$2:$G$2684,'январь 2026'!$D$2:$D$2684,$B15,'январь 2026'!$J$2:$J$2684,O$1)</f>
        <v>0</v>
      </c>
      <c r="P15" s="75">
        <f>SUMIFS('январь 2026'!$G$2:$G$2684,'январь 2026'!$D$2:$D$2684,$B15,'январь 2026'!$J$2:$J$2684,P$1)</f>
        <v>0</v>
      </c>
      <c r="Q15" s="75">
        <f>SUMIFS('январь 2026'!$G$2:$G$2684,'январь 2026'!$D$2:$D$2684,$B15,'январь 2026'!$J$2:$J$2684,Q$1)</f>
        <v>0</v>
      </c>
      <c r="R15" s="75">
        <f>SUMIFS('январь 2026'!$G$2:$G$2684,'январь 2026'!$D$2:$D$2684,$B15,'январь 2026'!$J$2:$J$2684,R$1)</f>
        <v>0</v>
      </c>
      <c r="S15" s="75">
        <f>SUMIFS('январь 2026'!$G$2:$G$2684,'январь 2026'!$D$2:$D$2684,$B15,'январь 2026'!$J$2:$J$2684,S$1)</f>
        <v>0</v>
      </c>
      <c r="T15" s="75">
        <f>SUMIFS('январь 2026'!$G$2:$G$2684,'январь 2026'!$D$2:$D$2684,$B15,'январь 2026'!$J$2:$J$2684,T$1)</f>
        <v>0</v>
      </c>
      <c r="U15" s="75">
        <f>SUMIFS('январь 2026'!$G$2:$G$2684,'январь 2026'!$D$2:$D$2684,$B15,'январь 2026'!$J$2:$J$2684,U$1)</f>
        <v>0</v>
      </c>
      <c r="V15" s="75">
        <f>SUMIFS('январь 2026'!$G$2:$G$2684,'январь 2026'!$D$2:$D$2684,$B15,'январь 2026'!$J$2:$J$2684,V$1)</f>
        <v>0</v>
      </c>
      <c r="W15" s="75">
        <f>SUMIFS('январь 2026'!$G$2:$G$2684,'январь 2026'!$D$2:$D$2684,$B15,'январь 2026'!$J$2:$J$2684,W$1)</f>
        <v>0</v>
      </c>
      <c r="X15" s="75">
        <f>SUMIFS('январь 2026'!$G$2:$G$2684,'январь 2026'!$D$2:$D$2684,$B15,'январь 2026'!$J$2:$J$2684,X$1)</f>
        <v>0</v>
      </c>
      <c r="Y15" s="75">
        <f>SUMIFS('январь 2026'!$G$2:$G$2684,'январь 2026'!$D$2:$D$2684,$B15,'январь 2026'!$J$2:$J$2684,Y$1)</f>
        <v>0</v>
      </c>
      <c r="Z15" s="75">
        <f>SUMIFS('январь 2026'!$G$2:$G$2684,'январь 2026'!$D$2:$D$2684,$B15,'январь 2026'!$J$2:$J$2684,Z$1)</f>
        <v>0</v>
      </c>
      <c r="AA15" s="75">
        <f>SUMIFS('январь 2026'!$G$2:$G$2684,'январь 2026'!$D$2:$D$2684,$B15,'январь 2026'!$J$2:$J$2684,AA$1)</f>
        <v>0</v>
      </c>
      <c r="AB15" s="75">
        <f>SUMIFS('январь 2026'!$G$2:$G$2684,'январь 2026'!$D$2:$D$2684,$B15,'январь 2026'!$J$2:$J$2684,AB$1)</f>
        <v>0</v>
      </c>
      <c r="AC15" s="75">
        <f>SUMIFS('январь 2026'!$G$2:$G$2684,'январь 2026'!$D$2:$D$2684,$B15,'январь 2026'!$J$2:$J$2684,AC$1)</f>
        <v>0</v>
      </c>
      <c r="AD15" s="75">
        <f>SUMIFS('январь 2026'!$G$2:$G$2684,'январь 2026'!$D$2:$D$2684,$B15,'январь 2026'!$J$2:$J$2684,AD$1)</f>
        <v>0</v>
      </c>
      <c r="AE15" s="75">
        <f>SUMIFS('январь 2026'!$G$2:$G$2684,'январь 2026'!$D$2:$D$2684,$B15,'январь 2026'!$J$2:$J$2684,AE$1)</f>
        <v>0</v>
      </c>
      <c r="AF15" s="75">
        <f>SUMIFS('январь 2026'!$G$2:$G$2684,'январь 2026'!$D$2:$D$2684,$B15,'январь 2026'!$J$2:$J$2684,AF$1)</f>
        <v>0</v>
      </c>
      <c r="AG15" s="75">
        <f>SUMIFS('январь 2026'!$G$2:$G$2684,'январь 2026'!$D$2:$D$2684,$B15,'январь 2026'!$J$2:$J$2684,AG$1)</f>
        <v>0</v>
      </c>
      <c r="AH15" s="75">
        <f>SUMIFS('январь 2026'!$G$2:$G$2684,'январь 2026'!$D$2:$D$2684,$B15,'январь 2026'!$J$2:$J$2684,AH$1)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SUMIFS('январь 2026'!$G$2:$G$2684,'январь 2026'!$D$2:$D$2684,$B16,'январь 2026'!$J$2:$J$2684,D$1)</f>
        <v>0</v>
      </c>
      <c r="E16" s="75">
        <f>SUMIFS('январь 2026'!$G$2:$G$2684,'январь 2026'!$D$2:$D$2684,$B16,'январь 2026'!$J$2:$J$2684,E$1)</f>
        <v>0</v>
      </c>
      <c r="F16" s="75">
        <f>SUMIFS('январь 2026'!$G$2:$G$2684,'январь 2026'!$D$2:$D$2684,$B16,'январь 2026'!$J$2:$J$2684,F$1)</f>
        <v>0</v>
      </c>
      <c r="G16" s="75">
        <f>SUMIFS('январь 2026'!$G$2:$G$2684,'январь 2026'!$D$2:$D$2684,$B16,'январь 2026'!$J$2:$J$2684,G$1)</f>
        <v>0</v>
      </c>
      <c r="H16" s="75">
        <f>SUMIFS('январь 2026'!$G$2:$G$2684,'январь 2026'!$D$2:$D$2684,$B16,'январь 2026'!$J$2:$J$2684,H$1)</f>
        <v>0</v>
      </c>
      <c r="I16" s="75">
        <f>SUMIFS('январь 2026'!$G$2:$G$2684,'январь 2026'!$D$2:$D$2684,$B16,'январь 2026'!$J$2:$J$2684,I$1)</f>
        <v>0</v>
      </c>
      <c r="J16" s="75">
        <f>SUMIFS('январь 2026'!$G$2:$G$2684,'январь 2026'!$D$2:$D$2684,$B16,'январь 2026'!$J$2:$J$2684,J$1)</f>
        <v>0</v>
      </c>
      <c r="K16" s="75">
        <f>SUMIFS('январь 2026'!$G$2:$G$2684,'январь 2026'!$D$2:$D$2684,$B16,'январь 2026'!$J$2:$J$2684,K$1)</f>
        <v>0</v>
      </c>
      <c r="L16" s="75">
        <f>SUMIFS('январь 2026'!$G$2:$G$2684,'январь 2026'!$D$2:$D$2684,$B16,'январь 2026'!$J$2:$J$2684,L$1)</f>
        <v>0</v>
      </c>
      <c r="M16" s="75">
        <f>SUMIFS('январь 2026'!$G$2:$G$2684,'январь 2026'!$D$2:$D$2684,$B16,'январь 2026'!$J$2:$J$2684,M$1)</f>
        <v>0</v>
      </c>
      <c r="N16" s="75">
        <f>SUMIFS('январь 2026'!$G$2:$G$2684,'январь 2026'!$D$2:$D$2684,$B16,'январь 2026'!$J$2:$J$2684,N$1)</f>
        <v>0</v>
      </c>
      <c r="O16" s="75">
        <f>SUMIFS('январь 2026'!$G$2:$G$2684,'январь 2026'!$D$2:$D$2684,$B16,'январь 2026'!$J$2:$J$2684,O$1)</f>
        <v>0</v>
      </c>
      <c r="P16" s="75">
        <f>SUMIFS('январь 2026'!$G$2:$G$2684,'январь 2026'!$D$2:$D$2684,$B16,'январь 2026'!$J$2:$J$2684,P$1)</f>
        <v>0</v>
      </c>
      <c r="Q16" s="75">
        <f>SUMIFS('январь 2026'!$G$2:$G$2684,'январь 2026'!$D$2:$D$2684,$B16,'январь 2026'!$J$2:$J$2684,Q$1)</f>
        <v>0</v>
      </c>
      <c r="R16" s="75">
        <f>SUMIFS('январь 2026'!$G$2:$G$2684,'январь 2026'!$D$2:$D$2684,$B16,'январь 2026'!$J$2:$J$2684,R$1)</f>
        <v>0</v>
      </c>
      <c r="S16" s="75">
        <f>SUMIFS('январь 2026'!$G$2:$G$2684,'январь 2026'!$D$2:$D$2684,$B16,'январь 2026'!$J$2:$J$2684,S$1)</f>
        <v>0</v>
      </c>
      <c r="T16" s="75">
        <f>SUMIFS('январь 2026'!$G$2:$G$2684,'январь 2026'!$D$2:$D$2684,$B16,'январь 2026'!$J$2:$J$2684,T$1)</f>
        <v>0</v>
      </c>
      <c r="U16" s="75">
        <f>SUMIFS('январь 2026'!$G$2:$G$2684,'январь 2026'!$D$2:$D$2684,$B16,'январь 2026'!$J$2:$J$2684,U$1)</f>
        <v>0</v>
      </c>
      <c r="V16" s="75">
        <f>SUMIFS('январь 2026'!$G$2:$G$2684,'январь 2026'!$D$2:$D$2684,$B16,'январь 2026'!$J$2:$J$2684,V$1)</f>
        <v>0</v>
      </c>
      <c r="W16" s="75">
        <f>SUMIFS('январь 2026'!$G$2:$G$2684,'январь 2026'!$D$2:$D$2684,$B16,'январь 2026'!$J$2:$J$2684,W$1)</f>
        <v>0</v>
      </c>
      <c r="X16" s="75">
        <f>SUMIFS('январь 2026'!$G$2:$G$2684,'январь 2026'!$D$2:$D$2684,$B16,'январь 2026'!$J$2:$J$2684,X$1)</f>
        <v>0</v>
      </c>
      <c r="Y16" s="75">
        <f>SUMIFS('январь 2026'!$G$2:$G$2684,'январь 2026'!$D$2:$D$2684,$B16,'январь 2026'!$J$2:$J$2684,Y$1)</f>
        <v>0</v>
      </c>
      <c r="Z16" s="75">
        <f>SUMIFS('январь 2026'!$G$2:$G$2684,'январь 2026'!$D$2:$D$2684,$B16,'январь 2026'!$J$2:$J$2684,Z$1)</f>
        <v>0</v>
      </c>
      <c r="AA16" s="75">
        <f>SUMIFS('январь 2026'!$G$2:$G$2684,'январь 2026'!$D$2:$D$2684,$B16,'январь 2026'!$J$2:$J$2684,AA$1)</f>
        <v>0</v>
      </c>
      <c r="AB16" s="75">
        <f>SUMIFS('январь 2026'!$G$2:$G$2684,'январь 2026'!$D$2:$D$2684,$B16,'январь 2026'!$J$2:$J$2684,AB$1)</f>
        <v>0</v>
      </c>
      <c r="AC16" s="75">
        <f>SUMIFS('январь 2026'!$G$2:$G$2684,'январь 2026'!$D$2:$D$2684,$B16,'январь 2026'!$J$2:$J$2684,AC$1)</f>
        <v>0</v>
      </c>
      <c r="AD16" s="75">
        <f>SUMIFS('январь 2026'!$G$2:$G$2684,'январь 2026'!$D$2:$D$2684,$B16,'январь 2026'!$J$2:$J$2684,AD$1)</f>
        <v>0</v>
      </c>
      <c r="AE16" s="75">
        <f>SUMIFS('январь 2026'!$G$2:$G$2684,'январь 2026'!$D$2:$D$2684,$B16,'январь 2026'!$J$2:$J$2684,AE$1)</f>
        <v>0</v>
      </c>
      <c r="AF16" s="75">
        <f>SUMIFS('январь 2026'!$G$2:$G$2684,'январь 2026'!$D$2:$D$2684,$B16,'январь 2026'!$J$2:$J$2684,AF$1)</f>
        <v>0</v>
      </c>
      <c r="AG16" s="75">
        <f>SUMIFS('январь 2026'!$G$2:$G$2684,'январь 2026'!$D$2:$D$2684,$B16,'январь 2026'!$J$2:$J$2684,AG$1)</f>
        <v>0</v>
      </c>
      <c r="AH16" s="75">
        <f>SUMIFS('январь 2026'!$G$2:$G$2684,'январь 2026'!$D$2:$D$2684,$B16,'январь 2026'!$J$2:$J$2684,AH$1)</f>
        <v>0</v>
      </c>
      <c r="AI16" s="20">
        <f t="shared" si="1"/>
        <v>0</v>
      </c>
    </row>
    <row r="17" spans="2:35" ht="15" customHeight="1" x14ac:dyDescent="0.25">
      <c r="B17" s="79" t="s">
        <v>227</v>
      </c>
      <c r="C17" s="80">
        <v>22.7</v>
      </c>
      <c r="D17" s="75">
        <f>SUMIFS('январь 2026'!$G$2:$G$2684,'январь 2026'!$D$2:$D$2684,$B17,'январь 2026'!$J$2:$J$2684,D$1)</f>
        <v>0</v>
      </c>
      <c r="E17" s="75">
        <f>SUMIFS('январь 2026'!$G$2:$G$2684,'январь 2026'!$D$2:$D$2684,$B17,'январь 2026'!$J$2:$J$2684,E$1)</f>
        <v>0</v>
      </c>
      <c r="F17" s="75">
        <f>SUMIFS('январь 2026'!$G$2:$G$2684,'январь 2026'!$D$2:$D$2684,$B17,'январь 2026'!$J$2:$J$2684,F$1)</f>
        <v>0</v>
      </c>
      <c r="G17" s="75">
        <f>SUMIFS('январь 2026'!$G$2:$G$2684,'январь 2026'!$D$2:$D$2684,$B17,'январь 2026'!$J$2:$J$2684,G$1)</f>
        <v>0</v>
      </c>
      <c r="H17" s="75">
        <f>SUMIFS('январь 2026'!$G$2:$G$2684,'январь 2026'!$D$2:$D$2684,$B17,'январь 2026'!$J$2:$J$2684,H$1)</f>
        <v>0</v>
      </c>
      <c r="I17" s="75">
        <f>SUMIFS('январь 2026'!$G$2:$G$2684,'январь 2026'!$D$2:$D$2684,$B17,'январь 2026'!$J$2:$J$2684,I$1)</f>
        <v>0</v>
      </c>
      <c r="J17" s="75">
        <f>SUMIFS('январь 2026'!$G$2:$G$2684,'январь 2026'!$D$2:$D$2684,$B17,'январь 2026'!$J$2:$J$2684,J$1)</f>
        <v>0</v>
      </c>
      <c r="K17" s="75">
        <f>SUMIFS('январь 2026'!$G$2:$G$2684,'январь 2026'!$D$2:$D$2684,$B17,'январь 2026'!$J$2:$J$2684,K$1)</f>
        <v>0</v>
      </c>
      <c r="L17" s="75">
        <f>SUMIFS('январь 2026'!$G$2:$G$2684,'январь 2026'!$D$2:$D$2684,$B17,'январь 2026'!$J$2:$J$2684,L$1)</f>
        <v>0</v>
      </c>
      <c r="M17" s="75">
        <f>SUMIFS('январь 2026'!$G$2:$G$2684,'январь 2026'!$D$2:$D$2684,$B17,'январь 2026'!$J$2:$J$2684,M$1)</f>
        <v>0</v>
      </c>
      <c r="N17" s="75">
        <f>SUMIFS('январь 2026'!$G$2:$G$2684,'январь 2026'!$D$2:$D$2684,$B17,'январь 2026'!$J$2:$J$2684,N$1)</f>
        <v>0</v>
      </c>
      <c r="O17" s="75">
        <f>SUMIFS('январь 2026'!$G$2:$G$2684,'январь 2026'!$D$2:$D$2684,$B17,'январь 2026'!$J$2:$J$2684,O$1)</f>
        <v>0</v>
      </c>
      <c r="P17" s="75">
        <f>SUMIFS('январь 2026'!$G$2:$G$2684,'январь 2026'!$D$2:$D$2684,$B17,'январь 2026'!$J$2:$J$2684,P$1)</f>
        <v>0</v>
      </c>
      <c r="Q17" s="75">
        <f>SUMIFS('январь 2026'!$G$2:$G$2684,'январь 2026'!$D$2:$D$2684,$B17,'январь 2026'!$J$2:$J$2684,Q$1)</f>
        <v>0</v>
      </c>
      <c r="R17" s="75">
        <f>SUMIFS('январь 2026'!$G$2:$G$2684,'январь 2026'!$D$2:$D$2684,$B17,'январь 2026'!$J$2:$J$2684,R$1)</f>
        <v>0</v>
      </c>
      <c r="S17" s="75">
        <f>SUMIFS('январь 2026'!$G$2:$G$2684,'январь 2026'!$D$2:$D$2684,$B17,'январь 2026'!$J$2:$J$2684,S$1)</f>
        <v>0</v>
      </c>
      <c r="T17" s="75">
        <f>SUMIFS('январь 2026'!$G$2:$G$2684,'январь 2026'!$D$2:$D$2684,$B17,'январь 2026'!$J$2:$J$2684,T$1)</f>
        <v>0</v>
      </c>
      <c r="U17" s="75">
        <f>SUMIFS('январь 2026'!$G$2:$G$2684,'январь 2026'!$D$2:$D$2684,$B17,'январь 2026'!$J$2:$J$2684,U$1)</f>
        <v>0</v>
      </c>
      <c r="V17" s="75">
        <f>SUMIFS('январь 2026'!$G$2:$G$2684,'январь 2026'!$D$2:$D$2684,$B17,'январь 2026'!$J$2:$J$2684,V$1)</f>
        <v>0</v>
      </c>
      <c r="W17" s="75">
        <f>SUMIFS('январь 2026'!$G$2:$G$2684,'январь 2026'!$D$2:$D$2684,$B17,'январь 2026'!$J$2:$J$2684,W$1)</f>
        <v>0</v>
      </c>
      <c r="X17" s="75">
        <f>SUMIFS('январь 2026'!$G$2:$G$2684,'январь 2026'!$D$2:$D$2684,$B17,'январь 2026'!$J$2:$J$2684,X$1)</f>
        <v>0</v>
      </c>
      <c r="Y17" s="75">
        <f>SUMIFS('январь 2026'!$G$2:$G$2684,'январь 2026'!$D$2:$D$2684,$B17,'январь 2026'!$J$2:$J$2684,Y$1)</f>
        <v>0</v>
      </c>
      <c r="Z17" s="75">
        <f>SUMIFS('январь 2026'!$G$2:$G$2684,'январь 2026'!$D$2:$D$2684,$B17,'январь 2026'!$J$2:$J$2684,Z$1)</f>
        <v>0</v>
      </c>
      <c r="AA17" s="75">
        <f>SUMIFS('январь 2026'!$G$2:$G$2684,'январь 2026'!$D$2:$D$2684,$B17,'январь 2026'!$J$2:$J$2684,AA$1)</f>
        <v>0</v>
      </c>
      <c r="AB17" s="75">
        <f>SUMIFS('январь 2026'!$G$2:$G$2684,'январь 2026'!$D$2:$D$2684,$B17,'январь 2026'!$J$2:$J$2684,AB$1)</f>
        <v>0</v>
      </c>
      <c r="AC17" s="75">
        <f>SUMIFS('январь 2026'!$G$2:$G$2684,'январь 2026'!$D$2:$D$2684,$B17,'январь 2026'!$J$2:$J$2684,AC$1)</f>
        <v>0</v>
      </c>
      <c r="AD17" s="75">
        <f>SUMIFS('январь 2026'!$G$2:$G$2684,'январь 2026'!$D$2:$D$2684,$B17,'январь 2026'!$J$2:$J$2684,AD$1)</f>
        <v>0</v>
      </c>
      <c r="AE17" s="75">
        <f>SUMIFS('январь 2026'!$G$2:$G$2684,'январь 2026'!$D$2:$D$2684,$B17,'январь 2026'!$J$2:$J$2684,AE$1)</f>
        <v>0</v>
      </c>
      <c r="AF17" s="75">
        <f>SUMIFS('январь 2026'!$G$2:$G$2684,'январь 2026'!$D$2:$D$2684,$B17,'январь 2026'!$J$2:$J$2684,AF$1)</f>
        <v>0</v>
      </c>
      <c r="AG17" s="75">
        <f>SUMIFS('январь 2026'!$G$2:$G$2684,'январь 2026'!$D$2:$D$2684,$B17,'январь 2026'!$J$2:$J$2684,AG$1)</f>
        <v>0</v>
      </c>
      <c r="AH17" s="75">
        <f>SUMIFS('январь 2026'!$G$2:$G$2684,'январь 2026'!$D$2:$D$2684,$B17,'январь 2026'!$J$2:$J$2684,AH$1)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SUMIFS('январь 2026'!$G$2:$G$2684,'январь 2026'!$D$2:$D$2684,$B18,'январь 2026'!$J$2:$J$2684,D$1)</f>
        <v>0</v>
      </c>
      <c r="E18" s="75">
        <f>SUMIFS('январь 2026'!$G$2:$G$2684,'январь 2026'!$D$2:$D$2684,$B18,'январь 2026'!$J$2:$J$2684,E$1)</f>
        <v>0</v>
      </c>
      <c r="F18" s="75">
        <f>SUMIFS('январь 2026'!$G$2:$G$2684,'январь 2026'!$D$2:$D$2684,$B18,'январь 2026'!$J$2:$J$2684,F$1)</f>
        <v>0</v>
      </c>
      <c r="G18" s="75">
        <f>SUMIFS('январь 2026'!$G$2:$G$2684,'январь 2026'!$D$2:$D$2684,$B18,'январь 2026'!$J$2:$J$2684,G$1)</f>
        <v>0</v>
      </c>
      <c r="H18" s="75">
        <f>SUMIFS('январь 2026'!$G$2:$G$2684,'январь 2026'!$D$2:$D$2684,$B18,'январь 2026'!$J$2:$J$2684,H$1)</f>
        <v>0</v>
      </c>
      <c r="I18" s="75">
        <f>SUMIFS('январь 2026'!$G$2:$G$2684,'январь 2026'!$D$2:$D$2684,$B18,'январь 2026'!$J$2:$J$2684,I$1)</f>
        <v>0</v>
      </c>
      <c r="J18" s="75">
        <f>SUMIFS('январь 2026'!$G$2:$G$2684,'январь 2026'!$D$2:$D$2684,$B18,'январь 2026'!$J$2:$J$2684,J$1)</f>
        <v>0</v>
      </c>
      <c r="K18" s="75">
        <f>SUMIFS('январь 2026'!$G$2:$G$2684,'январь 2026'!$D$2:$D$2684,$B18,'январь 2026'!$J$2:$J$2684,K$1)</f>
        <v>0</v>
      </c>
      <c r="L18" s="75">
        <f>SUMIFS('январь 2026'!$G$2:$G$2684,'январь 2026'!$D$2:$D$2684,$B18,'январь 2026'!$J$2:$J$2684,L$1)</f>
        <v>0</v>
      </c>
      <c r="M18" s="75">
        <f>SUMIFS('январь 2026'!$G$2:$G$2684,'январь 2026'!$D$2:$D$2684,$B18,'январь 2026'!$J$2:$J$2684,M$1)</f>
        <v>0</v>
      </c>
      <c r="N18" s="75">
        <f>SUMIFS('январь 2026'!$G$2:$G$2684,'январь 2026'!$D$2:$D$2684,$B18,'январь 2026'!$J$2:$J$2684,N$1)</f>
        <v>0</v>
      </c>
      <c r="O18" s="75">
        <f>SUMIFS('январь 2026'!$G$2:$G$2684,'январь 2026'!$D$2:$D$2684,$B18,'январь 2026'!$J$2:$J$2684,O$1)</f>
        <v>0</v>
      </c>
      <c r="P18" s="75">
        <f>SUMIFS('январь 2026'!$G$2:$G$2684,'январь 2026'!$D$2:$D$2684,$B18,'январь 2026'!$J$2:$J$2684,P$1)</f>
        <v>0</v>
      </c>
      <c r="Q18" s="75">
        <f>SUMIFS('январь 2026'!$G$2:$G$2684,'январь 2026'!$D$2:$D$2684,$B18,'январь 2026'!$J$2:$J$2684,Q$1)</f>
        <v>0</v>
      </c>
      <c r="R18" s="75">
        <f>SUMIFS('январь 2026'!$G$2:$G$2684,'январь 2026'!$D$2:$D$2684,$B18,'январь 2026'!$J$2:$J$2684,R$1)</f>
        <v>0</v>
      </c>
      <c r="S18" s="75">
        <f>SUMIFS('январь 2026'!$G$2:$G$2684,'январь 2026'!$D$2:$D$2684,$B18,'январь 2026'!$J$2:$J$2684,S$1)</f>
        <v>0</v>
      </c>
      <c r="T18" s="75">
        <f>SUMIFS('январь 2026'!$G$2:$G$2684,'январь 2026'!$D$2:$D$2684,$B18,'январь 2026'!$J$2:$J$2684,T$1)</f>
        <v>0</v>
      </c>
      <c r="U18" s="75">
        <f>SUMIFS('январь 2026'!$G$2:$G$2684,'январь 2026'!$D$2:$D$2684,$B18,'январь 2026'!$J$2:$J$2684,U$1)</f>
        <v>0</v>
      </c>
      <c r="V18" s="75">
        <f>SUMIFS('январь 2026'!$G$2:$G$2684,'январь 2026'!$D$2:$D$2684,$B18,'январь 2026'!$J$2:$J$2684,V$1)</f>
        <v>0</v>
      </c>
      <c r="W18" s="75">
        <f>SUMIFS('январь 2026'!$G$2:$G$2684,'январь 2026'!$D$2:$D$2684,$B18,'январь 2026'!$J$2:$J$2684,W$1)</f>
        <v>0</v>
      </c>
      <c r="X18" s="75">
        <f>SUMIFS('январь 2026'!$G$2:$G$2684,'январь 2026'!$D$2:$D$2684,$B18,'январь 2026'!$J$2:$J$2684,X$1)</f>
        <v>0</v>
      </c>
      <c r="Y18" s="75">
        <f>SUMIFS('январь 2026'!$G$2:$G$2684,'январь 2026'!$D$2:$D$2684,$B18,'январь 2026'!$J$2:$J$2684,Y$1)</f>
        <v>0</v>
      </c>
      <c r="Z18" s="75">
        <f>SUMIFS('январь 2026'!$G$2:$G$2684,'январь 2026'!$D$2:$D$2684,$B18,'январь 2026'!$J$2:$J$2684,Z$1)</f>
        <v>0</v>
      </c>
      <c r="AA18" s="75">
        <f>SUMIFS('январь 2026'!$G$2:$G$2684,'январь 2026'!$D$2:$D$2684,$B18,'январь 2026'!$J$2:$J$2684,AA$1)</f>
        <v>0</v>
      </c>
      <c r="AB18" s="75">
        <f>SUMIFS('январь 2026'!$G$2:$G$2684,'январь 2026'!$D$2:$D$2684,$B18,'январь 2026'!$J$2:$J$2684,AB$1)</f>
        <v>0</v>
      </c>
      <c r="AC18" s="75">
        <f>SUMIFS('январь 2026'!$G$2:$G$2684,'январь 2026'!$D$2:$D$2684,$B18,'январь 2026'!$J$2:$J$2684,AC$1)</f>
        <v>0</v>
      </c>
      <c r="AD18" s="75">
        <f>SUMIFS('январь 2026'!$G$2:$G$2684,'январь 2026'!$D$2:$D$2684,$B18,'январь 2026'!$J$2:$J$2684,AD$1)</f>
        <v>0</v>
      </c>
      <c r="AE18" s="75">
        <f>SUMIFS('январь 2026'!$G$2:$G$2684,'январь 2026'!$D$2:$D$2684,$B18,'январь 2026'!$J$2:$J$2684,AE$1)</f>
        <v>0</v>
      </c>
      <c r="AF18" s="75">
        <f>SUMIFS('январь 2026'!$G$2:$G$2684,'январь 2026'!$D$2:$D$2684,$B18,'январь 2026'!$J$2:$J$2684,AF$1)</f>
        <v>0</v>
      </c>
      <c r="AG18" s="75">
        <f>SUMIFS('январь 2026'!$G$2:$G$2684,'январь 2026'!$D$2:$D$2684,$B18,'январь 2026'!$J$2:$J$2684,AG$1)</f>
        <v>0</v>
      </c>
      <c r="AH18" s="75">
        <f>SUMIFS('январь 2026'!$G$2:$G$2684,'январь 2026'!$D$2:$D$2684,$B18,'январь 2026'!$J$2:$J$2684,AH$1)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SUMIFS('январь 2026'!$G$2:$G$2684,'январь 2026'!$D$2:$D$2684,$B19,'январь 2026'!$J$2:$J$2684,D$1)</f>
        <v>0</v>
      </c>
      <c r="E19" s="75">
        <f>SUMIFS('январь 2026'!$G$2:$G$2684,'январь 2026'!$D$2:$D$2684,$B19,'январь 2026'!$J$2:$J$2684,E$1)</f>
        <v>0</v>
      </c>
      <c r="F19" s="75">
        <f>SUMIFS('январь 2026'!$G$2:$G$2684,'январь 2026'!$D$2:$D$2684,$B19,'январь 2026'!$J$2:$J$2684,F$1)</f>
        <v>0</v>
      </c>
      <c r="G19" s="75">
        <f>SUMIFS('январь 2026'!$G$2:$G$2684,'январь 2026'!$D$2:$D$2684,$B19,'январь 2026'!$J$2:$J$2684,G$1)</f>
        <v>0</v>
      </c>
      <c r="H19" s="75">
        <f>SUMIFS('январь 2026'!$G$2:$G$2684,'январь 2026'!$D$2:$D$2684,$B19,'январь 2026'!$J$2:$J$2684,H$1)</f>
        <v>0</v>
      </c>
      <c r="I19" s="75">
        <f>SUMIFS('январь 2026'!$G$2:$G$2684,'январь 2026'!$D$2:$D$2684,$B19,'январь 2026'!$J$2:$J$2684,I$1)</f>
        <v>0</v>
      </c>
      <c r="J19" s="75">
        <f>SUMIFS('январь 2026'!$G$2:$G$2684,'январь 2026'!$D$2:$D$2684,$B19,'январь 2026'!$J$2:$J$2684,J$1)</f>
        <v>0</v>
      </c>
      <c r="K19" s="75">
        <f>SUMIFS('январь 2026'!$G$2:$G$2684,'январь 2026'!$D$2:$D$2684,$B19,'январь 2026'!$J$2:$J$2684,K$1)</f>
        <v>0</v>
      </c>
      <c r="L19" s="75">
        <f>SUMIFS('январь 2026'!$G$2:$G$2684,'январь 2026'!$D$2:$D$2684,$B19,'январь 2026'!$J$2:$J$2684,L$1)</f>
        <v>0</v>
      </c>
      <c r="M19" s="75">
        <f>SUMIFS('январь 2026'!$G$2:$G$2684,'январь 2026'!$D$2:$D$2684,$B19,'январь 2026'!$J$2:$J$2684,M$1)</f>
        <v>0</v>
      </c>
      <c r="N19" s="75">
        <f>SUMIFS('январь 2026'!$G$2:$G$2684,'январь 2026'!$D$2:$D$2684,$B19,'январь 2026'!$J$2:$J$2684,N$1)</f>
        <v>0</v>
      </c>
      <c r="O19" s="75">
        <f>SUMIFS('январь 2026'!$G$2:$G$2684,'январь 2026'!$D$2:$D$2684,$B19,'январь 2026'!$J$2:$J$2684,O$1)</f>
        <v>0</v>
      </c>
      <c r="P19" s="75">
        <f>SUMIFS('январь 2026'!$G$2:$G$2684,'январь 2026'!$D$2:$D$2684,$B19,'январь 2026'!$J$2:$J$2684,P$1)</f>
        <v>0</v>
      </c>
      <c r="Q19" s="75">
        <f>SUMIFS('январь 2026'!$G$2:$G$2684,'январь 2026'!$D$2:$D$2684,$B19,'январь 2026'!$J$2:$J$2684,Q$1)</f>
        <v>0</v>
      </c>
      <c r="R19" s="75">
        <f>SUMIFS('январь 2026'!$G$2:$G$2684,'январь 2026'!$D$2:$D$2684,$B19,'январь 2026'!$J$2:$J$2684,R$1)</f>
        <v>0</v>
      </c>
      <c r="S19" s="75">
        <f>SUMIFS('январь 2026'!$G$2:$G$2684,'январь 2026'!$D$2:$D$2684,$B19,'январь 2026'!$J$2:$J$2684,S$1)</f>
        <v>0</v>
      </c>
      <c r="T19" s="75">
        <f>SUMIFS('январь 2026'!$G$2:$G$2684,'январь 2026'!$D$2:$D$2684,$B19,'январь 2026'!$J$2:$J$2684,T$1)</f>
        <v>0</v>
      </c>
      <c r="U19" s="75">
        <f>SUMIFS('январь 2026'!$G$2:$G$2684,'январь 2026'!$D$2:$D$2684,$B19,'январь 2026'!$J$2:$J$2684,U$1)</f>
        <v>0</v>
      </c>
      <c r="V19" s="75">
        <f>SUMIFS('январь 2026'!$G$2:$G$2684,'январь 2026'!$D$2:$D$2684,$B19,'январь 2026'!$J$2:$J$2684,V$1)</f>
        <v>0</v>
      </c>
      <c r="W19" s="75">
        <f>SUMIFS('январь 2026'!$G$2:$G$2684,'январь 2026'!$D$2:$D$2684,$B19,'январь 2026'!$J$2:$J$2684,W$1)</f>
        <v>0</v>
      </c>
      <c r="X19" s="75">
        <f>SUMIFS('январь 2026'!$G$2:$G$2684,'январь 2026'!$D$2:$D$2684,$B19,'январь 2026'!$J$2:$J$2684,X$1)</f>
        <v>0</v>
      </c>
      <c r="Y19" s="75">
        <f>SUMIFS('январь 2026'!$G$2:$G$2684,'январь 2026'!$D$2:$D$2684,$B19,'январь 2026'!$J$2:$J$2684,Y$1)</f>
        <v>0</v>
      </c>
      <c r="Z19" s="75">
        <f>SUMIFS('январь 2026'!$G$2:$G$2684,'январь 2026'!$D$2:$D$2684,$B19,'январь 2026'!$J$2:$J$2684,Z$1)</f>
        <v>0</v>
      </c>
      <c r="AA19" s="75">
        <f>SUMIFS('январь 2026'!$G$2:$G$2684,'январь 2026'!$D$2:$D$2684,$B19,'январь 2026'!$J$2:$J$2684,AA$1)</f>
        <v>0</v>
      </c>
      <c r="AB19" s="75">
        <f>SUMIFS('январь 2026'!$G$2:$G$2684,'январь 2026'!$D$2:$D$2684,$B19,'январь 2026'!$J$2:$J$2684,AB$1)</f>
        <v>0</v>
      </c>
      <c r="AC19" s="75">
        <f>SUMIFS('январь 2026'!$G$2:$G$2684,'январь 2026'!$D$2:$D$2684,$B19,'январь 2026'!$J$2:$J$2684,AC$1)</f>
        <v>0</v>
      </c>
      <c r="AD19" s="75">
        <f>SUMIFS('январь 2026'!$G$2:$G$2684,'январь 2026'!$D$2:$D$2684,$B19,'январь 2026'!$J$2:$J$2684,AD$1)</f>
        <v>0</v>
      </c>
      <c r="AE19" s="75">
        <f>SUMIFS('январь 2026'!$G$2:$G$2684,'январь 2026'!$D$2:$D$2684,$B19,'январь 2026'!$J$2:$J$2684,AE$1)</f>
        <v>0</v>
      </c>
      <c r="AF19" s="75">
        <f>SUMIFS('январь 2026'!$G$2:$G$2684,'январь 2026'!$D$2:$D$2684,$B19,'январь 2026'!$J$2:$J$2684,AF$1)</f>
        <v>0</v>
      </c>
      <c r="AG19" s="75">
        <f>SUMIFS('январь 2026'!$G$2:$G$2684,'январь 2026'!$D$2:$D$2684,$B19,'январь 2026'!$J$2:$J$2684,AG$1)</f>
        <v>0</v>
      </c>
      <c r="AH19" s="75">
        <f>SUMIFS('январь 2026'!$G$2:$G$2684,'январь 2026'!$D$2:$D$2684,$B19,'январь 2026'!$J$2:$J$2684,AH$1)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SUMIFS('январь 2026'!$G$2:$G$2684,'январь 2026'!$D$2:$D$2684,$B20,'январь 2026'!$J$2:$J$2684,D$1)</f>
        <v>0</v>
      </c>
      <c r="E20" s="75">
        <f>SUMIFS('январь 2026'!$G$2:$G$2684,'январь 2026'!$D$2:$D$2684,$B20,'январь 2026'!$J$2:$J$2684,E$1)</f>
        <v>0</v>
      </c>
      <c r="F20" s="75">
        <f>SUMIFS('январь 2026'!$G$2:$G$2684,'январь 2026'!$D$2:$D$2684,$B20,'январь 2026'!$J$2:$J$2684,F$1)</f>
        <v>0</v>
      </c>
      <c r="G20" s="75">
        <f>SUMIFS('январь 2026'!$G$2:$G$2684,'январь 2026'!$D$2:$D$2684,$B20,'январь 2026'!$J$2:$J$2684,G$1)</f>
        <v>0</v>
      </c>
      <c r="H20" s="75">
        <f>SUMIFS('январь 2026'!$G$2:$G$2684,'январь 2026'!$D$2:$D$2684,$B20,'январь 2026'!$J$2:$J$2684,H$1)</f>
        <v>0</v>
      </c>
      <c r="I20" s="75">
        <f>SUMIFS('январь 2026'!$G$2:$G$2684,'январь 2026'!$D$2:$D$2684,$B20,'январь 2026'!$J$2:$J$2684,I$1)</f>
        <v>0</v>
      </c>
      <c r="J20" s="75">
        <f>SUMIFS('январь 2026'!$G$2:$G$2684,'январь 2026'!$D$2:$D$2684,$B20,'январь 2026'!$J$2:$J$2684,J$1)</f>
        <v>0</v>
      </c>
      <c r="K20" s="75">
        <f>SUMIFS('январь 2026'!$G$2:$G$2684,'январь 2026'!$D$2:$D$2684,$B20,'январь 2026'!$J$2:$J$2684,K$1)</f>
        <v>0</v>
      </c>
      <c r="L20" s="75">
        <f>SUMIFS('январь 2026'!$G$2:$G$2684,'январь 2026'!$D$2:$D$2684,$B20,'январь 2026'!$J$2:$J$2684,L$1)</f>
        <v>0</v>
      </c>
      <c r="M20" s="75">
        <f>SUMIFS('январь 2026'!$G$2:$G$2684,'январь 2026'!$D$2:$D$2684,$B20,'январь 2026'!$J$2:$J$2684,M$1)</f>
        <v>0</v>
      </c>
      <c r="N20" s="75">
        <f>SUMIFS('январь 2026'!$G$2:$G$2684,'январь 2026'!$D$2:$D$2684,$B20,'январь 2026'!$J$2:$J$2684,N$1)</f>
        <v>0</v>
      </c>
      <c r="O20" s="75">
        <f>SUMIFS('январь 2026'!$G$2:$G$2684,'январь 2026'!$D$2:$D$2684,$B20,'январь 2026'!$J$2:$J$2684,O$1)</f>
        <v>0</v>
      </c>
      <c r="P20" s="75">
        <f>SUMIFS('январь 2026'!$G$2:$G$2684,'январь 2026'!$D$2:$D$2684,$B20,'январь 2026'!$J$2:$J$2684,P$1)</f>
        <v>0</v>
      </c>
      <c r="Q20" s="75">
        <f>SUMIFS('январь 2026'!$G$2:$G$2684,'январь 2026'!$D$2:$D$2684,$B20,'январь 2026'!$J$2:$J$2684,Q$1)</f>
        <v>0</v>
      </c>
      <c r="R20" s="75">
        <f>SUMIFS('январь 2026'!$G$2:$G$2684,'январь 2026'!$D$2:$D$2684,$B20,'январь 2026'!$J$2:$J$2684,R$1)</f>
        <v>0</v>
      </c>
      <c r="S20" s="75">
        <f>SUMIFS('январь 2026'!$G$2:$G$2684,'январь 2026'!$D$2:$D$2684,$B20,'январь 2026'!$J$2:$J$2684,S$1)</f>
        <v>0</v>
      </c>
      <c r="T20" s="75">
        <f>SUMIFS('январь 2026'!$G$2:$G$2684,'январь 2026'!$D$2:$D$2684,$B20,'январь 2026'!$J$2:$J$2684,T$1)</f>
        <v>0</v>
      </c>
      <c r="U20" s="75">
        <f>SUMIFS('январь 2026'!$G$2:$G$2684,'январь 2026'!$D$2:$D$2684,$B20,'январь 2026'!$J$2:$J$2684,U$1)</f>
        <v>0</v>
      </c>
      <c r="V20" s="75">
        <f>SUMIFS('январь 2026'!$G$2:$G$2684,'январь 2026'!$D$2:$D$2684,$B20,'январь 2026'!$J$2:$J$2684,V$1)</f>
        <v>0</v>
      </c>
      <c r="W20" s="75">
        <f>SUMIFS('январь 2026'!$G$2:$G$2684,'январь 2026'!$D$2:$D$2684,$B20,'январь 2026'!$J$2:$J$2684,W$1)</f>
        <v>0</v>
      </c>
      <c r="X20" s="75">
        <f>SUMIFS('январь 2026'!$G$2:$G$2684,'январь 2026'!$D$2:$D$2684,$B20,'январь 2026'!$J$2:$J$2684,X$1)</f>
        <v>0</v>
      </c>
      <c r="Y20" s="75">
        <f>SUMIFS('январь 2026'!$G$2:$G$2684,'январь 2026'!$D$2:$D$2684,$B20,'январь 2026'!$J$2:$J$2684,Y$1)</f>
        <v>0</v>
      </c>
      <c r="Z20" s="75">
        <f>SUMIFS('январь 2026'!$G$2:$G$2684,'январь 2026'!$D$2:$D$2684,$B20,'январь 2026'!$J$2:$J$2684,Z$1)</f>
        <v>0</v>
      </c>
      <c r="AA20" s="75">
        <f>SUMIFS('январь 2026'!$G$2:$G$2684,'январь 2026'!$D$2:$D$2684,$B20,'январь 2026'!$J$2:$J$2684,AA$1)</f>
        <v>0</v>
      </c>
      <c r="AB20" s="75">
        <f>SUMIFS('январь 2026'!$G$2:$G$2684,'январь 2026'!$D$2:$D$2684,$B20,'январь 2026'!$J$2:$J$2684,AB$1)</f>
        <v>0</v>
      </c>
      <c r="AC20" s="75">
        <f>SUMIFS('январь 2026'!$G$2:$G$2684,'январь 2026'!$D$2:$D$2684,$B20,'январь 2026'!$J$2:$J$2684,AC$1)</f>
        <v>0</v>
      </c>
      <c r="AD20" s="75">
        <f>SUMIFS('январь 2026'!$G$2:$G$2684,'январь 2026'!$D$2:$D$2684,$B20,'январь 2026'!$J$2:$J$2684,AD$1)</f>
        <v>0</v>
      </c>
      <c r="AE20" s="75">
        <f>SUMIFS('январь 2026'!$G$2:$G$2684,'январь 2026'!$D$2:$D$2684,$B20,'январь 2026'!$J$2:$J$2684,AE$1)</f>
        <v>0</v>
      </c>
      <c r="AF20" s="75">
        <f>SUMIFS('январь 2026'!$G$2:$G$2684,'январь 2026'!$D$2:$D$2684,$B20,'январь 2026'!$J$2:$J$2684,AF$1)</f>
        <v>0</v>
      </c>
      <c r="AG20" s="75">
        <f>SUMIFS('январь 2026'!$G$2:$G$2684,'январь 2026'!$D$2:$D$2684,$B20,'январь 2026'!$J$2:$J$2684,AG$1)</f>
        <v>0</v>
      </c>
      <c r="AH20" s="75">
        <f>SUMIFS('январь 2026'!$G$2:$G$2684,'январь 2026'!$D$2:$D$2684,$B20,'январь 2026'!$J$2:$J$2684,AH$1)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SUMIFS('январь 2026'!$G$2:$G$2684,'январь 2026'!$D$2:$D$2684,$B21,'январь 2026'!$J$2:$J$2684,D$1)</f>
        <v>0</v>
      </c>
      <c r="E21" s="75">
        <f>SUMIFS('январь 2026'!$G$2:$G$2684,'январь 2026'!$D$2:$D$2684,$B21,'январь 2026'!$J$2:$J$2684,E$1)</f>
        <v>0</v>
      </c>
      <c r="F21" s="75">
        <f>SUMIFS('январь 2026'!$G$2:$G$2684,'январь 2026'!$D$2:$D$2684,$B21,'январь 2026'!$J$2:$J$2684,F$1)</f>
        <v>0</v>
      </c>
      <c r="G21" s="75">
        <f>SUMIFS('январь 2026'!$G$2:$G$2684,'январь 2026'!$D$2:$D$2684,$B21,'январь 2026'!$J$2:$J$2684,G$1)</f>
        <v>0</v>
      </c>
      <c r="H21" s="75">
        <f>SUMIFS('январь 2026'!$G$2:$G$2684,'январь 2026'!$D$2:$D$2684,$B21,'январь 2026'!$J$2:$J$2684,H$1)</f>
        <v>0</v>
      </c>
      <c r="I21" s="75">
        <f>SUMIFS('январь 2026'!$G$2:$G$2684,'январь 2026'!$D$2:$D$2684,$B21,'январь 2026'!$J$2:$J$2684,I$1)</f>
        <v>0</v>
      </c>
      <c r="J21" s="75">
        <f>SUMIFS('январь 2026'!$G$2:$G$2684,'январь 2026'!$D$2:$D$2684,$B21,'январь 2026'!$J$2:$J$2684,J$1)</f>
        <v>0</v>
      </c>
      <c r="K21" s="75">
        <f>SUMIFS('январь 2026'!$G$2:$G$2684,'январь 2026'!$D$2:$D$2684,$B21,'январь 2026'!$J$2:$J$2684,K$1)</f>
        <v>0</v>
      </c>
      <c r="L21" s="75">
        <f>SUMIFS('январь 2026'!$G$2:$G$2684,'январь 2026'!$D$2:$D$2684,$B21,'январь 2026'!$J$2:$J$2684,L$1)</f>
        <v>0</v>
      </c>
      <c r="M21" s="75">
        <f>SUMIFS('январь 2026'!$G$2:$G$2684,'январь 2026'!$D$2:$D$2684,$B21,'январь 2026'!$J$2:$J$2684,M$1)</f>
        <v>0</v>
      </c>
      <c r="N21" s="75">
        <f>SUMIFS('январь 2026'!$G$2:$G$2684,'январь 2026'!$D$2:$D$2684,$B21,'январь 2026'!$J$2:$J$2684,N$1)</f>
        <v>0</v>
      </c>
      <c r="O21" s="75">
        <f>SUMIFS('январь 2026'!$G$2:$G$2684,'январь 2026'!$D$2:$D$2684,$B21,'январь 2026'!$J$2:$J$2684,O$1)</f>
        <v>0</v>
      </c>
      <c r="P21" s="75">
        <f>SUMIFS('январь 2026'!$G$2:$G$2684,'январь 2026'!$D$2:$D$2684,$B21,'январь 2026'!$J$2:$J$2684,P$1)</f>
        <v>0</v>
      </c>
      <c r="Q21" s="75">
        <f>SUMIFS('январь 2026'!$G$2:$G$2684,'январь 2026'!$D$2:$D$2684,$B21,'январь 2026'!$J$2:$J$2684,Q$1)</f>
        <v>0</v>
      </c>
      <c r="R21" s="75">
        <f>SUMIFS('январь 2026'!$G$2:$G$2684,'январь 2026'!$D$2:$D$2684,$B21,'январь 2026'!$J$2:$J$2684,R$1)</f>
        <v>0</v>
      </c>
      <c r="S21" s="75">
        <f>SUMIFS('январь 2026'!$G$2:$G$2684,'январь 2026'!$D$2:$D$2684,$B21,'январь 2026'!$J$2:$J$2684,S$1)</f>
        <v>0</v>
      </c>
      <c r="T21" s="75">
        <f>SUMIFS('январь 2026'!$G$2:$G$2684,'январь 2026'!$D$2:$D$2684,$B21,'январь 2026'!$J$2:$J$2684,T$1)</f>
        <v>0</v>
      </c>
      <c r="U21" s="75">
        <f>SUMIFS('январь 2026'!$G$2:$G$2684,'январь 2026'!$D$2:$D$2684,$B21,'январь 2026'!$J$2:$J$2684,U$1)</f>
        <v>0</v>
      </c>
      <c r="V21" s="75">
        <f>SUMIFS('январь 2026'!$G$2:$G$2684,'январь 2026'!$D$2:$D$2684,$B21,'январь 2026'!$J$2:$J$2684,V$1)</f>
        <v>0</v>
      </c>
      <c r="W21" s="75">
        <f>SUMIFS('январь 2026'!$G$2:$G$2684,'январь 2026'!$D$2:$D$2684,$B21,'январь 2026'!$J$2:$J$2684,W$1)</f>
        <v>0</v>
      </c>
      <c r="X21" s="75">
        <f>SUMIFS('январь 2026'!$G$2:$G$2684,'январь 2026'!$D$2:$D$2684,$B21,'январь 2026'!$J$2:$J$2684,X$1)</f>
        <v>0</v>
      </c>
      <c r="Y21" s="75">
        <f>SUMIFS('январь 2026'!$G$2:$G$2684,'январь 2026'!$D$2:$D$2684,$B21,'январь 2026'!$J$2:$J$2684,Y$1)</f>
        <v>0</v>
      </c>
      <c r="Z21" s="75">
        <f>SUMIFS('январь 2026'!$G$2:$G$2684,'январь 2026'!$D$2:$D$2684,$B21,'январь 2026'!$J$2:$J$2684,Z$1)</f>
        <v>0</v>
      </c>
      <c r="AA21" s="75">
        <f>SUMIFS('январь 2026'!$G$2:$G$2684,'январь 2026'!$D$2:$D$2684,$B21,'январь 2026'!$J$2:$J$2684,AA$1)</f>
        <v>0</v>
      </c>
      <c r="AB21" s="75">
        <f>SUMIFS('январь 2026'!$G$2:$G$2684,'январь 2026'!$D$2:$D$2684,$B21,'январь 2026'!$J$2:$J$2684,AB$1)</f>
        <v>0</v>
      </c>
      <c r="AC21" s="75">
        <f>SUMIFS('январь 2026'!$G$2:$G$2684,'январь 2026'!$D$2:$D$2684,$B21,'январь 2026'!$J$2:$J$2684,AC$1)</f>
        <v>0</v>
      </c>
      <c r="AD21" s="75">
        <f>SUMIFS('январь 2026'!$G$2:$G$2684,'январь 2026'!$D$2:$D$2684,$B21,'январь 2026'!$J$2:$J$2684,AD$1)</f>
        <v>0</v>
      </c>
      <c r="AE21" s="75">
        <f>SUMIFS('январь 2026'!$G$2:$G$2684,'январь 2026'!$D$2:$D$2684,$B21,'январь 2026'!$J$2:$J$2684,AE$1)</f>
        <v>0</v>
      </c>
      <c r="AF21" s="75">
        <f>SUMIFS('январь 2026'!$G$2:$G$2684,'январь 2026'!$D$2:$D$2684,$B21,'январь 2026'!$J$2:$J$2684,AF$1)</f>
        <v>0</v>
      </c>
      <c r="AG21" s="75">
        <f>SUMIFS('январь 2026'!$G$2:$G$2684,'январь 2026'!$D$2:$D$2684,$B21,'январь 2026'!$J$2:$J$2684,AG$1)</f>
        <v>0</v>
      </c>
      <c r="AH21" s="75">
        <f>SUMIFS('январь 2026'!$G$2:$G$2684,'январь 2026'!$D$2:$D$2684,$B21,'январь 2026'!$J$2:$J$2684,AH$1)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SUMIFS('январь 2026'!$G$2:$G$2684,'январь 2026'!$D$2:$D$2684,$B22,'январь 2026'!$J$2:$J$2684,D$1)</f>
        <v>0</v>
      </c>
      <c r="E22" s="75">
        <f>SUMIFS('январь 2026'!$G$2:$G$2684,'январь 2026'!$D$2:$D$2684,$B22,'январь 2026'!$J$2:$J$2684,E$1)</f>
        <v>0</v>
      </c>
      <c r="F22" s="75">
        <f>SUMIFS('январь 2026'!$G$2:$G$2684,'январь 2026'!$D$2:$D$2684,$B22,'январь 2026'!$J$2:$J$2684,F$1)</f>
        <v>0</v>
      </c>
      <c r="G22" s="75">
        <f>SUMIFS('январь 2026'!$G$2:$G$2684,'январь 2026'!$D$2:$D$2684,$B22,'январь 2026'!$J$2:$J$2684,G$1)</f>
        <v>0</v>
      </c>
      <c r="H22" s="75">
        <f>SUMIFS('январь 2026'!$G$2:$G$2684,'январь 2026'!$D$2:$D$2684,$B22,'январь 2026'!$J$2:$J$2684,H$1)</f>
        <v>0</v>
      </c>
      <c r="I22" s="75">
        <f>SUMIFS('январь 2026'!$G$2:$G$2684,'январь 2026'!$D$2:$D$2684,$B22,'январь 2026'!$J$2:$J$2684,I$1)</f>
        <v>0</v>
      </c>
      <c r="J22" s="75">
        <f>SUMIFS('январь 2026'!$G$2:$G$2684,'январь 2026'!$D$2:$D$2684,$B22,'январь 2026'!$J$2:$J$2684,J$1)</f>
        <v>0</v>
      </c>
      <c r="K22" s="75">
        <f>SUMIFS('январь 2026'!$G$2:$G$2684,'январь 2026'!$D$2:$D$2684,$B22,'январь 2026'!$J$2:$J$2684,K$1)</f>
        <v>0</v>
      </c>
      <c r="L22" s="75">
        <f>SUMIFS('январь 2026'!$G$2:$G$2684,'январь 2026'!$D$2:$D$2684,$B22,'январь 2026'!$J$2:$J$2684,L$1)</f>
        <v>0</v>
      </c>
      <c r="M22" s="75">
        <f>SUMIFS('январь 2026'!$G$2:$G$2684,'январь 2026'!$D$2:$D$2684,$B22,'январь 2026'!$J$2:$J$2684,M$1)</f>
        <v>0</v>
      </c>
      <c r="N22" s="75">
        <f>SUMIFS('январь 2026'!$G$2:$G$2684,'январь 2026'!$D$2:$D$2684,$B22,'январь 2026'!$J$2:$J$2684,N$1)</f>
        <v>0</v>
      </c>
      <c r="O22" s="75">
        <f>SUMIFS('январь 2026'!$G$2:$G$2684,'январь 2026'!$D$2:$D$2684,$B22,'январь 2026'!$J$2:$J$2684,O$1)</f>
        <v>0</v>
      </c>
      <c r="P22" s="75">
        <f>SUMIFS('январь 2026'!$G$2:$G$2684,'январь 2026'!$D$2:$D$2684,$B22,'январь 2026'!$J$2:$J$2684,P$1)</f>
        <v>0</v>
      </c>
      <c r="Q22" s="75">
        <f>SUMIFS('январь 2026'!$G$2:$G$2684,'январь 2026'!$D$2:$D$2684,$B22,'январь 2026'!$J$2:$J$2684,Q$1)</f>
        <v>0</v>
      </c>
      <c r="R22" s="75">
        <f>SUMIFS('январь 2026'!$G$2:$G$2684,'январь 2026'!$D$2:$D$2684,$B22,'январь 2026'!$J$2:$J$2684,R$1)</f>
        <v>0</v>
      </c>
      <c r="S22" s="75">
        <f>SUMIFS('январь 2026'!$G$2:$G$2684,'январь 2026'!$D$2:$D$2684,$B22,'январь 2026'!$J$2:$J$2684,S$1)</f>
        <v>0</v>
      </c>
      <c r="T22" s="75">
        <f>SUMIFS('январь 2026'!$G$2:$G$2684,'январь 2026'!$D$2:$D$2684,$B22,'январь 2026'!$J$2:$J$2684,T$1)</f>
        <v>0</v>
      </c>
      <c r="U22" s="75">
        <f>SUMIFS('январь 2026'!$G$2:$G$2684,'январь 2026'!$D$2:$D$2684,$B22,'январь 2026'!$J$2:$J$2684,U$1)</f>
        <v>0</v>
      </c>
      <c r="V22" s="75">
        <f>SUMIFS('январь 2026'!$G$2:$G$2684,'январь 2026'!$D$2:$D$2684,$B22,'январь 2026'!$J$2:$J$2684,V$1)</f>
        <v>0</v>
      </c>
      <c r="W22" s="75">
        <f>SUMIFS('январь 2026'!$G$2:$G$2684,'январь 2026'!$D$2:$D$2684,$B22,'январь 2026'!$J$2:$J$2684,W$1)</f>
        <v>0</v>
      </c>
      <c r="X22" s="75">
        <f>SUMIFS('январь 2026'!$G$2:$G$2684,'январь 2026'!$D$2:$D$2684,$B22,'январь 2026'!$J$2:$J$2684,X$1)</f>
        <v>0</v>
      </c>
      <c r="Y22" s="75">
        <f>SUMIFS('январь 2026'!$G$2:$G$2684,'январь 2026'!$D$2:$D$2684,$B22,'январь 2026'!$J$2:$J$2684,Y$1)</f>
        <v>0</v>
      </c>
      <c r="Z22" s="75">
        <f>SUMIFS('январь 2026'!$G$2:$G$2684,'январь 2026'!$D$2:$D$2684,$B22,'январь 2026'!$J$2:$J$2684,Z$1)</f>
        <v>0</v>
      </c>
      <c r="AA22" s="75">
        <f>SUMIFS('январь 2026'!$G$2:$G$2684,'январь 2026'!$D$2:$D$2684,$B22,'январь 2026'!$J$2:$J$2684,AA$1)</f>
        <v>0</v>
      </c>
      <c r="AB22" s="75">
        <f>SUMIFS('январь 2026'!$G$2:$G$2684,'январь 2026'!$D$2:$D$2684,$B22,'январь 2026'!$J$2:$J$2684,AB$1)</f>
        <v>0</v>
      </c>
      <c r="AC22" s="75">
        <f>SUMIFS('январь 2026'!$G$2:$G$2684,'январь 2026'!$D$2:$D$2684,$B22,'январь 2026'!$J$2:$J$2684,AC$1)</f>
        <v>0</v>
      </c>
      <c r="AD22" s="75">
        <f>SUMIFS('январь 2026'!$G$2:$G$2684,'январь 2026'!$D$2:$D$2684,$B22,'январь 2026'!$J$2:$J$2684,AD$1)</f>
        <v>0</v>
      </c>
      <c r="AE22" s="75">
        <f>SUMIFS('январь 2026'!$G$2:$G$2684,'январь 2026'!$D$2:$D$2684,$B22,'январь 2026'!$J$2:$J$2684,AE$1)</f>
        <v>0</v>
      </c>
      <c r="AF22" s="75">
        <f>SUMIFS('январь 2026'!$G$2:$G$2684,'январь 2026'!$D$2:$D$2684,$B22,'январь 2026'!$J$2:$J$2684,AF$1)</f>
        <v>0</v>
      </c>
      <c r="AG22" s="75">
        <f>SUMIFS('январь 2026'!$G$2:$G$2684,'январь 2026'!$D$2:$D$2684,$B22,'январь 2026'!$J$2:$J$2684,AG$1)</f>
        <v>0</v>
      </c>
      <c r="AH22" s="75">
        <f>SUMIFS('январь 2026'!$G$2:$G$2684,'январь 2026'!$D$2:$D$2684,$B22,'январь 2026'!$J$2:$J$2684,AH$1)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SUMIFS('январь 2026'!$G$2:$G$2684,'январь 2026'!$D$2:$D$2684,$B23,'январь 2026'!$J$2:$J$2684,D$1)</f>
        <v>0</v>
      </c>
      <c r="E23" s="75">
        <f>SUMIFS('январь 2026'!$G$2:$G$2684,'январь 2026'!$D$2:$D$2684,$B23,'январь 2026'!$J$2:$J$2684,E$1)</f>
        <v>0</v>
      </c>
      <c r="F23" s="75">
        <f>SUMIFS('январь 2026'!$G$2:$G$2684,'январь 2026'!$D$2:$D$2684,$B23,'январь 2026'!$J$2:$J$2684,F$1)</f>
        <v>0</v>
      </c>
      <c r="G23" s="75">
        <f>SUMIFS('январь 2026'!$G$2:$G$2684,'январь 2026'!$D$2:$D$2684,$B23,'январь 2026'!$J$2:$J$2684,G$1)</f>
        <v>0</v>
      </c>
      <c r="H23" s="75">
        <f>SUMIFS('январь 2026'!$G$2:$G$2684,'январь 2026'!$D$2:$D$2684,$B23,'январь 2026'!$J$2:$J$2684,H$1)</f>
        <v>0</v>
      </c>
      <c r="I23" s="75">
        <f>SUMIFS('январь 2026'!$G$2:$G$2684,'январь 2026'!$D$2:$D$2684,$B23,'январь 2026'!$J$2:$J$2684,I$1)</f>
        <v>0</v>
      </c>
      <c r="J23" s="75">
        <f>SUMIFS('январь 2026'!$G$2:$G$2684,'январь 2026'!$D$2:$D$2684,$B23,'январь 2026'!$J$2:$J$2684,J$1)</f>
        <v>0</v>
      </c>
      <c r="K23" s="75">
        <f>SUMIFS('январь 2026'!$G$2:$G$2684,'январь 2026'!$D$2:$D$2684,$B23,'январь 2026'!$J$2:$J$2684,K$1)</f>
        <v>0</v>
      </c>
      <c r="L23" s="75">
        <f>SUMIFS('январь 2026'!$G$2:$G$2684,'январь 2026'!$D$2:$D$2684,$B23,'январь 2026'!$J$2:$J$2684,L$1)</f>
        <v>0</v>
      </c>
      <c r="M23" s="75">
        <f>SUMIFS('январь 2026'!$G$2:$G$2684,'январь 2026'!$D$2:$D$2684,$B23,'январь 2026'!$J$2:$J$2684,M$1)</f>
        <v>0</v>
      </c>
      <c r="N23" s="75">
        <f>SUMIFS('январь 2026'!$G$2:$G$2684,'январь 2026'!$D$2:$D$2684,$B23,'январь 2026'!$J$2:$J$2684,N$1)</f>
        <v>0</v>
      </c>
      <c r="O23" s="75">
        <f>SUMIFS('январь 2026'!$G$2:$G$2684,'январь 2026'!$D$2:$D$2684,$B23,'январь 2026'!$J$2:$J$2684,O$1)</f>
        <v>0</v>
      </c>
      <c r="P23" s="75">
        <f>SUMIFS('январь 2026'!$G$2:$G$2684,'январь 2026'!$D$2:$D$2684,$B23,'январь 2026'!$J$2:$J$2684,P$1)</f>
        <v>0</v>
      </c>
      <c r="Q23" s="75">
        <f>SUMIFS('январь 2026'!$G$2:$G$2684,'январь 2026'!$D$2:$D$2684,$B23,'январь 2026'!$J$2:$J$2684,Q$1)</f>
        <v>0</v>
      </c>
      <c r="R23" s="75">
        <f>SUMIFS('январь 2026'!$G$2:$G$2684,'январь 2026'!$D$2:$D$2684,$B23,'январь 2026'!$J$2:$J$2684,R$1)</f>
        <v>0</v>
      </c>
      <c r="S23" s="75">
        <f>SUMIFS('январь 2026'!$G$2:$G$2684,'январь 2026'!$D$2:$D$2684,$B23,'январь 2026'!$J$2:$J$2684,S$1)</f>
        <v>0</v>
      </c>
      <c r="T23" s="75">
        <f>SUMIFS('январь 2026'!$G$2:$G$2684,'январь 2026'!$D$2:$D$2684,$B23,'январь 2026'!$J$2:$J$2684,T$1)</f>
        <v>0</v>
      </c>
      <c r="U23" s="75">
        <f>SUMIFS('январь 2026'!$G$2:$G$2684,'январь 2026'!$D$2:$D$2684,$B23,'январь 2026'!$J$2:$J$2684,U$1)</f>
        <v>0</v>
      </c>
      <c r="V23" s="75">
        <f>SUMIFS('январь 2026'!$G$2:$G$2684,'январь 2026'!$D$2:$D$2684,$B23,'январь 2026'!$J$2:$J$2684,V$1)</f>
        <v>0</v>
      </c>
      <c r="W23" s="75">
        <f>SUMIFS('январь 2026'!$G$2:$G$2684,'январь 2026'!$D$2:$D$2684,$B23,'январь 2026'!$J$2:$J$2684,W$1)</f>
        <v>0</v>
      </c>
      <c r="X23" s="75">
        <f>SUMIFS('январь 2026'!$G$2:$G$2684,'январь 2026'!$D$2:$D$2684,$B23,'январь 2026'!$J$2:$J$2684,X$1)</f>
        <v>0</v>
      </c>
      <c r="Y23" s="75">
        <f>SUMIFS('январь 2026'!$G$2:$G$2684,'январь 2026'!$D$2:$D$2684,$B23,'январь 2026'!$J$2:$J$2684,Y$1)</f>
        <v>0</v>
      </c>
      <c r="Z23" s="75">
        <f>SUMIFS('январь 2026'!$G$2:$G$2684,'январь 2026'!$D$2:$D$2684,$B23,'январь 2026'!$J$2:$J$2684,Z$1)</f>
        <v>0</v>
      </c>
      <c r="AA23" s="75">
        <f>SUMIFS('январь 2026'!$G$2:$G$2684,'январь 2026'!$D$2:$D$2684,$B23,'январь 2026'!$J$2:$J$2684,AA$1)</f>
        <v>0</v>
      </c>
      <c r="AB23" s="75">
        <f>SUMIFS('январь 2026'!$G$2:$G$2684,'январь 2026'!$D$2:$D$2684,$B23,'январь 2026'!$J$2:$J$2684,AB$1)</f>
        <v>0</v>
      </c>
      <c r="AC23" s="75">
        <f>SUMIFS('январь 2026'!$G$2:$G$2684,'январь 2026'!$D$2:$D$2684,$B23,'январь 2026'!$J$2:$J$2684,AC$1)</f>
        <v>0</v>
      </c>
      <c r="AD23" s="75">
        <f>SUMIFS('январь 2026'!$G$2:$G$2684,'январь 2026'!$D$2:$D$2684,$B23,'январь 2026'!$J$2:$J$2684,AD$1)</f>
        <v>0</v>
      </c>
      <c r="AE23" s="75">
        <f>SUMIFS('январь 2026'!$G$2:$G$2684,'январь 2026'!$D$2:$D$2684,$B23,'январь 2026'!$J$2:$J$2684,AE$1)</f>
        <v>0</v>
      </c>
      <c r="AF23" s="75">
        <f>SUMIFS('январь 2026'!$G$2:$G$2684,'январь 2026'!$D$2:$D$2684,$B23,'январь 2026'!$J$2:$J$2684,AF$1)</f>
        <v>0</v>
      </c>
      <c r="AG23" s="75">
        <f>SUMIFS('январь 2026'!$G$2:$G$2684,'январь 2026'!$D$2:$D$2684,$B23,'январь 2026'!$J$2:$J$2684,AG$1)</f>
        <v>0</v>
      </c>
      <c r="AH23" s="75">
        <f>SUMIFS('январь 2026'!$G$2:$G$2684,'январь 2026'!$D$2:$D$2684,$B23,'январь 2026'!$J$2:$J$2684,AH$1)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SUMIFS('январь 2026'!$G$2:$G$2684,'январь 2026'!$D$2:$D$2684,$B24,'январь 2026'!$J$2:$J$2684,D$1)</f>
        <v>0</v>
      </c>
      <c r="E24" s="75">
        <f>SUMIFS('январь 2026'!$G$2:$G$2684,'январь 2026'!$D$2:$D$2684,$B24,'январь 2026'!$J$2:$J$2684,E$1)</f>
        <v>0</v>
      </c>
      <c r="F24" s="75">
        <f>SUMIFS('январь 2026'!$G$2:$G$2684,'январь 2026'!$D$2:$D$2684,$B24,'январь 2026'!$J$2:$J$2684,F$1)</f>
        <v>0</v>
      </c>
      <c r="G24" s="75">
        <f>SUMIFS('январь 2026'!$G$2:$G$2684,'январь 2026'!$D$2:$D$2684,$B24,'январь 2026'!$J$2:$J$2684,G$1)</f>
        <v>0</v>
      </c>
      <c r="H24" s="75">
        <f>SUMIFS('январь 2026'!$G$2:$G$2684,'январь 2026'!$D$2:$D$2684,$B24,'январь 2026'!$J$2:$J$2684,H$1)</f>
        <v>0</v>
      </c>
      <c r="I24" s="75">
        <f>SUMIFS('январь 2026'!$G$2:$G$2684,'январь 2026'!$D$2:$D$2684,$B24,'январь 2026'!$J$2:$J$2684,I$1)</f>
        <v>0</v>
      </c>
      <c r="J24" s="75">
        <f>SUMIFS('январь 2026'!$G$2:$G$2684,'январь 2026'!$D$2:$D$2684,$B24,'январь 2026'!$J$2:$J$2684,J$1)</f>
        <v>0</v>
      </c>
      <c r="K24" s="75">
        <f>SUMIFS('январь 2026'!$G$2:$G$2684,'январь 2026'!$D$2:$D$2684,$B24,'январь 2026'!$J$2:$J$2684,K$1)</f>
        <v>0</v>
      </c>
      <c r="L24" s="75">
        <f>SUMIFS('январь 2026'!$G$2:$G$2684,'январь 2026'!$D$2:$D$2684,$B24,'январь 2026'!$J$2:$J$2684,L$1)</f>
        <v>0</v>
      </c>
      <c r="M24" s="75">
        <f>SUMIFS('январь 2026'!$G$2:$G$2684,'январь 2026'!$D$2:$D$2684,$B24,'январь 2026'!$J$2:$J$2684,M$1)</f>
        <v>0</v>
      </c>
      <c r="N24" s="75">
        <f>SUMIFS('январь 2026'!$G$2:$G$2684,'январь 2026'!$D$2:$D$2684,$B24,'январь 2026'!$J$2:$J$2684,N$1)</f>
        <v>0</v>
      </c>
      <c r="O24" s="75">
        <f>SUMIFS('январь 2026'!$G$2:$G$2684,'январь 2026'!$D$2:$D$2684,$B24,'январь 2026'!$J$2:$J$2684,O$1)</f>
        <v>0</v>
      </c>
      <c r="P24" s="75">
        <f>SUMIFS('январь 2026'!$G$2:$G$2684,'январь 2026'!$D$2:$D$2684,$B24,'январь 2026'!$J$2:$J$2684,P$1)</f>
        <v>0</v>
      </c>
      <c r="Q24" s="75">
        <f>SUMIFS('январь 2026'!$G$2:$G$2684,'январь 2026'!$D$2:$D$2684,$B24,'январь 2026'!$J$2:$J$2684,Q$1)</f>
        <v>0</v>
      </c>
      <c r="R24" s="75">
        <f>SUMIFS('январь 2026'!$G$2:$G$2684,'январь 2026'!$D$2:$D$2684,$B24,'январь 2026'!$J$2:$J$2684,R$1)</f>
        <v>0</v>
      </c>
      <c r="S24" s="75">
        <f>SUMIFS('январь 2026'!$G$2:$G$2684,'январь 2026'!$D$2:$D$2684,$B24,'январь 2026'!$J$2:$J$2684,S$1)</f>
        <v>0</v>
      </c>
      <c r="T24" s="75">
        <f>SUMIFS('январь 2026'!$G$2:$G$2684,'январь 2026'!$D$2:$D$2684,$B24,'январь 2026'!$J$2:$J$2684,T$1)</f>
        <v>0</v>
      </c>
      <c r="U24" s="75">
        <f>SUMIFS('январь 2026'!$G$2:$G$2684,'январь 2026'!$D$2:$D$2684,$B24,'январь 2026'!$J$2:$J$2684,U$1)</f>
        <v>0</v>
      </c>
      <c r="V24" s="75">
        <f>SUMIFS('январь 2026'!$G$2:$G$2684,'январь 2026'!$D$2:$D$2684,$B24,'январь 2026'!$J$2:$J$2684,V$1)</f>
        <v>0</v>
      </c>
      <c r="W24" s="75">
        <f>SUMIFS('январь 2026'!$G$2:$G$2684,'январь 2026'!$D$2:$D$2684,$B24,'январь 2026'!$J$2:$J$2684,W$1)</f>
        <v>0</v>
      </c>
      <c r="X24" s="75">
        <f>SUMIFS('январь 2026'!$G$2:$G$2684,'январь 2026'!$D$2:$D$2684,$B24,'январь 2026'!$J$2:$J$2684,X$1)</f>
        <v>0</v>
      </c>
      <c r="Y24" s="75">
        <f>SUMIFS('январь 2026'!$G$2:$G$2684,'январь 2026'!$D$2:$D$2684,$B24,'январь 2026'!$J$2:$J$2684,Y$1)</f>
        <v>0</v>
      </c>
      <c r="Z24" s="75">
        <f>SUMIFS('январь 2026'!$G$2:$G$2684,'январь 2026'!$D$2:$D$2684,$B24,'январь 2026'!$J$2:$J$2684,Z$1)</f>
        <v>0</v>
      </c>
      <c r="AA24" s="75">
        <f>SUMIFS('январь 2026'!$G$2:$G$2684,'январь 2026'!$D$2:$D$2684,$B24,'январь 2026'!$J$2:$J$2684,AA$1)</f>
        <v>0</v>
      </c>
      <c r="AB24" s="75">
        <f>SUMIFS('январь 2026'!$G$2:$G$2684,'январь 2026'!$D$2:$D$2684,$B24,'январь 2026'!$J$2:$J$2684,AB$1)</f>
        <v>0</v>
      </c>
      <c r="AC24" s="75">
        <f>SUMIFS('январь 2026'!$G$2:$G$2684,'январь 2026'!$D$2:$D$2684,$B24,'январь 2026'!$J$2:$J$2684,AC$1)</f>
        <v>0</v>
      </c>
      <c r="AD24" s="75">
        <f>SUMIFS('январь 2026'!$G$2:$G$2684,'январь 2026'!$D$2:$D$2684,$B24,'январь 2026'!$J$2:$J$2684,AD$1)</f>
        <v>0</v>
      </c>
      <c r="AE24" s="75">
        <f>SUMIFS('январь 2026'!$G$2:$G$2684,'январь 2026'!$D$2:$D$2684,$B24,'январь 2026'!$J$2:$J$2684,AE$1)</f>
        <v>0</v>
      </c>
      <c r="AF24" s="75">
        <f>SUMIFS('январь 2026'!$G$2:$G$2684,'январь 2026'!$D$2:$D$2684,$B24,'январь 2026'!$J$2:$J$2684,AF$1)</f>
        <v>0</v>
      </c>
      <c r="AG24" s="75">
        <f>SUMIFS('январь 2026'!$G$2:$G$2684,'январь 2026'!$D$2:$D$2684,$B24,'январь 2026'!$J$2:$J$2684,AG$1)</f>
        <v>0</v>
      </c>
      <c r="AH24" s="75">
        <f>SUMIFS('январь 2026'!$G$2:$G$2684,'январь 2026'!$D$2:$D$2684,$B24,'январь 2026'!$J$2:$J$2684,AH$1)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SUMIFS('январь 2026'!$G$2:$G$2684,'январь 2026'!$D$2:$D$2684,$B25,'январь 2026'!$J$2:$J$2684,D$1)</f>
        <v>0</v>
      </c>
      <c r="E25" s="75">
        <f>SUMIFS('январь 2026'!$G$2:$G$2684,'январь 2026'!$D$2:$D$2684,$B25,'январь 2026'!$J$2:$J$2684,E$1)</f>
        <v>0</v>
      </c>
      <c r="F25" s="75">
        <f>SUMIFS('январь 2026'!$G$2:$G$2684,'январь 2026'!$D$2:$D$2684,$B25,'январь 2026'!$J$2:$J$2684,F$1)</f>
        <v>0</v>
      </c>
      <c r="G25" s="75">
        <f>SUMIFS('январь 2026'!$G$2:$G$2684,'январь 2026'!$D$2:$D$2684,$B25,'январь 2026'!$J$2:$J$2684,G$1)</f>
        <v>0</v>
      </c>
      <c r="H25" s="75">
        <f>SUMIFS('январь 2026'!$G$2:$G$2684,'январь 2026'!$D$2:$D$2684,$B25,'январь 2026'!$J$2:$J$2684,H$1)</f>
        <v>0</v>
      </c>
      <c r="I25" s="75">
        <f>SUMIFS('январь 2026'!$G$2:$G$2684,'январь 2026'!$D$2:$D$2684,$B25,'январь 2026'!$J$2:$J$2684,I$1)</f>
        <v>0</v>
      </c>
      <c r="J25" s="75">
        <f>SUMIFS('январь 2026'!$G$2:$G$2684,'январь 2026'!$D$2:$D$2684,$B25,'январь 2026'!$J$2:$J$2684,J$1)</f>
        <v>0</v>
      </c>
      <c r="K25" s="75">
        <f>SUMIFS('январь 2026'!$G$2:$G$2684,'январь 2026'!$D$2:$D$2684,$B25,'январь 2026'!$J$2:$J$2684,K$1)</f>
        <v>0</v>
      </c>
      <c r="L25" s="75">
        <f>SUMIFS('январь 2026'!$G$2:$G$2684,'январь 2026'!$D$2:$D$2684,$B25,'январь 2026'!$J$2:$J$2684,L$1)</f>
        <v>0</v>
      </c>
      <c r="M25" s="75">
        <f>SUMIFS('январь 2026'!$G$2:$G$2684,'январь 2026'!$D$2:$D$2684,$B25,'январь 2026'!$J$2:$J$2684,M$1)</f>
        <v>0</v>
      </c>
      <c r="N25" s="75">
        <f>SUMIFS('январь 2026'!$G$2:$G$2684,'январь 2026'!$D$2:$D$2684,$B25,'январь 2026'!$J$2:$J$2684,N$1)</f>
        <v>0</v>
      </c>
      <c r="O25" s="75">
        <f>SUMIFS('январь 2026'!$G$2:$G$2684,'январь 2026'!$D$2:$D$2684,$B25,'январь 2026'!$J$2:$J$2684,O$1)</f>
        <v>0</v>
      </c>
      <c r="P25" s="75">
        <f>SUMIFS('январь 2026'!$G$2:$G$2684,'январь 2026'!$D$2:$D$2684,$B25,'январь 2026'!$J$2:$J$2684,P$1)</f>
        <v>0</v>
      </c>
      <c r="Q25" s="75">
        <f>SUMIFS('январь 2026'!$G$2:$G$2684,'январь 2026'!$D$2:$D$2684,$B25,'январь 2026'!$J$2:$J$2684,Q$1)</f>
        <v>0</v>
      </c>
      <c r="R25" s="75">
        <f>SUMIFS('январь 2026'!$G$2:$G$2684,'январь 2026'!$D$2:$D$2684,$B25,'январь 2026'!$J$2:$J$2684,R$1)</f>
        <v>0</v>
      </c>
      <c r="S25" s="75">
        <f>SUMIFS('январь 2026'!$G$2:$G$2684,'январь 2026'!$D$2:$D$2684,$B25,'январь 2026'!$J$2:$J$2684,S$1)</f>
        <v>0</v>
      </c>
      <c r="T25" s="75">
        <f>SUMIFS('январь 2026'!$G$2:$G$2684,'январь 2026'!$D$2:$D$2684,$B25,'январь 2026'!$J$2:$J$2684,T$1)</f>
        <v>0</v>
      </c>
      <c r="U25" s="75">
        <f>SUMIFS('январь 2026'!$G$2:$G$2684,'январь 2026'!$D$2:$D$2684,$B25,'январь 2026'!$J$2:$J$2684,U$1)</f>
        <v>0</v>
      </c>
      <c r="V25" s="75">
        <f>SUMIFS('январь 2026'!$G$2:$G$2684,'январь 2026'!$D$2:$D$2684,$B25,'январь 2026'!$J$2:$J$2684,V$1)</f>
        <v>0</v>
      </c>
      <c r="W25" s="75">
        <f>SUMIFS('январь 2026'!$G$2:$G$2684,'январь 2026'!$D$2:$D$2684,$B25,'январь 2026'!$J$2:$J$2684,W$1)</f>
        <v>0</v>
      </c>
      <c r="X25" s="75">
        <f>SUMIFS('январь 2026'!$G$2:$G$2684,'январь 2026'!$D$2:$D$2684,$B25,'январь 2026'!$J$2:$J$2684,X$1)</f>
        <v>0</v>
      </c>
      <c r="Y25" s="75">
        <f>SUMIFS('январь 2026'!$G$2:$G$2684,'январь 2026'!$D$2:$D$2684,$B25,'январь 2026'!$J$2:$J$2684,Y$1)</f>
        <v>0</v>
      </c>
      <c r="Z25" s="75">
        <f>SUMIFS('январь 2026'!$G$2:$G$2684,'январь 2026'!$D$2:$D$2684,$B25,'январь 2026'!$J$2:$J$2684,Z$1)</f>
        <v>0</v>
      </c>
      <c r="AA25" s="75">
        <f>SUMIFS('январь 2026'!$G$2:$G$2684,'январь 2026'!$D$2:$D$2684,$B25,'январь 2026'!$J$2:$J$2684,AA$1)</f>
        <v>0</v>
      </c>
      <c r="AB25" s="75">
        <f>SUMIFS('январь 2026'!$G$2:$G$2684,'январь 2026'!$D$2:$D$2684,$B25,'январь 2026'!$J$2:$J$2684,AB$1)</f>
        <v>0</v>
      </c>
      <c r="AC25" s="75">
        <f>SUMIFS('январь 2026'!$G$2:$G$2684,'январь 2026'!$D$2:$D$2684,$B25,'январь 2026'!$J$2:$J$2684,AC$1)</f>
        <v>0</v>
      </c>
      <c r="AD25" s="75">
        <f>SUMIFS('январь 2026'!$G$2:$G$2684,'январь 2026'!$D$2:$D$2684,$B25,'январь 2026'!$J$2:$J$2684,AD$1)</f>
        <v>0</v>
      </c>
      <c r="AE25" s="75">
        <f>SUMIFS('январь 2026'!$G$2:$G$2684,'январь 2026'!$D$2:$D$2684,$B25,'январь 2026'!$J$2:$J$2684,AE$1)</f>
        <v>0</v>
      </c>
      <c r="AF25" s="75">
        <f>SUMIFS('январь 2026'!$G$2:$G$2684,'январь 2026'!$D$2:$D$2684,$B25,'январь 2026'!$J$2:$J$2684,AF$1)</f>
        <v>0</v>
      </c>
      <c r="AG25" s="75">
        <f>SUMIFS('январь 2026'!$G$2:$G$2684,'январь 2026'!$D$2:$D$2684,$B25,'январь 2026'!$J$2:$J$2684,AG$1)</f>
        <v>0</v>
      </c>
      <c r="AH25" s="75">
        <f>SUMIFS('январь 2026'!$G$2:$G$2684,'январь 2026'!$D$2:$D$2684,$B25,'январь 2026'!$J$2:$J$2684,AH$1)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SUMIFS('январь 2026'!$G$2:$G$2684,'январь 2026'!$D$2:$D$2684,$B26,'январь 2026'!$J$2:$J$2684,D$1)</f>
        <v>0</v>
      </c>
      <c r="E26" s="75">
        <f>SUMIFS('январь 2026'!$G$2:$G$2684,'январь 2026'!$D$2:$D$2684,$B26,'январь 2026'!$J$2:$J$2684,E$1)</f>
        <v>0</v>
      </c>
      <c r="F26" s="75">
        <f>SUMIFS('январь 2026'!$G$2:$G$2684,'январь 2026'!$D$2:$D$2684,$B26,'январь 2026'!$J$2:$J$2684,F$1)</f>
        <v>0</v>
      </c>
      <c r="G26" s="75">
        <f>SUMIFS('январь 2026'!$G$2:$G$2684,'январь 2026'!$D$2:$D$2684,$B26,'январь 2026'!$J$2:$J$2684,G$1)</f>
        <v>0</v>
      </c>
      <c r="H26" s="75">
        <f>SUMIFS('январь 2026'!$G$2:$G$2684,'январь 2026'!$D$2:$D$2684,$B26,'январь 2026'!$J$2:$J$2684,H$1)</f>
        <v>0</v>
      </c>
      <c r="I26" s="75">
        <f>SUMIFS('январь 2026'!$G$2:$G$2684,'январь 2026'!$D$2:$D$2684,$B26,'январь 2026'!$J$2:$J$2684,I$1)</f>
        <v>0</v>
      </c>
      <c r="J26" s="75">
        <f>SUMIFS('январь 2026'!$G$2:$G$2684,'январь 2026'!$D$2:$D$2684,$B26,'январь 2026'!$J$2:$J$2684,J$1)</f>
        <v>0</v>
      </c>
      <c r="K26" s="75">
        <f>SUMIFS('январь 2026'!$G$2:$G$2684,'январь 2026'!$D$2:$D$2684,$B26,'январь 2026'!$J$2:$J$2684,K$1)</f>
        <v>0</v>
      </c>
      <c r="L26" s="75">
        <f>SUMIFS('январь 2026'!$G$2:$G$2684,'январь 2026'!$D$2:$D$2684,$B26,'январь 2026'!$J$2:$J$2684,L$1)</f>
        <v>0</v>
      </c>
      <c r="M26" s="75">
        <f>SUMIFS('январь 2026'!$G$2:$G$2684,'январь 2026'!$D$2:$D$2684,$B26,'январь 2026'!$J$2:$J$2684,M$1)</f>
        <v>0</v>
      </c>
      <c r="N26" s="75">
        <f>SUMIFS('январь 2026'!$G$2:$G$2684,'январь 2026'!$D$2:$D$2684,$B26,'январь 2026'!$J$2:$J$2684,N$1)</f>
        <v>0</v>
      </c>
      <c r="O26" s="75">
        <f>SUMIFS('январь 2026'!$G$2:$G$2684,'январь 2026'!$D$2:$D$2684,$B26,'январь 2026'!$J$2:$J$2684,O$1)</f>
        <v>0</v>
      </c>
      <c r="P26" s="75">
        <f>SUMIFS('январь 2026'!$G$2:$G$2684,'январь 2026'!$D$2:$D$2684,$B26,'январь 2026'!$J$2:$J$2684,P$1)</f>
        <v>0</v>
      </c>
      <c r="Q26" s="75">
        <f>SUMIFS('январь 2026'!$G$2:$G$2684,'январь 2026'!$D$2:$D$2684,$B26,'январь 2026'!$J$2:$J$2684,Q$1)</f>
        <v>0</v>
      </c>
      <c r="R26" s="75">
        <f>SUMIFS('январь 2026'!$G$2:$G$2684,'январь 2026'!$D$2:$D$2684,$B26,'январь 2026'!$J$2:$J$2684,R$1)</f>
        <v>0</v>
      </c>
      <c r="S26" s="75">
        <f>SUMIFS('январь 2026'!$G$2:$G$2684,'январь 2026'!$D$2:$D$2684,$B26,'январь 2026'!$J$2:$J$2684,S$1)</f>
        <v>0</v>
      </c>
      <c r="T26" s="75">
        <f>SUMIFS('январь 2026'!$G$2:$G$2684,'январь 2026'!$D$2:$D$2684,$B26,'январь 2026'!$J$2:$J$2684,T$1)</f>
        <v>0</v>
      </c>
      <c r="U26" s="75">
        <f>SUMIFS('январь 2026'!$G$2:$G$2684,'январь 2026'!$D$2:$D$2684,$B26,'январь 2026'!$J$2:$J$2684,U$1)</f>
        <v>0</v>
      </c>
      <c r="V26" s="75">
        <f>SUMIFS('январь 2026'!$G$2:$G$2684,'январь 2026'!$D$2:$D$2684,$B26,'январь 2026'!$J$2:$J$2684,V$1)</f>
        <v>0</v>
      </c>
      <c r="W26" s="75">
        <f>SUMIFS('январь 2026'!$G$2:$G$2684,'январь 2026'!$D$2:$D$2684,$B26,'январь 2026'!$J$2:$J$2684,W$1)</f>
        <v>0</v>
      </c>
      <c r="X26" s="75">
        <f>SUMIFS('январь 2026'!$G$2:$G$2684,'январь 2026'!$D$2:$D$2684,$B26,'январь 2026'!$J$2:$J$2684,X$1)</f>
        <v>0</v>
      </c>
      <c r="Y26" s="75">
        <f>SUMIFS('январь 2026'!$G$2:$G$2684,'январь 2026'!$D$2:$D$2684,$B26,'январь 2026'!$J$2:$J$2684,Y$1)</f>
        <v>0</v>
      </c>
      <c r="Z26" s="75">
        <f>SUMIFS('январь 2026'!$G$2:$G$2684,'январь 2026'!$D$2:$D$2684,$B26,'январь 2026'!$J$2:$J$2684,Z$1)</f>
        <v>0</v>
      </c>
      <c r="AA26" s="75">
        <f>SUMIFS('январь 2026'!$G$2:$G$2684,'январь 2026'!$D$2:$D$2684,$B26,'январь 2026'!$J$2:$J$2684,AA$1)</f>
        <v>0</v>
      </c>
      <c r="AB26" s="75">
        <f>SUMIFS('январь 2026'!$G$2:$G$2684,'январь 2026'!$D$2:$D$2684,$B26,'январь 2026'!$J$2:$J$2684,AB$1)</f>
        <v>0</v>
      </c>
      <c r="AC26" s="75">
        <f>SUMIFS('январь 2026'!$G$2:$G$2684,'январь 2026'!$D$2:$D$2684,$B26,'январь 2026'!$J$2:$J$2684,AC$1)</f>
        <v>0</v>
      </c>
      <c r="AD26" s="75">
        <f>SUMIFS('январь 2026'!$G$2:$G$2684,'январь 2026'!$D$2:$D$2684,$B26,'январь 2026'!$J$2:$J$2684,AD$1)</f>
        <v>0</v>
      </c>
      <c r="AE26" s="75">
        <f>SUMIFS('январь 2026'!$G$2:$G$2684,'январь 2026'!$D$2:$D$2684,$B26,'январь 2026'!$J$2:$J$2684,AE$1)</f>
        <v>0</v>
      </c>
      <c r="AF26" s="75">
        <f>SUMIFS('январь 2026'!$G$2:$G$2684,'январь 2026'!$D$2:$D$2684,$B26,'январь 2026'!$J$2:$J$2684,AF$1)</f>
        <v>0</v>
      </c>
      <c r="AG26" s="75">
        <f>SUMIFS('январь 2026'!$G$2:$G$2684,'январь 2026'!$D$2:$D$2684,$B26,'январь 2026'!$J$2:$J$2684,AG$1)</f>
        <v>0</v>
      </c>
      <c r="AH26" s="75">
        <f>SUMIFS('январь 2026'!$G$2:$G$2684,'январь 2026'!$D$2:$D$2684,$B26,'январь 2026'!$J$2:$J$2684,AH$1)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SUMIFS('январь 2026'!$G$2:$G$2684,'январь 2026'!$D$2:$D$2684,$B27,'январь 2026'!$J$2:$J$2684,D$1)</f>
        <v>0</v>
      </c>
      <c r="E27" s="75">
        <f>SUMIFS('январь 2026'!$G$2:$G$2684,'январь 2026'!$D$2:$D$2684,$B27,'январь 2026'!$J$2:$J$2684,E$1)</f>
        <v>0</v>
      </c>
      <c r="F27" s="75">
        <f>SUMIFS('январь 2026'!$G$2:$G$2684,'январь 2026'!$D$2:$D$2684,$B27,'январь 2026'!$J$2:$J$2684,F$1)</f>
        <v>0</v>
      </c>
      <c r="G27" s="75">
        <f>SUMIFS('январь 2026'!$G$2:$G$2684,'январь 2026'!$D$2:$D$2684,$B27,'январь 2026'!$J$2:$J$2684,G$1)</f>
        <v>0</v>
      </c>
      <c r="H27" s="75">
        <f>SUMIFS('январь 2026'!$G$2:$G$2684,'январь 2026'!$D$2:$D$2684,$B27,'январь 2026'!$J$2:$J$2684,H$1)</f>
        <v>0</v>
      </c>
      <c r="I27" s="75">
        <f>SUMIFS('январь 2026'!$G$2:$G$2684,'январь 2026'!$D$2:$D$2684,$B27,'январь 2026'!$J$2:$J$2684,I$1)</f>
        <v>0</v>
      </c>
      <c r="J27" s="75">
        <f>SUMIFS('январь 2026'!$G$2:$G$2684,'январь 2026'!$D$2:$D$2684,$B27,'январь 2026'!$J$2:$J$2684,J$1)</f>
        <v>0</v>
      </c>
      <c r="K27" s="75">
        <f>SUMIFS('январь 2026'!$G$2:$G$2684,'январь 2026'!$D$2:$D$2684,$B27,'январь 2026'!$J$2:$J$2684,K$1)</f>
        <v>0</v>
      </c>
      <c r="L27" s="75">
        <f>SUMIFS('январь 2026'!$G$2:$G$2684,'январь 2026'!$D$2:$D$2684,$B27,'январь 2026'!$J$2:$J$2684,L$1)</f>
        <v>0</v>
      </c>
      <c r="M27" s="75">
        <f>SUMIFS('январь 2026'!$G$2:$G$2684,'январь 2026'!$D$2:$D$2684,$B27,'январь 2026'!$J$2:$J$2684,M$1)</f>
        <v>0</v>
      </c>
      <c r="N27" s="75">
        <f>SUMIFS('январь 2026'!$G$2:$G$2684,'январь 2026'!$D$2:$D$2684,$B27,'январь 2026'!$J$2:$J$2684,N$1)</f>
        <v>0</v>
      </c>
      <c r="O27" s="75">
        <f>SUMIFS('январь 2026'!$G$2:$G$2684,'январь 2026'!$D$2:$D$2684,$B27,'январь 2026'!$J$2:$J$2684,O$1)</f>
        <v>0</v>
      </c>
      <c r="P27" s="75">
        <f>SUMIFS('январь 2026'!$G$2:$G$2684,'январь 2026'!$D$2:$D$2684,$B27,'январь 2026'!$J$2:$J$2684,P$1)</f>
        <v>0</v>
      </c>
      <c r="Q27" s="75">
        <f>SUMIFS('январь 2026'!$G$2:$G$2684,'январь 2026'!$D$2:$D$2684,$B27,'январь 2026'!$J$2:$J$2684,Q$1)</f>
        <v>0</v>
      </c>
      <c r="R27" s="75">
        <f>SUMIFS('январь 2026'!$G$2:$G$2684,'январь 2026'!$D$2:$D$2684,$B27,'январь 2026'!$J$2:$J$2684,R$1)</f>
        <v>0</v>
      </c>
      <c r="S27" s="75">
        <f>SUMIFS('январь 2026'!$G$2:$G$2684,'январь 2026'!$D$2:$D$2684,$B27,'январь 2026'!$J$2:$J$2684,S$1)</f>
        <v>0</v>
      </c>
      <c r="T27" s="75">
        <f>SUMIFS('январь 2026'!$G$2:$G$2684,'январь 2026'!$D$2:$D$2684,$B27,'январь 2026'!$J$2:$J$2684,T$1)</f>
        <v>0</v>
      </c>
      <c r="U27" s="75">
        <f>SUMIFS('январь 2026'!$G$2:$G$2684,'январь 2026'!$D$2:$D$2684,$B27,'январь 2026'!$J$2:$J$2684,U$1)</f>
        <v>0</v>
      </c>
      <c r="V27" s="75">
        <f>SUMIFS('январь 2026'!$G$2:$G$2684,'январь 2026'!$D$2:$D$2684,$B27,'январь 2026'!$J$2:$J$2684,V$1)</f>
        <v>0</v>
      </c>
      <c r="W27" s="75">
        <f>SUMIFS('январь 2026'!$G$2:$G$2684,'январь 2026'!$D$2:$D$2684,$B27,'январь 2026'!$J$2:$J$2684,W$1)</f>
        <v>0</v>
      </c>
      <c r="X27" s="75">
        <f>SUMIFS('январь 2026'!$G$2:$G$2684,'январь 2026'!$D$2:$D$2684,$B27,'январь 2026'!$J$2:$J$2684,X$1)</f>
        <v>0</v>
      </c>
      <c r="Y27" s="75">
        <f>SUMIFS('январь 2026'!$G$2:$G$2684,'январь 2026'!$D$2:$D$2684,$B27,'январь 2026'!$J$2:$J$2684,Y$1)</f>
        <v>0</v>
      </c>
      <c r="Z27" s="75">
        <f>SUMIFS('январь 2026'!$G$2:$G$2684,'январь 2026'!$D$2:$D$2684,$B27,'январь 2026'!$J$2:$J$2684,Z$1)</f>
        <v>0</v>
      </c>
      <c r="AA27" s="75">
        <f>SUMIFS('январь 2026'!$G$2:$G$2684,'январь 2026'!$D$2:$D$2684,$B27,'январь 2026'!$J$2:$J$2684,AA$1)</f>
        <v>0</v>
      </c>
      <c r="AB27" s="75">
        <f>SUMIFS('январь 2026'!$G$2:$G$2684,'январь 2026'!$D$2:$D$2684,$B27,'январь 2026'!$J$2:$J$2684,AB$1)</f>
        <v>0</v>
      </c>
      <c r="AC27" s="75">
        <f>SUMIFS('январь 2026'!$G$2:$G$2684,'январь 2026'!$D$2:$D$2684,$B27,'январь 2026'!$J$2:$J$2684,AC$1)</f>
        <v>0</v>
      </c>
      <c r="AD27" s="75">
        <f>SUMIFS('январь 2026'!$G$2:$G$2684,'январь 2026'!$D$2:$D$2684,$B27,'январь 2026'!$J$2:$J$2684,AD$1)</f>
        <v>0</v>
      </c>
      <c r="AE27" s="75">
        <f>SUMIFS('январь 2026'!$G$2:$G$2684,'январь 2026'!$D$2:$D$2684,$B27,'январь 2026'!$J$2:$J$2684,AE$1)</f>
        <v>0</v>
      </c>
      <c r="AF27" s="75">
        <f>SUMIFS('январь 2026'!$G$2:$G$2684,'январь 2026'!$D$2:$D$2684,$B27,'январь 2026'!$J$2:$J$2684,AF$1)</f>
        <v>0</v>
      </c>
      <c r="AG27" s="75">
        <f>SUMIFS('январь 2026'!$G$2:$G$2684,'январь 2026'!$D$2:$D$2684,$B27,'январь 2026'!$J$2:$J$2684,AG$1)</f>
        <v>0</v>
      </c>
      <c r="AH27" s="75">
        <f>SUMIFS('январь 2026'!$G$2:$G$2684,'январь 2026'!$D$2:$D$2684,$B27,'январь 2026'!$J$2:$J$2684,AH$1)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SUMIFS('январь 2026'!$G$2:$G$2684,'январь 2026'!$D$2:$D$2684,$B28,'январь 2026'!$J$2:$J$2684,D$1)</f>
        <v>0</v>
      </c>
      <c r="E28" s="75">
        <f>SUMIFS('январь 2026'!$G$2:$G$2684,'январь 2026'!$D$2:$D$2684,$B28,'январь 2026'!$J$2:$J$2684,E$1)</f>
        <v>0</v>
      </c>
      <c r="F28" s="75">
        <f>SUMIFS('январь 2026'!$G$2:$G$2684,'январь 2026'!$D$2:$D$2684,$B28,'январь 2026'!$J$2:$J$2684,F$1)</f>
        <v>0</v>
      </c>
      <c r="G28" s="75">
        <f>SUMIFS('январь 2026'!$G$2:$G$2684,'январь 2026'!$D$2:$D$2684,$B28,'январь 2026'!$J$2:$J$2684,G$1)</f>
        <v>0</v>
      </c>
      <c r="H28" s="75">
        <f>SUMIFS('январь 2026'!$G$2:$G$2684,'январь 2026'!$D$2:$D$2684,$B28,'январь 2026'!$J$2:$J$2684,H$1)</f>
        <v>0</v>
      </c>
      <c r="I28" s="75">
        <f>SUMIFS('январь 2026'!$G$2:$G$2684,'январь 2026'!$D$2:$D$2684,$B28,'январь 2026'!$J$2:$J$2684,I$1)</f>
        <v>0</v>
      </c>
      <c r="J28" s="75">
        <f>SUMIFS('январь 2026'!$G$2:$G$2684,'январь 2026'!$D$2:$D$2684,$B28,'январь 2026'!$J$2:$J$2684,J$1)</f>
        <v>0</v>
      </c>
      <c r="K28" s="75">
        <f>SUMIFS('январь 2026'!$G$2:$G$2684,'январь 2026'!$D$2:$D$2684,$B28,'январь 2026'!$J$2:$J$2684,K$1)</f>
        <v>0</v>
      </c>
      <c r="L28" s="75">
        <f>SUMIFS('январь 2026'!$G$2:$G$2684,'январь 2026'!$D$2:$D$2684,$B28,'январь 2026'!$J$2:$J$2684,L$1)</f>
        <v>0</v>
      </c>
      <c r="M28" s="75">
        <f>SUMIFS('январь 2026'!$G$2:$G$2684,'январь 2026'!$D$2:$D$2684,$B28,'январь 2026'!$J$2:$J$2684,M$1)</f>
        <v>0</v>
      </c>
      <c r="N28" s="75">
        <f>SUMIFS('январь 2026'!$G$2:$G$2684,'январь 2026'!$D$2:$D$2684,$B28,'январь 2026'!$J$2:$J$2684,N$1)</f>
        <v>0</v>
      </c>
      <c r="O28" s="75">
        <f>SUMIFS('январь 2026'!$G$2:$G$2684,'январь 2026'!$D$2:$D$2684,$B28,'январь 2026'!$J$2:$J$2684,O$1)</f>
        <v>0</v>
      </c>
      <c r="P28" s="75">
        <f>SUMIFS('январь 2026'!$G$2:$G$2684,'январь 2026'!$D$2:$D$2684,$B28,'январь 2026'!$J$2:$J$2684,P$1)</f>
        <v>0</v>
      </c>
      <c r="Q28" s="75">
        <f>SUMIFS('январь 2026'!$G$2:$G$2684,'январь 2026'!$D$2:$D$2684,$B28,'январь 2026'!$J$2:$J$2684,Q$1)</f>
        <v>0</v>
      </c>
      <c r="R28" s="75">
        <f>SUMIFS('январь 2026'!$G$2:$G$2684,'январь 2026'!$D$2:$D$2684,$B28,'январь 2026'!$J$2:$J$2684,R$1)</f>
        <v>0</v>
      </c>
      <c r="S28" s="75">
        <f>SUMIFS('январь 2026'!$G$2:$G$2684,'январь 2026'!$D$2:$D$2684,$B28,'январь 2026'!$J$2:$J$2684,S$1)</f>
        <v>0</v>
      </c>
      <c r="T28" s="75">
        <f>SUMIFS('январь 2026'!$G$2:$G$2684,'январь 2026'!$D$2:$D$2684,$B28,'январь 2026'!$J$2:$J$2684,T$1)</f>
        <v>0</v>
      </c>
      <c r="U28" s="75">
        <f>SUMIFS('январь 2026'!$G$2:$G$2684,'январь 2026'!$D$2:$D$2684,$B28,'январь 2026'!$J$2:$J$2684,U$1)</f>
        <v>0</v>
      </c>
      <c r="V28" s="75">
        <f>SUMIFS('январь 2026'!$G$2:$G$2684,'январь 2026'!$D$2:$D$2684,$B28,'январь 2026'!$J$2:$J$2684,V$1)</f>
        <v>0</v>
      </c>
      <c r="W28" s="75">
        <f>SUMIFS('январь 2026'!$G$2:$G$2684,'январь 2026'!$D$2:$D$2684,$B28,'январь 2026'!$J$2:$J$2684,W$1)</f>
        <v>0</v>
      </c>
      <c r="X28" s="75">
        <f>SUMIFS('январь 2026'!$G$2:$G$2684,'январь 2026'!$D$2:$D$2684,$B28,'январь 2026'!$J$2:$J$2684,X$1)</f>
        <v>0</v>
      </c>
      <c r="Y28" s="75">
        <f>SUMIFS('январь 2026'!$G$2:$G$2684,'январь 2026'!$D$2:$D$2684,$B28,'январь 2026'!$J$2:$J$2684,Y$1)</f>
        <v>0</v>
      </c>
      <c r="Z28" s="75">
        <f>SUMIFS('январь 2026'!$G$2:$G$2684,'январь 2026'!$D$2:$D$2684,$B28,'январь 2026'!$J$2:$J$2684,Z$1)</f>
        <v>0</v>
      </c>
      <c r="AA28" s="75">
        <f>SUMIFS('январь 2026'!$G$2:$G$2684,'январь 2026'!$D$2:$D$2684,$B28,'январь 2026'!$J$2:$J$2684,AA$1)</f>
        <v>0</v>
      </c>
      <c r="AB28" s="75">
        <f>SUMIFS('январь 2026'!$G$2:$G$2684,'январь 2026'!$D$2:$D$2684,$B28,'январь 2026'!$J$2:$J$2684,AB$1)</f>
        <v>0</v>
      </c>
      <c r="AC28" s="75">
        <f>SUMIFS('январь 2026'!$G$2:$G$2684,'январь 2026'!$D$2:$D$2684,$B28,'январь 2026'!$J$2:$J$2684,AC$1)</f>
        <v>0</v>
      </c>
      <c r="AD28" s="75">
        <f>SUMIFS('январь 2026'!$G$2:$G$2684,'январь 2026'!$D$2:$D$2684,$B28,'январь 2026'!$J$2:$J$2684,AD$1)</f>
        <v>0</v>
      </c>
      <c r="AE28" s="75">
        <f>SUMIFS('январь 2026'!$G$2:$G$2684,'январь 2026'!$D$2:$D$2684,$B28,'январь 2026'!$J$2:$J$2684,AE$1)</f>
        <v>0</v>
      </c>
      <c r="AF28" s="75">
        <f>SUMIFS('январь 2026'!$G$2:$G$2684,'январь 2026'!$D$2:$D$2684,$B28,'январь 2026'!$J$2:$J$2684,AF$1)</f>
        <v>0</v>
      </c>
      <c r="AG28" s="75">
        <f>SUMIFS('январь 2026'!$G$2:$G$2684,'январь 2026'!$D$2:$D$2684,$B28,'январь 2026'!$J$2:$J$2684,AG$1)</f>
        <v>0</v>
      </c>
      <c r="AH28" s="75">
        <f>SUMIFS('январь 2026'!$G$2:$G$2684,'январь 2026'!$D$2:$D$2684,$B28,'январь 2026'!$J$2:$J$2684,AH$1)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SUMIFS('январь 2026'!$G$2:$G$2684,'январь 2026'!$D$2:$D$2684,$B29,'январь 2026'!$J$2:$J$2684,D$1)</f>
        <v>0</v>
      </c>
      <c r="E29" s="75">
        <f>SUMIFS('январь 2026'!$G$2:$G$2684,'январь 2026'!$D$2:$D$2684,$B29,'январь 2026'!$J$2:$J$2684,E$1)</f>
        <v>0</v>
      </c>
      <c r="F29" s="75">
        <f>SUMIFS('январь 2026'!$G$2:$G$2684,'январь 2026'!$D$2:$D$2684,$B29,'январь 2026'!$J$2:$J$2684,F$1)</f>
        <v>0</v>
      </c>
      <c r="G29" s="75">
        <f>SUMIFS('январь 2026'!$G$2:$G$2684,'январь 2026'!$D$2:$D$2684,$B29,'январь 2026'!$J$2:$J$2684,G$1)</f>
        <v>0</v>
      </c>
      <c r="H29" s="75">
        <f>SUMIFS('январь 2026'!$G$2:$G$2684,'январь 2026'!$D$2:$D$2684,$B29,'январь 2026'!$J$2:$J$2684,H$1)</f>
        <v>0</v>
      </c>
      <c r="I29" s="75">
        <f>SUMIFS('январь 2026'!$G$2:$G$2684,'январь 2026'!$D$2:$D$2684,$B29,'январь 2026'!$J$2:$J$2684,I$1)</f>
        <v>0</v>
      </c>
      <c r="J29" s="75">
        <f>SUMIFS('январь 2026'!$G$2:$G$2684,'январь 2026'!$D$2:$D$2684,$B29,'январь 2026'!$J$2:$J$2684,J$1)</f>
        <v>0</v>
      </c>
      <c r="K29" s="75">
        <f>SUMIFS('январь 2026'!$G$2:$G$2684,'январь 2026'!$D$2:$D$2684,$B29,'январь 2026'!$J$2:$J$2684,K$1)</f>
        <v>0</v>
      </c>
      <c r="L29" s="75">
        <f>SUMIFS('январь 2026'!$G$2:$G$2684,'январь 2026'!$D$2:$D$2684,$B29,'январь 2026'!$J$2:$J$2684,L$1)</f>
        <v>0</v>
      </c>
      <c r="M29" s="75">
        <f>SUMIFS('январь 2026'!$G$2:$G$2684,'январь 2026'!$D$2:$D$2684,$B29,'январь 2026'!$J$2:$J$2684,M$1)</f>
        <v>0</v>
      </c>
      <c r="N29" s="75">
        <f>SUMIFS('январь 2026'!$G$2:$G$2684,'январь 2026'!$D$2:$D$2684,$B29,'январь 2026'!$J$2:$J$2684,N$1)</f>
        <v>0</v>
      </c>
      <c r="O29" s="75">
        <f>SUMIFS('январь 2026'!$G$2:$G$2684,'январь 2026'!$D$2:$D$2684,$B29,'январь 2026'!$J$2:$J$2684,O$1)</f>
        <v>0</v>
      </c>
      <c r="P29" s="75">
        <f>SUMIFS('январь 2026'!$G$2:$G$2684,'январь 2026'!$D$2:$D$2684,$B29,'январь 2026'!$J$2:$J$2684,P$1)</f>
        <v>0</v>
      </c>
      <c r="Q29" s="75">
        <f>SUMIFS('январь 2026'!$G$2:$G$2684,'январь 2026'!$D$2:$D$2684,$B29,'январь 2026'!$J$2:$J$2684,Q$1)</f>
        <v>0</v>
      </c>
      <c r="R29" s="75">
        <f>SUMIFS('январь 2026'!$G$2:$G$2684,'январь 2026'!$D$2:$D$2684,$B29,'январь 2026'!$J$2:$J$2684,R$1)</f>
        <v>0</v>
      </c>
      <c r="S29" s="75">
        <f>SUMIFS('январь 2026'!$G$2:$G$2684,'январь 2026'!$D$2:$D$2684,$B29,'январь 2026'!$J$2:$J$2684,S$1)</f>
        <v>0</v>
      </c>
      <c r="T29" s="75">
        <f>SUMIFS('январь 2026'!$G$2:$G$2684,'январь 2026'!$D$2:$D$2684,$B29,'январь 2026'!$J$2:$J$2684,T$1)</f>
        <v>0</v>
      </c>
      <c r="U29" s="75">
        <f>SUMIFS('январь 2026'!$G$2:$G$2684,'январь 2026'!$D$2:$D$2684,$B29,'январь 2026'!$J$2:$J$2684,U$1)</f>
        <v>0</v>
      </c>
      <c r="V29" s="75">
        <f>SUMIFS('январь 2026'!$G$2:$G$2684,'январь 2026'!$D$2:$D$2684,$B29,'январь 2026'!$J$2:$J$2684,V$1)</f>
        <v>0</v>
      </c>
      <c r="W29" s="75">
        <f>SUMIFS('январь 2026'!$G$2:$G$2684,'январь 2026'!$D$2:$D$2684,$B29,'январь 2026'!$J$2:$J$2684,W$1)</f>
        <v>0</v>
      </c>
      <c r="X29" s="75">
        <f>SUMIFS('январь 2026'!$G$2:$G$2684,'январь 2026'!$D$2:$D$2684,$B29,'январь 2026'!$J$2:$J$2684,X$1)</f>
        <v>0</v>
      </c>
      <c r="Y29" s="75">
        <f>SUMIFS('январь 2026'!$G$2:$G$2684,'январь 2026'!$D$2:$D$2684,$B29,'январь 2026'!$J$2:$J$2684,Y$1)</f>
        <v>0</v>
      </c>
      <c r="Z29" s="75">
        <f>SUMIFS('январь 2026'!$G$2:$G$2684,'январь 2026'!$D$2:$D$2684,$B29,'январь 2026'!$J$2:$J$2684,Z$1)</f>
        <v>0</v>
      </c>
      <c r="AA29" s="75">
        <f>SUMIFS('январь 2026'!$G$2:$G$2684,'январь 2026'!$D$2:$D$2684,$B29,'январь 2026'!$J$2:$J$2684,AA$1)</f>
        <v>0</v>
      </c>
      <c r="AB29" s="75">
        <f>SUMIFS('январь 2026'!$G$2:$G$2684,'январь 2026'!$D$2:$D$2684,$B29,'январь 2026'!$J$2:$J$2684,AB$1)</f>
        <v>0</v>
      </c>
      <c r="AC29" s="75">
        <f>SUMIFS('январь 2026'!$G$2:$G$2684,'январь 2026'!$D$2:$D$2684,$B29,'январь 2026'!$J$2:$J$2684,AC$1)</f>
        <v>0</v>
      </c>
      <c r="AD29" s="75">
        <f>SUMIFS('январь 2026'!$G$2:$G$2684,'январь 2026'!$D$2:$D$2684,$B29,'январь 2026'!$J$2:$J$2684,AD$1)</f>
        <v>0</v>
      </c>
      <c r="AE29" s="75">
        <f>SUMIFS('январь 2026'!$G$2:$G$2684,'январь 2026'!$D$2:$D$2684,$B29,'январь 2026'!$J$2:$J$2684,AE$1)</f>
        <v>0</v>
      </c>
      <c r="AF29" s="75">
        <f>SUMIFS('январь 2026'!$G$2:$G$2684,'январь 2026'!$D$2:$D$2684,$B29,'январь 2026'!$J$2:$J$2684,AF$1)</f>
        <v>0</v>
      </c>
      <c r="AG29" s="75">
        <f>SUMIFS('январь 2026'!$G$2:$G$2684,'январь 2026'!$D$2:$D$2684,$B29,'январь 2026'!$J$2:$J$2684,AG$1)</f>
        <v>0</v>
      </c>
      <c r="AH29" s="75">
        <f>SUMIFS('январь 2026'!$G$2:$G$2684,'январь 2026'!$D$2:$D$2684,$B29,'январь 2026'!$J$2:$J$2684,AH$1)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SUMIFS('январь 2026'!$G$2:$G$2684,'январь 2026'!$D$2:$D$2684,$B30,'январь 2026'!$J$2:$J$2684,D$1)</f>
        <v>0</v>
      </c>
      <c r="E30" s="75">
        <f>SUMIFS('январь 2026'!$G$2:$G$2684,'январь 2026'!$D$2:$D$2684,$B30,'январь 2026'!$J$2:$J$2684,E$1)</f>
        <v>0</v>
      </c>
      <c r="F30" s="75">
        <f>SUMIFS('январь 2026'!$G$2:$G$2684,'январь 2026'!$D$2:$D$2684,$B30,'январь 2026'!$J$2:$J$2684,F$1)</f>
        <v>0</v>
      </c>
      <c r="G30" s="75">
        <f>SUMIFS('январь 2026'!$G$2:$G$2684,'январь 2026'!$D$2:$D$2684,$B30,'январь 2026'!$J$2:$J$2684,G$1)</f>
        <v>0</v>
      </c>
      <c r="H30" s="75">
        <f>SUMIFS('январь 2026'!$G$2:$G$2684,'январь 2026'!$D$2:$D$2684,$B30,'январь 2026'!$J$2:$J$2684,H$1)</f>
        <v>0</v>
      </c>
      <c r="I30" s="75">
        <f>SUMIFS('январь 2026'!$G$2:$G$2684,'январь 2026'!$D$2:$D$2684,$B30,'январь 2026'!$J$2:$J$2684,I$1)</f>
        <v>0</v>
      </c>
      <c r="J30" s="75">
        <f>SUMIFS('январь 2026'!$G$2:$G$2684,'январь 2026'!$D$2:$D$2684,$B30,'январь 2026'!$J$2:$J$2684,J$1)</f>
        <v>0</v>
      </c>
      <c r="K30" s="75">
        <f>SUMIFS('январь 2026'!$G$2:$G$2684,'январь 2026'!$D$2:$D$2684,$B30,'январь 2026'!$J$2:$J$2684,K$1)</f>
        <v>0</v>
      </c>
      <c r="L30" s="75">
        <f>SUMIFS('январь 2026'!$G$2:$G$2684,'январь 2026'!$D$2:$D$2684,$B30,'январь 2026'!$J$2:$J$2684,L$1)</f>
        <v>0</v>
      </c>
      <c r="M30" s="75">
        <f>SUMIFS('январь 2026'!$G$2:$G$2684,'январь 2026'!$D$2:$D$2684,$B30,'январь 2026'!$J$2:$J$2684,M$1)</f>
        <v>0</v>
      </c>
      <c r="N30" s="75">
        <f>SUMIFS('январь 2026'!$G$2:$G$2684,'январь 2026'!$D$2:$D$2684,$B30,'январь 2026'!$J$2:$J$2684,N$1)</f>
        <v>0</v>
      </c>
      <c r="O30" s="75">
        <f>SUMIFS('январь 2026'!$G$2:$G$2684,'январь 2026'!$D$2:$D$2684,$B30,'январь 2026'!$J$2:$J$2684,O$1)</f>
        <v>0</v>
      </c>
      <c r="P30" s="75">
        <f>SUMIFS('январь 2026'!$G$2:$G$2684,'январь 2026'!$D$2:$D$2684,$B30,'январь 2026'!$J$2:$J$2684,P$1)</f>
        <v>0</v>
      </c>
      <c r="Q30" s="75">
        <f>SUMIFS('январь 2026'!$G$2:$G$2684,'январь 2026'!$D$2:$D$2684,$B30,'январь 2026'!$J$2:$J$2684,Q$1)</f>
        <v>0</v>
      </c>
      <c r="R30" s="75">
        <f>SUMIFS('январь 2026'!$G$2:$G$2684,'январь 2026'!$D$2:$D$2684,$B30,'январь 2026'!$J$2:$J$2684,R$1)</f>
        <v>0</v>
      </c>
      <c r="S30" s="75">
        <f>SUMIFS('январь 2026'!$G$2:$G$2684,'январь 2026'!$D$2:$D$2684,$B30,'январь 2026'!$J$2:$J$2684,S$1)</f>
        <v>0</v>
      </c>
      <c r="T30" s="75">
        <f>SUMIFS('январь 2026'!$G$2:$G$2684,'январь 2026'!$D$2:$D$2684,$B30,'январь 2026'!$J$2:$J$2684,T$1)</f>
        <v>0</v>
      </c>
      <c r="U30" s="75">
        <f>SUMIFS('январь 2026'!$G$2:$G$2684,'январь 2026'!$D$2:$D$2684,$B30,'январь 2026'!$J$2:$J$2684,U$1)</f>
        <v>0</v>
      </c>
      <c r="V30" s="75">
        <f>SUMIFS('январь 2026'!$G$2:$G$2684,'январь 2026'!$D$2:$D$2684,$B30,'январь 2026'!$J$2:$J$2684,V$1)</f>
        <v>0</v>
      </c>
      <c r="W30" s="75">
        <f>SUMIFS('январь 2026'!$G$2:$G$2684,'январь 2026'!$D$2:$D$2684,$B30,'январь 2026'!$J$2:$J$2684,W$1)</f>
        <v>0</v>
      </c>
      <c r="X30" s="75">
        <f>SUMIFS('январь 2026'!$G$2:$G$2684,'январь 2026'!$D$2:$D$2684,$B30,'январь 2026'!$J$2:$J$2684,X$1)</f>
        <v>0</v>
      </c>
      <c r="Y30" s="75">
        <f>SUMIFS('январь 2026'!$G$2:$G$2684,'январь 2026'!$D$2:$D$2684,$B30,'январь 2026'!$J$2:$J$2684,Y$1)</f>
        <v>0</v>
      </c>
      <c r="Z30" s="75">
        <f>SUMIFS('январь 2026'!$G$2:$G$2684,'январь 2026'!$D$2:$D$2684,$B30,'январь 2026'!$J$2:$J$2684,Z$1)</f>
        <v>0</v>
      </c>
      <c r="AA30" s="75">
        <f>SUMIFS('январь 2026'!$G$2:$G$2684,'январь 2026'!$D$2:$D$2684,$B30,'январь 2026'!$J$2:$J$2684,AA$1)</f>
        <v>0</v>
      </c>
      <c r="AB30" s="75">
        <f>SUMIFS('январь 2026'!$G$2:$G$2684,'январь 2026'!$D$2:$D$2684,$B30,'январь 2026'!$J$2:$J$2684,AB$1)</f>
        <v>0</v>
      </c>
      <c r="AC30" s="75">
        <f>SUMIFS('январь 2026'!$G$2:$G$2684,'январь 2026'!$D$2:$D$2684,$B30,'январь 2026'!$J$2:$J$2684,AC$1)</f>
        <v>0</v>
      </c>
      <c r="AD30" s="75">
        <f>SUMIFS('январь 2026'!$G$2:$G$2684,'январь 2026'!$D$2:$D$2684,$B30,'январь 2026'!$J$2:$J$2684,AD$1)</f>
        <v>0</v>
      </c>
      <c r="AE30" s="75">
        <f>SUMIFS('январь 2026'!$G$2:$G$2684,'январь 2026'!$D$2:$D$2684,$B30,'январь 2026'!$J$2:$J$2684,AE$1)</f>
        <v>0</v>
      </c>
      <c r="AF30" s="75">
        <f>SUMIFS('январь 2026'!$G$2:$G$2684,'январь 2026'!$D$2:$D$2684,$B30,'январь 2026'!$J$2:$J$2684,AF$1)</f>
        <v>0</v>
      </c>
      <c r="AG30" s="75">
        <f>SUMIFS('январь 2026'!$G$2:$G$2684,'январь 2026'!$D$2:$D$2684,$B30,'январь 2026'!$J$2:$J$2684,AG$1)</f>
        <v>0</v>
      </c>
      <c r="AH30" s="75">
        <f>SUMIFS('январь 2026'!$G$2:$G$2684,'январь 2026'!$D$2:$D$2684,$B30,'январь 2026'!$J$2:$J$2684,AH$1)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SUMIFS('январь 2026'!$G$2:$G$2684,'январь 2026'!$D$2:$D$2684,$B31,'январь 2026'!$J$2:$J$2684,D$1)</f>
        <v>0</v>
      </c>
      <c r="E31" s="75">
        <f>SUMIFS('январь 2026'!$G$2:$G$2684,'январь 2026'!$D$2:$D$2684,$B31,'январь 2026'!$J$2:$J$2684,E$1)</f>
        <v>0</v>
      </c>
      <c r="F31" s="75">
        <f>SUMIFS('январь 2026'!$G$2:$G$2684,'январь 2026'!$D$2:$D$2684,$B31,'январь 2026'!$J$2:$J$2684,F$1)</f>
        <v>0</v>
      </c>
      <c r="G31" s="75">
        <f>SUMIFS('январь 2026'!$G$2:$G$2684,'январь 2026'!$D$2:$D$2684,$B31,'январь 2026'!$J$2:$J$2684,G$1)</f>
        <v>0</v>
      </c>
      <c r="H31" s="75">
        <f>SUMIFS('январь 2026'!$G$2:$G$2684,'январь 2026'!$D$2:$D$2684,$B31,'январь 2026'!$J$2:$J$2684,H$1)</f>
        <v>0</v>
      </c>
      <c r="I31" s="75">
        <f>SUMIFS('январь 2026'!$G$2:$G$2684,'январь 2026'!$D$2:$D$2684,$B31,'январь 2026'!$J$2:$J$2684,I$1)</f>
        <v>0</v>
      </c>
      <c r="J31" s="75">
        <f>SUMIFS('январь 2026'!$G$2:$G$2684,'январь 2026'!$D$2:$D$2684,$B31,'январь 2026'!$J$2:$J$2684,J$1)</f>
        <v>0</v>
      </c>
      <c r="K31" s="75">
        <f>SUMIFS('январь 2026'!$G$2:$G$2684,'январь 2026'!$D$2:$D$2684,$B31,'январь 2026'!$J$2:$J$2684,K$1)</f>
        <v>0</v>
      </c>
      <c r="L31" s="75">
        <f>SUMIFS('январь 2026'!$G$2:$G$2684,'январь 2026'!$D$2:$D$2684,$B31,'январь 2026'!$J$2:$J$2684,L$1)</f>
        <v>0</v>
      </c>
      <c r="M31" s="75">
        <f>SUMIFS('январь 2026'!$G$2:$G$2684,'январь 2026'!$D$2:$D$2684,$B31,'январь 2026'!$J$2:$J$2684,M$1)</f>
        <v>0</v>
      </c>
      <c r="N31" s="75">
        <f>SUMIFS('январь 2026'!$G$2:$G$2684,'январь 2026'!$D$2:$D$2684,$B31,'январь 2026'!$J$2:$J$2684,N$1)</f>
        <v>0</v>
      </c>
      <c r="O31" s="75">
        <f>SUMIFS('январь 2026'!$G$2:$G$2684,'январь 2026'!$D$2:$D$2684,$B31,'январь 2026'!$J$2:$J$2684,O$1)</f>
        <v>0</v>
      </c>
      <c r="P31" s="75">
        <f>SUMIFS('январь 2026'!$G$2:$G$2684,'январь 2026'!$D$2:$D$2684,$B31,'январь 2026'!$J$2:$J$2684,P$1)</f>
        <v>0</v>
      </c>
      <c r="Q31" s="75">
        <f>SUMIFS('январь 2026'!$G$2:$G$2684,'январь 2026'!$D$2:$D$2684,$B31,'январь 2026'!$J$2:$J$2684,Q$1)</f>
        <v>0</v>
      </c>
      <c r="R31" s="75">
        <f>SUMIFS('январь 2026'!$G$2:$G$2684,'январь 2026'!$D$2:$D$2684,$B31,'январь 2026'!$J$2:$J$2684,R$1)</f>
        <v>0</v>
      </c>
      <c r="S31" s="75">
        <f>SUMIFS('январь 2026'!$G$2:$G$2684,'январь 2026'!$D$2:$D$2684,$B31,'январь 2026'!$J$2:$J$2684,S$1)</f>
        <v>0</v>
      </c>
      <c r="T31" s="75">
        <f>SUMIFS('январь 2026'!$G$2:$G$2684,'январь 2026'!$D$2:$D$2684,$B31,'январь 2026'!$J$2:$J$2684,T$1)</f>
        <v>0</v>
      </c>
      <c r="U31" s="75">
        <f>SUMIFS('январь 2026'!$G$2:$G$2684,'январь 2026'!$D$2:$D$2684,$B31,'январь 2026'!$J$2:$J$2684,U$1)</f>
        <v>0</v>
      </c>
      <c r="V31" s="75">
        <f>SUMIFS('январь 2026'!$G$2:$G$2684,'январь 2026'!$D$2:$D$2684,$B31,'январь 2026'!$J$2:$J$2684,V$1)</f>
        <v>0</v>
      </c>
      <c r="W31" s="75">
        <f>SUMIFS('январь 2026'!$G$2:$G$2684,'январь 2026'!$D$2:$D$2684,$B31,'январь 2026'!$J$2:$J$2684,W$1)</f>
        <v>0</v>
      </c>
      <c r="X31" s="75">
        <f>SUMIFS('январь 2026'!$G$2:$G$2684,'январь 2026'!$D$2:$D$2684,$B31,'январь 2026'!$J$2:$J$2684,X$1)</f>
        <v>0</v>
      </c>
      <c r="Y31" s="75">
        <f>SUMIFS('январь 2026'!$G$2:$G$2684,'январь 2026'!$D$2:$D$2684,$B31,'январь 2026'!$J$2:$J$2684,Y$1)</f>
        <v>0</v>
      </c>
      <c r="Z31" s="75">
        <f>SUMIFS('январь 2026'!$G$2:$G$2684,'январь 2026'!$D$2:$D$2684,$B31,'январь 2026'!$J$2:$J$2684,Z$1)</f>
        <v>0</v>
      </c>
      <c r="AA31" s="75">
        <f>SUMIFS('январь 2026'!$G$2:$G$2684,'январь 2026'!$D$2:$D$2684,$B31,'январь 2026'!$J$2:$J$2684,AA$1)</f>
        <v>0</v>
      </c>
      <c r="AB31" s="75">
        <f>SUMIFS('январь 2026'!$G$2:$G$2684,'январь 2026'!$D$2:$D$2684,$B31,'январь 2026'!$J$2:$J$2684,AB$1)</f>
        <v>0</v>
      </c>
      <c r="AC31" s="75">
        <f>SUMIFS('январь 2026'!$G$2:$G$2684,'январь 2026'!$D$2:$D$2684,$B31,'январь 2026'!$J$2:$J$2684,AC$1)</f>
        <v>0</v>
      </c>
      <c r="AD31" s="75">
        <f>SUMIFS('январь 2026'!$G$2:$G$2684,'январь 2026'!$D$2:$D$2684,$B31,'январь 2026'!$J$2:$J$2684,AD$1)</f>
        <v>0</v>
      </c>
      <c r="AE31" s="75">
        <f>SUMIFS('январь 2026'!$G$2:$G$2684,'январь 2026'!$D$2:$D$2684,$B31,'январь 2026'!$J$2:$J$2684,AE$1)</f>
        <v>0</v>
      </c>
      <c r="AF31" s="75">
        <f>SUMIFS('январь 2026'!$G$2:$G$2684,'январь 2026'!$D$2:$D$2684,$B31,'январь 2026'!$J$2:$J$2684,AF$1)</f>
        <v>0</v>
      </c>
      <c r="AG31" s="75">
        <f>SUMIFS('январь 2026'!$G$2:$G$2684,'январь 2026'!$D$2:$D$2684,$B31,'январь 2026'!$J$2:$J$2684,AG$1)</f>
        <v>0</v>
      </c>
      <c r="AH31" s="75">
        <f>SUMIFS('январь 2026'!$G$2:$G$2684,'январь 2026'!$D$2:$D$2684,$B31,'январь 2026'!$J$2:$J$2684,AH$1)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SUMIFS('январь 2026'!$G$2:$G$2684,'январь 2026'!$D$2:$D$2684,$B32,'январь 2026'!$J$2:$J$2684,D$1)</f>
        <v>0</v>
      </c>
      <c r="E32" s="75">
        <f>SUMIFS('январь 2026'!$G$2:$G$2684,'январь 2026'!$D$2:$D$2684,$B32,'январь 2026'!$J$2:$J$2684,E$1)</f>
        <v>0</v>
      </c>
      <c r="F32" s="75">
        <f>SUMIFS('январь 2026'!$G$2:$G$2684,'январь 2026'!$D$2:$D$2684,$B32,'январь 2026'!$J$2:$J$2684,F$1)</f>
        <v>0</v>
      </c>
      <c r="G32" s="75">
        <f>SUMIFS('январь 2026'!$G$2:$G$2684,'январь 2026'!$D$2:$D$2684,$B32,'январь 2026'!$J$2:$J$2684,G$1)</f>
        <v>0</v>
      </c>
      <c r="H32" s="75">
        <f>SUMIFS('январь 2026'!$G$2:$G$2684,'январь 2026'!$D$2:$D$2684,$B32,'январь 2026'!$J$2:$J$2684,H$1)</f>
        <v>0</v>
      </c>
      <c r="I32" s="75">
        <f>SUMIFS('январь 2026'!$G$2:$G$2684,'январь 2026'!$D$2:$D$2684,$B32,'январь 2026'!$J$2:$J$2684,I$1)</f>
        <v>0</v>
      </c>
      <c r="J32" s="75">
        <f>SUMIFS('январь 2026'!$G$2:$G$2684,'январь 2026'!$D$2:$D$2684,$B32,'январь 2026'!$J$2:$J$2684,J$1)</f>
        <v>0</v>
      </c>
      <c r="K32" s="75">
        <f>SUMIFS('январь 2026'!$G$2:$G$2684,'январь 2026'!$D$2:$D$2684,$B32,'январь 2026'!$J$2:$J$2684,K$1)</f>
        <v>0</v>
      </c>
      <c r="L32" s="75">
        <f>SUMIFS('январь 2026'!$G$2:$G$2684,'январь 2026'!$D$2:$D$2684,$B32,'январь 2026'!$J$2:$J$2684,L$1)</f>
        <v>0</v>
      </c>
      <c r="M32" s="75">
        <f>SUMIFS('январь 2026'!$G$2:$G$2684,'январь 2026'!$D$2:$D$2684,$B32,'январь 2026'!$J$2:$J$2684,M$1)</f>
        <v>0</v>
      </c>
      <c r="N32" s="75">
        <f>SUMIFS('январь 2026'!$G$2:$G$2684,'январь 2026'!$D$2:$D$2684,$B32,'январь 2026'!$J$2:$J$2684,N$1)</f>
        <v>0</v>
      </c>
      <c r="O32" s="75">
        <f>SUMIFS('январь 2026'!$G$2:$G$2684,'январь 2026'!$D$2:$D$2684,$B32,'январь 2026'!$J$2:$J$2684,O$1)</f>
        <v>0</v>
      </c>
      <c r="P32" s="75">
        <f>SUMIFS('январь 2026'!$G$2:$G$2684,'январь 2026'!$D$2:$D$2684,$B32,'январь 2026'!$J$2:$J$2684,P$1)</f>
        <v>0</v>
      </c>
      <c r="Q32" s="75">
        <f>SUMIFS('январь 2026'!$G$2:$G$2684,'январь 2026'!$D$2:$D$2684,$B32,'январь 2026'!$J$2:$J$2684,Q$1)</f>
        <v>0</v>
      </c>
      <c r="R32" s="75">
        <f>SUMIFS('январь 2026'!$G$2:$G$2684,'январь 2026'!$D$2:$D$2684,$B32,'январь 2026'!$J$2:$J$2684,R$1)</f>
        <v>0</v>
      </c>
      <c r="S32" s="75">
        <f>SUMIFS('январь 2026'!$G$2:$G$2684,'январь 2026'!$D$2:$D$2684,$B32,'январь 2026'!$J$2:$J$2684,S$1)</f>
        <v>0</v>
      </c>
      <c r="T32" s="75">
        <f>SUMIFS('январь 2026'!$G$2:$G$2684,'январь 2026'!$D$2:$D$2684,$B32,'январь 2026'!$J$2:$J$2684,T$1)</f>
        <v>0</v>
      </c>
      <c r="U32" s="75">
        <f>SUMIFS('январь 2026'!$G$2:$G$2684,'январь 2026'!$D$2:$D$2684,$B32,'январь 2026'!$J$2:$J$2684,U$1)</f>
        <v>0</v>
      </c>
      <c r="V32" s="75">
        <f>SUMIFS('январь 2026'!$G$2:$G$2684,'январь 2026'!$D$2:$D$2684,$B32,'январь 2026'!$J$2:$J$2684,V$1)</f>
        <v>0</v>
      </c>
      <c r="W32" s="75">
        <f>SUMIFS('январь 2026'!$G$2:$G$2684,'январь 2026'!$D$2:$D$2684,$B32,'январь 2026'!$J$2:$J$2684,W$1)</f>
        <v>0</v>
      </c>
      <c r="X32" s="75">
        <f>SUMIFS('январь 2026'!$G$2:$G$2684,'январь 2026'!$D$2:$D$2684,$B32,'январь 2026'!$J$2:$J$2684,X$1)</f>
        <v>0</v>
      </c>
      <c r="Y32" s="75">
        <f>SUMIFS('январь 2026'!$G$2:$G$2684,'январь 2026'!$D$2:$D$2684,$B32,'январь 2026'!$J$2:$J$2684,Y$1)</f>
        <v>0</v>
      </c>
      <c r="Z32" s="75">
        <f>SUMIFS('январь 2026'!$G$2:$G$2684,'январь 2026'!$D$2:$D$2684,$B32,'январь 2026'!$J$2:$J$2684,Z$1)</f>
        <v>0</v>
      </c>
      <c r="AA32" s="75">
        <f>SUMIFS('январь 2026'!$G$2:$G$2684,'январь 2026'!$D$2:$D$2684,$B32,'январь 2026'!$J$2:$J$2684,AA$1)</f>
        <v>0</v>
      </c>
      <c r="AB32" s="75">
        <f>SUMIFS('январь 2026'!$G$2:$G$2684,'январь 2026'!$D$2:$D$2684,$B32,'январь 2026'!$J$2:$J$2684,AB$1)</f>
        <v>0</v>
      </c>
      <c r="AC32" s="75">
        <f>SUMIFS('январь 2026'!$G$2:$G$2684,'январь 2026'!$D$2:$D$2684,$B32,'январь 2026'!$J$2:$J$2684,AC$1)</f>
        <v>0</v>
      </c>
      <c r="AD32" s="75">
        <f>SUMIFS('январь 2026'!$G$2:$G$2684,'январь 2026'!$D$2:$D$2684,$B32,'январь 2026'!$J$2:$J$2684,AD$1)</f>
        <v>0</v>
      </c>
      <c r="AE32" s="75">
        <f>SUMIFS('январь 2026'!$G$2:$G$2684,'январь 2026'!$D$2:$D$2684,$B32,'январь 2026'!$J$2:$J$2684,AE$1)</f>
        <v>0</v>
      </c>
      <c r="AF32" s="75">
        <f>SUMIFS('январь 2026'!$G$2:$G$2684,'январь 2026'!$D$2:$D$2684,$B32,'январь 2026'!$J$2:$J$2684,AF$1)</f>
        <v>0</v>
      </c>
      <c r="AG32" s="75">
        <f>SUMIFS('январь 2026'!$G$2:$G$2684,'январь 2026'!$D$2:$D$2684,$B32,'январь 2026'!$J$2:$J$2684,AG$1)</f>
        <v>0</v>
      </c>
      <c r="AH32" s="75">
        <f>SUMIFS('январь 2026'!$G$2:$G$2684,'январь 2026'!$D$2:$D$2684,$B32,'январь 2026'!$J$2:$J$2684,AH$1)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SUMIFS('январь 2026'!$G$2:$G$2684,'январь 2026'!$D$2:$D$2684,$B33,'январь 2026'!$J$2:$J$2684,D$1)</f>
        <v>0</v>
      </c>
      <c r="E33" s="75">
        <f>SUMIFS('январь 2026'!$G$2:$G$2684,'январь 2026'!$D$2:$D$2684,$B33,'январь 2026'!$J$2:$J$2684,E$1)</f>
        <v>0</v>
      </c>
      <c r="F33" s="75">
        <f>SUMIFS('январь 2026'!$G$2:$G$2684,'январь 2026'!$D$2:$D$2684,$B33,'январь 2026'!$J$2:$J$2684,F$1)</f>
        <v>0</v>
      </c>
      <c r="G33" s="75">
        <f>SUMIFS('январь 2026'!$G$2:$G$2684,'январь 2026'!$D$2:$D$2684,$B33,'январь 2026'!$J$2:$J$2684,G$1)</f>
        <v>0</v>
      </c>
      <c r="H33" s="75">
        <f>SUMIFS('январь 2026'!$G$2:$G$2684,'январь 2026'!$D$2:$D$2684,$B33,'январь 2026'!$J$2:$J$2684,H$1)</f>
        <v>0</v>
      </c>
      <c r="I33" s="75">
        <f>SUMIFS('январь 2026'!$G$2:$G$2684,'январь 2026'!$D$2:$D$2684,$B33,'январь 2026'!$J$2:$J$2684,I$1)</f>
        <v>0</v>
      </c>
      <c r="J33" s="75">
        <f>SUMIFS('январь 2026'!$G$2:$G$2684,'январь 2026'!$D$2:$D$2684,$B33,'январь 2026'!$J$2:$J$2684,J$1)</f>
        <v>0</v>
      </c>
      <c r="K33" s="75">
        <f>SUMIFS('январь 2026'!$G$2:$G$2684,'январь 2026'!$D$2:$D$2684,$B33,'январь 2026'!$J$2:$J$2684,K$1)</f>
        <v>0</v>
      </c>
      <c r="L33" s="75">
        <f>SUMIFS('январь 2026'!$G$2:$G$2684,'январь 2026'!$D$2:$D$2684,$B33,'январь 2026'!$J$2:$J$2684,L$1)</f>
        <v>0</v>
      </c>
      <c r="M33" s="75">
        <f>SUMIFS('январь 2026'!$G$2:$G$2684,'январь 2026'!$D$2:$D$2684,$B33,'январь 2026'!$J$2:$J$2684,M$1)</f>
        <v>0</v>
      </c>
      <c r="N33" s="75">
        <f>SUMIFS('январь 2026'!$G$2:$G$2684,'январь 2026'!$D$2:$D$2684,$B33,'январь 2026'!$J$2:$J$2684,N$1)</f>
        <v>0</v>
      </c>
      <c r="O33" s="75">
        <f>SUMIFS('январь 2026'!$G$2:$G$2684,'январь 2026'!$D$2:$D$2684,$B33,'январь 2026'!$J$2:$J$2684,O$1)</f>
        <v>0</v>
      </c>
      <c r="P33" s="75">
        <f>SUMIFS('январь 2026'!$G$2:$G$2684,'январь 2026'!$D$2:$D$2684,$B33,'январь 2026'!$J$2:$J$2684,P$1)</f>
        <v>0</v>
      </c>
      <c r="Q33" s="75">
        <f>SUMIFS('январь 2026'!$G$2:$G$2684,'январь 2026'!$D$2:$D$2684,$B33,'январь 2026'!$J$2:$J$2684,Q$1)</f>
        <v>0</v>
      </c>
      <c r="R33" s="75">
        <f>SUMIFS('январь 2026'!$G$2:$G$2684,'январь 2026'!$D$2:$D$2684,$B33,'январь 2026'!$J$2:$J$2684,R$1)</f>
        <v>0</v>
      </c>
      <c r="S33" s="75">
        <f>SUMIFS('январь 2026'!$G$2:$G$2684,'январь 2026'!$D$2:$D$2684,$B33,'январь 2026'!$J$2:$J$2684,S$1)</f>
        <v>0</v>
      </c>
      <c r="T33" s="75">
        <f>SUMIFS('январь 2026'!$G$2:$G$2684,'январь 2026'!$D$2:$D$2684,$B33,'январь 2026'!$J$2:$J$2684,T$1)</f>
        <v>0</v>
      </c>
      <c r="U33" s="75">
        <f>SUMIFS('январь 2026'!$G$2:$G$2684,'январь 2026'!$D$2:$D$2684,$B33,'январь 2026'!$J$2:$J$2684,U$1)</f>
        <v>0</v>
      </c>
      <c r="V33" s="75">
        <f>SUMIFS('январь 2026'!$G$2:$G$2684,'январь 2026'!$D$2:$D$2684,$B33,'январь 2026'!$J$2:$J$2684,V$1)</f>
        <v>0</v>
      </c>
      <c r="W33" s="75">
        <f>SUMIFS('январь 2026'!$G$2:$G$2684,'январь 2026'!$D$2:$D$2684,$B33,'январь 2026'!$J$2:$J$2684,W$1)</f>
        <v>0</v>
      </c>
      <c r="X33" s="75">
        <f>SUMIFS('январь 2026'!$G$2:$G$2684,'январь 2026'!$D$2:$D$2684,$B33,'январь 2026'!$J$2:$J$2684,X$1)</f>
        <v>0</v>
      </c>
      <c r="Y33" s="75">
        <f>SUMIFS('январь 2026'!$G$2:$G$2684,'январь 2026'!$D$2:$D$2684,$B33,'январь 2026'!$J$2:$J$2684,Y$1)</f>
        <v>0</v>
      </c>
      <c r="Z33" s="75">
        <f>SUMIFS('январь 2026'!$G$2:$G$2684,'январь 2026'!$D$2:$D$2684,$B33,'январь 2026'!$J$2:$J$2684,Z$1)</f>
        <v>0</v>
      </c>
      <c r="AA33" s="75">
        <f>SUMIFS('январь 2026'!$G$2:$G$2684,'январь 2026'!$D$2:$D$2684,$B33,'январь 2026'!$J$2:$J$2684,AA$1)</f>
        <v>0</v>
      </c>
      <c r="AB33" s="75">
        <f>SUMIFS('январь 2026'!$G$2:$G$2684,'январь 2026'!$D$2:$D$2684,$B33,'январь 2026'!$J$2:$J$2684,AB$1)</f>
        <v>0</v>
      </c>
      <c r="AC33" s="75">
        <f>SUMIFS('январь 2026'!$G$2:$G$2684,'январь 2026'!$D$2:$D$2684,$B33,'январь 2026'!$J$2:$J$2684,AC$1)</f>
        <v>0</v>
      </c>
      <c r="AD33" s="75">
        <f>SUMIFS('январь 2026'!$G$2:$G$2684,'январь 2026'!$D$2:$D$2684,$B33,'январь 2026'!$J$2:$J$2684,AD$1)</f>
        <v>0</v>
      </c>
      <c r="AE33" s="75">
        <f>SUMIFS('январь 2026'!$G$2:$G$2684,'январь 2026'!$D$2:$D$2684,$B33,'январь 2026'!$J$2:$J$2684,AE$1)</f>
        <v>0</v>
      </c>
      <c r="AF33" s="75">
        <f>SUMIFS('январь 2026'!$G$2:$G$2684,'январь 2026'!$D$2:$D$2684,$B33,'январь 2026'!$J$2:$J$2684,AF$1)</f>
        <v>0</v>
      </c>
      <c r="AG33" s="75">
        <f>SUMIFS('январь 2026'!$G$2:$G$2684,'январь 2026'!$D$2:$D$2684,$B33,'январь 2026'!$J$2:$J$2684,AG$1)</f>
        <v>0</v>
      </c>
      <c r="AH33" s="75">
        <f>SUMIFS('январь 2026'!$G$2:$G$2684,'январь 2026'!$D$2:$D$2684,$B33,'январь 2026'!$J$2:$J$2684,AH$1)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SUMIFS('январь 2026'!$G$2:$G$2684,'январь 2026'!$D$2:$D$2684,$B34,'январь 2026'!$J$2:$J$2684,D$1)</f>
        <v>0</v>
      </c>
      <c r="E34" s="75">
        <f>SUMIFS('январь 2026'!$G$2:$G$2684,'январь 2026'!$D$2:$D$2684,$B34,'январь 2026'!$J$2:$J$2684,E$1)</f>
        <v>0</v>
      </c>
      <c r="F34" s="75">
        <f>SUMIFS('январь 2026'!$G$2:$G$2684,'январь 2026'!$D$2:$D$2684,$B34,'январь 2026'!$J$2:$J$2684,F$1)</f>
        <v>0</v>
      </c>
      <c r="G34" s="75">
        <f>SUMIFS('январь 2026'!$G$2:$G$2684,'январь 2026'!$D$2:$D$2684,$B34,'январь 2026'!$J$2:$J$2684,G$1)</f>
        <v>0</v>
      </c>
      <c r="H34" s="75">
        <f>SUMIFS('январь 2026'!$G$2:$G$2684,'январь 2026'!$D$2:$D$2684,$B34,'январь 2026'!$J$2:$J$2684,H$1)</f>
        <v>0</v>
      </c>
      <c r="I34" s="75">
        <f>SUMIFS('январь 2026'!$G$2:$G$2684,'январь 2026'!$D$2:$D$2684,$B34,'январь 2026'!$J$2:$J$2684,I$1)</f>
        <v>0</v>
      </c>
      <c r="J34" s="75">
        <f>SUMIFS('январь 2026'!$G$2:$G$2684,'январь 2026'!$D$2:$D$2684,$B34,'январь 2026'!$J$2:$J$2684,J$1)</f>
        <v>0</v>
      </c>
      <c r="K34" s="75">
        <f>SUMIFS('январь 2026'!$G$2:$G$2684,'январь 2026'!$D$2:$D$2684,$B34,'январь 2026'!$J$2:$J$2684,K$1)</f>
        <v>0</v>
      </c>
      <c r="L34" s="75">
        <f>SUMIFS('январь 2026'!$G$2:$G$2684,'январь 2026'!$D$2:$D$2684,$B34,'январь 2026'!$J$2:$J$2684,L$1)</f>
        <v>0</v>
      </c>
      <c r="M34" s="75">
        <f>SUMIFS('январь 2026'!$G$2:$G$2684,'январь 2026'!$D$2:$D$2684,$B34,'январь 2026'!$J$2:$J$2684,M$1)</f>
        <v>0</v>
      </c>
      <c r="N34" s="75">
        <f>SUMIFS('январь 2026'!$G$2:$G$2684,'январь 2026'!$D$2:$D$2684,$B34,'январь 2026'!$J$2:$J$2684,N$1)</f>
        <v>0</v>
      </c>
      <c r="O34" s="75">
        <f>SUMIFS('январь 2026'!$G$2:$G$2684,'январь 2026'!$D$2:$D$2684,$B34,'январь 2026'!$J$2:$J$2684,O$1)</f>
        <v>0</v>
      </c>
      <c r="P34" s="75">
        <f>SUMIFS('январь 2026'!$G$2:$G$2684,'январь 2026'!$D$2:$D$2684,$B34,'январь 2026'!$J$2:$J$2684,P$1)</f>
        <v>0</v>
      </c>
      <c r="Q34" s="75">
        <f>SUMIFS('январь 2026'!$G$2:$G$2684,'январь 2026'!$D$2:$D$2684,$B34,'январь 2026'!$J$2:$J$2684,Q$1)</f>
        <v>0</v>
      </c>
      <c r="R34" s="75">
        <f>SUMIFS('январь 2026'!$G$2:$G$2684,'январь 2026'!$D$2:$D$2684,$B34,'январь 2026'!$J$2:$J$2684,R$1)</f>
        <v>0</v>
      </c>
      <c r="S34" s="75">
        <f>SUMIFS('январь 2026'!$G$2:$G$2684,'январь 2026'!$D$2:$D$2684,$B34,'январь 2026'!$J$2:$J$2684,S$1)</f>
        <v>0</v>
      </c>
      <c r="T34" s="75">
        <f>SUMIFS('январь 2026'!$G$2:$G$2684,'январь 2026'!$D$2:$D$2684,$B34,'январь 2026'!$J$2:$J$2684,T$1)</f>
        <v>0</v>
      </c>
      <c r="U34" s="75">
        <f>SUMIFS('январь 2026'!$G$2:$G$2684,'январь 2026'!$D$2:$D$2684,$B34,'январь 2026'!$J$2:$J$2684,U$1)</f>
        <v>0</v>
      </c>
      <c r="V34" s="75">
        <f>SUMIFS('январь 2026'!$G$2:$G$2684,'январь 2026'!$D$2:$D$2684,$B34,'январь 2026'!$J$2:$J$2684,V$1)</f>
        <v>0</v>
      </c>
      <c r="W34" s="75">
        <f>SUMIFS('январь 2026'!$G$2:$G$2684,'январь 2026'!$D$2:$D$2684,$B34,'январь 2026'!$J$2:$J$2684,W$1)</f>
        <v>0</v>
      </c>
      <c r="X34" s="75">
        <f>SUMIFS('январь 2026'!$G$2:$G$2684,'январь 2026'!$D$2:$D$2684,$B34,'январь 2026'!$J$2:$J$2684,X$1)</f>
        <v>0</v>
      </c>
      <c r="Y34" s="75">
        <f>SUMIFS('январь 2026'!$G$2:$G$2684,'январь 2026'!$D$2:$D$2684,$B34,'январь 2026'!$J$2:$J$2684,Y$1)</f>
        <v>0</v>
      </c>
      <c r="Z34" s="75">
        <f>SUMIFS('январь 2026'!$G$2:$G$2684,'январь 2026'!$D$2:$D$2684,$B34,'январь 2026'!$J$2:$J$2684,Z$1)</f>
        <v>0</v>
      </c>
      <c r="AA34" s="75">
        <f>SUMIFS('январь 2026'!$G$2:$G$2684,'январь 2026'!$D$2:$D$2684,$B34,'январь 2026'!$J$2:$J$2684,AA$1)</f>
        <v>0</v>
      </c>
      <c r="AB34" s="75">
        <f>SUMIFS('январь 2026'!$G$2:$G$2684,'январь 2026'!$D$2:$D$2684,$B34,'январь 2026'!$J$2:$J$2684,AB$1)</f>
        <v>0</v>
      </c>
      <c r="AC34" s="75">
        <f>SUMIFS('январь 2026'!$G$2:$G$2684,'январь 2026'!$D$2:$D$2684,$B34,'январь 2026'!$J$2:$J$2684,AC$1)</f>
        <v>0</v>
      </c>
      <c r="AD34" s="75">
        <f>SUMIFS('январь 2026'!$G$2:$G$2684,'январь 2026'!$D$2:$D$2684,$B34,'январь 2026'!$J$2:$J$2684,AD$1)</f>
        <v>0</v>
      </c>
      <c r="AE34" s="75">
        <f>SUMIFS('январь 2026'!$G$2:$G$2684,'январь 2026'!$D$2:$D$2684,$B34,'январь 2026'!$J$2:$J$2684,AE$1)</f>
        <v>0</v>
      </c>
      <c r="AF34" s="75">
        <f>SUMIFS('январь 2026'!$G$2:$G$2684,'январь 2026'!$D$2:$D$2684,$B34,'январь 2026'!$J$2:$J$2684,AF$1)</f>
        <v>0</v>
      </c>
      <c r="AG34" s="75">
        <f>SUMIFS('январь 2026'!$G$2:$G$2684,'январь 2026'!$D$2:$D$2684,$B34,'январь 2026'!$J$2:$J$2684,AG$1)</f>
        <v>0</v>
      </c>
      <c r="AH34" s="75">
        <f>SUMIFS('январь 2026'!$G$2:$G$2684,'январь 2026'!$D$2:$D$2684,$B34,'январь 2026'!$J$2:$J$2684,AH$1)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SUMIFS('январь 2026'!$G$2:$G$2684,'январь 2026'!$D$2:$D$2684,$B35,'январь 2026'!$J$2:$J$2684,D$1)</f>
        <v>0</v>
      </c>
      <c r="E35" s="143">
        <f>SUMIFS('январь 2026'!$G$2:$G$2684,'январь 2026'!$D$2:$D$2684,$B35,'январь 2026'!$J$2:$J$2684,E$1)</f>
        <v>0</v>
      </c>
      <c r="F35" s="143">
        <f>SUMIFS('январь 2026'!$G$2:$G$2684,'январь 2026'!$D$2:$D$2684,$B35,'январь 2026'!$J$2:$J$2684,F$1)</f>
        <v>0</v>
      </c>
      <c r="G35" s="143">
        <f>SUMIFS('январь 2026'!$G$2:$G$2684,'январь 2026'!$D$2:$D$2684,$B35,'январь 2026'!$J$2:$J$2684,G$1)</f>
        <v>0</v>
      </c>
      <c r="H35" s="143">
        <f>SUMIFS('январь 2026'!$G$2:$G$2684,'январь 2026'!$D$2:$D$2684,$B35,'январь 2026'!$J$2:$J$2684,H$1)</f>
        <v>0</v>
      </c>
      <c r="I35" s="143">
        <f>SUMIFS('январь 2026'!$G$2:$G$2684,'январь 2026'!$D$2:$D$2684,$B35,'январь 2026'!$J$2:$J$2684,I$1)</f>
        <v>0</v>
      </c>
      <c r="J35" s="143">
        <f>SUMIFS('январь 2026'!$G$2:$G$2684,'январь 2026'!$D$2:$D$2684,$B35,'январь 2026'!$J$2:$J$2684,J$1)</f>
        <v>0</v>
      </c>
      <c r="K35" s="143">
        <f>SUMIFS('январь 2026'!$G$2:$G$2684,'январь 2026'!$D$2:$D$2684,$B35,'январь 2026'!$J$2:$J$2684,K$1)</f>
        <v>0</v>
      </c>
      <c r="L35" s="143">
        <f>SUMIFS('январь 2026'!$G$2:$G$2684,'январь 2026'!$D$2:$D$2684,$B35,'январь 2026'!$J$2:$J$2684,L$1)</f>
        <v>0</v>
      </c>
      <c r="M35" s="143">
        <f>SUMIFS('январь 2026'!$G$2:$G$2684,'январь 2026'!$D$2:$D$2684,$B35,'январь 2026'!$J$2:$J$2684,M$1)</f>
        <v>0</v>
      </c>
      <c r="N35" s="143">
        <f>SUMIFS('январь 2026'!$G$2:$G$2684,'январь 2026'!$D$2:$D$2684,$B35,'январь 2026'!$J$2:$J$2684,N$1)</f>
        <v>0</v>
      </c>
      <c r="O35" s="143">
        <f>SUMIFS('январь 2026'!$G$2:$G$2684,'январь 2026'!$D$2:$D$2684,$B35,'январь 2026'!$J$2:$J$2684,O$1)</f>
        <v>0</v>
      </c>
      <c r="P35" s="143">
        <f>SUMIFS('январь 2026'!$G$2:$G$2684,'январь 2026'!$D$2:$D$2684,$B35,'январь 2026'!$J$2:$J$2684,P$1)</f>
        <v>0</v>
      </c>
      <c r="Q35" s="143">
        <f>SUMIFS('январь 2026'!$G$2:$G$2684,'январь 2026'!$D$2:$D$2684,$B35,'январь 2026'!$J$2:$J$2684,Q$1)</f>
        <v>0</v>
      </c>
      <c r="R35" s="143">
        <f>SUMIFS('январь 2026'!$G$2:$G$2684,'январь 2026'!$D$2:$D$2684,$B35,'январь 2026'!$J$2:$J$2684,R$1)</f>
        <v>0</v>
      </c>
      <c r="S35" s="143">
        <f>SUMIFS('январь 2026'!$G$2:$G$2684,'январь 2026'!$D$2:$D$2684,$B35,'январь 2026'!$J$2:$J$2684,S$1)</f>
        <v>0</v>
      </c>
      <c r="T35" s="143">
        <f>SUMIFS('январь 2026'!$G$2:$G$2684,'январь 2026'!$D$2:$D$2684,$B35,'январь 2026'!$J$2:$J$2684,T$1)</f>
        <v>0</v>
      </c>
      <c r="U35" s="143">
        <f>SUMIFS('январь 2026'!$G$2:$G$2684,'январь 2026'!$D$2:$D$2684,$B35,'январь 2026'!$J$2:$J$2684,U$1)</f>
        <v>0</v>
      </c>
      <c r="V35" s="143">
        <f>SUMIFS('январь 2026'!$G$2:$G$2684,'январь 2026'!$D$2:$D$2684,$B35,'январь 2026'!$J$2:$J$2684,V$1)</f>
        <v>0</v>
      </c>
      <c r="W35" s="143">
        <f>SUMIFS('январь 2026'!$G$2:$G$2684,'январь 2026'!$D$2:$D$2684,$B35,'январь 2026'!$J$2:$J$2684,W$1)</f>
        <v>0</v>
      </c>
      <c r="X35" s="143">
        <f>SUMIFS('январь 2026'!$G$2:$G$2684,'январь 2026'!$D$2:$D$2684,$B35,'январь 2026'!$J$2:$J$2684,X$1)</f>
        <v>0</v>
      </c>
      <c r="Y35" s="143">
        <f>SUMIFS('январь 2026'!$G$2:$G$2684,'январь 2026'!$D$2:$D$2684,$B35,'январь 2026'!$J$2:$J$2684,Y$1)</f>
        <v>0</v>
      </c>
      <c r="Z35" s="143">
        <f>SUMIFS('январь 2026'!$G$2:$G$2684,'январь 2026'!$D$2:$D$2684,$B35,'январь 2026'!$J$2:$J$2684,Z$1)</f>
        <v>0</v>
      </c>
      <c r="AA35" s="143">
        <f>SUMIFS('январь 2026'!$G$2:$G$2684,'январь 2026'!$D$2:$D$2684,$B35,'январь 2026'!$J$2:$J$2684,AA$1)</f>
        <v>0</v>
      </c>
      <c r="AB35" s="143">
        <f>SUMIFS('январь 2026'!$G$2:$G$2684,'январь 2026'!$D$2:$D$2684,$B35,'январь 2026'!$J$2:$J$2684,AB$1)</f>
        <v>0</v>
      </c>
      <c r="AC35" s="143">
        <f>SUMIFS('январь 2026'!$G$2:$G$2684,'январь 2026'!$D$2:$D$2684,$B35,'январь 2026'!$J$2:$J$2684,AC$1)</f>
        <v>0</v>
      </c>
      <c r="AD35" s="143">
        <f>SUMIFS('январь 2026'!$G$2:$G$2684,'январь 2026'!$D$2:$D$2684,$B35,'январь 2026'!$J$2:$J$2684,AD$1)</f>
        <v>0</v>
      </c>
      <c r="AE35" s="143">
        <f>SUMIFS('январь 2026'!$G$2:$G$2684,'январь 2026'!$D$2:$D$2684,$B35,'январь 2026'!$J$2:$J$2684,AE$1)</f>
        <v>0</v>
      </c>
      <c r="AF35" s="143">
        <f>SUMIFS('январь 2026'!$G$2:$G$2684,'январь 2026'!$D$2:$D$2684,$B35,'январь 2026'!$J$2:$J$2684,AF$1)</f>
        <v>0</v>
      </c>
      <c r="AG35" s="143">
        <f>SUMIFS('январь 2026'!$G$2:$G$2684,'январь 2026'!$D$2:$D$2684,$B35,'январь 2026'!$J$2:$J$2684,AG$1)</f>
        <v>0</v>
      </c>
      <c r="AH35" s="143">
        <f>SUMIFS('январь 2026'!$G$2:$G$2684,'январь 2026'!$D$2:$D$2684,$B35,'январь 2026'!$J$2:$J$2684,AH$1)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SUMIFS('январь 2026'!$G$2:$G$2684,'январь 2026'!$D$2:$D$2684,$B36,'январь 2026'!$J$2:$J$2684,D$1)</f>
        <v>0</v>
      </c>
      <c r="E36" s="143">
        <f>SUMIFS('январь 2026'!$G$2:$G$2684,'январь 2026'!$D$2:$D$2684,$B36,'январь 2026'!$J$2:$J$2684,E$1)</f>
        <v>0</v>
      </c>
      <c r="F36" s="143">
        <f>SUMIFS('январь 2026'!$G$2:$G$2684,'январь 2026'!$D$2:$D$2684,$B36,'январь 2026'!$J$2:$J$2684,F$1)</f>
        <v>0</v>
      </c>
      <c r="G36" s="143">
        <f>SUMIFS('январь 2026'!$G$2:$G$2684,'январь 2026'!$D$2:$D$2684,$B36,'январь 2026'!$J$2:$J$2684,G$1)</f>
        <v>0</v>
      </c>
      <c r="H36" s="143">
        <f>SUMIFS('январь 2026'!$G$2:$G$2684,'январь 2026'!$D$2:$D$2684,$B36,'январь 2026'!$J$2:$J$2684,H$1)</f>
        <v>0</v>
      </c>
      <c r="I36" s="143">
        <f>SUMIFS('январь 2026'!$G$2:$G$2684,'январь 2026'!$D$2:$D$2684,$B36,'январь 2026'!$J$2:$J$2684,I$1)</f>
        <v>0</v>
      </c>
      <c r="J36" s="143">
        <f>SUMIFS('январь 2026'!$G$2:$G$2684,'январь 2026'!$D$2:$D$2684,$B36,'январь 2026'!$J$2:$J$2684,J$1)</f>
        <v>0</v>
      </c>
      <c r="K36" s="143">
        <f>SUMIFS('январь 2026'!$G$2:$G$2684,'январь 2026'!$D$2:$D$2684,$B36,'январь 2026'!$J$2:$J$2684,K$1)</f>
        <v>0</v>
      </c>
      <c r="L36" s="143">
        <f>SUMIFS('январь 2026'!$G$2:$G$2684,'январь 2026'!$D$2:$D$2684,$B36,'январь 2026'!$J$2:$J$2684,L$1)</f>
        <v>0</v>
      </c>
      <c r="M36" s="143">
        <f>SUMIFS('январь 2026'!$G$2:$G$2684,'январь 2026'!$D$2:$D$2684,$B36,'январь 2026'!$J$2:$J$2684,M$1)</f>
        <v>0</v>
      </c>
      <c r="N36" s="143">
        <f>SUMIFS('январь 2026'!$G$2:$G$2684,'январь 2026'!$D$2:$D$2684,$B36,'январь 2026'!$J$2:$J$2684,N$1)</f>
        <v>0</v>
      </c>
      <c r="O36" s="143">
        <f>SUMIFS('январь 2026'!$G$2:$G$2684,'январь 2026'!$D$2:$D$2684,$B36,'январь 2026'!$J$2:$J$2684,O$1)</f>
        <v>0</v>
      </c>
      <c r="P36" s="143">
        <f>SUMIFS('январь 2026'!$G$2:$G$2684,'январь 2026'!$D$2:$D$2684,$B36,'январь 2026'!$J$2:$J$2684,P$1)</f>
        <v>0</v>
      </c>
      <c r="Q36" s="143">
        <f>SUMIFS('январь 2026'!$G$2:$G$2684,'январь 2026'!$D$2:$D$2684,$B36,'январь 2026'!$J$2:$J$2684,Q$1)</f>
        <v>0</v>
      </c>
      <c r="R36" s="143">
        <f>SUMIFS('январь 2026'!$G$2:$G$2684,'январь 2026'!$D$2:$D$2684,$B36,'январь 2026'!$J$2:$J$2684,R$1)</f>
        <v>0</v>
      </c>
      <c r="S36" s="143">
        <f>SUMIFS('январь 2026'!$G$2:$G$2684,'январь 2026'!$D$2:$D$2684,$B36,'январь 2026'!$J$2:$J$2684,S$1)</f>
        <v>0</v>
      </c>
      <c r="T36" s="143">
        <f>SUMIFS('январь 2026'!$G$2:$G$2684,'январь 2026'!$D$2:$D$2684,$B36,'январь 2026'!$J$2:$J$2684,T$1)</f>
        <v>0</v>
      </c>
      <c r="U36" s="143">
        <f>SUMIFS('январь 2026'!$G$2:$G$2684,'январь 2026'!$D$2:$D$2684,$B36,'январь 2026'!$J$2:$J$2684,U$1)</f>
        <v>0</v>
      </c>
      <c r="V36" s="143">
        <f>SUMIFS('январь 2026'!$G$2:$G$2684,'январь 2026'!$D$2:$D$2684,$B36,'январь 2026'!$J$2:$J$2684,V$1)</f>
        <v>0</v>
      </c>
      <c r="W36" s="143">
        <f>SUMIFS('январь 2026'!$G$2:$G$2684,'январь 2026'!$D$2:$D$2684,$B36,'январь 2026'!$J$2:$J$2684,W$1)</f>
        <v>0</v>
      </c>
      <c r="X36" s="143">
        <f>SUMIFS('январь 2026'!$G$2:$G$2684,'январь 2026'!$D$2:$D$2684,$B36,'январь 2026'!$J$2:$J$2684,X$1)</f>
        <v>0</v>
      </c>
      <c r="Y36" s="143">
        <f>SUMIFS('январь 2026'!$G$2:$G$2684,'январь 2026'!$D$2:$D$2684,$B36,'январь 2026'!$J$2:$J$2684,Y$1)</f>
        <v>0</v>
      </c>
      <c r="Z36" s="143">
        <f>SUMIFS('январь 2026'!$G$2:$G$2684,'январь 2026'!$D$2:$D$2684,$B36,'январь 2026'!$J$2:$J$2684,Z$1)</f>
        <v>0</v>
      </c>
      <c r="AA36" s="143">
        <f>SUMIFS('январь 2026'!$G$2:$G$2684,'январь 2026'!$D$2:$D$2684,$B36,'январь 2026'!$J$2:$J$2684,AA$1)</f>
        <v>0</v>
      </c>
      <c r="AB36" s="143">
        <f>SUMIFS('январь 2026'!$G$2:$G$2684,'январь 2026'!$D$2:$D$2684,$B36,'январь 2026'!$J$2:$J$2684,AB$1)</f>
        <v>0</v>
      </c>
      <c r="AC36" s="143">
        <f>SUMIFS('январь 2026'!$G$2:$G$2684,'январь 2026'!$D$2:$D$2684,$B36,'январь 2026'!$J$2:$J$2684,AC$1)</f>
        <v>0</v>
      </c>
      <c r="AD36" s="143">
        <f>SUMIFS('январь 2026'!$G$2:$G$2684,'январь 2026'!$D$2:$D$2684,$B36,'январь 2026'!$J$2:$J$2684,AD$1)</f>
        <v>0</v>
      </c>
      <c r="AE36" s="143">
        <f>SUMIFS('январь 2026'!$G$2:$G$2684,'январь 2026'!$D$2:$D$2684,$B36,'январь 2026'!$J$2:$J$2684,AE$1)</f>
        <v>0</v>
      </c>
      <c r="AF36" s="143">
        <f>SUMIFS('январь 2026'!$G$2:$G$2684,'январь 2026'!$D$2:$D$2684,$B36,'январь 2026'!$J$2:$J$2684,AF$1)</f>
        <v>0</v>
      </c>
      <c r="AG36" s="143">
        <f>SUMIFS('январь 2026'!$G$2:$G$2684,'январь 2026'!$D$2:$D$2684,$B36,'январь 2026'!$J$2:$J$2684,AG$1)</f>
        <v>0</v>
      </c>
      <c r="AH36" s="143">
        <f>SUMIFS('январь 2026'!$G$2:$G$2684,'январь 2026'!$D$2:$D$2684,$B36,'январь 2026'!$J$2:$J$2684,AH$1)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SUMIFS('январь 2026'!$G$2:$G$2684,'январь 2026'!$D$2:$D$2684,$B37,'январь 2026'!$J$2:$J$2684,D$1)</f>
        <v>0</v>
      </c>
      <c r="E37" s="143">
        <f>SUMIFS('январь 2026'!$G$2:$G$2684,'январь 2026'!$D$2:$D$2684,$B37,'январь 2026'!$J$2:$J$2684,E$1)</f>
        <v>0</v>
      </c>
      <c r="F37" s="143">
        <f>SUMIFS('январь 2026'!$G$2:$G$2684,'январь 2026'!$D$2:$D$2684,$B37,'январь 2026'!$J$2:$J$2684,F$1)</f>
        <v>0</v>
      </c>
      <c r="G37" s="143">
        <f>SUMIFS('январь 2026'!$G$2:$G$2684,'январь 2026'!$D$2:$D$2684,$B37,'январь 2026'!$J$2:$J$2684,G$1)</f>
        <v>0</v>
      </c>
      <c r="H37" s="143">
        <f>SUMIFS('январь 2026'!$G$2:$G$2684,'январь 2026'!$D$2:$D$2684,$B37,'январь 2026'!$J$2:$J$2684,H$1)</f>
        <v>0</v>
      </c>
      <c r="I37" s="143">
        <f>SUMIFS('январь 2026'!$G$2:$G$2684,'январь 2026'!$D$2:$D$2684,$B37,'январь 2026'!$J$2:$J$2684,I$1)</f>
        <v>0</v>
      </c>
      <c r="J37" s="143">
        <f>SUMIFS('январь 2026'!$G$2:$G$2684,'январь 2026'!$D$2:$D$2684,$B37,'январь 2026'!$J$2:$J$2684,J$1)</f>
        <v>0</v>
      </c>
      <c r="K37" s="143">
        <f>SUMIFS('январь 2026'!$G$2:$G$2684,'январь 2026'!$D$2:$D$2684,$B37,'январь 2026'!$J$2:$J$2684,K$1)</f>
        <v>0</v>
      </c>
      <c r="L37" s="143">
        <f>SUMIFS('январь 2026'!$G$2:$G$2684,'январь 2026'!$D$2:$D$2684,$B37,'январь 2026'!$J$2:$J$2684,L$1)</f>
        <v>0</v>
      </c>
      <c r="M37" s="143">
        <f>SUMIFS('январь 2026'!$G$2:$G$2684,'январь 2026'!$D$2:$D$2684,$B37,'январь 2026'!$J$2:$J$2684,M$1)</f>
        <v>0</v>
      </c>
      <c r="N37" s="143">
        <f>SUMIFS('январь 2026'!$G$2:$G$2684,'январь 2026'!$D$2:$D$2684,$B37,'январь 2026'!$J$2:$J$2684,N$1)</f>
        <v>0</v>
      </c>
      <c r="O37" s="143">
        <f>SUMIFS('январь 2026'!$G$2:$G$2684,'январь 2026'!$D$2:$D$2684,$B37,'январь 2026'!$J$2:$J$2684,O$1)</f>
        <v>0</v>
      </c>
      <c r="P37" s="143">
        <f>SUMIFS('январь 2026'!$G$2:$G$2684,'январь 2026'!$D$2:$D$2684,$B37,'январь 2026'!$J$2:$J$2684,P$1)</f>
        <v>0</v>
      </c>
      <c r="Q37" s="143">
        <f>SUMIFS('январь 2026'!$G$2:$G$2684,'январь 2026'!$D$2:$D$2684,$B37,'январь 2026'!$J$2:$J$2684,Q$1)</f>
        <v>0</v>
      </c>
      <c r="R37" s="143">
        <f>SUMIFS('январь 2026'!$G$2:$G$2684,'январь 2026'!$D$2:$D$2684,$B37,'январь 2026'!$J$2:$J$2684,R$1)</f>
        <v>0</v>
      </c>
      <c r="S37" s="143">
        <f>SUMIFS('январь 2026'!$G$2:$G$2684,'январь 2026'!$D$2:$D$2684,$B37,'январь 2026'!$J$2:$J$2684,S$1)</f>
        <v>0</v>
      </c>
      <c r="T37" s="143">
        <f>SUMIFS('январь 2026'!$G$2:$G$2684,'январь 2026'!$D$2:$D$2684,$B37,'январь 2026'!$J$2:$J$2684,T$1)</f>
        <v>0</v>
      </c>
      <c r="U37" s="143">
        <f>SUMIFS('январь 2026'!$G$2:$G$2684,'январь 2026'!$D$2:$D$2684,$B37,'январь 2026'!$J$2:$J$2684,U$1)</f>
        <v>0</v>
      </c>
      <c r="V37" s="143">
        <f>SUMIFS('январь 2026'!$G$2:$G$2684,'январь 2026'!$D$2:$D$2684,$B37,'январь 2026'!$J$2:$J$2684,V$1)</f>
        <v>0</v>
      </c>
      <c r="W37" s="143">
        <f>SUMIFS('январь 2026'!$G$2:$G$2684,'январь 2026'!$D$2:$D$2684,$B37,'январь 2026'!$J$2:$J$2684,W$1)</f>
        <v>0</v>
      </c>
      <c r="X37" s="143">
        <f>SUMIFS('январь 2026'!$G$2:$G$2684,'январь 2026'!$D$2:$D$2684,$B37,'январь 2026'!$J$2:$J$2684,X$1)</f>
        <v>0</v>
      </c>
      <c r="Y37" s="143">
        <f>SUMIFS('январь 2026'!$G$2:$G$2684,'январь 2026'!$D$2:$D$2684,$B37,'январь 2026'!$J$2:$J$2684,Y$1)</f>
        <v>0</v>
      </c>
      <c r="Z37" s="143">
        <f>SUMIFS('январь 2026'!$G$2:$G$2684,'январь 2026'!$D$2:$D$2684,$B37,'январь 2026'!$J$2:$J$2684,Z$1)</f>
        <v>0</v>
      </c>
      <c r="AA37" s="143">
        <f>SUMIFS('январь 2026'!$G$2:$G$2684,'январь 2026'!$D$2:$D$2684,$B37,'январь 2026'!$J$2:$J$2684,AA$1)</f>
        <v>0</v>
      </c>
      <c r="AB37" s="143">
        <f>SUMIFS('январь 2026'!$G$2:$G$2684,'январь 2026'!$D$2:$D$2684,$B37,'январь 2026'!$J$2:$J$2684,AB$1)</f>
        <v>0</v>
      </c>
      <c r="AC37" s="143">
        <f>SUMIFS('январь 2026'!$G$2:$G$2684,'январь 2026'!$D$2:$D$2684,$B37,'январь 2026'!$J$2:$J$2684,AC$1)</f>
        <v>0</v>
      </c>
      <c r="AD37" s="143">
        <f>SUMIFS('январь 2026'!$G$2:$G$2684,'январь 2026'!$D$2:$D$2684,$B37,'январь 2026'!$J$2:$J$2684,AD$1)</f>
        <v>0</v>
      </c>
      <c r="AE37" s="143">
        <f>SUMIFS('январь 2026'!$G$2:$G$2684,'январь 2026'!$D$2:$D$2684,$B37,'январь 2026'!$J$2:$J$2684,AE$1)</f>
        <v>0</v>
      </c>
      <c r="AF37" s="143">
        <f>SUMIFS('январь 2026'!$G$2:$G$2684,'январь 2026'!$D$2:$D$2684,$B37,'январь 2026'!$J$2:$J$2684,AF$1)</f>
        <v>0</v>
      </c>
      <c r="AG37" s="143">
        <f>SUMIFS('январь 2026'!$G$2:$G$2684,'январь 2026'!$D$2:$D$2684,$B37,'январь 2026'!$J$2:$J$2684,AG$1)</f>
        <v>0</v>
      </c>
      <c r="AH37" s="143">
        <f>SUMIFS('январь 2026'!$G$2:$G$2684,'январь 2026'!$D$2:$D$2684,$B37,'январь 2026'!$J$2:$J$2684,AH$1)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SUMIFS('январь 2026'!$G$2:$G$2684,'январь 2026'!$D$2:$D$2684,$B38,'январь 2026'!$J$2:$J$2684,D$1)</f>
        <v>0</v>
      </c>
      <c r="E38" s="143">
        <f>SUMIFS('январь 2026'!$G$2:$G$2684,'январь 2026'!$D$2:$D$2684,$B38,'январь 2026'!$J$2:$J$2684,E$1)</f>
        <v>0</v>
      </c>
      <c r="F38" s="143">
        <f>SUMIFS('январь 2026'!$G$2:$G$2684,'январь 2026'!$D$2:$D$2684,$B38,'январь 2026'!$J$2:$J$2684,F$1)</f>
        <v>0</v>
      </c>
      <c r="G38" s="143">
        <f>SUMIFS('январь 2026'!$G$2:$G$2684,'январь 2026'!$D$2:$D$2684,$B38,'январь 2026'!$J$2:$J$2684,G$1)</f>
        <v>0</v>
      </c>
      <c r="H38" s="143">
        <f>SUMIFS('январь 2026'!$G$2:$G$2684,'январь 2026'!$D$2:$D$2684,$B38,'январь 2026'!$J$2:$J$2684,H$1)</f>
        <v>0</v>
      </c>
      <c r="I38" s="143">
        <f>SUMIFS('январь 2026'!$G$2:$G$2684,'январь 2026'!$D$2:$D$2684,$B38,'январь 2026'!$J$2:$J$2684,I$1)</f>
        <v>0</v>
      </c>
      <c r="J38" s="143">
        <f>SUMIFS('январь 2026'!$G$2:$G$2684,'январь 2026'!$D$2:$D$2684,$B38,'январь 2026'!$J$2:$J$2684,J$1)</f>
        <v>0</v>
      </c>
      <c r="K38" s="143">
        <f>SUMIFS('январь 2026'!$G$2:$G$2684,'январь 2026'!$D$2:$D$2684,$B38,'январь 2026'!$J$2:$J$2684,K$1)</f>
        <v>0</v>
      </c>
      <c r="L38" s="143">
        <f>SUMIFS('январь 2026'!$G$2:$G$2684,'январь 2026'!$D$2:$D$2684,$B38,'январь 2026'!$J$2:$J$2684,L$1)</f>
        <v>0</v>
      </c>
      <c r="M38" s="143">
        <f>SUMIFS('январь 2026'!$G$2:$G$2684,'январь 2026'!$D$2:$D$2684,$B38,'январь 2026'!$J$2:$J$2684,M$1)</f>
        <v>0</v>
      </c>
      <c r="N38" s="143">
        <f>SUMIFS('январь 2026'!$G$2:$G$2684,'январь 2026'!$D$2:$D$2684,$B38,'январь 2026'!$J$2:$J$2684,N$1)</f>
        <v>0</v>
      </c>
      <c r="O38" s="143">
        <f>SUMIFS('январь 2026'!$G$2:$G$2684,'январь 2026'!$D$2:$D$2684,$B38,'январь 2026'!$J$2:$J$2684,O$1)</f>
        <v>0</v>
      </c>
      <c r="P38" s="143">
        <f>SUMIFS('январь 2026'!$G$2:$G$2684,'январь 2026'!$D$2:$D$2684,$B38,'январь 2026'!$J$2:$J$2684,P$1)</f>
        <v>0</v>
      </c>
      <c r="Q38" s="143">
        <f>SUMIFS('январь 2026'!$G$2:$G$2684,'январь 2026'!$D$2:$D$2684,$B38,'январь 2026'!$J$2:$J$2684,Q$1)</f>
        <v>0</v>
      </c>
      <c r="R38" s="143">
        <f>SUMIFS('январь 2026'!$G$2:$G$2684,'январь 2026'!$D$2:$D$2684,$B38,'январь 2026'!$J$2:$J$2684,R$1)</f>
        <v>0</v>
      </c>
      <c r="S38" s="143">
        <f>SUMIFS('январь 2026'!$G$2:$G$2684,'январь 2026'!$D$2:$D$2684,$B38,'январь 2026'!$J$2:$J$2684,S$1)</f>
        <v>0</v>
      </c>
      <c r="T38" s="143">
        <f>SUMIFS('январь 2026'!$G$2:$G$2684,'январь 2026'!$D$2:$D$2684,$B38,'январь 2026'!$J$2:$J$2684,T$1)</f>
        <v>0</v>
      </c>
      <c r="U38" s="143">
        <f>SUMIFS('январь 2026'!$G$2:$G$2684,'январь 2026'!$D$2:$D$2684,$B38,'январь 2026'!$J$2:$J$2684,U$1)</f>
        <v>0</v>
      </c>
      <c r="V38" s="143">
        <f>SUMIFS('январь 2026'!$G$2:$G$2684,'январь 2026'!$D$2:$D$2684,$B38,'январь 2026'!$J$2:$J$2684,V$1)</f>
        <v>0</v>
      </c>
      <c r="W38" s="143">
        <f>SUMIFS('январь 2026'!$G$2:$G$2684,'январь 2026'!$D$2:$D$2684,$B38,'январь 2026'!$J$2:$J$2684,W$1)</f>
        <v>0</v>
      </c>
      <c r="X38" s="143">
        <f>SUMIFS('январь 2026'!$G$2:$G$2684,'январь 2026'!$D$2:$D$2684,$B38,'январь 2026'!$J$2:$J$2684,X$1)</f>
        <v>0</v>
      </c>
      <c r="Y38" s="143">
        <f>SUMIFS('январь 2026'!$G$2:$G$2684,'январь 2026'!$D$2:$D$2684,$B38,'январь 2026'!$J$2:$J$2684,Y$1)</f>
        <v>0</v>
      </c>
      <c r="Z38" s="143">
        <f>SUMIFS('январь 2026'!$G$2:$G$2684,'январь 2026'!$D$2:$D$2684,$B38,'январь 2026'!$J$2:$J$2684,Z$1)</f>
        <v>0</v>
      </c>
      <c r="AA38" s="143">
        <f>SUMIFS('январь 2026'!$G$2:$G$2684,'январь 2026'!$D$2:$D$2684,$B38,'январь 2026'!$J$2:$J$2684,AA$1)</f>
        <v>0</v>
      </c>
      <c r="AB38" s="143">
        <f>SUMIFS('январь 2026'!$G$2:$G$2684,'январь 2026'!$D$2:$D$2684,$B38,'январь 2026'!$J$2:$J$2684,AB$1)</f>
        <v>0</v>
      </c>
      <c r="AC38" s="143">
        <f>SUMIFS('январь 2026'!$G$2:$G$2684,'январь 2026'!$D$2:$D$2684,$B38,'январь 2026'!$J$2:$J$2684,AC$1)</f>
        <v>0</v>
      </c>
      <c r="AD38" s="143">
        <f>SUMIFS('январь 2026'!$G$2:$G$2684,'январь 2026'!$D$2:$D$2684,$B38,'январь 2026'!$J$2:$J$2684,AD$1)</f>
        <v>0</v>
      </c>
      <c r="AE38" s="143">
        <f>SUMIFS('январь 2026'!$G$2:$G$2684,'январь 2026'!$D$2:$D$2684,$B38,'январь 2026'!$J$2:$J$2684,AE$1)</f>
        <v>0</v>
      </c>
      <c r="AF38" s="143">
        <f>SUMIFS('январь 2026'!$G$2:$G$2684,'январь 2026'!$D$2:$D$2684,$B38,'январь 2026'!$J$2:$J$2684,AF$1)</f>
        <v>0</v>
      </c>
      <c r="AG38" s="143">
        <f>SUMIFS('январь 2026'!$G$2:$G$2684,'январь 2026'!$D$2:$D$2684,$B38,'январь 2026'!$J$2:$J$2684,AG$1)</f>
        <v>120</v>
      </c>
      <c r="AH38" s="143">
        <f>SUMIFS('январь 2026'!$G$2:$G$2684,'январь 2026'!$D$2:$D$2684,$B38,'январь 2026'!$J$2:$J$2684,AH$1)</f>
        <v>0</v>
      </c>
      <c r="AI38" s="20">
        <f t="shared" si="1"/>
        <v>120</v>
      </c>
    </row>
    <row r="39" spans="2:35" ht="15" customHeight="1" x14ac:dyDescent="0.25">
      <c r="B39" s="120" t="s">
        <v>215</v>
      </c>
      <c r="C39" s="121">
        <v>25</v>
      </c>
      <c r="D39" s="143">
        <f>SUMIFS('январь 2026'!$G$2:$G$2684,'январь 2026'!$D$2:$D$2684,$B39,'январь 2026'!$J$2:$J$2684,D$1)</f>
        <v>0</v>
      </c>
      <c r="E39" s="143">
        <f>SUMIFS('январь 2026'!$G$2:$G$2684,'январь 2026'!$D$2:$D$2684,$B39,'январь 2026'!$J$2:$J$2684,E$1)</f>
        <v>0</v>
      </c>
      <c r="F39" s="143">
        <f>SUMIFS('январь 2026'!$G$2:$G$2684,'январь 2026'!$D$2:$D$2684,$B39,'январь 2026'!$J$2:$J$2684,F$1)</f>
        <v>0</v>
      </c>
      <c r="G39" s="143">
        <f>SUMIFS('январь 2026'!$G$2:$G$2684,'январь 2026'!$D$2:$D$2684,$B39,'январь 2026'!$J$2:$J$2684,G$1)</f>
        <v>0</v>
      </c>
      <c r="H39" s="143">
        <f>SUMIFS('январь 2026'!$G$2:$G$2684,'январь 2026'!$D$2:$D$2684,$B39,'январь 2026'!$J$2:$J$2684,H$1)</f>
        <v>0</v>
      </c>
      <c r="I39" s="143">
        <f>SUMIFS('январь 2026'!$G$2:$G$2684,'январь 2026'!$D$2:$D$2684,$B39,'январь 2026'!$J$2:$J$2684,I$1)</f>
        <v>0</v>
      </c>
      <c r="J39" s="143">
        <f>SUMIFS('январь 2026'!$G$2:$G$2684,'январь 2026'!$D$2:$D$2684,$B39,'январь 2026'!$J$2:$J$2684,J$1)</f>
        <v>0</v>
      </c>
      <c r="K39" s="143">
        <f>SUMIFS('январь 2026'!$G$2:$G$2684,'январь 2026'!$D$2:$D$2684,$B39,'январь 2026'!$J$2:$J$2684,K$1)</f>
        <v>0</v>
      </c>
      <c r="L39" s="143">
        <f>SUMIFS('январь 2026'!$G$2:$G$2684,'январь 2026'!$D$2:$D$2684,$B39,'январь 2026'!$J$2:$J$2684,L$1)</f>
        <v>0</v>
      </c>
      <c r="M39" s="143">
        <f>SUMIFS('январь 2026'!$G$2:$G$2684,'январь 2026'!$D$2:$D$2684,$B39,'январь 2026'!$J$2:$J$2684,M$1)</f>
        <v>0</v>
      </c>
      <c r="N39" s="143">
        <f>SUMIFS('январь 2026'!$G$2:$G$2684,'январь 2026'!$D$2:$D$2684,$B39,'январь 2026'!$J$2:$J$2684,N$1)</f>
        <v>0</v>
      </c>
      <c r="O39" s="143">
        <f>SUMIFS('январь 2026'!$G$2:$G$2684,'январь 2026'!$D$2:$D$2684,$B39,'январь 2026'!$J$2:$J$2684,O$1)</f>
        <v>0</v>
      </c>
      <c r="P39" s="143">
        <f>SUMIFS('январь 2026'!$G$2:$G$2684,'январь 2026'!$D$2:$D$2684,$B39,'январь 2026'!$J$2:$J$2684,P$1)</f>
        <v>0</v>
      </c>
      <c r="Q39" s="143">
        <f>SUMIFS('январь 2026'!$G$2:$G$2684,'январь 2026'!$D$2:$D$2684,$B39,'январь 2026'!$J$2:$J$2684,Q$1)</f>
        <v>0</v>
      </c>
      <c r="R39" s="143">
        <f>SUMIFS('январь 2026'!$G$2:$G$2684,'январь 2026'!$D$2:$D$2684,$B39,'январь 2026'!$J$2:$J$2684,R$1)</f>
        <v>0</v>
      </c>
      <c r="S39" s="143">
        <f>SUMIFS('январь 2026'!$G$2:$G$2684,'январь 2026'!$D$2:$D$2684,$B39,'январь 2026'!$J$2:$J$2684,S$1)</f>
        <v>0</v>
      </c>
      <c r="T39" s="143">
        <f>SUMIFS('январь 2026'!$G$2:$G$2684,'январь 2026'!$D$2:$D$2684,$B39,'январь 2026'!$J$2:$J$2684,T$1)</f>
        <v>0</v>
      </c>
      <c r="U39" s="143">
        <f>SUMIFS('январь 2026'!$G$2:$G$2684,'январь 2026'!$D$2:$D$2684,$B39,'январь 2026'!$J$2:$J$2684,U$1)</f>
        <v>0</v>
      </c>
      <c r="V39" s="143">
        <f>SUMIFS('январь 2026'!$G$2:$G$2684,'январь 2026'!$D$2:$D$2684,$B39,'январь 2026'!$J$2:$J$2684,V$1)</f>
        <v>0</v>
      </c>
      <c r="W39" s="143">
        <f>SUMIFS('январь 2026'!$G$2:$G$2684,'январь 2026'!$D$2:$D$2684,$B39,'январь 2026'!$J$2:$J$2684,W$1)</f>
        <v>0</v>
      </c>
      <c r="X39" s="143">
        <f>SUMIFS('январь 2026'!$G$2:$G$2684,'январь 2026'!$D$2:$D$2684,$B39,'январь 2026'!$J$2:$J$2684,X$1)</f>
        <v>0</v>
      </c>
      <c r="Y39" s="143">
        <f>SUMIFS('январь 2026'!$G$2:$G$2684,'январь 2026'!$D$2:$D$2684,$B39,'январь 2026'!$J$2:$J$2684,Y$1)</f>
        <v>0</v>
      </c>
      <c r="Z39" s="143">
        <f>SUMIFS('январь 2026'!$G$2:$G$2684,'январь 2026'!$D$2:$D$2684,$B39,'январь 2026'!$J$2:$J$2684,Z$1)</f>
        <v>0</v>
      </c>
      <c r="AA39" s="143">
        <f>SUMIFS('январь 2026'!$G$2:$G$2684,'январь 2026'!$D$2:$D$2684,$B39,'январь 2026'!$J$2:$J$2684,AA$1)</f>
        <v>0</v>
      </c>
      <c r="AB39" s="143">
        <f>SUMIFS('январь 2026'!$G$2:$G$2684,'январь 2026'!$D$2:$D$2684,$B39,'январь 2026'!$J$2:$J$2684,AB$1)</f>
        <v>0</v>
      </c>
      <c r="AC39" s="143">
        <f>SUMIFS('январь 2026'!$G$2:$G$2684,'январь 2026'!$D$2:$D$2684,$B39,'январь 2026'!$J$2:$J$2684,AC$1)</f>
        <v>0</v>
      </c>
      <c r="AD39" s="143">
        <f>SUMIFS('январь 2026'!$G$2:$G$2684,'январь 2026'!$D$2:$D$2684,$B39,'январь 2026'!$J$2:$J$2684,AD$1)</f>
        <v>0</v>
      </c>
      <c r="AE39" s="143">
        <f>SUMIFS('январь 2026'!$G$2:$G$2684,'январь 2026'!$D$2:$D$2684,$B39,'январь 2026'!$J$2:$J$2684,AE$1)</f>
        <v>0</v>
      </c>
      <c r="AF39" s="143">
        <f>SUMIFS('январь 2026'!$G$2:$G$2684,'январь 2026'!$D$2:$D$2684,$B39,'январь 2026'!$J$2:$J$2684,AF$1)</f>
        <v>0</v>
      </c>
      <c r="AG39" s="143">
        <f>SUMIFS('январь 2026'!$G$2:$G$2684,'январь 2026'!$D$2:$D$2684,$B39,'январь 2026'!$J$2:$J$2684,AG$1)</f>
        <v>0</v>
      </c>
      <c r="AH39" s="143">
        <f>SUMIFS('январь 2026'!$G$2:$G$2684,'январь 2026'!$D$2:$D$2684,$B39,'январь 2026'!$J$2:$J$2684,AH$1)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SUMIFS('январь 2026'!$G$2:$G$2684,'январь 2026'!$D$2:$D$2684,$B40,'январь 2026'!$J$2:$J$2684,D$1)</f>
        <v>0</v>
      </c>
      <c r="E40" s="143">
        <f>SUMIFS('январь 2026'!$G$2:$G$2684,'январь 2026'!$D$2:$D$2684,$B40,'январь 2026'!$J$2:$J$2684,E$1)</f>
        <v>0</v>
      </c>
      <c r="F40" s="143">
        <f>SUMIFS('январь 2026'!$G$2:$G$2684,'январь 2026'!$D$2:$D$2684,$B40,'январь 2026'!$J$2:$J$2684,F$1)</f>
        <v>0</v>
      </c>
      <c r="G40" s="143">
        <f>SUMIFS('январь 2026'!$G$2:$G$2684,'январь 2026'!$D$2:$D$2684,$B40,'январь 2026'!$J$2:$J$2684,G$1)</f>
        <v>0</v>
      </c>
      <c r="H40" s="143">
        <f>SUMIFS('январь 2026'!$G$2:$G$2684,'январь 2026'!$D$2:$D$2684,$B40,'январь 2026'!$J$2:$J$2684,H$1)</f>
        <v>0</v>
      </c>
      <c r="I40" s="143">
        <f>SUMIFS('январь 2026'!$G$2:$G$2684,'январь 2026'!$D$2:$D$2684,$B40,'январь 2026'!$J$2:$J$2684,I$1)</f>
        <v>0</v>
      </c>
      <c r="J40" s="143">
        <f>SUMIFS('январь 2026'!$G$2:$G$2684,'январь 2026'!$D$2:$D$2684,$B40,'январь 2026'!$J$2:$J$2684,J$1)</f>
        <v>0</v>
      </c>
      <c r="K40" s="143">
        <f>SUMIFS('январь 2026'!$G$2:$G$2684,'январь 2026'!$D$2:$D$2684,$B40,'январь 2026'!$J$2:$J$2684,K$1)</f>
        <v>0</v>
      </c>
      <c r="L40" s="143">
        <f>SUMIFS('январь 2026'!$G$2:$G$2684,'январь 2026'!$D$2:$D$2684,$B40,'январь 2026'!$J$2:$J$2684,L$1)</f>
        <v>0</v>
      </c>
      <c r="M40" s="143">
        <f>SUMIFS('январь 2026'!$G$2:$G$2684,'январь 2026'!$D$2:$D$2684,$B40,'январь 2026'!$J$2:$J$2684,M$1)</f>
        <v>0</v>
      </c>
      <c r="N40" s="143">
        <f>SUMIFS('январь 2026'!$G$2:$G$2684,'январь 2026'!$D$2:$D$2684,$B40,'январь 2026'!$J$2:$J$2684,N$1)</f>
        <v>0</v>
      </c>
      <c r="O40" s="143">
        <f>SUMIFS('январь 2026'!$G$2:$G$2684,'январь 2026'!$D$2:$D$2684,$B40,'январь 2026'!$J$2:$J$2684,O$1)</f>
        <v>0</v>
      </c>
      <c r="P40" s="143">
        <f>SUMIFS('январь 2026'!$G$2:$G$2684,'январь 2026'!$D$2:$D$2684,$B40,'январь 2026'!$J$2:$J$2684,P$1)</f>
        <v>0</v>
      </c>
      <c r="Q40" s="143">
        <f>SUMIFS('январь 2026'!$G$2:$G$2684,'январь 2026'!$D$2:$D$2684,$B40,'январь 2026'!$J$2:$J$2684,Q$1)</f>
        <v>0</v>
      </c>
      <c r="R40" s="143">
        <f>SUMIFS('январь 2026'!$G$2:$G$2684,'январь 2026'!$D$2:$D$2684,$B40,'январь 2026'!$J$2:$J$2684,R$1)</f>
        <v>0</v>
      </c>
      <c r="S40" s="143">
        <f>SUMIFS('январь 2026'!$G$2:$G$2684,'январь 2026'!$D$2:$D$2684,$B40,'январь 2026'!$J$2:$J$2684,S$1)</f>
        <v>0</v>
      </c>
      <c r="T40" s="143">
        <f>SUMIFS('январь 2026'!$G$2:$G$2684,'январь 2026'!$D$2:$D$2684,$B40,'январь 2026'!$J$2:$J$2684,T$1)</f>
        <v>0</v>
      </c>
      <c r="U40" s="143">
        <f>SUMIFS('январь 2026'!$G$2:$G$2684,'январь 2026'!$D$2:$D$2684,$B40,'январь 2026'!$J$2:$J$2684,U$1)</f>
        <v>0</v>
      </c>
      <c r="V40" s="143">
        <f>SUMIFS('январь 2026'!$G$2:$G$2684,'январь 2026'!$D$2:$D$2684,$B40,'январь 2026'!$J$2:$J$2684,V$1)</f>
        <v>0</v>
      </c>
      <c r="W40" s="143">
        <f>SUMIFS('январь 2026'!$G$2:$G$2684,'январь 2026'!$D$2:$D$2684,$B40,'январь 2026'!$J$2:$J$2684,W$1)</f>
        <v>0</v>
      </c>
      <c r="X40" s="143">
        <f>SUMIFS('январь 2026'!$G$2:$G$2684,'январь 2026'!$D$2:$D$2684,$B40,'январь 2026'!$J$2:$J$2684,X$1)</f>
        <v>0</v>
      </c>
      <c r="Y40" s="143">
        <f>SUMIFS('январь 2026'!$G$2:$G$2684,'январь 2026'!$D$2:$D$2684,$B40,'январь 2026'!$J$2:$J$2684,Y$1)</f>
        <v>0</v>
      </c>
      <c r="Z40" s="143">
        <f>SUMIFS('январь 2026'!$G$2:$G$2684,'январь 2026'!$D$2:$D$2684,$B40,'январь 2026'!$J$2:$J$2684,Z$1)</f>
        <v>0</v>
      </c>
      <c r="AA40" s="143">
        <f>SUMIFS('январь 2026'!$G$2:$G$2684,'январь 2026'!$D$2:$D$2684,$B40,'январь 2026'!$J$2:$J$2684,AA$1)</f>
        <v>0</v>
      </c>
      <c r="AB40" s="143">
        <f>SUMIFS('январь 2026'!$G$2:$G$2684,'январь 2026'!$D$2:$D$2684,$B40,'январь 2026'!$J$2:$J$2684,AB$1)</f>
        <v>0</v>
      </c>
      <c r="AC40" s="143">
        <f>SUMIFS('январь 2026'!$G$2:$G$2684,'январь 2026'!$D$2:$D$2684,$B40,'январь 2026'!$J$2:$J$2684,AC$1)</f>
        <v>0</v>
      </c>
      <c r="AD40" s="143">
        <f>SUMIFS('январь 2026'!$G$2:$G$2684,'январь 2026'!$D$2:$D$2684,$B40,'январь 2026'!$J$2:$J$2684,AD$1)</f>
        <v>0</v>
      </c>
      <c r="AE40" s="143">
        <f>SUMIFS('январь 2026'!$G$2:$G$2684,'январь 2026'!$D$2:$D$2684,$B40,'январь 2026'!$J$2:$J$2684,AE$1)</f>
        <v>0</v>
      </c>
      <c r="AF40" s="143">
        <f>SUMIFS('январь 2026'!$G$2:$G$2684,'январь 2026'!$D$2:$D$2684,$B40,'январь 2026'!$J$2:$J$2684,AF$1)</f>
        <v>0</v>
      </c>
      <c r="AG40" s="143">
        <f>SUMIFS('январь 2026'!$G$2:$G$2684,'январь 2026'!$D$2:$D$2684,$B40,'январь 2026'!$J$2:$J$2684,AG$1)</f>
        <v>0</v>
      </c>
      <c r="AH40" s="143">
        <f>SUMIFS('январь 2026'!$G$2:$G$2684,'январь 2026'!$D$2:$D$2684,$B40,'январь 2026'!$J$2:$J$2684,AH$1)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SUMIFS('январь 2026'!$G$2:$G$2684,'январь 2026'!$D$2:$D$2684,$B41,'январь 2026'!$J$2:$J$2684,D$1)</f>
        <v>0</v>
      </c>
      <c r="E41" s="143">
        <f>SUMIFS('январь 2026'!$G$2:$G$2684,'январь 2026'!$D$2:$D$2684,$B41,'январь 2026'!$J$2:$J$2684,E$1)</f>
        <v>0</v>
      </c>
      <c r="F41" s="143">
        <f>SUMIFS('январь 2026'!$G$2:$G$2684,'январь 2026'!$D$2:$D$2684,$B41,'январь 2026'!$J$2:$J$2684,F$1)</f>
        <v>0</v>
      </c>
      <c r="G41" s="143">
        <f>SUMIFS('январь 2026'!$G$2:$G$2684,'январь 2026'!$D$2:$D$2684,$B41,'январь 2026'!$J$2:$J$2684,G$1)</f>
        <v>0</v>
      </c>
      <c r="H41" s="143">
        <f>SUMIFS('январь 2026'!$G$2:$G$2684,'январь 2026'!$D$2:$D$2684,$B41,'январь 2026'!$J$2:$J$2684,H$1)</f>
        <v>0</v>
      </c>
      <c r="I41" s="143">
        <f>SUMIFS('январь 2026'!$G$2:$G$2684,'январь 2026'!$D$2:$D$2684,$B41,'январь 2026'!$J$2:$J$2684,I$1)</f>
        <v>0</v>
      </c>
      <c r="J41" s="143">
        <f>SUMIFS('январь 2026'!$G$2:$G$2684,'январь 2026'!$D$2:$D$2684,$B41,'январь 2026'!$J$2:$J$2684,J$1)</f>
        <v>0</v>
      </c>
      <c r="K41" s="143">
        <f>SUMIFS('январь 2026'!$G$2:$G$2684,'январь 2026'!$D$2:$D$2684,$B41,'январь 2026'!$J$2:$J$2684,K$1)</f>
        <v>0</v>
      </c>
      <c r="L41" s="143">
        <f>SUMIFS('январь 2026'!$G$2:$G$2684,'январь 2026'!$D$2:$D$2684,$B41,'январь 2026'!$J$2:$J$2684,L$1)</f>
        <v>0</v>
      </c>
      <c r="M41" s="143">
        <f>SUMIFS('январь 2026'!$G$2:$G$2684,'январь 2026'!$D$2:$D$2684,$B41,'январь 2026'!$J$2:$J$2684,M$1)</f>
        <v>0</v>
      </c>
      <c r="N41" s="143">
        <f>SUMIFS('январь 2026'!$G$2:$G$2684,'январь 2026'!$D$2:$D$2684,$B41,'январь 2026'!$J$2:$J$2684,N$1)</f>
        <v>0</v>
      </c>
      <c r="O41" s="143">
        <f>SUMIFS('январь 2026'!$G$2:$G$2684,'январь 2026'!$D$2:$D$2684,$B41,'январь 2026'!$J$2:$J$2684,O$1)</f>
        <v>0</v>
      </c>
      <c r="P41" s="143">
        <f>SUMIFS('январь 2026'!$G$2:$G$2684,'январь 2026'!$D$2:$D$2684,$B41,'январь 2026'!$J$2:$J$2684,P$1)</f>
        <v>0</v>
      </c>
      <c r="Q41" s="143">
        <f>SUMIFS('январь 2026'!$G$2:$G$2684,'январь 2026'!$D$2:$D$2684,$B41,'январь 2026'!$J$2:$J$2684,Q$1)</f>
        <v>0</v>
      </c>
      <c r="R41" s="143">
        <f>SUMIFS('январь 2026'!$G$2:$G$2684,'январь 2026'!$D$2:$D$2684,$B41,'январь 2026'!$J$2:$J$2684,R$1)</f>
        <v>0</v>
      </c>
      <c r="S41" s="143">
        <f>SUMIFS('январь 2026'!$G$2:$G$2684,'январь 2026'!$D$2:$D$2684,$B41,'январь 2026'!$J$2:$J$2684,S$1)</f>
        <v>0</v>
      </c>
      <c r="T41" s="143">
        <f>SUMIFS('январь 2026'!$G$2:$G$2684,'январь 2026'!$D$2:$D$2684,$B41,'январь 2026'!$J$2:$J$2684,T$1)</f>
        <v>0</v>
      </c>
      <c r="U41" s="143">
        <f>SUMIFS('январь 2026'!$G$2:$G$2684,'январь 2026'!$D$2:$D$2684,$B41,'январь 2026'!$J$2:$J$2684,U$1)</f>
        <v>0</v>
      </c>
      <c r="V41" s="143">
        <f>SUMIFS('январь 2026'!$G$2:$G$2684,'январь 2026'!$D$2:$D$2684,$B41,'январь 2026'!$J$2:$J$2684,V$1)</f>
        <v>0</v>
      </c>
      <c r="W41" s="143">
        <f>SUMIFS('январь 2026'!$G$2:$G$2684,'январь 2026'!$D$2:$D$2684,$B41,'январь 2026'!$J$2:$J$2684,W$1)</f>
        <v>0</v>
      </c>
      <c r="X41" s="143">
        <f>SUMIFS('январь 2026'!$G$2:$G$2684,'январь 2026'!$D$2:$D$2684,$B41,'январь 2026'!$J$2:$J$2684,X$1)</f>
        <v>0</v>
      </c>
      <c r="Y41" s="143">
        <f>SUMIFS('январь 2026'!$G$2:$G$2684,'январь 2026'!$D$2:$D$2684,$B41,'январь 2026'!$J$2:$J$2684,Y$1)</f>
        <v>0</v>
      </c>
      <c r="Z41" s="143">
        <f>SUMIFS('январь 2026'!$G$2:$G$2684,'январь 2026'!$D$2:$D$2684,$B41,'январь 2026'!$J$2:$J$2684,Z$1)</f>
        <v>0</v>
      </c>
      <c r="AA41" s="143">
        <f>SUMIFS('январь 2026'!$G$2:$G$2684,'январь 2026'!$D$2:$D$2684,$B41,'январь 2026'!$J$2:$J$2684,AA$1)</f>
        <v>0</v>
      </c>
      <c r="AB41" s="143">
        <f>SUMIFS('январь 2026'!$G$2:$G$2684,'январь 2026'!$D$2:$D$2684,$B41,'январь 2026'!$J$2:$J$2684,AB$1)</f>
        <v>0</v>
      </c>
      <c r="AC41" s="143">
        <f>SUMIFS('январь 2026'!$G$2:$G$2684,'январь 2026'!$D$2:$D$2684,$B41,'январь 2026'!$J$2:$J$2684,AC$1)</f>
        <v>0</v>
      </c>
      <c r="AD41" s="143">
        <f>SUMIFS('январь 2026'!$G$2:$G$2684,'январь 2026'!$D$2:$D$2684,$B41,'январь 2026'!$J$2:$J$2684,AD$1)</f>
        <v>0</v>
      </c>
      <c r="AE41" s="143">
        <f>SUMIFS('январь 2026'!$G$2:$G$2684,'январь 2026'!$D$2:$D$2684,$B41,'январь 2026'!$J$2:$J$2684,AE$1)</f>
        <v>0</v>
      </c>
      <c r="AF41" s="143">
        <f>SUMIFS('январь 2026'!$G$2:$G$2684,'январь 2026'!$D$2:$D$2684,$B41,'январь 2026'!$J$2:$J$2684,AF$1)</f>
        <v>0</v>
      </c>
      <c r="AG41" s="143">
        <f>SUMIFS('январь 2026'!$G$2:$G$2684,'январь 2026'!$D$2:$D$2684,$B41,'январь 2026'!$J$2:$J$2684,AG$1)</f>
        <v>0</v>
      </c>
      <c r="AH41" s="143">
        <f>SUMIFS('январь 2026'!$G$2:$G$2684,'январь 2026'!$D$2:$D$2684,$B41,'январь 2026'!$J$2:$J$2684,AH$1)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SUMIFS('январь 2026'!$G$2:$G$2684,'январь 2026'!$D$2:$D$2684,$B42,'январь 2026'!$J$2:$J$2684,D$1)</f>
        <v>0</v>
      </c>
      <c r="E42" s="143">
        <f>SUMIFS('январь 2026'!$G$2:$G$2684,'январь 2026'!$D$2:$D$2684,$B42,'январь 2026'!$J$2:$J$2684,E$1)</f>
        <v>0</v>
      </c>
      <c r="F42" s="143">
        <f>SUMIFS('январь 2026'!$G$2:$G$2684,'январь 2026'!$D$2:$D$2684,$B42,'январь 2026'!$J$2:$J$2684,F$1)</f>
        <v>0</v>
      </c>
      <c r="G42" s="143">
        <f>SUMIFS('январь 2026'!$G$2:$G$2684,'январь 2026'!$D$2:$D$2684,$B42,'январь 2026'!$J$2:$J$2684,G$1)</f>
        <v>0</v>
      </c>
      <c r="H42" s="143">
        <f>SUMIFS('январь 2026'!$G$2:$G$2684,'январь 2026'!$D$2:$D$2684,$B42,'январь 2026'!$J$2:$J$2684,H$1)</f>
        <v>0</v>
      </c>
      <c r="I42" s="143">
        <f>SUMIFS('январь 2026'!$G$2:$G$2684,'январь 2026'!$D$2:$D$2684,$B42,'январь 2026'!$J$2:$J$2684,I$1)</f>
        <v>0</v>
      </c>
      <c r="J42" s="143">
        <f>SUMIFS('январь 2026'!$G$2:$G$2684,'январь 2026'!$D$2:$D$2684,$B42,'январь 2026'!$J$2:$J$2684,J$1)</f>
        <v>0</v>
      </c>
      <c r="K42" s="143">
        <f>SUMIFS('январь 2026'!$G$2:$G$2684,'январь 2026'!$D$2:$D$2684,$B42,'январь 2026'!$J$2:$J$2684,K$1)</f>
        <v>0</v>
      </c>
      <c r="L42" s="143">
        <f>SUMIFS('январь 2026'!$G$2:$G$2684,'январь 2026'!$D$2:$D$2684,$B42,'январь 2026'!$J$2:$J$2684,L$1)</f>
        <v>0</v>
      </c>
      <c r="M42" s="143">
        <f>SUMIFS('январь 2026'!$G$2:$G$2684,'январь 2026'!$D$2:$D$2684,$B42,'январь 2026'!$J$2:$J$2684,M$1)</f>
        <v>0</v>
      </c>
      <c r="N42" s="143">
        <f>SUMIFS('январь 2026'!$G$2:$G$2684,'январь 2026'!$D$2:$D$2684,$B42,'январь 2026'!$J$2:$J$2684,N$1)</f>
        <v>0</v>
      </c>
      <c r="O42" s="143">
        <f>SUMIFS('январь 2026'!$G$2:$G$2684,'январь 2026'!$D$2:$D$2684,$B42,'январь 2026'!$J$2:$J$2684,O$1)</f>
        <v>0</v>
      </c>
      <c r="P42" s="143">
        <f>SUMIFS('январь 2026'!$G$2:$G$2684,'январь 2026'!$D$2:$D$2684,$B42,'январь 2026'!$J$2:$J$2684,P$1)</f>
        <v>0</v>
      </c>
      <c r="Q42" s="143">
        <f>SUMIFS('январь 2026'!$G$2:$G$2684,'январь 2026'!$D$2:$D$2684,$B42,'январь 2026'!$J$2:$J$2684,Q$1)</f>
        <v>0</v>
      </c>
      <c r="R42" s="143">
        <f>SUMIFS('январь 2026'!$G$2:$G$2684,'январь 2026'!$D$2:$D$2684,$B42,'январь 2026'!$J$2:$J$2684,R$1)</f>
        <v>0</v>
      </c>
      <c r="S42" s="143">
        <f>SUMIFS('январь 2026'!$G$2:$G$2684,'январь 2026'!$D$2:$D$2684,$B42,'январь 2026'!$J$2:$J$2684,S$1)</f>
        <v>0</v>
      </c>
      <c r="T42" s="143">
        <f>SUMIFS('январь 2026'!$G$2:$G$2684,'январь 2026'!$D$2:$D$2684,$B42,'январь 2026'!$J$2:$J$2684,T$1)</f>
        <v>0</v>
      </c>
      <c r="U42" s="143">
        <f>SUMIFS('январь 2026'!$G$2:$G$2684,'январь 2026'!$D$2:$D$2684,$B42,'январь 2026'!$J$2:$J$2684,U$1)</f>
        <v>0</v>
      </c>
      <c r="V42" s="143">
        <f>SUMIFS('январь 2026'!$G$2:$G$2684,'январь 2026'!$D$2:$D$2684,$B42,'январь 2026'!$J$2:$J$2684,V$1)</f>
        <v>0</v>
      </c>
      <c r="W42" s="143">
        <f>SUMIFS('январь 2026'!$G$2:$G$2684,'январь 2026'!$D$2:$D$2684,$B42,'январь 2026'!$J$2:$J$2684,W$1)</f>
        <v>0</v>
      </c>
      <c r="X42" s="143">
        <f>SUMIFS('январь 2026'!$G$2:$G$2684,'январь 2026'!$D$2:$D$2684,$B42,'январь 2026'!$J$2:$J$2684,X$1)</f>
        <v>0</v>
      </c>
      <c r="Y42" s="143">
        <f>SUMIFS('январь 2026'!$G$2:$G$2684,'январь 2026'!$D$2:$D$2684,$B42,'январь 2026'!$J$2:$J$2684,Y$1)</f>
        <v>0</v>
      </c>
      <c r="Z42" s="143">
        <f>SUMIFS('январь 2026'!$G$2:$G$2684,'январь 2026'!$D$2:$D$2684,$B42,'январь 2026'!$J$2:$J$2684,Z$1)</f>
        <v>0</v>
      </c>
      <c r="AA42" s="143">
        <f>SUMIFS('январь 2026'!$G$2:$G$2684,'январь 2026'!$D$2:$D$2684,$B42,'январь 2026'!$J$2:$J$2684,AA$1)</f>
        <v>0</v>
      </c>
      <c r="AB42" s="143">
        <f>SUMIFS('январь 2026'!$G$2:$G$2684,'январь 2026'!$D$2:$D$2684,$B42,'январь 2026'!$J$2:$J$2684,AB$1)</f>
        <v>0</v>
      </c>
      <c r="AC42" s="143">
        <f>SUMIFS('январь 2026'!$G$2:$G$2684,'январь 2026'!$D$2:$D$2684,$B42,'январь 2026'!$J$2:$J$2684,AC$1)</f>
        <v>0</v>
      </c>
      <c r="AD42" s="143">
        <f>SUMIFS('январь 2026'!$G$2:$G$2684,'январь 2026'!$D$2:$D$2684,$B42,'январь 2026'!$J$2:$J$2684,AD$1)</f>
        <v>0</v>
      </c>
      <c r="AE42" s="143">
        <f>SUMIFS('январь 2026'!$G$2:$G$2684,'январь 2026'!$D$2:$D$2684,$B42,'январь 2026'!$J$2:$J$2684,AE$1)</f>
        <v>0</v>
      </c>
      <c r="AF42" s="143">
        <f>SUMIFS('январь 2026'!$G$2:$G$2684,'январь 2026'!$D$2:$D$2684,$B42,'январь 2026'!$J$2:$J$2684,AF$1)</f>
        <v>0</v>
      </c>
      <c r="AG42" s="143">
        <f>SUMIFS('январь 2026'!$G$2:$G$2684,'январь 2026'!$D$2:$D$2684,$B42,'январь 2026'!$J$2:$J$2684,AG$1)</f>
        <v>400</v>
      </c>
      <c r="AH42" s="143">
        <f>SUMIFS('январь 2026'!$G$2:$G$2684,'январь 2026'!$D$2:$D$2684,$B42,'январь 2026'!$J$2:$J$2684,AH$1)</f>
        <v>0</v>
      </c>
      <c r="AI42" s="20">
        <f t="shared" si="1"/>
        <v>400</v>
      </c>
    </row>
    <row r="43" spans="2:35" ht="15" customHeight="1" x14ac:dyDescent="0.25">
      <c r="B43" s="122" t="s">
        <v>221</v>
      </c>
      <c r="C43" s="125">
        <v>25</v>
      </c>
      <c r="D43" s="143">
        <f>SUMIFS('январь 2026'!$G$2:$G$2684,'январь 2026'!$D$2:$D$2684,$B43,'январь 2026'!$J$2:$J$2684,D$1)</f>
        <v>0</v>
      </c>
      <c r="E43" s="143">
        <f>SUMIFS('январь 2026'!$G$2:$G$2684,'январь 2026'!$D$2:$D$2684,$B43,'январь 2026'!$J$2:$J$2684,E$1)</f>
        <v>0</v>
      </c>
      <c r="F43" s="143">
        <f>SUMIFS('январь 2026'!$G$2:$G$2684,'январь 2026'!$D$2:$D$2684,$B43,'январь 2026'!$J$2:$J$2684,F$1)</f>
        <v>0</v>
      </c>
      <c r="G43" s="143">
        <f>SUMIFS('январь 2026'!$G$2:$G$2684,'январь 2026'!$D$2:$D$2684,$B43,'январь 2026'!$J$2:$J$2684,G$1)</f>
        <v>0</v>
      </c>
      <c r="H43" s="143">
        <f>SUMIFS('январь 2026'!$G$2:$G$2684,'январь 2026'!$D$2:$D$2684,$B43,'январь 2026'!$J$2:$J$2684,H$1)</f>
        <v>0</v>
      </c>
      <c r="I43" s="143">
        <f>SUMIFS('январь 2026'!$G$2:$G$2684,'январь 2026'!$D$2:$D$2684,$B43,'январь 2026'!$J$2:$J$2684,I$1)</f>
        <v>0</v>
      </c>
      <c r="J43" s="143">
        <f>SUMIFS('январь 2026'!$G$2:$G$2684,'январь 2026'!$D$2:$D$2684,$B43,'январь 2026'!$J$2:$J$2684,J$1)</f>
        <v>0</v>
      </c>
      <c r="K43" s="143">
        <f>SUMIFS('январь 2026'!$G$2:$G$2684,'январь 2026'!$D$2:$D$2684,$B43,'январь 2026'!$J$2:$J$2684,K$1)</f>
        <v>0</v>
      </c>
      <c r="L43" s="143">
        <f>SUMIFS('январь 2026'!$G$2:$G$2684,'январь 2026'!$D$2:$D$2684,$B43,'январь 2026'!$J$2:$J$2684,L$1)</f>
        <v>0</v>
      </c>
      <c r="M43" s="143">
        <f>SUMIFS('январь 2026'!$G$2:$G$2684,'январь 2026'!$D$2:$D$2684,$B43,'январь 2026'!$J$2:$J$2684,M$1)</f>
        <v>0</v>
      </c>
      <c r="N43" s="143">
        <f>SUMIFS('январь 2026'!$G$2:$G$2684,'январь 2026'!$D$2:$D$2684,$B43,'январь 2026'!$J$2:$J$2684,N$1)</f>
        <v>0</v>
      </c>
      <c r="O43" s="143">
        <f>SUMIFS('январь 2026'!$G$2:$G$2684,'январь 2026'!$D$2:$D$2684,$B43,'январь 2026'!$J$2:$J$2684,O$1)</f>
        <v>0</v>
      </c>
      <c r="P43" s="143">
        <f>SUMIFS('январь 2026'!$G$2:$G$2684,'январь 2026'!$D$2:$D$2684,$B43,'январь 2026'!$J$2:$J$2684,P$1)</f>
        <v>0</v>
      </c>
      <c r="Q43" s="143">
        <f>SUMIFS('январь 2026'!$G$2:$G$2684,'январь 2026'!$D$2:$D$2684,$B43,'январь 2026'!$J$2:$J$2684,Q$1)</f>
        <v>0</v>
      </c>
      <c r="R43" s="143">
        <f>SUMIFS('январь 2026'!$G$2:$G$2684,'январь 2026'!$D$2:$D$2684,$B43,'январь 2026'!$J$2:$J$2684,R$1)</f>
        <v>0</v>
      </c>
      <c r="S43" s="143">
        <f>SUMIFS('январь 2026'!$G$2:$G$2684,'январь 2026'!$D$2:$D$2684,$B43,'январь 2026'!$J$2:$J$2684,S$1)</f>
        <v>0</v>
      </c>
      <c r="T43" s="143">
        <f>SUMIFS('январь 2026'!$G$2:$G$2684,'январь 2026'!$D$2:$D$2684,$B43,'январь 2026'!$J$2:$J$2684,T$1)</f>
        <v>0</v>
      </c>
      <c r="U43" s="143">
        <f>SUMIFS('январь 2026'!$G$2:$G$2684,'январь 2026'!$D$2:$D$2684,$B43,'январь 2026'!$J$2:$J$2684,U$1)</f>
        <v>0</v>
      </c>
      <c r="V43" s="143">
        <f>SUMIFS('январь 2026'!$G$2:$G$2684,'январь 2026'!$D$2:$D$2684,$B43,'январь 2026'!$J$2:$J$2684,V$1)</f>
        <v>0</v>
      </c>
      <c r="W43" s="143">
        <f>SUMIFS('январь 2026'!$G$2:$G$2684,'январь 2026'!$D$2:$D$2684,$B43,'январь 2026'!$J$2:$J$2684,W$1)</f>
        <v>0</v>
      </c>
      <c r="X43" s="143">
        <f>SUMIFS('январь 2026'!$G$2:$G$2684,'январь 2026'!$D$2:$D$2684,$B43,'январь 2026'!$J$2:$J$2684,X$1)</f>
        <v>0</v>
      </c>
      <c r="Y43" s="143">
        <f>SUMIFS('январь 2026'!$G$2:$G$2684,'январь 2026'!$D$2:$D$2684,$B43,'январь 2026'!$J$2:$J$2684,Y$1)</f>
        <v>0</v>
      </c>
      <c r="Z43" s="143">
        <f>SUMIFS('январь 2026'!$G$2:$G$2684,'январь 2026'!$D$2:$D$2684,$B43,'январь 2026'!$J$2:$J$2684,Z$1)</f>
        <v>0</v>
      </c>
      <c r="AA43" s="143">
        <f>SUMIFS('январь 2026'!$G$2:$G$2684,'январь 2026'!$D$2:$D$2684,$B43,'январь 2026'!$J$2:$J$2684,AA$1)</f>
        <v>0</v>
      </c>
      <c r="AB43" s="143">
        <f>SUMIFS('январь 2026'!$G$2:$G$2684,'январь 2026'!$D$2:$D$2684,$B43,'январь 2026'!$J$2:$J$2684,AB$1)</f>
        <v>0</v>
      </c>
      <c r="AC43" s="143">
        <f>SUMIFS('январь 2026'!$G$2:$G$2684,'январь 2026'!$D$2:$D$2684,$B43,'январь 2026'!$J$2:$J$2684,AC$1)</f>
        <v>0</v>
      </c>
      <c r="AD43" s="143">
        <f>SUMIFS('январь 2026'!$G$2:$G$2684,'январь 2026'!$D$2:$D$2684,$B43,'январь 2026'!$J$2:$J$2684,AD$1)</f>
        <v>0</v>
      </c>
      <c r="AE43" s="143">
        <f>SUMIFS('январь 2026'!$G$2:$G$2684,'январь 2026'!$D$2:$D$2684,$B43,'январь 2026'!$J$2:$J$2684,AE$1)</f>
        <v>0</v>
      </c>
      <c r="AF43" s="143">
        <f>SUMIFS('январь 2026'!$G$2:$G$2684,'январь 2026'!$D$2:$D$2684,$B43,'январь 2026'!$J$2:$J$2684,AF$1)</f>
        <v>0</v>
      </c>
      <c r="AG43" s="143">
        <f>SUMIFS('январь 2026'!$G$2:$G$2684,'январь 2026'!$D$2:$D$2684,$B43,'январь 2026'!$J$2:$J$2684,AG$1)</f>
        <v>0</v>
      </c>
      <c r="AH43" s="143">
        <f>SUMIFS('январь 2026'!$G$2:$G$2684,'январь 2026'!$D$2:$D$2684,$B43,'январь 2026'!$J$2:$J$2684,AH$1)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SUMIFS('январь 2026'!$G$2:$G$2684,'январь 2026'!$D$2:$D$2684,$B44,'январь 2026'!$J$2:$J$2684,D$1)</f>
        <v>0</v>
      </c>
      <c r="E44" s="143">
        <f>SUMIFS('январь 2026'!$G$2:$G$2684,'январь 2026'!$D$2:$D$2684,$B44,'январь 2026'!$J$2:$J$2684,E$1)</f>
        <v>0</v>
      </c>
      <c r="F44" s="143">
        <f>SUMIFS('январь 2026'!$G$2:$G$2684,'январь 2026'!$D$2:$D$2684,$B44,'январь 2026'!$J$2:$J$2684,F$1)</f>
        <v>0</v>
      </c>
      <c r="G44" s="143">
        <f>SUMIFS('январь 2026'!$G$2:$G$2684,'январь 2026'!$D$2:$D$2684,$B44,'январь 2026'!$J$2:$J$2684,G$1)</f>
        <v>0</v>
      </c>
      <c r="H44" s="143">
        <f>SUMIFS('январь 2026'!$G$2:$G$2684,'январь 2026'!$D$2:$D$2684,$B44,'январь 2026'!$J$2:$J$2684,H$1)</f>
        <v>0</v>
      </c>
      <c r="I44" s="143">
        <f>SUMIFS('январь 2026'!$G$2:$G$2684,'январь 2026'!$D$2:$D$2684,$B44,'январь 2026'!$J$2:$J$2684,I$1)</f>
        <v>0</v>
      </c>
      <c r="J44" s="143">
        <f>SUMIFS('январь 2026'!$G$2:$G$2684,'январь 2026'!$D$2:$D$2684,$B44,'январь 2026'!$J$2:$J$2684,J$1)</f>
        <v>0</v>
      </c>
      <c r="K44" s="143">
        <f>SUMIFS('январь 2026'!$G$2:$G$2684,'январь 2026'!$D$2:$D$2684,$B44,'январь 2026'!$J$2:$J$2684,K$1)</f>
        <v>0</v>
      </c>
      <c r="L44" s="143">
        <f>SUMIFS('январь 2026'!$G$2:$G$2684,'январь 2026'!$D$2:$D$2684,$B44,'январь 2026'!$J$2:$J$2684,L$1)</f>
        <v>0</v>
      </c>
      <c r="M44" s="143">
        <f>SUMIFS('январь 2026'!$G$2:$G$2684,'январь 2026'!$D$2:$D$2684,$B44,'январь 2026'!$J$2:$J$2684,M$1)</f>
        <v>0</v>
      </c>
      <c r="N44" s="143">
        <f>SUMIFS('январь 2026'!$G$2:$G$2684,'январь 2026'!$D$2:$D$2684,$B44,'январь 2026'!$J$2:$J$2684,N$1)</f>
        <v>0</v>
      </c>
      <c r="O44" s="143">
        <f>SUMIFS('январь 2026'!$G$2:$G$2684,'январь 2026'!$D$2:$D$2684,$B44,'январь 2026'!$J$2:$J$2684,O$1)</f>
        <v>0</v>
      </c>
      <c r="P44" s="143">
        <f>SUMIFS('январь 2026'!$G$2:$G$2684,'январь 2026'!$D$2:$D$2684,$B44,'январь 2026'!$J$2:$J$2684,P$1)</f>
        <v>0</v>
      </c>
      <c r="Q44" s="143">
        <f>SUMIFS('январь 2026'!$G$2:$G$2684,'январь 2026'!$D$2:$D$2684,$B44,'январь 2026'!$J$2:$J$2684,Q$1)</f>
        <v>0</v>
      </c>
      <c r="R44" s="143">
        <f>SUMIFS('январь 2026'!$G$2:$G$2684,'январь 2026'!$D$2:$D$2684,$B44,'январь 2026'!$J$2:$J$2684,R$1)</f>
        <v>0</v>
      </c>
      <c r="S44" s="143">
        <f>SUMIFS('январь 2026'!$G$2:$G$2684,'январь 2026'!$D$2:$D$2684,$B44,'январь 2026'!$J$2:$J$2684,S$1)</f>
        <v>0</v>
      </c>
      <c r="T44" s="143">
        <f>SUMIFS('январь 2026'!$G$2:$G$2684,'январь 2026'!$D$2:$D$2684,$B44,'январь 2026'!$J$2:$J$2684,T$1)</f>
        <v>0</v>
      </c>
      <c r="U44" s="143">
        <f>SUMIFS('январь 2026'!$G$2:$G$2684,'январь 2026'!$D$2:$D$2684,$B44,'январь 2026'!$J$2:$J$2684,U$1)</f>
        <v>0</v>
      </c>
      <c r="V44" s="143">
        <f>SUMIFS('январь 2026'!$G$2:$G$2684,'январь 2026'!$D$2:$D$2684,$B44,'январь 2026'!$J$2:$J$2684,V$1)</f>
        <v>0</v>
      </c>
      <c r="W44" s="143">
        <f>SUMIFS('январь 2026'!$G$2:$G$2684,'январь 2026'!$D$2:$D$2684,$B44,'январь 2026'!$J$2:$J$2684,W$1)</f>
        <v>0</v>
      </c>
      <c r="X44" s="143">
        <f>SUMIFS('январь 2026'!$G$2:$G$2684,'январь 2026'!$D$2:$D$2684,$B44,'январь 2026'!$J$2:$J$2684,X$1)</f>
        <v>0</v>
      </c>
      <c r="Y44" s="143">
        <f>SUMIFS('январь 2026'!$G$2:$G$2684,'январь 2026'!$D$2:$D$2684,$B44,'январь 2026'!$J$2:$J$2684,Y$1)</f>
        <v>0</v>
      </c>
      <c r="Z44" s="143">
        <f>SUMIFS('январь 2026'!$G$2:$G$2684,'январь 2026'!$D$2:$D$2684,$B44,'январь 2026'!$J$2:$J$2684,Z$1)</f>
        <v>0</v>
      </c>
      <c r="AA44" s="143">
        <f>SUMIFS('январь 2026'!$G$2:$G$2684,'январь 2026'!$D$2:$D$2684,$B44,'январь 2026'!$J$2:$J$2684,AA$1)</f>
        <v>0</v>
      </c>
      <c r="AB44" s="143">
        <f>SUMIFS('январь 2026'!$G$2:$G$2684,'январь 2026'!$D$2:$D$2684,$B44,'январь 2026'!$J$2:$J$2684,AB$1)</f>
        <v>0</v>
      </c>
      <c r="AC44" s="143">
        <f>SUMIFS('январь 2026'!$G$2:$G$2684,'январь 2026'!$D$2:$D$2684,$B44,'январь 2026'!$J$2:$J$2684,AC$1)</f>
        <v>0</v>
      </c>
      <c r="AD44" s="143">
        <f>SUMIFS('январь 2026'!$G$2:$G$2684,'январь 2026'!$D$2:$D$2684,$B44,'январь 2026'!$J$2:$J$2684,AD$1)</f>
        <v>0</v>
      </c>
      <c r="AE44" s="143">
        <f>SUMIFS('январь 2026'!$G$2:$G$2684,'январь 2026'!$D$2:$D$2684,$B44,'январь 2026'!$J$2:$J$2684,AE$1)</f>
        <v>0</v>
      </c>
      <c r="AF44" s="143">
        <f>SUMIFS('январь 2026'!$G$2:$G$2684,'январь 2026'!$D$2:$D$2684,$B44,'январь 2026'!$J$2:$J$2684,AF$1)</f>
        <v>0</v>
      </c>
      <c r="AG44" s="143">
        <f>SUMIFS('январь 2026'!$G$2:$G$2684,'январь 2026'!$D$2:$D$2684,$B44,'январь 2026'!$J$2:$J$2684,AG$1)</f>
        <v>0</v>
      </c>
      <c r="AH44" s="143">
        <f>SUMIFS('январь 2026'!$G$2:$G$2684,'январь 2026'!$D$2:$D$2684,$B44,'январь 2026'!$J$2:$J$2684,AH$1)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SUMIFS('январь 2026'!$G$2:$G$2684,'январь 2026'!$D$2:$D$2684,$B45,'январь 2026'!$J$2:$J$2684,D$1)</f>
        <v>0</v>
      </c>
      <c r="E45" s="143">
        <f>SUMIFS('январь 2026'!$G$2:$G$2684,'январь 2026'!$D$2:$D$2684,$B45,'январь 2026'!$J$2:$J$2684,E$1)</f>
        <v>0</v>
      </c>
      <c r="F45" s="143">
        <f>SUMIFS('январь 2026'!$G$2:$G$2684,'январь 2026'!$D$2:$D$2684,$B45,'январь 2026'!$J$2:$J$2684,F$1)</f>
        <v>0</v>
      </c>
      <c r="G45" s="143">
        <f>SUMIFS('январь 2026'!$G$2:$G$2684,'январь 2026'!$D$2:$D$2684,$B45,'январь 2026'!$J$2:$J$2684,G$1)</f>
        <v>0</v>
      </c>
      <c r="H45" s="143">
        <f>SUMIFS('январь 2026'!$G$2:$G$2684,'январь 2026'!$D$2:$D$2684,$B45,'январь 2026'!$J$2:$J$2684,H$1)</f>
        <v>0</v>
      </c>
      <c r="I45" s="143">
        <f>SUMIFS('январь 2026'!$G$2:$G$2684,'январь 2026'!$D$2:$D$2684,$B45,'январь 2026'!$J$2:$J$2684,I$1)</f>
        <v>0</v>
      </c>
      <c r="J45" s="143">
        <f>SUMIFS('январь 2026'!$G$2:$G$2684,'январь 2026'!$D$2:$D$2684,$B45,'январь 2026'!$J$2:$J$2684,J$1)</f>
        <v>0</v>
      </c>
      <c r="K45" s="143">
        <f>SUMIFS('январь 2026'!$G$2:$G$2684,'январь 2026'!$D$2:$D$2684,$B45,'январь 2026'!$J$2:$J$2684,K$1)</f>
        <v>0</v>
      </c>
      <c r="L45" s="143">
        <f>SUMIFS('январь 2026'!$G$2:$G$2684,'январь 2026'!$D$2:$D$2684,$B45,'январь 2026'!$J$2:$J$2684,L$1)</f>
        <v>0</v>
      </c>
      <c r="M45" s="143">
        <f>SUMIFS('январь 2026'!$G$2:$G$2684,'январь 2026'!$D$2:$D$2684,$B45,'январь 2026'!$J$2:$J$2684,M$1)</f>
        <v>0</v>
      </c>
      <c r="N45" s="143">
        <f>SUMIFS('январь 2026'!$G$2:$G$2684,'январь 2026'!$D$2:$D$2684,$B45,'январь 2026'!$J$2:$J$2684,N$1)</f>
        <v>0</v>
      </c>
      <c r="O45" s="143">
        <f>SUMIFS('январь 2026'!$G$2:$G$2684,'январь 2026'!$D$2:$D$2684,$B45,'январь 2026'!$J$2:$J$2684,O$1)</f>
        <v>0</v>
      </c>
      <c r="P45" s="143">
        <f>SUMIFS('январь 2026'!$G$2:$G$2684,'январь 2026'!$D$2:$D$2684,$B45,'январь 2026'!$J$2:$J$2684,P$1)</f>
        <v>0</v>
      </c>
      <c r="Q45" s="143">
        <f>SUMIFS('январь 2026'!$G$2:$G$2684,'январь 2026'!$D$2:$D$2684,$B45,'январь 2026'!$J$2:$J$2684,Q$1)</f>
        <v>0</v>
      </c>
      <c r="R45" s="143">
        <f>SUMIFS('январь 2026'!$G$2:$G$2684,'январь 2026'!$D$2:$D$2684,$B45,'январь 2026'!$J$2:$J$2684,R$1)</f>
        <v>0</v>
      </c>
      <c r="S45" s="143">
        <f>SUMIFS('январь 2026'!$G$2:$G$2684,'январь 2026'!$D$2:$D$2684,$B45,'январь 2026'!$J$2:$J$2684,S$1)</f>
        <v>0</v>
      </c>
      <c r="T45" s="143">
        <f>SUMIFS('январь 2026'!$G$2:$G$2684,'январь 2026'!$D$2:$D$2684,$B45,'январь 2026'!$J$2:$J$2684,T$1)</f>
        <v>0</v>
      </c>
      <c r="U45" s="143">
        <f>SUMIFS('январь 2026'!$G$2:$G$2684,'январь 2026'!$D$2:$D$2684,$B45,'январь 2026'!$J$2:$J$2684,U$1)</f>
        <v>0</v>
      </c>
      <c r="V45" s="143">
        <f>SUMIFS('январь 2026'!$G$2:$G$2684,'январь 2026'!$D$2:$D$2684,$B45,'январь 2026'!$J$2:$J$2684,V$1)</f>
        <v>0</v>
      </c>
      <c r="W45" s="143">
        <f>SUMIFS('январь 2026'!$G$2:$G$2684,'январь 2026'!$D$2:$D$2684,$B45,'январь 2026'!$J$2:$J$2684,W$1)</f>
        <v>0</v>
      </c>
      <c r="X45" s="143">
        <f>SUMIFS('январь 2026'!$G$2:$G$2684,'январь 2026'!$D$2:$D$2684,$B45,'январь 2026'!$J$2:$J$2684,X$1)</f>
        <v>0</v>
      </c>
      <c r="Y45" s="143">
        <f>SUMIFS('январь 2026'!$G$2:$G$2684,'январь 2026'!$D$2:$D$2684,$B45,'январь 2026'!$J$2:$J$2684,Y$1)</f>
        <v>0</v>
      </c>
      <c r="Z45" s="143">
        <f>SUMIFS('январь 2026'!$G$2:$G$2684,'январь 2026'!$D$2:$D$2684,$B45,'январь 2026'!$J$2:$J$2684,Z$1)</f>
        <v>0</v>
      </c>
      <c r="AA45" s="143">
        <f>SUMIFS('январь 2026'!$G$2:$G$2684,'январь 2026'!$D$2:$D$2684,$B45,'январь 2026'!$J$2:$J$2684,AA$1)</f>
        <v>0</v>
      </c>
      <c r="AB45" s="143">
        <f>SUMIFS('январь 2026'!$G$2:$G$2684,'январь 2026'!$D$2:$D$2684,$B45,'январь 2026'!$J$2:$J$2684,AB$1)</f>
        <v>0</v>
      </c>
      <c r="AC45" s="143">
        <f>SUMIFS('январь 2026'!$G$2:$G$2684,'январь 2026'!$D$2:$D$2684,$B45,'январь 2026'!$J$2:$J$2684,AC$1)</f>
        <v>0</v>
      </c>
      <c r="AD45" s="143">
        <f>SUMIFS('январь 2026'!$G$2:$G$2684,'январь 2026'!$D$2:$D$2684,$B45,'январь 2026'!$J$2:$J$2684,AD$1)</f>
        <v>0</v>
      </c>
      <c r="AE45" s="143">
        <f>SUMIFS('январь 2026'!$G$2:$G$2684,'январь 2026'!$D$2:$D$2684,$B45,'январь 2026'!$J$2:$J$2684,AE$1)</f>
        <v>0</v>
      </c>
      <c r="AF45" s="143">
        <f>SUMIFS('январь 2026'!$G$2:$G$2684,'январь 2026'!$D$2:$D$2684,$B45,'январь 2026'!$J$2:$J$2684,AF$1)</f>
        <v>0</v>
      </c>
      <c r="AG45" s="143">
        <f>SUMIFS('январь 2026'!$G$2:$G$2684,'январь 2026'!$D$2:$D$2684,$B45,'январь 2026'!$J$2:$J$2684,AG$1)</f>
        <v>0</v>
      </c>
      <c r="AH45" s="143">
        <f>SUMIFS('январь 2026'!$G$2:$G$2684,'январь 2026'!$D$2:$D$2684,$B45,'январь 2026'!$J$2:$J$2684,AH$1)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SUMIFS('январь 2026'!$G$2:$G$2684,'январь 2026'!$D$2:$D$2684,$B46,'январь 2026'!$J$2:$J$2684,D$1)</f>
        <v>0</v>
      </c>
      <c r="E46" s="143">
        <f>SUMIFS('январь 2026'!$G$2:$G$2684,'январь 2026'!$D$2:$D$2684,$B46,'январь 2026'!$J$2:$J$2684,E$1)</f>
        <v>0</v>
      </c>
      <c r="F46" s="143">
        <f>SUMIFS('январь 2026'!$G$2:$G$2684,'январь 2026'!$D$2:$D$2684,$B46,'январь 2026'!$J$2:$J$2684,F$1)</f>
        <v>0</v>
      </c>
      <c r="G46" s="143">
        <f>SUMIFS('январь 2026'!$G$2:$G$2684,'январь 2026'!$D$2:$D$2684,$B46,'январь 2026'!$J$2:$J$2684,G$1)</f>
        <v>0</v>
      </c>
      <c r="H46" s="143">
        <f>SUMIFS('январь 2026'!$G$2:$G$2684,'январь 2026'!$D$2:$D$2684,$B46,'январь 2026'!$J$2:$J$2684,H$1)</f>
        <v>0</v>
      </c>
      <c r="I46" s="143">
        <f>SUMIFS('январь 2026'!$G$2:$G$2684,'январь 2026'!$D$2:$D$2684,$B46,'январь 2026'!$J$2:$J$2684,I$1)</f>
        <v>0</v>
      </c>
      <c r="J46" s="143">
        <f>SUMIFS('январь 2026'!$G$2:$G$2684,'январь 2026'!$D$2:$D$2684,$B46,'январь 2026'!$J$2:$J$2684,J$1)</f>
        <v>0</v>
      </c>
      <c r="K46" s="143">
        <f>SUMIFS('январь 2026'!$G$2:$G$2684,'январь 2026'!$D$2:$D$2684,$B46,'январь 2026'!$J$2:$J$2684,K$1)</f>
        <v>0</v>
      </c>
      <c r="L46" s="143">
        <f>SUMIFS('январь 2026'!$G$2:$G$2684,'январь 2026'!$D$2:$D$2684,$B46,'январь 2026'!$J$2:$J$2684,L$1)</f>
        <v>0</v>
      </c>
      <c r="M46" s="143">
        <f>SUMIFS('январь 2026'!$G$2:$G$2684,'январь 2026'!$D$2:$D$2684,$B46,'январь 2026'!$J$2:$J$2684,M$1)</f>
        <v>0</v>
      </c>
      <c r="N46" s="143">
        <f>SUMIFS('январь 2026'!$G$2:$G$2684,'январь 2026'!$D$2:$D$2684,$B46,'январь 2026'!$J$2:$J$2684,N$1)</f>
        <v>0</v>
      </c>
      <c r="O46" s="143">
        <f>SUMIFS('январь 2026'!$G$2:$G$2684,'январь 2026'!$D$2:$D$2684,$B46,'январь 2026'!$J$2:$J$2684,O$1)</f>
        <v>0</v>
      </c>
      <c r="P46" s="143">
        <f>SUMIFS('январь 2026'!$G$2:$G$2684,'январь 2026'!$D$2:$D$2684,$B46,'январь 2026'!$J$2:$J$2684,P$1)</f>
        <v>0</v>
      </c>
      <c r="Q46" s="143">
        <f>SUMIFS('январь 2026'!$G$2:$G$2684,'январь 2026'!$D$2:$D$2684,$B46,'январь 2026'!$J$2:$J$2684,Q$1)</f>
        <v>0</v>
      </c>
      <c r="R46" s="143">
        <f>SUMIFS('январь 2026'!$G$2:$G$2684,'январь 2026'!$D$2:$D$2684,$B46,'январь 2026'!$J$2:$J$2684,R$1)</f>
        <v>0</v>
      </c>
      <c r="S46" s="143">
        <f>SUMIFS('январь 2026'!$G$2:$G$2684,'январь 2026'!$D$2:$D$2684,$B46,'январь 2026'!$J$2:$J$2684,S$1)</f>
        <v>0</v>
      </c>
      <c r="T46" s="143">
        <f>SUMIFS('январь 2026'!$G$2:$G$2684,'январь 2026'!$D$2:$D$2684,$B46,'январь 2026'!$J$2:$J$2684,T$1)</f>
        <v>0</v>
      </c>
      <c r="U46" s="143">
        <f>SUMIFS('январь 2026'!$G$2:$G$2684,'январь 2026'!$D$2:$D$2684,$B46,'январь 2026'!$J$2:$J$2684,U$1)</f>
        <v>0</v>
      </c>
      <c r="V46" s="143">
        <f>SUMIFS('январь 2026'!$G$2:$G$2684,'январь 2026'!$D$2:$D$2684,$B46,'январь 2026'!$J$2:$J$2684,V$1)</f>
        <v>0</v>
      </c>
      <c r="W46" s="143">
        <f>SUMIFS('январь 2026'!$G$2:$G$2684,'январь 2026'!$D$2:$D$2684,$B46,'январь 2026'!$J$2:$J$2684,W$1)</f>
        <v>0</v>
      </c>
      <c r="X46" s="143">
        <f>SUMIFS('январь 2026'!$G$2:$G$2684,'январь 2026'!$D$2:$D$2684,$B46,'январь 2026'!$J$2:$J$2684,X$1)</f>
        <v>0</v>
      </c>
      <c r="Y46" s="143">
        <f>SUMIFS('январь 2026'!$G$2:$G$2684,'январь 2026'!$D$2:$D$2684,$B46,'январь 2026'!$J$2:$J$2684,Y$1)</f>
        <v>0</v>
      </c>
      <c r="Z46" s="143">
        <f>SUMIFS('январь 2026'!$G$2:$G$2684,'январь 2026'!$D$2:$D$2684,$B46,'январь 2026'!$J$2:$J$2684,Z$1)</f>
        <v>0</v>
      </c>
      <c r="AA46" s="143">
        <f>SUMIFS('январь 2026'!$G$2:$G$2684,'январь 2026'!$D$2:$D$2684,$B46,'январь 2026'!$J$2:$J$2684,AA$1)</f>
        <v>0</v>
      </c>
      <c r="AB46" s="143">
        <f>SUMIFS('январь 2026'!$G$2:$G$2684,'январь 2026'!$D$2:$D$2684,$B46,'январь 2026'!$J$2:$J$2684,AB$1)</f>
        <v>0</v>
      </c>
      <c r="AC46" s="143">
        <f>SUMIFS('январь 2026'!$G$2:$G$2684,'январь 2026'!$D$2:$D$2684,$B46,'январь 2026'!$J$2:$J$2684,AC$1)</f>
        <v>0</v>
      </c>
      <c r="AD46" s="143">
        <f>SUMIFS('январь 2026'!$G$2:$G$2684,'январь 2026'!$D$2:$D$2684,$B46,'январь 2026'!$J$2:$J$2684,AD$1)</f>
        <v>0</v>
      </c>
      <c r="AE46" s="143">
        <f>SUMIFS('январь 2026'!$G$2:$G$2684,'январь 2026'!$D$2:$D$2684,$B46,'январь 2026'!$J$2:$J$2684,AE$1)</f>
        <v>0</v>
      </c>
      <c r="AF46" s="143">
        <f>SUMIFS('январь 2026'!$G$2:$G$2684,'январь 2026'!$D$2:$D$2684,$B46,'январь 2026'!$J$2:$J$2684,AF$1)</f>
        <v>80</v>
      </c>
      <c r="AG46" s="143">
        <f>SUMIFS('январь 2026'!$G$2:$G$2684,'январь 2026'!$D$2:$D$2684,$B46,'январь 2026'!$J$2:$J$2684,AG$1)</f>
        <v>0</v>
      </c>
      <c r="AH46" s="143">
        <f>SUMIFS('январь 2026'!$G$2:$G$2684,'январь 2026'!$D$2:$D$2684,$B46,'январь 2026'!$J$2:$J$2684,AH$1)</f>
        <v>0</v>
      </c>
      <c r="AI46" s="20">
        <f t="shared" si="1"/>
        <v>80</v>
      </c>
    </row>
    <row r="47" spans="2:35" ht="15" customHeight="1" x14ac:dyDescent="0.25">
      <c r="B47" s="126" t="s">
        <v>279</v>
      </c>
      <c r="C47" s="128">
        <v>25</v>
      </c>
      <c r="D47" s="143">
        <f>SUMIFS('январь 2026'!$G$2:$G$2684,'январь 2026'!$D$2:$D$2684,$B47,'январь 2026'!$J$2:$J$2684,D$1)</f>
        <v>0</v>
      </c>
      <c r="E47" s="143">
        <f>SUMIFS('январь 2026'!$G$2:$G$2684,'январь 2026'!$D$2:$D$2684,$B47,'январь 2026'!$J$2:$J$2684,E$1)</f>
        <v>0</v>
      </c>
      <c r="F47" s="143">
        <f>SUMIFS('январь 2026'!$G$2:$G$2684,'январь 2026'!$D$2:$D$2684,$B47,'январь 2026'!$J$2:$J$2684,F$1)</f>
        <v>0</v>
      </c>
      <c r="G47" s="143">
        <f>SUMIFS('январь 2026'!$G$2:$G$2684,'январь 2026'!$D$2:$D$2684,$B47,'январь 2026'!$J$2:$J$2684,G$1)</f>
        <v>0</v>
      </c>
      <c r="H47" s="143">
        <f>SUMIFS('январь 2026'!$G$2:$G$2684,'январь 2026'!$D$2:$D$2684,$B47,'январь 2026'!$J$2:$J$2684,H$1)</f>
        <v>0</v>
      </c>
      <c r="I47" s="143">
        <f>SUMIFS('январь 2026'!$G$2:$G$2684,'январь 2026'!$D$2:$D$2684,$B47,'январь 2026'!$J$2:$J$2684,I$1)</f>
        <v>0</v>
      </c>
      <c r="J47" s="143">
        <f>SUMIFS('январь 2026'!$G$2:$G$2684,'январь 2026'!$D$2:$D$2684,$B47,'январь 2026'!$J$2:$J$2684,J$1)</f>
        <v>0</v>
      </c>
      <c r="K47" s="143">
        <f>SUMIFS('январь 2026'!$G$2:$G$2684,'январь 2026'!$D$2:$D$2684,$B47,'январь 2026'!$J$2:$J$2684,K$1)</f>
        <v>0</v>
      </c>
      <c r="L47" s="143">
        <f>SUMIFS('январь 2026'!$G$2:$G$2684,'январь 2026'!$D$2:$D$2684,$B47,'январь 2026'!$J$2:$J$2684,L$1)</f>
        <v>0</v>
      </c>
      <c r="M47" s="143">
        <f>SUMIFS('январь 2026'!$G$2:$G$2684,'январь 2026'!$D$2:$D$2684,$B47,'январь 2026'!$J$2:$J$2684,M$1)</f>
        <v>0</v>
      </c>
      <c r="N47" s="143">
        <f>SUMIFS('январь 2026'!$G$2:$G$2684,'январь 2026'!$D$2:$D$2684,$B47,'январь 2026'!$J$2:$J$2684,N$1)</f>
        <v>0</v>
      </c>
      <c r="O47" s="143">
        <f>SUMIFS('январь 2026'!$G$2:$G$2684,'январь 2026'!$D$2:$D$2684,$B47,'январь 2026'!$J$2:$J$2684,O$1)</f>
        <v>0</v>
      </c>
      <c r="P47" s="143">
        <f>SUMIFS('январь 2026'!$G$2:$G$2684,'январь 2026'!$D$2:$D$2684,$B47,'январь 2026'!$J$2:$J$2684,P$1)</f>
        <v>0</v>
      </c>
      <c r="Q47" s="143">
        <f>SUMIFS('январь 2026'!$G$2:$G$2684,'январь 2026'!$D$2:$D$2684,$B47,'январь 2026'!$J$2:$J$2684,Q$1)</f>
        <v>0</v>
      </c>
      <c r="R47" s="143">
        <f>SUMIFS('январь 2026'!$G$2:$G$2684,'январь 2026'!$D$2:$D$2684,$B47,'январь 2026'!$J$2:$J$2684,R$1)</f>
        <v>0</v>
      </c>
      <c r="S47" s="143">
        <f>SUMIFS('январь 2026'!$G$2:$G$2684,'январь 2026'!$D$2:$D$2684,$B47,'январь 2026'!$J$2:$J$2684,S$1)</f>
        <v>0</v>
      </c>
      <c r="T47" s="143">
        <f>SUMIFS('январь 2026'!$G$2:$G$2684,'январь 2026'!$D$2:$D$2684,$B47,'январь 2026'!$J$2:$J$2684,T$1)</f>
        <v>0</v>
      </c>
      <c r="U47" s="143">
        <f>SUMIFS('январь 2026'!$G$2:$G$2684,'январь 2026'!$D$2:$D$2684,$B47,'январь 2026'!$J$2:$J$2684,U$1)</f>
        <v>0</v>
      </c>
      <c r="V47" s="143">
        <f>SUMIFS('январь 2026'!$G$2:$G$2684,'январь 2026'!$D$2:$D$2684,$B47,'январь 2026'!$J$2:$J$2684,V$1)</f>
        <v>0</v>
      </c>
      <c r="W47" s="143">
        <f>SUMIFS('январь 2026'!$G$2:$G$2684,'январь 2026'!$D$2:$D$2684,$B47,'январь 2026'!$J$2:$J$2684,W$1)</f>
        <v>0</v>
      </c>
      <c r="X47" s="143">
        <f>SUMIFS('январь 2026'!$G$2:$G$2684,'январь 2026'!$D$2:$D$2684,$B47,'январь 2026'!$J$2:$J$2684,X$1)</f>
        <v>0</v>
      </c>
      <c r="Y47" s="143">
        <f>SUMIFS('январь 2026'!$G$2:$G$2684,'январь 2026'!$D$2:$D$2684,$B47,'январь 2026'!$J$2:$J$2684,Y$1)</f>
        <v>0</v>
      </c>
      <c r="Z47" s="143">
        <f>SUMIFS('январь 2026'!$G$2:$G$2684,'январь 2026'!$D$2:$D$2684,$B47,'январь 2026'!$J$2:$J$2684,Z$1)</f>
        <v>0</v>
      </c>
      <c r="AA47" s="143">
        <f>SUMIFS('январь 2026'!$G$2:$G$2684,'январь 2026'!$D$2:$D$2684,$B47,'январь 2026'!$J$2:$J$2684,AA$1)</f>
        <v>0</v>
      </c>
      <c r="AB47" s="143">
        <f>SUMIFS('январь 2026'!$G$2:$G$2684,'январь 2026'!$D$2:$D$2684,$B47,'январь 2026'!$J$2:$J$2684,AB$1)</f>
        <v>0</v>
      </c>
      <c r="AC47" s="143">
        <f>SUMIFS('январь 2026'!$G$2:$G$2684,'январь 2026'!$D$2:$D$2684,$B47,'январь 2026'!$J$2:$J$2684,AC$1)</f>
        <v>0</v>
      </c>
      <c r="AD47" s="143">
        <f>SUMIFS('январь 2026'!$G$2:$G$2684,'январь 2026'!$D$2:$D$2684,$B47,'январь 2026'!$J$2:$J$2684,AD$1)</f>
        <v>0</v>
      </c>
      <c r="AE47" s="143">
        <f>SUMIFS('январь 2026'!$G$2:$G$2684,'январь 2026'!$D$2:$D$2684,$B47,'январь 2026'!$J$2:$J$2684,AE$1)</f>
        <v>0</v>
      </c>
      <c r="AF47" s="143">
        <f>SUMIFS('январь 2026'!$G$2:$G$2684,'январь 2026'!$D$2:$D$2684,$B47,'январь 2026'!$J$2:$J$2684,AF$1)</f>
        <v>0</v>
      </c>
      <c r="AG47" s="143">
        <f>SUMIFS('январь 2026'!$G$2:$G$2684,'январь 2026'!$D$2:$D$2684,$B47,'январь 2026'!$J$2:$J$2684,AG$1)</f>
        <v>0</v>
      </c>
      <c r="AH47" s="143">
        <f>SUMIFS('январь 2026'!$G$2:$G$2684,'январь 2026'!$D$2:$D$2684,$B47,'январь 2026'!$J$2:$J$2684,AH$1)</f>
        <v>0</v>
      </c>
      <c r="AI47" s="20">
        <f t="shared" si="1"/>
        <v>0</v>
      </c>
    </row>
    <row r="48" spans="2:35" ht="15" customHeight="1" x14ac:dyDescent="0.25">
      <c r="B48" s="126" t="s">
        <v>372</v>
      </c>
      <c r="C48" s="123">
        <v>25</v>
      </c>
      <c r="D48" s="143">
        <f>SUMIFS('январь 2026'!$G$2:$G$2684,'январь 2026'!$D$2:$D$2684,$B48,'январь 2026'!$J$2:$J$2684,D$1)</f>
        <v>0</v>
      </c>
      <c r="E48" s="143">
        <f>SUMIFS('январь 2026'!$G$2:$G$2684,'январь 2026'!$D$2:$D$2684,$B48,'январь 2026'!$J$2:$J$2684,E$1)</f>
        <v>0</v>
      </c>
      <c r="F48" s="143">
        <f>SUMIFS('январь 2026'!$G$2:$G$2684,'январь 2026'!$D$2:$D$2684,$B48,'январь 2026'!$J$2:$J$2684,F$1)</f>
        <v>0</v>
      </c>
      <c r="G48" s="143">
        <f>SUMIFS('январь 2026'!$G$2:$G$2684,'январь 2026'!$D$2:$D$2684,$B48,'январь 2026'!$J$2:$J$2684,G$1)</f>
        <v>0</v>
      </c>
      <c r="H48" s="143">
        <f>SUMIFS('январь 2026'!$G$2:$G$2684,'январь 2026'!$D$2:$D$2684,$B48,'январь 2026'!$J$2:$J$2684,H$1)</f>
        <v>0</v>
      </c>
      <c r="I48" s="143">
        <f>SUMIFS('январь 2026'!$G$2:$G$2684,'январь 2026'!$D$2:$D$2684,$B48,'январь 2026'!$J$2:$J$2684,I$1)</f>
        <v>0</v>
      </c>
      <c r="J48" s="143">
        <f>SUMIFS('январь 2026'!$G$2:$G$2684,'январь 2026'!$D$2:$D$2684,$B48,'январь 2026'!$J$2:$J$2684,J$1)</f>
        <v>0</v>
      </c>
      <c r="K48" s="143">
        <f>SUMIFS('январь 2026'!$G$2:$G$2684,'январь 2026'!$D$2:$D$2684,$B48,'январь 2026'!$J$2:$J$2684,K$1)</f>
        <v>0</v>
      </c>
      <c r="L48" s="143">
        <f>SUMIFS('январь 2026'!$G$2:$G$2684,'январь 2026'!$D$2:$D$2684,$B48,'январь 2026'!$J$2:$J$2684,L$1)</f>
        <v>0</v>
      </c>
      <c r="M48" s="143">
        <f>SUMIFS('январь 2026'!$G$2:$G$2684,'январь 2026'!$D$2:$D$2684,$B48,'январь 2026'!$J$2:$J$2684,M$1)</f>
        <v>0</v>
      </c>
      <c r="N48" s="143">
        <f>SUMIFS('январь 2026'!$G$2:$G$2684,'январь 2026'!$D$2:$D$2684,$B48,'январь 2026'!$J$2:$J$2684,N$1)</f>
        <v>0</v>
      </c>
      <c r="O48" s="143">
        <f>SUMIFS('январь 2026'!$G$2:$G$2684,'январь 2026'!$D$2:$D$2684,$B48,'январь 2026'!$J$2:$J$2684,O$1)</f>
        <v>0</v>
      </c>
      <c r="P48" s="143">
        <f>SUMIFS('январь 2026'!$G$2:$G$2684,'январь 2026'!$D$2:$D$2684,$B48,'январь 2026'!$J$2:$J$2684,P$1)</f>
        <v>0</v>
      </c>
      <c r="Q48" s="143">
        <f>SUMIFS('январь 2026'!$G$2:$G$2684,'январь 2026'!$D$2:$D$2684,$B48,'январь 2026'!$J$2:$J$2684,Q$1)</f>
        <v>0</v>
      </c>
      <c r="R48" s="143">
        <f>SUMIFS('январь 2026'!$G$2:$G$2684,'январь 2026'!$D$2:$D$2684,$B48,'январь 2026'!$J$2:$J$2684,R$1)</f>
        <v>0</v>
      </c>
      <c r="S48" s="143">
        <f>SUMIFS('январь 2026'!$G$2:$G$2684,'январь 2026'!$D$2:$D$2684,$B48,'январь 2026'!$J$2:$J$2684,S$1)</f>
        <v>0</v>
      </c>
      <c r="T48" s="143">
        <f>SUMIFS('январь 2026'!$G$2:$G$2684,'январь 2026'!$D$2:$D$2684,$B48,'январь 2026'!$J$2:$J$2684,T$1)</f>
        <v>0</v>
      </c>
      <c r="U48" s="143">
        <f>SUMIFS('январь 2026'!$G$2:$G$2684,'январь 2026'!$D$2:$D$2684,$B48,'январь 2026'!$J$2:$J$2684,U$1)</f>
        <v>0</v>
      </c>
      <c r="V48" s="143">
        <f>SUMIFS('январь 2026'!$G$2:$G$2684,'январь 2026'!$D$2:$D$2684,$B48,'январь 2026'!$J$2:$J$2684,V$1)</f>
        <v>0</v>
      </c>
      <c r="W48" s="143">
        <f>SUMIFS('январь 2026'!$G$2:$G$2684,'январь 2026'!$D$2:$D$2684,$B48,'январь 2026'!$J$2:$J$2684,W$1)</f>
        <v>0</v>
      </c>
      <c r="X48" s="143">
        <f>SUMIFS('январь 2026'!$G$2:$G$2684,'январь 2026'!$D$2:$D$2684,$B48,'январь 2026'!$J$2:$J$2684,X$1)</f>
        <v>0</v>
      </c>
      <c r="Y48" s="143">
        <f>SUMIFS('январь 2026'!$G$2:$G$2684,'январь 2026'!$D$2:$D$2684,$B48,'январь 2026'!$J$2:$J$2684,Y$1)</f>
        <v>0</v>
      </c>
      <c r="Z48" s="143">
        <f>SUMIFS('январь 2026'!$G$2:$G$2684,'январь 2026'!$D$2:$D$2684,$B48,'январь 2026'!$J$2:$J$2684,Z$1)</f>
        <v>0</v>
      </c>
      <c r="AA48" s="143">
        <f>SUMIFS('январь 2026'!$G$2:$G$2684,'январь 2026'!$D$2:$D$2684,$B48,'январь 2026'!$J$2:$J$2684,AA$1)</f>
        <v>0</v>
      </c>
      <c r="AB48" s="143">
        <f>SUMIFS('январь 2026'!$G$2:$G$2684,'январь 2026'!$D$2:$D$2684,$B48,'январь 2026'!$J$2:$J$2684,AB$1)</f>
        <v>0</v>
      </c>
      <c r="AC48" s="143">
        <f>SUMIFS('январь 2026'!$G$2:$G$2684,'январь 2026'!$D$2:$D$2684,$B48,'январь 2026'!$J$2:$J$2684,AC$1)</f>
        <v>0</v>
      </c>
      <c r="AD48" s="143">
        <f>SUMIFS('январь 2026'!$G$2:$G$2684,'январь 2026'!$D$2:$D$2684,$B48,'январь 2026'!$J$2:$J$2684,AD$1)</f>
        <v>0</v>
      </c>
      <c r="AE48" s="143">
        <f>SUMIFS('январь 2026'!$G$2:$G$2684,'январь 2026'!$D$2:$D$2684,$B48,'январь 2026'!$J$2:$J$2684,AE$1)</f>
        <v>0</v>
      </c>
      <c r="AF48" s="143">
        <f>SUMIFS('январь 2026'!$G$2:$G$2684,'январь 2026'!$D$2:$D$2684,$B48,'январь 2026'!$J$2:$J$2684,AF$1)</f>
        <v>0</v>
      </c>
      <c r="AG48" s="143">
        <f>SUMIFS('январь 2026'!$G$2:$G$2684,'январь 2026'!$D$2:$D$2684,$B48,'январь 2026'!$J$2:$J$2684,AG$1)</f>
        <v>0</v>
      </c>
      <c r="AH48" s="143">
        <f>SUMIFS('январь 2026'!$G$2:$G$2684,'январь 2026'!$D$2:$D$2684,$B48,'январь 2026'!$J$2:$J$2684,AH$1)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SUMIFS('январь 2026'!$G$2:$G$2684,'январь 2026'!$D$2:$D$2684,$B49,'январь 2026'!$J$2:$J$2684,D$1)</f>
        <v>0</v>
      </c>
      <c r="E49" s="143">
        <f>SUMIFS('январь 2026'!$G$2:$G$2684,'январь 2026'!$D$2:$D$2684,$B49,'январь 2026'!$J$2:$J$2684,E$1)</f>
        <v>0</v>
      </c>
      <c r="F49" s="143">
        <f>SUMIFS('январь 2026'!$G$2:$G$2684,'январь 2026'!$D$2:$D$2684,$B49,'январь 2026'!$J$2:$J$2684,F$1)</f>
        <v>0</v>
      </c>
      <c r="G49" s="143">
        <f>SUMIFS('январь 2026'!$G$2:$G$2684,'январь 2026'!$D$2:$D$2684,$B49,'январь 2026'!$J$2:$J$2684,G$1)</f>
        <v>0</v>
      </c>
      <c r="H49" s="143">
        <f>SUMIFS('январь 2026'!$G$2:$G$2684,'январь 2026'!$D$2:$D$2684,$B49,'январь 2026'!$J$2:$J$2684,H$1)</f>
        <v>0</v>
      </c>
      <c r="I49" s="143">
        <f>SUMIFS('январь 2026'!$G$2:$G$2684,'январь 2026'!$D$2:$D$2684,$B49,'январь 2026'!$J$2:$J$2684,I$1)</f>
        <v>0</v>
      </c>
      <c r="J49" s="143">
        <f>SUMIFS('январь 2026'!$G$2:$G$2684,'январь 2026'!$D$2:$D$2684,$B49,'январь 2026'!$J$2:$J$2684,J$1)</f>
        <v>0</v>
      </c>
      <c r="K49" s="143">
        <f>SUMIFS('январь 2026'!$G$2:$G$2684,'январь 2026'!$D$2:$D$2684,$B49,'январь 2026'!$J$2:$J$2684,K$1)</f>
        <v>0</v>
      </c>
      <c r="L49" s="143">
        <f>SUMIFS('январь 2026'!$G$2:$G$2684,'январь 2026'!$D$2:$D$2684,$B49,'январь 2026'!$J$2:$J$2684,L$1)</f>
        <v>0</v>
      </c>
      <c r="M49" s="143">
        <f>SUMIFS('январь 2026'!$G$2:$G$2684,'январь 2026'!$D$2:$D$2684,$B49,'январь 2026'!$J$2:$J$2684,M$1)</f>
        <v>0</v>
      </c>
      <c r="N49" s="143">
        <f>SUMIFS('январь 2026'!$G$2:$G$2684,'январь 2026'!$D$2:$D$2684,$B49,'январь 2026'!$J$2:$J$2684,N$1)</f>
        <v>0</v>
      </c>
      <c r="O49" s="143">
        <f>SUMIFS('январь 2026'!$G$2:$G$2684,'январь 2026'!$D$2:$D$2684,$B49,'январь 2026'!$J$2:$J$2684,O$1)</f>
        <v>0</v>
      </c>
      <c r="P49" s="143">
        <f>SUMIFS('январь 2026'!$G$2:$G$2684,'январь 2026'!$D$2:$D$2684,$B49,'январь 2026'!$J$2:$J$2684,P$1)</f>
        <v>0</v>
      </c>
      <c r="Q49" s="143">
        <f>SUMIFS('январь 2026'!$G$2:$G$2684,'январь 2026'!$D$2:$D$2684,$B49,'январь 2026'!$J$2:$J$2684,Q$1)</f>
        <v>0</v>
      </c>
      <c r="R49" s="143">
        <f>SUMIFS('январь 2026'!$G$2:$G$2684,'январь 2026'!$D$2:$D$2684,$B49,'январь 2026'!$J$2:$J$2684,R$1)</f>
        <v>0</v>
      </c>
      <c r="S49" s="143">
        <f>SUMIFS('январь 2026'!$G$2:$G$2684,'январь 2026'!$D$2:$D$2684,$B49,'январь 2026'!$J$2:$J$2684,S$1)</f>
        <v>0</v>
      </c>
      <c r="T49" s="143">
        <f>SUMIFS('январь 2026'!$G$2:$G$2684,'январь 2026'!$D$2:$D$2684,$B49,'январь 2026'!$J$2:$J$2684,T$1)</f>
        <v>0</v>
      </c>
      <c r="U49" s="143">
        <f>SUMIFS('январь 2026'!$G$2:$G$2684,'январь 2026'!$D$2:$D$2684,$B49,'январь 2026'!$J$2:$J$2684,U$1)</f>
        <v>0</v>
      </c>
      <c r="V49" s="143">
        <f>SUMIFS('январь 2026'!$G$2:$G$2684,'январь 2026'!$D$2:$D$2684,$B49,'январь 2026'!$J$2:$J$2684,V$1)</f>
        <v>0</v>
      </c>
      <c r="W49" s="143">
        <f>SUMIFS('январь 2026'!$G$2:$G$2684,'январь 2026'!$D$2:$D$2684,$B49,'январь 2026'!$J$2:$J$2684,W$1)</f>
        <v>0</v>
      </c>
      <c r="X49" s="143">
        <f>SUMIFS('январь 2026'!$G$2:$G$2684,'январь 2026'!$D$2:$D$2684,$B49,'январь 2026'!$J$2:$J$2684,X$1)</f>
        <v>0</v>
      </c>
      <c r="Y49" s="143">
        <f>SUMIFS('январь 2026'!$G$2:$G$2684,'январь 2026'!$D$2:$D$2684,$B49,'январь 2026'!$J$2:$J$2684,Y$1)</f>
        <v>0</v>
      </c>
      <c r="Z49" s="143">
        <f>SUMIFS('январь 2026'!$G$2:$G$2684,'январь 2026'!$D$2:$D$2684,$B49,'январь 2026'!$J$2:$J$2684,Z$1)</f>
        <v>0</v>
      </c>
      <c r="AA49" s="143">
        <f>SUMIFS('январь 2026'!$G$2:$G$2684,'январь 2026'!$D$2:$D$2684,$B49,'январь 2026'!$J$2:$J$2684,AA$1)</f>
        <v>0</v>
      </c>
      <c r="AB49" s="143">
        <f>SUMIFS('январь 2026'!$G$2:$G$2684,'январь 2026'!$D$2:$D$2684,$B49,'январь 2026'!$J$2:$J$2684,AB$1)</f>
        <v>0</v>
      </c>
      <c r="AC49" s="143">
        <f>SUMIFS('январь 2026'!$G$2:$G$2684,'январь 2026'!$D$2:$D$2684,$B49,'январь 2026'!$J$2:$J$2684,AC$1)</f>
        <v>0</v>
      </c>
      <c r="AD49" s="143">
        <f>SUMIFS('январь 2026'!$G$2:$G$2684,'январь 2026'!$D$2:$D$2684,$B49,'январь 2026'!$J$2:$J$2684,AD$1)</f>
        <v>0</v>
      </c>
      <c r="AE49" s="143">
        <f>SUMIFS('январь 2026'!$G$2:$G$2684,'январь 2026'!$D$2:$D$2684,$B49,'январь 2026'!$J$2:$J$2684,AE$1)</f>
        <v>0</v>
      </c>
      <c r="AF49" s="143">
        <f>SUMIFS('январь 2026'!$G$2:$G$2684,'январь 2026'!$D$2:$D$2684,$B49,'январь 2026'!$J$2:$J$2684,AF$1)</f>
        <v>0</v>
      </c>
      <c r="AG49" s="143">
        <f>SUMIFS('январь 2026'!$G$2:$G$2684,'январь 2026'!$D$2:$D$2684,$B49,'январь 2026'!$J$2:$J$2684,AG$1)</f>
        <v>0</v>
      </c>
      <c r="AH49" s="143">
        <f>SUMIFS('январь 2026'!$G$2:$G$2684,'январь 2026'!$D$2:$D$2684,$B49,'январь 2026'!$J$2:$J$2684,AH$1)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SUMIFS('январь 2026'!$G$2:$G$2684,'январь 2026'!$D$2:$D$2684,$B50,'январь 2026'!$J$2:$J$2684,D$1)</f>
        <v>0</v>
      </c>
      <c r="E50" s="143">
        <f>SUMIFS('январь 2026'!$G$2:$G$2684,'январь 2026'!$D$2:$D$2684,$B50,'январь 2026'!$J$2:$J$2684,E$1)</f>
        <v>0</v>
      </c>
      <c r="F50" s="143">
        <f>SUMIFS('январь 2026'!$G$2:$G$2684,'январь 2026'!$D$2:$D$2684,$B50,'январь 2026'!$J$2:$J$2684,F$1)</f>
        <v>0</v>
      </c>
      <c r="G50" s="143">
        <f>SUMIFS('январь 2026'!$G$2:$G$2684,'январь 2026'!$D$2:$D$2684,$B50,'январь 2026'!$J$2:$J$2684,G$1)</f>
        <v>0</v>
      </c>
      <c r="H50" s="143">
        <f>SUMIFS('январь 2026'!$G$2:$G$2684,'январь 2026'!$D$2:$D$2684,$B50,'январь 2026'!$J$2:$J$2684,H$1)</f>
        <v>0</v>
      </c>
      <c r="I50" s="143">
        <f>SUMIFS('январь 2026'!$G$2:$G$2684,'январь 2026'!$D$2:$D$2684,$B50,'январь 2026'!$J$2:$J$2684,I$1)</f>
        <v>0</v>
      </c>
      <c r="J50" s="143">
        <f>SUMIFS('январь 2026'!$G$2:$G$2684,'январь 2026'!$D$2:$D$2684,$B50,'январь 2026'!$J$2:$J$2684,J$1)</f>
        <v>0</v>
      </c>
      <c r="K50" s="143">
        <f>SUMIFS('январь 2026'!$G$2:$G$2684,'январь 2026'!$D$2:$D$2684,$B50,'январь 2026'!$J$2:$J$2684,K$1)</f>
        <v>0</v>
      </c>
      <c r="L50" s="143">
        <f>SUMIFS('январь 2026'!$G$2:$G$2684,'январь 2026'!$D$2:$D$2684,$B50,'январь 2026'!$J$2:$J$2684,L$1)</f>
        <v>0</v>
      </c>
      <c r="M50" s="143">
        <f>SUMIFS('январь 2026'!$G$2:$G$2684,'январь 2026'!$D$2:$D$2684,$B50,'январь 2026'!$J$2:$J$2684,M$1)</f>
        <v>0</v>
      </c>
      <c r="N50" s="143">
        <f>SUMIFS('январь 2026'!$G$2:$G$2684,'январь 2026'!$D$2:$D$2684,$B50,'январь 2026'!$J$2:$J$2684,N$1)</f>
        <v>0</v>
      </c>
      <c r="O50" s="143">
        <f>SUMIFS('январь 2026'!$G$2:$G$2684,'январь 2026'!$D$2:$D$2684,$B50,'январь 2026'!$J$2:$J$2684,O$1)</f>
        <v>0</v>
      </c>
      <c r="P50" s="143">
        <f>SUMIFS('январь 2026'!$G$2:$G$2684,'январь 2026'!$D$2:$D$2684,$B50,'январь 2026'!$J$2:$J$2684,P$1)</f>
        <v>0</v>
      </c>
      <c r="Q50" s="143">
        <f>SUMIFS('январь 2026'!$G$2:$G$2684,'январь 2026'!$D$2:$D$2684,$B50,'январь 2026'!$J$2:$J$2684,Q$1)</f>
        <v>0</v>
      </c>
      <c r="R50" s="143">
        <f>SUMIFS('январь 2026'!$G$2:$G$2684,'январь 2026'!$D$2:$D$2684,$B50,'январь 2026'!$J$2:$J$2684,R$1)</f>
        <v>0</v>
      </c>
      <c r="S50" s="143">
        <f>SUMIFS('январь 2026'!$G$2:$G$2684,'январь 2026'!$D$2:$D$2684,$B50,'январь 2026'!$J$2:$J$2684,S$1)</f>
        <v>0</v>
      </c>
      <c r="T50" s="143">
        <f>SUMIFS('январь 2026'!$G$2:$G$2684,'январь 2026'!$D$2:$D$2684,$B50,'январь 2026'!$J$2:$J$2684,T$1)</f>
        <v>0</v>
      </c>
      <c r="U50" s="143">
        <f>SUMIFS('январь 2026'!$G$2:$G$2684,'январь 2026'!$D$2:$D$2684,$B50,'январь 2026'!$J$2:$J$2684,U$1)</f>
        <v>0</v>
      </c>
      <c r="V50" s="143">
        <f>SUMIFS('январь 2026'!$G$2:$G$2684,'январь 2026'!$D$2:$D$2684,$B50,'январь 2026'!$J$2:$J$2684,V$1)</f>
        <v>0</v>
      </c>
      <c r="W50" s="143">
        <f>SUMIFS('январь 2026'!$G$2:$G$2684,'январь 2026'!$D$2:$D$2684,$B50,'январь 2026'!$J$2:$J$2684,W$1)</f>
        <v>0</v>
      </c>
      <c r="X50" s="143">
        <f>SUMIFS('январь 2026'!$G$2:$G$2684,'январь 2026'!$D$2:$D$2684,$B50,'январь 2026'!$J$2:$J$2684,X$1)</f>
        <v>0</v>
      </c>
      <c r="Y50" s="143">
        <f>SUMIFS('январь 2026'!$G$2:$G$2684,'январь 2026'!$D$2:$D$2684,$B50,'январь 2026'!$J$2:$J$2684,Y$1)</f>
        <v>0</v>
      </c>
      <c r="Z50" s="143">
        <f>SUMIFS('январь 2026'!$G$2:$G$2684,'январь 2026'!$D$2:$D$2684,$B50,'январь 2026'!$J$2:$J$2684,Z$1)</f>
        <v>0</v>
      </c>
      <c r="AA50" s="143">
        <f>SUMIFS('январь 2026'!$G$2:$G$2684,'январь 2026'!$D$2:$D$2684,$B50,'январь 2026'!$J$2:$J$2684,AA$1)</f>
        <v>0</v>
      </c>
      <c r="AB50" s="143">
        <f>SUMIFS('январь 2026'!$G$2:$G$2684,'январь 2026'!$D$2:$D$2684,$B50,'январь 2026'!$J$2:$J$2684,AB$1)</f>
        <v>0</v>
      </c>
      <c r="AC50" s="143">
        <f>SUMIFS('январь 2026'!$G$2:$G$2684,'январь 2026'!$D$2:$D$2684,$B50,'январь 2026'!$J$2:$J$2684,AC$1)</f>
        <v>0</v>
      </c>
      <c r="AD50" s="143">
        <f>SUMIFS('январь 2026'!$G$2:$G$2684,'январь 2026'!$D$2:$D$2684,$B50,'январь 2026'!$J$2:$J$2684,AD$1)</f>
        <v>0</v>
      </c>
      <c r="AE50" s="143">
        <f>SUMIFS('январь 2026'!$G$2:$G$2684,'январь 2026'!$D$2:$D$2684,$B50,'январь 2026'!$J$2:$J$2684,AE$1)</f>
        <v>0</v>
      </c>
      <c r="AF50" s="143">
        <f>SUMIFS('январь 2026'!$G$2:$G$2684,'январь 2026'!$D$2:$D$2684,$B50,'январь 2026'!$J$2:$J$2684,AF$1)</f>
        <v>0</v>
      </c>
      <c r="AG50" s="143">
        <f>SUMIFS('январь 2026'!$G$2:$G$2684,'январь 2026'!$D$2:$D$2684,$B50,'январь 2026'!$J$2:$J$2684,AG$1)</f>
        <v>0</v>
      </c>
      <c r="AH50" s="143">
        <f>SUMIFS('январь 2026'!$G$2:$G$2684,'январь 2026'!$D$2:$D$2684,$B50,'январь 2026'!$J$2:$J$2684,AH$1)</f>
        <v>0</v>
      </c>
      <c r="AI50" s="20">
        <f t="shared" si="1"/>
        <v>0</v>
      </c>
    </row>
    <row r="51" spans="2:35" ht="15" customHeight="1" x14ac:dyDescent="0.25">
      <c r="B51" s="126" t="s">
        <v>232</v>
      </c>
      <c r="C51" s="123">
        <v>20</v>
      </c>
      <c r="D51" s="143">
        <f>SUMIFS('январь 2026'!$G$2:$G$2684,'январь 2026'!$D$2:$D$2684,$B51,'январь 2026'!$J$2:$J$2684,D$1)</f>
        <v>0</v>
      </c>
      <c r="E51" s="143">
        <f>SUMIFS('январь 2026'!$G$2:$G$2684,'январь 2026'!$D$2:$D$2684,$B51,'январь 2026'!$J$2:$J$2684,E$1)</f>
        <v>0</v>
      </c>
      <c r="F51" s="143">
        <f>SUMIFS('январь 2026'!$G$2:$G$2684,'январь 2026'!$D$2:$D$2684,$B51,'январь 2026'!$J$2:$J$2684,F$1)</f>
        <v>0</v>
      </c>
      <c r="G51" s="143">
        <f>SUMIFS('январь 2026'!$G$2:$G$2684,'январь 2026'!$D$2:$D$2684,$B51,'январь 2026'!$J$2:$J$2684,G$1)</f>
        <v>0</v>
      </c>
      <c r="H51" s="143">
        <f>SUMIFS('январь 2026'!$G$2:$G$2684,'январь 2026'!$D$2:$D$2684,$B51,'январь 2026'!$J$2:$J$2684,H$1)</f>
        <v>0</v>
      </c>
      <c r="I51" s="143">
        <f>SUMIFS('январь 2026'!$G$2:$G$2684,'январь 2026'!$D$2:$D$2684,$B51,'январь 2026'!$J$2:$J$2684,I$1)</f>
        <v>0</v>
      </c>
      <c r="J51" s="143">
        <f>SUMIFS('январь 2026'!$G$2:$G$2684,'январь 2026'!$D$2:$D$2684,$B51,'январь 2026'!$J$2:$J$2684,J$1)</f>
        <v>0</v>
      </c>
      <c r="K51" s="143">
        <f>SUMIFS('январь 2026'!$G$2:$G$2684,'январь 2026'!$D$2:$D$2684,$B51,'январь 2026'!$J$2:$J$2684,K$1)</f>
        <v>0</v>
      </c>
      <c r="L51" s="143">
        <f>SUMIFS('январь 2026'!$G$2:$G$2684,'январь 2026'!$D$2:$D$2684,$B51,'январь 2026'!$J$2:$J$2684,L$1)</f>
        <v>0</v>
      </c>
      <c r="M51" s="143">
        <f>SUMIFS('январь 2026'!$G$2:$G$2684,'январь 2026'!$D$2:$D$2684,$B51,'январь 2026'!$J$2:$J$2684,M$1)</f>
        <v>0</v>
      </c>
      <c r="N51" s="143">
        <f>SUMIFS('январь 2026'!$G$2:$G$2684,'январь 2026'!$D$2:$D$2684,$B51,'январь 2026'!$J$2:$J$2684,N$1)</f>
        <v>0</v>
      </c>
      <c r="O51" s="143">
        <f>SUMIFS('январь 2026'!$G$2:$G$2684,'январь 2026'!$D$2:$D$2684,$B51,'январь 2026'!$J$2:$J$2684,O$1)</f>
        <v>0</v>
      </c>
      <c r="P51" s="143">
        <f>SUMIFS('январь 2026'!$G$2:$G$2684,'январь 2026'!$D$2:$D$2684,$B51,'январь 2026'!$J$2:$J$2684,P$1)</f>
        <v>0</v>
      </c>
      <c r="Q51" s="143">
        <f>SUMIFS('январь 2026'!$G$2:$G$2684,'январь 2026'!$D$2:$D$2684,$B51,'январь 2026'!$J$2:$J$2684,Q$1)</f>
        <v>0</v>
      </c>
      <c r="R51" s="143">
        <f>SUMIFS('январь 2026'!$G$2:$G$2684,'январь 2026'!$D$2:$D$2684,$B51,'январь 2026'!$J$2:$J$2684,R$1)</f>
        <v>0</v>
      </c>
      <c r="S51" s="143">
        <f>SUMIFS('январь 2026'!$G$2:$G$2684,'январь 2026'!$D$2:$D$2684,$B51,'январь 2026'!$J$2:$J$2684,S$1)</f>
        <v>0</v>
      </c>
      <c r="T51" s="143">
        <f>SUMIFS('январь 2026'!$G$2:$G$2684,'январь 2026'!$D$2:$D$2684,$B51,'январь 2026'!$J$2:$J$2684,T$1)</f>
        <v>0</v>
      </c>
      <c r="U51" s="143">
        <f>SUMIFS('январь 2026'!$G$2:$G$2684,'январь 2026'!$D$2:$D$2684,$B51,'январь 2026'!$J$2:$J$2684,U$1)</f>
        <v>0</v>
      </c>
      <c r="V51" s="143">
        <f>SUMIFS('январь 2026'!$G$2:$G$2684,'январь 2026'!$D$2:$D$2684,$B51,'январь 2026'!$J$2:$J$2684,V$1)</f>
        <v>0</v>
      </c>
      <c r="W51" s="143">
        <f>SUMIFS('январь 2026'!$G$2:$G$2684,'январь 2026'!$D$2:$D$2684,$B51,'январь 2026'!$J$2:$J$2684,W$1)</f>
        <v>0</v>
      </c>
      <c r="X51" s="143">
        <f>SUMIFS('январь 2026'!$G$2:$G$2684,'январь 2026'!$D$2:$D$2684,$B51,'январь 2026'!$J$2:$J$2684,X$1)</f>
        <v>0</v>
      </c>
      <c r="Y51" s="143">
        <f>SUMIFS('январь 2026'!$G$2:$G$2684,'январь 2026'!$D$2:$D$2684,$B51,'январь 2026'!$J$2:$J$2684,Y$1)</f>
        <v>0</v>
      </c>
      <c r="Z51" s="143">
        <f>SUMIFS('январь 2026'!$G$2:$G$2684,'январь 2026'!$D$2:$D$2684,$B51,'январь 2026'!$J$2:$J$2684,Z$1)</f>
        <v>0</v>
      </c>
      <c r="AA51" s="143">
        <f>SUMIFS('январь 2026'!$G$2:$G$2684,'январь 2026'!$D$2:$D$2684,$B51,'январь 2026'!$J$2:$J$2684,AA$1)</f>
        <v>0</v>
      </c>
      <c r="AB51" s="143">
        <f>SUMIFS('январь 2026'!$G$2:$G$2684,'январь 2026'!$D$2:$D$2684,$B51,'январь 2026'!$J$2:$J$2684,AB$1)</f>
        <v>0</v>
      </c>
      <c r="AC51" s="143">
        <f>SUMIFS('январь 2026'!$G$2:$G$2684,'январь 2026'!$D$2:$D$2684,$B51,'январь 2026'!$J$2:$J$2684,AC$1)</f>
        <v>0</v>
      </c>
      <c r="AD51" s="143">
        <f>SUMIFS('январь 2026'!$G$2:$G$2684,'январь 2026'!$D$2:$D$2684,$B51,'январь 2026'!$J$2:$J$2684,AD$1)</f>
        <v>0</v>
      </c>
      <c r="AE51" s="143">
        <f>SUMIFS('январь 2026'!$G$2:$G$2684,'январь 2026'!$D$2:$D$2684,$B51,'январь 2026'!$J$2:$J$2684,AE$1)</f>
        <v>0</v>
      </c>
      <c r="AF51" s="143">
        <f>SUMIFS('январь 2026'!$G$2:$G$2684,'январь 2026'!$D$2:$D$2684,$B51,'январь 2026'!$J$2:$J$2684,AF$1)</f>
        <v>0</v>
      </c>
      <c r="AG51" s="143">
        <f>SUMIFS('январь 2026'!$G$2:$G$2684,'январь 2026'!$D$2:$D$2684,$B51,'январь 2026'!$J$2:$J$2684,AG$1)</f>
        <v>150</v>
      </c>
      <c r="AH51" s="143">
        <f>SUMIFS('январь 2026'!$G$2:$G$2684,'январь 2026'!$D$2:$D$2684,$B51,'январь 2026'!$J$2:$J$2684,AH$1)</f>
        <v>0</v>
      </c>
      <c r="AI51" s="20">
        <f t="shared" si="1"/>
        <v>150</v>
      </c>
    </row>
    <row r="52" spans="2:35" ht="15" customHeight="1" x14ac:dyDescent="0.25">
      <c r="B52" s="126" t="s">
        <v>369</v>
      </c>
      <c r="C52" s="123">
        <v>22.7</v>
      </c>
      <c r="D52" s="143">
        <f>SUMIFS('январь 2026'!$G$2:$G$2684,'январь 2026'!$D$2:$D$2684,$B52,'январь 2026'!$J$2:$J$2684,D$1)</f>
        <v>0</v>
      </c>
      <c r="E52" s="143">
        <f>SUMIFS('январь 2026'!$G$2:$G$2684,'январь 2026'!$D$2:$D$2684,$B52,'январь 2026'!$J$2:$J$2684,E$1)</f>
        <v>0</v>
      </c>
      <c r="F52" s="143">
        <f>SUMIFS('январь 2026'!$G$2:$G$2684,'январь 2026'!$D$2:$D$2684,$B52,'январь 2026'!$J$2:$J$2684,F$1)</f>
        <v>0</v>
      </c>
      <c r="G52" s="143">
        <f>SUMIFS('январь 2026'!$G$2:$G$2684,'январь 2026'!$D$2:$D$2684,$B52,'январь 2026'!$J$2:$J$2684,G$1)</f>
        <v>0</v>
      </c>
      <c r="H52" s="143">
        <f>SUMIFS('январь 2026'!$G$2:$G$2684,'январь 2026'!$D$2:$D$2684,$B52,'январь 2026'!$J$2:$J$2684,H$1)</f>
        <v>0</v>
      </c>
      <c r="I52" s="143">
        <f>SUMIFS('январь 2026'!$G$2:$G$2684,'январь 2026'!$D$2:$D$2684,$B52,'январь 2026'!$J$2:$J$2684,I$1)</f>
        <v>0</v>
      </c>
      <c r="J52" s="143">
        <f>SUMIFS('январь 2026'!$G$2:$G$2684,'январь 2026'!$D$2:$D$2684,$B52,'январь 2026'!$J$2:$J$2684,J$1)</f>
        <v>0</v>
      </c>
      <c r="K52" s="143">
        <f>SUMIFS('январь 2026'!$G$2:$G$2684,'январь 2026'!$D$2:$D$2684,$B52,'январь 2026'!$J$2:$J$2684,K$1)</f>
        <v>0</v>
      </c>
      <c r="L52" s="143">
        <f>SUMIFS('январь 2026'!$G$2:$G$2684,'январь 2026'!$D$2:$D$2684,$B52,'январь 2026'!$J$2:$J$2684,L$1)</f>
        <v>0</v>
      </c>
      <c r="M52" s="143">
        <f>SUMIFS('январь 2026'!$G$2:$G$2684,'январь 2026'!$D$2:$D$2684,$B52,'январь 2026'!$J$2:$J$2684,M$1)</f>
        <v>0</v>
      </c>
      <c r="N52" s="143">
        <f>SUMIFS('январь 2026'!$G$2:$G$2684,'январь 2026'!$D$2:$D$2684,$B52,'январь 2026'!$J$2:$J$2684,N$1)</f>
        <v>0</v>
      </c>
      <c r="O52" s="143">
        <f>SUMIFS('январь 2026'!$G$2:$G$2684,'январь 2026'!$D$2:$D$2684,$B52,'январь 2026'!$J$2:$J$2684,O$1)</f>
        <v>0</v>
      </c>
      <c r="P52" s="143">
        <f>SUMIFS('январь 2026'!$G$2:$G$2684,'январь 2026'!$D$2:$D$2684,$B52,'январь 2026'!$J$2:$J$2684,P$1)</f>
        <v>0</v>
      </c>
      <c r="Q52" s="143">
        <f>SUMIFS('январь 2026'!$G$2:$G$2684,'январь 2026'!$D$2:$D$2684,$B52,'январь 2026'!$J$2:$J$2684,Q$1)</f>
        <v>0</v>
      </c>
      <c r="R52" s="143">
        <f>SUMIFS('январь 2026'!$G$2:$G$2684,'январь 2026'!$D$2:$D$2684,$B52,'январь 2026'!$J$2:$J$2684,R$1)</f>
        <v>0</v>
      </c>
      <c r="S52" s="143">
        <f>SUMIFS('январь 2026'!$G$2:$G$2684,'январь 2026'!$D$2:$D$2684,$B52,'январь 2026'!$J$2:$J$2684,S$1)</f>
        <v>0</v>
      </c>
      <c r="T52" s="143">
        <f>SUMIFS('январь 2026'!$G$2:$G$2684,'январь 2026'!$D$2:$D$2684,$B52,'январь 2026'!$J$2:$J$2684,T$1)</f>
        <v>0</v>
      </c>
      <c r="U52" s="143">
        <f>SUMIFS('январь 2026'!$G$2:$G$2684,'январь 2026'!$D$2:$D$2684,$B52,'январь 2026'!$J$2:$J$2684,U$1)</f>
        <v>0</v>
      </c>
      <c r="V52" s="143">
        <f>SUMIFS('январь 2026'!$G$2:$G$2684,'январь 2026'!$D$2:$D$2684,$B52,'январь 2026'!$J$2:$J$2684,V$1)</f>
        <v>0</v>
      </c>
      <c r="W52" s="143">
        <f>SUMIFS('январь 2026'!$G$2:$G$2684,'январь 2026'!$D$2:$D$2684,$B52,'январь 2026'!$J$2:$J$2684,W$1)</f>
        <v>0</v>
      </c>
      <c r="X52" s="143">
        <f>SUMIFS('январь 2026'!$G$2:$G$2684,'январь 2026'!$D$2:$D$2684,$B52,'январь 2026'!$J$2:$J$2684,X$1)</f>
        <v>0</v>
      </c>
      <c r="Y52" s="143">
        <f>SUMIFS('январь 2026'!$G$2:$G$2684,'январь 2026'!$D$2:$D$2684,$B52,'январь 2026'!$J$2:$J$2684,Y$1)</f>
        <v>0</v>
      </c>
      <c r="Z52" s="143">
        <f>SUMIFS('январь 2026'!$G$2:$G$2684,'январь 2026'!$D$2:$D$2684,$B52,'январь 2026'!$J$2:$J$2684,Z$1)</f>
        <v>0</v>
      </c>
      <c r="AA52" s="143">
        <f>SUMIFS('январь 2026'!$G$2:$G$2684,'январь 2026'!$D$2:$D$2684,$B52,'январь 2026'!$J$2:$J$2684,AA$1)</f>
        <v>0</v>
      </c>
      <c r="AB52" s="143">
        <f>SUMIFS('январь 2026'!$G$2:$G$2684,'январь 2026'!$D$2:$D$2684,$B52,'январь 2026'!$J$2:$J$2684,AB$1)</f>
        <v>0</v>
      </c>
      <c r="AC52" s="143">
        <f>SUMIFS('январь 2026'!$G$2:$G$2684,'январь 2026'!$D$2:$D$2684,$B52,'январь 2026'!$J$2:$J$2684,AC$1)</f>
        <v>0</v>
      </c>
      <c r="AD52" s="143">
        <f>SUMIFS('январь 2026'!$G$2:$G$2684,'январь 2026'!$D$2:$D$2684,$B52,'январь 2026'!$J$2:$J$2684,AD$1)</f>
        <v>0</v>
      </c>
      <c r="AE52" s="143">
        <f>SUMIFS('январь 2026'!$G$2:$G$2684,'январь 2026'!$D$2:$D$2684,$B52,'январь 2026'!$J$2:$J$2684,AE$1)</f>
        <v>0</v>
      </c>
      <c r="AF52" s="143">
        <f>SUMIFS('январь 2026'!$G$2:$G$2684,'январь 2026'!$D$2:$D$2684,$B52,'январь 2026'!$J$2:$J$2684,AF$1)</f>
        <v>0</v>
      </c>
      <c r="AG52" s="143">
        <f>SUMIFS('январь 2026'!$G$2:$G$2684,'январь 2026'!$D$2:$D$2684,$B52,'январь 2026'!$J$2:$J$2684,AG$1)</f>
        <v>0</v>
      </c>
      <c r="AH52" s="143">
        <f>SUMIFS('январь 2026'!$G$2:$G$2684,'январь 2026'!$D$2:$D$2684,$B52,'январь 2026'!$J$2:$J$2684,AH$1)</f>
        <v>0</v>
      </c>
      <c r="AI52" s="20"/>
    </row>
    <row r="53" spans="2:35" ht="15" customHeight="1" x14ac:dyDescent="0.25">
      <c r="B53" s="122" t="s">
        <v>234</v>
      </c>
      <c r="C53" s="125">
        <v>20</v>
      </c>
      <c r="D53" s="143">
        <f>SUMIFS('январь 2026'!$G$2:$G$2684,'январь 2026'!$D$2:$D$2684,$B53,'январь 2026'!$J$2:$J$2684,D$1)</f>
        <v>0</v>
      </c>
      <c r="E53" s="143">
        <f>SUMIFS('январь 2026'!$G$2:$G$2684,'январь 2026'!$D$2:$D$2684,$B53,'январь 2026'!$J$2:$J$2684,E$1)</f>
        <v>0</v>
      </c>
      <c r="F53" s="143">
        <f>SUMIFS('январь 2026'!$G$2:$G$2684,'январь 2026'!$D$2:$D$2684,$B53,'январь 2026'!$J$2:$J$2684,F$1)</f>
        <v>0</v>
      </c>
      <c r="G53" s="143">
        <f>SUMIFS('январь 2026'!$G$2:$G$2684,'январь 2026'!$D$2:$D$2684,$B53,'январь 2026'!$J$2:$J$2684,G$1)</f>
        <v>0</v>
      </c>
      <c r="H53" s="143">
        <f>SUMIFS('январь 2026'!$G$2:$G$2684,'январь 2026'!$D$2:$D$2684,$B53,'январь 2026'!$J$2:$J$2684,H$1)</f>
        <v>0</v>
      </c>
      <c r="I53" s="143">
        <f>SUMIFS('январь 2026'!$G$2:$G$2684,'январь 2026'!$D$2:$D$2684,$B53,'январь 2026'!$J$2:$J$2684,I$1)</f>
        <v>0</v>
      </c>
      <c r="J53" s="143">
        <f>SUMIFS('январь 2026'!$G$2:$G$2684,'январь 2026'!$D$2:$D$2684,$B53,'январь 2026'!$J$2:$J$2684,J$1)</f>
        <v>0</v>
      </c>
      <c r="K53" s="143">
        <f>SUMIFS('январь 2026'!$G$2:$G$2684,'январь 2026'!$D$2:$D$2684,$B53,'январь 2026'!$J$2:$J$2684,K$1)</f>
        <v>0</v>
      </c>
      <c r="L53" s="143">
        <f>SUMIFS('январь 2026'!$G$2:$G$2684,'январь 2026'!$D$2:$D$2684,$B53,'январь 2026'!$J$2:$J$2684,L$1)</f>
        <v>0</v>
      </c>
      <c r="M53" s="143">
        <f>SUMIFS('январь 2026'!$G$2:$G$2684,'январь 2026'!$D$2:$D$2684,$B53,'январь 2026'!$J$2:$J$2684,M$1)</f>
        <v>0</v>
      </c>
      <c r="N53" s="143">
        <f>SUMIFS('январь 2026'!$G$2:$G$2684,'январь 2026'!$D$2:$D$2684,$B53,'январь 2026'!$J$2:$J$2684,N$1)</f>
        <v>0</v>
      </c>
      <c r="O53" s="143">
        <f>SUMIFS('январь 2026'!$G$2:$G$2684,'январь 2026'!$D$2:$D$2684,$B53,'январь 2026'!$J$2:$J$2684,O$1)</f>
        <v>0</v>
      </c>
      <c r="P53" s="143">
        <f>SUMIFS('январь 2026'!$G$2:$G$2684,'январь 2026'!$D$2:$D$2684,$B53,'январь 2026'!$J$2:$J$2684,P$1)</f>
        <v>0</v>
      </c>
      <c r="Q53" s="143">
        <f>SUMIFS('январь 2026'!$G$2:$G$2684,'январь 2026'!$D$2:$D$2684,$B53,'январь 2026'!$J$2:$J$2684,Q$1)</f>
        <v>0</v>
      </c>
      <c r="R53" s="143">
        <f>SUMIFS('январь 2026'!$G$2:$G$2684,'январь 2026'!$D$2:$D$2684,$B53,'январь 2026'!$J$2:$J$2684,R$1)</f>
        <v>0</v>
      </c>
      <c r="S53" s="143">
        <f>SUMIFS('январь 2026'!$G$2:$G$2684,'январь 2026'!$D$2:$D$2684,$B53,'январь 2026'!$J$2:$J$2684,S$1)</f>
        <v>0</v>
      </c>
      <c r="T53" s="143">
        <f>SUMIFS('январь 2026'!$G$2:$G$2684,'январь 2026'!$D$2:$D$2684,$B53,'январь 2026'!$J$2:$J$2684,T$1)</f>
        <v>0</v>
      </c>
      <c r="U53" s="143">
        <f>SUMIFS('январь 2026'!$G$2:$G$2684,'январь 2026'!$D$2:$D$2684,$B53,'январь 2026'!$J$2:$J$2684,U$1)</f>
        <v>0</v>
      </c>
      <c r="V53" s="143">
        <f>SUMIFS('январь 2026'!$G$2:$G$2684,'январь 2026'!$D$2:$D$2684,$B53,'январь 2026'!$J$2:$J$2684,V$1)</f>
        <v>0</v>
      </c>
      <c r="W53" s="143">
        <f>SUMIFS('январь 2026'!$G$2:$G$2684,'январь 2026'!$D$2:$D$2684,$B53,'январь 2026'!$J$2:$J$2684,W$1)</f>
        <v>0</v>
      </c>
      <c r="X53" s="143">
        <f>SUMIFS('январь 2026'!$G$2:$G$2684,'январь 2026'!$D$2:$D$2684,$B53,'январь 2026'!$J$2:$J$2684,X$1)</f>
        <v>0</v>
      </c>
      <c r="Y53" s="143">
        <f>SUMIFS('январь 2026'!$G$2:$G$2684,'январь 2026'!$D$2:$D$2684,$B53,'январь 2026'!$J$2:$J$2684,Y$1)</f>
        <v>0</v>
      </c>
      <c r="Z53" s="143">
        <f>SUMIFS('январь 2026'!$G$2:$G$2684,'январь 2026'!$D$2:$D$2684,$B53,'январь 2026'!$J$2:$J$2684,Z$1)</f>
        <v>0</v>
      </c>
      <c r="AA53" s="143">
        <f>SUMIFS('январь 2026'!$G$2:$G$2684,'январь 2026'!$D$2:$D$2684,$B53,'январь 2026'!$J$2:$J$2684,AA$1)</f>
        <v>0</v>
      </c>
      <c r="AB53" s="143">
        <f>SUMIFS('январь 2026'!$G$2:$G$2684,'январь 2026'!$D$2:$D$2684,$B53,'январь 2026'!$J$2:$J$2684,AB$1)</f>
        <v>0</v>
      </c>
      <c r="AC53" s="143">
        <f>SUMIFS('январь 2026'!$G$2:$G$2684,'январь 2026'!$D$2:$D$2684,$B53,'январь 2026'!$J$2:$J$2684,AC$1)</f>
        <v>0</v>
      </c>
      <c r="AD53" s="143">
        <f>SUMIFS('январь 2026'!$G$2:$G$2684,'январь 2026'!$D$2:$D$2684,$B53,'январь 2026'!$J$2:$J$2684,AD$1)</f>
        <v>0</v>
      </c>
      <c r="AE53" s="143">
        <f>SUMIFS('январь 2026'!$G$2:$G$2684,'январь 2026'!$D$2:$D$2684,$B53,'январь 2026'!$J$2:$J$2684,AE$1)</f>
        <v>0</v>
      </c>
      <c r="AF53" s="143">
        <f>SUMIFS('январь 2026'!$G$2:$G$2684,'январь 2026'!$D$2:$D$2684,$B53,'январь 2026'!$J$2:$J$2684,AF$1)</f>
        <v>0</v>
      </c>
      <c r="AG53" s="143">
        <f>SUMIFS('январь 2026'!$G$2:$G$2684,'январь 2026'!$D$2:$D$2684,$B53,'январь 2026'!$J$2:$J$2684,AG$1)</f>
        <v>0</v>
      </c>
      <c r="AH53" s="143">
        <f>SUMIFS('январь 2026'!$G$2:$G$2684,'январь 2026'!$D$2:$D$2684,$B53,'январь 2026'!$J$2:$J$2684,AH$1)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SUMIFS('январь 2026'!$G$2:$G$2684,'январь 2026'!$D$2:$D$2684,$B54,'январь 2026'!$J$2:$J$2684,D$1)</f>
        <v>0</v>
      </c>
      <c r="E54" s="143">
        <f>SUMIFS('январь 2026'!$G$2:$G$2684,'январь 2026'!$D$2:$D$2684,$B54,'январь 2026'!$J$2:$J$2684,E$1)</f>
        <v>0</v>
      </c>
      <c r="F54" s="143">
        <f>SUMIFS('январь 2026'!$G$2:$G$2684,'январь 2026'!$D$2:$D$2684,$B54,'январь 2026'!$J$2:$J$2684,F$1)</f>
        <v>0</v>
      </c>
      <c r="G54" s="143">
        <f>SUMIFS('январь 2026'!$G$2:$G$2684,'январь 2026'!$D$2:$D$2684,$B54,'январь 2026'!$J$2:$J$2684,G$1)</f>
        <v>0</v>
      </c>
      <c r="H54" s="143">
        <f>SUMIFS('январь 2026'!$G$2:$G$2684,'январь 2026'!$D$2:$D$2684,$B54,'январь 2026'!$J$2:$J$2684,H$1)</f>
        <v>0</v>
      </c>
      <c r="I54" s="143">
        <f>SUMIFS('январь 2026'!$G$2:$G$2684,'январь 2026'!$D$2:$D$2684,$B54,'январь 2026'!$J$2:$J$2684,I$1)</f>
        <v>0</v>
      </c>
      <c r="J54" s="143">
        <f>SUMIFS('январь 2026'!$G$2:$G$2684,'январь 2026'!$D$2:$D$2684,$B54,'январь 2026'!$J$2:$J$2684,J$1)</f>
        <v>0</v>
      </c>
      <c r="K54" s="143">
        <f>SUMIFS('январь 2026'!$G$2:$G$2684,'январь 2026'!$D$2:$D$2684,$B54,'январь 2026'!$J$2:$J$2684,K$1)</f>
        <v>0</v>
      </c>
      <c r="L54" s="143">
        <f>SUMIFS('январь 2026'!$G$2:$G$2684,'январь 2026'!$D$2:$D$2684,$B54,'январь 2026'!$J$2:$J$2684,L$1)</f>
        <v>0</v>
      </c>
      <c r="M54" s="143">
        <f>SUMIFS('январь 2026'!$G$2:$G$2684,'январь 2026'!$D$2:$D$2684,$B54,'январь 2026'!$J$2:$J$2684,M$1)</f>
        <v>0</v>
      </c>
      <c r="N54" s="143">
        <f>SUMIFS('январь 2026'!$G$2:$G$2684,'январь 2026'!$D$2:$D$2684,$B54,'январь 2026'!$J$2:$J$2684,N$1)</f>
        <v>0</v>
      </c>
      <c r="O54" s="143">
        <f>SUMIFS('январь 2026'!$G$2:$G$2684,'январь 2026'!$D$2:$D$2684,$B54,'январь 2026'!$J$2:$J$2684,O$1)</f>
        <v>0</v>
      </c>
      <c r="P54" s="143">
        <f>SUMIFS('январь 2026'!$G$2:$G$2684,'январь 2026'!$D$2:$D$2684,$B54,'январь 2026'!$J$2:$J$2684,P$1)</f>
        <v>0</v>
      </c>
      <c r="Q54" s="143">
        <f>SUMIFS('январь 2026'!$G$2:$G$2684,'январь 2026'!$D$2:$D$2684,$B54,'январь 2026'!$J$2:$J$2684,Q$1)</f>
        <v>0</v>
      </c>
      <c r="R54" s="143">
        <f>SUMIFS('январь 2026'!$G$2:$G$2684,'январь 2026'!$D$2:$D$2684,$B54,'январь 2026'!$J$2:$J$2684,R$1)</f>
        <v>0</v>
      </c>
      <c r="S54" s="143">
        <f>SUMIFS('январь 2026'!$G$2:$G$2684,'январь 2026'!$D$2:$D$2684,$B54,'январь 2026'!$J$2:$J$2684,S$1)</f>
        <v>0</v>
      </c>
      <c r="T54" s="143">
        <f>SUMIFS('январь 2026'!$G$2:$G$2684,'январь 2026'!$D$2:$D$2684,$B54,'январь 2026'!$J$2:$J$2684,T$1)</f>
        <v>0</v>
      </c>
      <c r="U54" s="143">
        <f>SUMIFS('январь 2026'!$G$2:$G$2684,'январь 2026'!$D$2:$D$2684,$B54,'январь 2026'!$J$2:$J$2684,U$1)</f>
        <v>0</v>
      </c>
      <c r="V54" s="143">
        <f>SUMIFS('январь 2026'!$G$2:$G$2684,'январь 2026'!$D$2:$D$2684,$B54,'январь 2026'!$J$2:$J$2684,V$1)</f>
        <v>0</v>
      </c>
      <c r="W54" s="143">
        <f>SUMIFS('январь 2026'!$G$2:$G$2684,'январь 2026'!$D$2:$D$2684,$B54,'январь 2026'!$J$2:$J$2684,W$1)</f>
        <v>0</v>
      </c>
      <c r="X54" s="143">
        <f>SUMIFS('январь 2026'!$G$2:$G$2684,'январь 2026'!$D$2:$D$2684,$B54,'январь 2026'!$J$2:$J$2684,X$1)</f>
        <v>0</v>
      </c>
      <c r="Y54" s="143">
        <f>SUMIFS('январь 2026'!$G$2:$G$2684,'январь 2026'!$D$2:$D$2684,$B54,'январь 2026'!$J$2:$J$2684,Y$1)</f>
        <v>0</v>
      </c>
      <c r="Z54" s="143">
        <f>SUMIFS('январь 2026'!$G$2:$G$2684,'январь 2026'!$D$2:$D$2684,$B54,'январь 2026'!$J$2:$J$2684,Z$1)</f>
        <v>0</v>
      </c>
      <c r="AA54" s="143">
        <f>SUMIFS('январь 2026'!$G$2:$G$2684,'январь 2026'!$D$2:$D$2684,$B54,'январь 2026'!$J$2:$J$2684,AA$1)</f>
        <v>0</v>
      </c>
      <c r="AB54" s="143">
        <f>SUMIFS('январь 2026'!$G$2:$G$2684,'январь 2026'!$D$2:$D$2684,$B54,'январь 2026'!$J$2:$J$2684,AB$1)</f>
        <v>0</v>
      </c>
      <c r="AC54" s="143">
        <f>SUMIFS('январь 2026'!$G$2:$G$2684,'январь 2026'!$D$2:$D$2684,$B54,'январь 2026'!$J$2:$J$2684,AC$1)</f>
        <v>0</v>
      </c>
      <c r="AD54" s="143">
        <f>SUMIFS('январь 2026'!$G$2:$G$2684,'январь 2026'!$D$2:$D$2684,$B54,'январь 2026'!$J$2:$J$2684,AD$1)</f>
        <v>0</v>
      </c>
      <c r="AE54" s="143">
        <f>SUMIFS('январь 2026'!$G$2:$G$2684,'январь 2026'!$D$2:$D$2684,$B54,'январь 2026'!$J$2:$J$2684,AE$1)</f>
        <v>0</v>
      </c>
      <c r="AF54" s="143">
        <f>SUMIFS('январь 2026'!$G$2:$G$2684,'январь 2026'!$D$2:$D$2684,$B54,'январь 2026'!$J$2:$J$2684,AF$1)</f>
        <v>0</v>
      </c>
      <c r="AG54" s="143">
        <f>SUMIFS('январь 2026'!$G$2:$G$2684,'январь 2026'!$D$2:$D$2684,$B54,'январь 2026'!$J$2:$J$2684,AG$1)</f>
        <v>0</v>
      </c>
      <c r="AH54" s="143">
        <f>SUMIFS('январь 2026'!$G$2:$G$2684,'январь 2026'!$D$2:$D$2684,$B54,'январь 2026'!$J$2:$J$2684,AH$1)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SUMIFS('январь 2026'!$G$2:$G$2684,'январь 2026'!$D$2:$D$2684,$B55,'январь 2026'!$J$2:$J$2684,D$1)</f>
        <v>0</v>
      </c>
      <c r="E55" s="143">
        <f>SUMIFS('январь 2026'!$G$2:$G$2684,'январь 2026'!$D$2:$D$2684,$B55,'январь 2026'!$J$2:$J$2684,E$1)</f>
        <v>0</v>
      </c>
      <c r="F55" s="143">
        <f>SUMIFS('январь 2026'!$G$2:$G$2684,'январь 2026'!$D$2:$D$2684,$B55,'январь 2026'!$J$2:$J$2684,F$1)</f>
        <v>0</v>
      </c>
      <c r="G55" s="143">
        <f>SUMIFS('январь 2026'!$G$2:$G$2684,'январь 2026'!$D$2:$D$2684,$B55,'январь 2026'!$J$2:$J$2684,G$1)</f>
        <v>0</v>
      </c>
      <c r="H55" s="143">
        <f>SUMIFS('январь 2026'!$G$2:$G$2684,'январь 2026'!$D$2:$D$2684,$B55,'январь 2026'!$J$2:$J$2684,H$1)</f>
        <v>0</v>
      </c>
      <c r="I55" s="143">
        <f>SUMIFS('январь 2026'!$G$2:$G$2684,'январь 2026'!$D$2:$D$2684,$B55,'январь 2026'!$J$2:$J$2684,I$1)</f>
        <v>0</v>
      </c>
      <c r="J55" s="143">
        <f>SUMIFS('январь 2026'!$G$2:$G$2684,'январь 2026'!$D$2:$D$2684,$B55,'январь 2026'!$J$2:$J$2684,J$1)</f>
        <v>0</v>
      </c>
      <c r="K55" s="143">
        <f>SUMIFS('январь 2026'!$G$2:$G$2684,'январь 2026'!$D$2:$D$2684,$B55,'январь 2026'!$J$2:$J$2684,K$1)</f>
        <v>0</v>
      </c>
      <c r="L55" s="143">
        <f>SUMIFS('январь 2026'!$G$2:$G$2684,'январь 2026'!$D$2:$D$2684,$B55,'январь 2026'!$J$2:$J$2684,L$1)</f>
        <v>0</v>
      </c>
      <c r="M55" s="143">
        <f>SUMIFS('январь 2026'!$G$2:$G$2684,'январь 2026'!$D$2:$D$2684,$B55,'январь 2026'!$J$2:$J$2684,M$1)</f>
        <v>0</v>
      </c>
      <c r="N55" s="143">
        <f>SUMIFS('январь 2026'!$G$2:$G$2684,'январь 2026'!$D$2:$D$2684,$B55,'январь 2026'!$J$2:$J$2684,N$1)</f>
        <v>0</v>
      </c>
      <c r="O55" s="143">
        <f>SUMIFS('январь 2026'!$G$2:$G$2684,'январь 2026'!$D$2:$D$2684,$B55,'январь 2026'!$J$2:$J$2684,O$1)</f>
        <v>0</v>
      </c>
      <c r="P55" s="143">
        <f>SUMIFS('январь 2026'!$G$2:$G$2684,'январь 2026'!$D$2:$D$2684,$B55,'январь 2026'!$J$2:$J$2684,P$1)</f>
        <v>0</v>
      </c>
      <c r="Q55" s="143">
        <f>SUMIFS('январь 2026'!$G$2:$G$2684,'январь 2026'!$D$2:$D$2684,$B55,'январь 2026'!$J$2:$J$2684,Q$1)</f>
        <v>0</v>
      </c>
      <c r="R55" s="143">
        <f>SUMIFS('январь 2026'!$G$2:$G$2684,'январь 2026'!$D$2:$D$2684,$B55,'январь 2026'!$J$2:$J$2684,R$1)</f>
        <v>0</v>
      </c>
      <c r="S55" s="143">
        <f>SUMIFS('январь 2026'!$G$2:$G$2684,'январь 2026'!$D$2:$D$2684,$B55,'январь 2026'!$J$2:$J$2684,S$1)</f>
        <v>0</v>
      </c>
      <c r="T55" s="143">
        <f>SUMIFS('январь 2026'!$G$2:$G$2684,'январь 2026'!$D$2:$D$2684,$B55,'январь 2026'!$J$2:$J$2684,T$1)</f>
        <v>0</v>
      </c>
      <c r="U55" s="143">
        <f>SUMIFS('январь 2026'!$G$2:$G$2684,'январь 2026'!$D$2:$D$2684,$B55,'январь 2026'!$J$2:$J$2684,U$1)</f>
        <v>0</v>
      </c>
      <c r="V55" s="143">
        <f>SUMIFS('январь 2026'!$G$2:$G$2684,'январь 2026'!$D$2:$D$2684,$B55,'январь 2026'!$J$2:$J$2684,V$1)</f>
        <v>0</v>
      </c>
      <c r="W55" s="143">
        <f>SUMIFS('январь 2026'!$G$2:$G$2684,'январь 2026'!$D$2:$D$2684,$B55,'январь 2026'!$J$2:$J$2684,W$1)</f>
        <v>0</v>
      </c>
      <c r="X55" s="143">
        <f>SUMIFS('январь 2026'!$G$2:$G$2684,'январь 2026'!$D$2:$D$2684,$B55,'январь 2026'!$J$2:$J$2684,X$1)</f>
        <v>0</v>
      </c>
      <c r="Y55" s="143">
        <f>SUMIFS('январь 2026'!$G$2:$G$2684,'январь 2026'!$D$2:$D$2684,$B55,'январь 2026'!$J$2:$J$2684,Y$1)</f>
        <v>0</v>
      </c>
      <c r="Z55" s="143">
        <f>SUMIFS('январь 2026'!$G$2:$G$2684,'январь 2026'!$D$2:$D$2684,$B55,'январь 2026'!$J$2:$J$2684,Z$1)</f>
        <v>0</v>
      </c>
      <c r="AA55" s="143">
        <f>SUMIFS('январь 2026'!$G$2:$G$2684,'январь 2026'!$D$2:$D$2684,$B55,'январь 2026'!$J$2:$J$2684,AA$1)</f>
        <v>0</v>
      </c>
      <c r="AB55" s="143">
        <f>SUMIFS('январь 2026'!$G$2:$G$2684,'январь 2026'!$D$2:$D$2684,$B55,'январь 2026'!$J$2:$J$2684,AB$1)</f>
        <v>0</v>
      </c>
      <c r="AC55" s="143">
        <f>SUMIFS('январь 2026'!$G$2:$G$2684,'январь 2026'!$D$2:$D$2684,$B55,'январь 2026'!$J$2:$J$2684,AC$1)</f>
        <v>0</v>
      </c>
      <c r="AD55" s="143">
        <f>SUMIFS('январь 2026'!$G$2:$G$2684,'январь 2026'!$D$2:$D$2684,$B55,'январь 2026'!$J$2:$J$2684,AD$1)</f>
        <v>0</v>
      </c>
      <c r="AE55" s="143">
        <f>SUMIFS('январь 2026'!$G$2:$G$2684,'январь 2026'!$D$2:$D$2684,$B55,'январь 2026'!$J$2:$J$2684,AE$1)</f>
        <v>0</v>
      </c>
      <c r="AF55" s="143">
        <f>SUMIFS('январь 2026'!$G$2:$G$2684,'январь 2026'!$D$2:$D$2684,$B55,'январь 2026'!$J$2:$J$2684,AF$1)</f>
        <v>0</v>
      </c>
      <c r="AG55" s="143">
        <f>SUMIFS('январь 2026'!$G$2:$G$2684,'январь 2026'!$D$2:$D$2684,$B55,'январь 2026'!$J$2:$J$2684,AG$1)</f>
        <v>0</v>
      </c>
      <c r="AH55" s="143">
        <f>SUMIFS('январь 2026'!$G$2:$G$2684,'январь 2026'!$D$2:$D$2684,$B55,'январь 2026'!$J$2:$J$2684,AH$1)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SUMIFS('январь 2026'!$G$2:$G$2684,'январь 2026'!$D$2:$D$2684,$B56,'январь 2026'!$J$2:$J$2684,D$1)</f>
        <v>0</v>
      </c>
      <c r="E56" s="143">
        <f>SUMIFS('январь 2026'!$G$2:$G$2684,'январь 2026'!$D$2:$D$2684,$B56,'январь 2026'!$J$2:$J$2684,E$1)</f>
        <v>0</v>
      </c>
      <c r="F56" s="143">
        <f>SUMIFS('январь 2026'!$G$2:$G$2684,'январь 2026'!$D$2:$D$2684,$B56,'январь 2026'!$J$2:$J$2684,F$1)</f>
        <v>0</v>
      </c>
      <c r="G56" s="143">
        <f>SUMIFS('январь 2026'!$G$2:$G$2684,'январь 2026'!$D$2:$D$2684,$B56,'январь 2026'!$J$2:$J$2684,G$1)</f>
        <v>0</v>
      </c>
      <c r="H56" s="143">
        <f>SUMIFS('январь 2026'!$G$2:$G$2684,'январь 2026'!$D$2:$D$2684,$B56,'январь 2026'!$J$2:$J$2684,H$1)</f>
        <v>0</v>
      </c>
      <c r="I56" s="143">
        <f>SUMIFS('январь 2026'!$G$2:$G$2684,'январь 2026'!$D$2:$D$2684,$B56,'январь 2026'!$J$2:$J$2684,I$1)</f>
        <v>0</v>
      </c>
      <c r="J56" s="143">
        <f>SUMIFS('январь 2026'!$G$2:$G$2684,'январь 2026'!$D$2:$D$2684,$B56,'январь 2026'!$J$2:$J$2684,J$1)</f>
        <v>0</v>
      </c>
      <c r="K56" s="143">
        <f>SUMIFS('январь 2026'!$G$2:$G$2684,'январь 2026'!$D$2:$D$2684,$B56,'январь 2026'!$J$2:$J$2684,K$1)</f>
        <v>0</v>
      </c>
      <c r="L56" s="143">
        <f>SUMIFS('январь 2026'!$G$2:$G$2684,'январь 2026'!$D$2:$D$2684,$B56,'январь 2026'!$J$2:$J$2684,L$1)</f>
        <v>0</v>
      </c>
      <c r="M56" s="143">
        <f>SUMIFS('январь 2026'!$G$2:$G$2684,'январь 2026'!$D$2:$D$2684,$B56,'январь 2026'!$J$2:$J$2684,M$1)</f>
        <v>0</v>
      </c>
      <c r="N56" s="143">
        <f>SUMIFS('январь 2026'!$G$2:$G$2684,'январь 2026'!$D$2:$D$2684,$B56,'январь 2026'!$J$2:$J$2684,N$1)</f>
        <v>0</v>
      </c>
      <c r="O56" s="143">
        <f>SUMIFS('январь 2026'!$G$2:$G$2684,'январь 2026'!$D$2:$D$2684,$B56,'январь 2026'!$J$2:$J$2684,O$1)</f>
        <v>0</v>
      </c>
      <c r="P56" s="143">
        <f>SUMIFS('январь 2026'!$G$2:$G$2684,'январь 2026'!$D$2:$D$2684,$B56,'январь 2026'!$J$2:$J$2684,P$1)</f>
        <v>0</v>
      </c>
      <c r="Q56" s="143">
        <f>SUMIFS('январь 2026'!$G$2:$G$2684,'январь 2026'!$D$2:$D$2684,$B56,'январь 2026'!$J$2:$J$2684,Q$1)</f>
        <v>0</v>
      </c>
      <c r="R56" s="143">
        <f>SUMIFS('январь 2026'!$G$2:$G$2684,'январь 2026'!$D$2:$D$2684,$B56,'январь 2026'!$J$2:$J$2684,R$1)</f>
        <v>0</v>
      </c>
      <c r="S56" s="143">
        <f>SUMIFS('январь 2026'!$G$2:$G$2684,'январь 2026'!$D$2:$D$2684,$B56,'январь 2026'!$J$2:$J$2684,S$1)</f>
        <v>0</v>
      </c>
      <c r="T56" s="143">
        <f>SUMIFS('январь 2026'!$G$2:$G$2684,'январь 2026'!$D$2:$D$2684,$B56,'январь 2026'!$J$2:$J$2684,T$1)</f>
        <v>0</v>
      </c>
      <c r="U56" s="143">
        <f>SUMIFS('январь 2026'!$G$2:$G$2684,'январь 2026'!$D$2:$D$2684,$B56,'январь 2026'!$J$2:$J$2684,U$1)</f>
        <v>0</v>
      </c>
      <c r="V56" s="143">
        <f>SUMIFS('январь 2026'!$G$2:$G$2684,'январь 2026'!$D$2:$D$2684,$B56,'январь 2026'!$J$2:$J$2684,V$1)</f>
        <v>0</v>
      </c>
      <c r="W56" s="143">
        <f>SUMIFS('январь 2026'!$G$2:$G$2684,'январь 2026'!$D$2:$D$2684,$B56,'январь 2026'!$J$2:$J$2684,W$1)</f>
        <v>0</v>
      </c>
      <c r="X56" s="143">
        <f>SUMIFS('январь 2026'!$G$2:$G$2684,'январь 2026'!$D$2:$D$2684,$B56,'январь 2026'!$J$2:$J$2684,X$1)</f>
        <v>0</v>
      </c>
      <c r="Y56" s="143">
        <f>SUMIFS('январь 2026'!$G$2:$G$2684,'январь 2026'!$D$2:$D$2684,$B56,'январь 2026'!$J$2:$J$2684,Y$1)</f>
        <v>0</v>
      </c>
      <c r="Z56" s="143">
        <f>SUMIFS('январь 2026'!$G$2:$G$2684,'январь 2026'!$D$2:$D$2684,$B56,'январь 2026'!$J$2:$J$2684,Z$1)</f>
        <v>0</v>
      </c>
      <c r="AA56" s="143">
        <f>SUMIFS('январь 2026'!$G$2:$G$2684,'январь 2026'!$D$2:$D$2684,$B56,'январь 2026'!$J$2:$J$2684,AA$1)</f>
        <v>0</v>
      </c>
      <c r="AB56" s="143">
        <f>SUMIFS('январь 2026'!$G$2:$G$2684,'январь 2026'!$D$2:$D$2684,$B56,'январь 2026'!$J$2:$J$2684,AB$1)</f>
        <v>0</v>
      </c>
      <c r="AC56" s="143">
        <f>SUMIFS('январь 2026'!$G$2:$G$2684,'январь 2026'!$D$2:$D$2684,$B56,'январь 2026'!$J$2:$J$2684,AC$1)</f>
        <v>0</v>
      </c>
      <c r="AD56" s="143">
        <f>SUMIFS('январь 2026'!$G$2:$G$2684,'январь 2026'!$D$2:$D$2684,$B56,'январь 2026'!$J$2:$J$2684,AD$1)</f>
        <v>0</v>
      </c>
      <c r="AE56" s="143">
        <f>SUMIFS('январь 2026'!$G$2:$G$2684,'январь 2026'!$D$2:$D$2684,$B56,'январь 2026'!$J$2:$J$2684,AE$1)</f>
        <v>0</v>
      </c>
      <c r="AF56" s="143">
        <f>SUMIFS('январь 2026'!$G$2:$G$2684,'январь 2026'!$D$2:$D$2684,$B56,'январь 2026'!$J$2:$J$2684,AF$1)</f>
        <v>0</v>
      </c>
      <c r="AG56" s="143">
        <f>SUMIFS('январь 2026'!$G$2:$G$2684,'январь 2026'!$D$2:$D$2684,$B56,'январь 2026'!$J$2:$J$2684,AG$1)</f>
        <v>0</v>
      </c>
      <c r="AH56" s="143">
        <f>SUMIFS('январь 2026'!$G$2:$G$2684,'январь 2026'!$D$2:$D$2684,$B56,'январь 2026'!$J$2:$J$2684,AH$1)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SUMIFS('январь 2026'!$G$2:$G$2684,'январь 2026'!$D$2:$D$2684,$B57,'январь 2026'!$J$2:$J$2684,D$1)</f>
        <v>0</v>
      </c>
      <c r="E57" s="143">
        <f>SUMIFS('январь 2026'!$G$2:$G$2684,'январь 2026'!$D$2:$D$2684,$B57,'январь 2026'!$J$2:$J$2684,E$1)</f>
        <v>0</v>
      </c>
      <c r="F57" s="143">
        <f>SUMIFS('январь 2026'!$G$2:$G$2684,'январь 2026'!$D$2:$D$2684,$B57,'январь 2026'!$J$2:$J$2684,F$1)</f>
        <v>0</v>
      </c>
      <c r="G57" s="143">
        <f>SUMIFS('январь 2026'!$G$2:$G$2684,'январь 2026'!$D$2:$D$2684,$B57,'январь 2026'!$J$2:$J$2684,G$1)</f>
        <v>0</v>
      </c>
      <c r="H57" s="143">
        <f>SUMIFS('январь 2026'!$G$2:$G$2684,'январь 2026'!$D$2:$D$2684,$B57,'январь 2026'!$J$2:$J$2684,H$1)</f>
        <v>0</v>
      </c>
      <c r="I57" s="143">
        <f>SUMIFS('январь 2026'!$G$2:$G$2684,'январь 2026'!$D$2:$D$2684,$B57,'январь 2026'!$J$2:$J$2684,I$1)</f>
        <v>0</v>
      </c>
      <c r="J57" s="143">
        <f>SUMIFS('январь 2026'!$G$2:$G$2684,'январь 2026'!$D$2:$D$2684,$B57,'январь 2026'!$J$2:$J$2684,J$1)</f>
        <v>0</v>
      </c>
      <c r="K57" s="143">
        <f>SUMIFS('январь 2026'!$G$2:$G$2684,'январь 2026'!$D$2:$D$2684,$B57,'январь 2026'!$J$2:$J$2684,K$1)</f>
        <v>0</v>
      </c>
      <c r="L57" s="143">
        <f>SUMIFS('январь 2026'!$G$2:$G$2684,'январь 2026'!$D$2:$D$2684,$B57,'январь 2026'!$J$2:$J$2684,L$1)</f>
        <v>0</v>
      </c>
      <c r="M57" s="143">
        <f>SUMIFS('январь 2026'!$G$2:$G$2684,'январь 2026'!$D$2:$D$2684,$B57,'январь 2026'!$J$2:$J$2684,M$1)</f>
        <v>0</v>
      </c>
      <c r="N57" s="143">
        <f>SUMIFS('январь 2026'!$G$2:$G$2684,'январь 2026'!$D$2:$D$2684,$B57,'январь 2026'!$J$2:$J$2684,N$1)</f>
        <v>0</v>
      </c>
      <c r="O57" s="143">
        <f>SUMIFS('январь 2026'!$G$2:$G$2684,'январь 2026'!$D$2:$D$2684,$B57,'январь 2026'!$J$2:$J$2684,O$1)</f>
        <v>0</v>
      </c>
      <c r="P57" s="143">
        <f>SUMIFS('январь 2026'!$G$2:$G$2684,'январь 2026'!$D$2:$D$2684,$B57,'январь 2026'!$J$2:$J$2684,P$1)</f>
        <v>0</v>
      </c>
      <c r="Q57" s="143">
        <f>SUMIFS('январь 2026'!$G$2:$G$2684,'январь 2026'!$D$2:$D$2684,$B57,'январь 2026'!$J$2:$J$2684,Q$1)</f>
        <v>0</v>
      </c>
      <c r="R57" s="143">
        <f>SUMIFS('январь 2026'!$G$2:$G$2684,'январь 2026'!$D$2:$D$2684,$B57,'январь 2026'!$J$2:$J$2684,R$1)</f>
        <v>0</v>
      </c>
      <c r="S57" s="143">
        <f>SUMIFS('январь 2026'!$G$2:$G$2684,'январь 2026'!$D$2:$D$2684,$B57,'январь 2026'!$J$2:$J$2684,S$1)</f>
        <v>0</v>
      </c>
      <c r="T57" s="143">
        <f>SUMIFS('январь 2026'!$G$2:$G$2684,'январь 2026'!$D$2:$D$2684,$B57,'январь 2026'!$J$2:$J$2684,T$1)</f>
        <v>0</v>
      </c>
      <c r="U57" s="143">
        <f>SUMIFS('январь 2026'!$G$2:$G$2684,'январь 2026'!$D$2:$D$2684,$B57,'январь 2026'!$J$2:$J$2684,U$1)</f>
        <v>0</v>
      </c>
      <c r="V57" s="143">
        <f>SUMIFS('январь 2026'!$G$2:$G$2684,'январь 2026'!$D$2:$D$2684,$B57,'январь 2026'!$J$2:$J$2684,V$1)</f>
        <v>0</v>
      </c>
      <c r="W57" s="143">
        <f>SUMIFS('январь 2026'!$G$2:$G$2684,'январь 2026'!$D$2:$D$2684,$B57,'январь 2026'!$J$2:$J$2684,W$1)</f>
        <v>0</v>
      </c>
      <c r="X57" s="143">
        <f>SUMIFS('январь 2026'!$G$2:$G$2684,'январь 2026'!$D$2:$D$2684,$B57,'январь 2026'!$J$2:$J$2684,X$1)</f>
        <v>0</v>
      </c>
      <c r="Y57" s="143">
        <f>SUMIFS('январь 2026'!$G$2:$G$2684,'январь 2026'!$D$2:$D$2684,$B57,'январь 2026'!$J$2:$J$2684,Y$1)</f>
        <v>0</v>
      </c>
      <c r="Z57" s="143">
        <f>SUMIFS('январь 2026'!$G$2:$G$2684,'январь 2026'!$D$2:$D$2684,$B57,'январь 2026'!$J$2:$J$2684,Z$1)</f>
        <v>0</v>
      </c>
      <c r="AA57" s="143">
        <f>SUMIFS('январь 2026'!$G$2:$G$2684,'январь 2026'!$D$2:$D$2684,$B57,'январь 2026'!$J$2:$J$2684,AA$1)</f>
        <v>0</v>
      </c>
      <c r="AB57" s="143">
        <f>SUMIFS('январь 2026'!$G$2:$G$2684,'январь 2026'!$D$2:$D$2684,$B57,'январь 2026'!$J$2:$J$2684,AB$1)</f>
        <v>0</v>
      </c>
      <c r="AC57" s="143">
        <f>SUMIFS('январь 2026'!$G$2:$G$2684,'январь 2026'!$D$2:$D$2684,$B57,'январь 2026'!$J$2:$J$2684,AC$1)</f>
        <v>0</v>
      </c>
      <c r="AD57" s="143">
        <f>SUMIFS('январь 2026'!$G$2:$G$2684,'январь 2026'!$D$2:$D$2684,$B57,'январь 2026'!$J$2:$J$2684,AD$1)</f>
        <v>0</v>
      </c>
      <c r="AE57" s="143">
        <f>SUMIFS('январь 2026'!$G$2:$G$2684,'январь 2026'!$D$2:$D$2684,$B57,'январь 2026'!$J$2:$J$2684,AE$1)</f>
        <v>0</v>
      </c>
      <c r="AF57" s="143">
        <f>SUMIFS('январь 2026'!$G$2:$G$2684,'январь 2026'!$D$2:$D$2684,$B57,'январь 2026'!$J$2:$J$2684,AF$1)</f>
        <v>0</v>
      </c>
      <c r="AG57" s="143">
        <f>SUMIFS('январь 2026'!$G$2:$G$2684,'январь 2026'!$D$2:$D$2684,$B57,'январь 2026'!$J$2:$J$2684,AG$1)</f>
        <v>0</v>
      </c>
      <c r="AH57" s="143">
        <f>SUMIFS('январь 2026'!$G$2:$G$2684,'январь 2026'!$D$2:$D$2684,$B57,'январь 2026'!$J$2:$J$2684,AH$1)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SUMIFS('январь 2026'!$G$2:$G$2684,'январь 2026'!$D$2:$D$2684,$B58,'январь 2026'!$J$2:$J$2684,D$1)</f>
        <v>0</v>
      </c>
      <c r="E58" s="143">
        <f>SUMIFS('январь 2026'!$G$2:$G$2684,'январь 2026'!$D$2:$D$2684,$B58,'январь 2026'!$J$2:$J$2684,E$1)</f>
        <v>0</v>
      </c>
      <c r="F58" s="143">
        <f>SUMIFS('январь 2026'!$G$2:$G$2684,'январь 2026'!$D$2:$D$2684,$B58,'январь 2026'!$J$2:$J$2684,F$1)</f>
        <v>0</v>
      </c>
      <c r="G58" s="143">
        <f>SUMIFS('январь 2026'!$G$2:$G$2684,'январь 2026'!$D$2:$D$2684,$B58,'январь 2026'!$J$2:$J$2684,G$1)</f>
        <v>0</v>
      </c>
      <c r="H58" s="143">
        <f>SUMIFS('январь 2026'!$G$2:$G$2684,'январь 2026'!$D$2:$D$2684,$B58,'январь 2026'!$J$2:$J$2684,H$1)</f>
        <v>0</v>
      </c>
      <c r="I58" s="143">
        <f>SUMIFS('январь 2026'!$G$2:$G$2684,'январь 2026'!$D$2:$D$2684,$B58,'январь 2026'!$J$2:$J$2684,I$1)</f>
        <v>0</v>
      </c>
      <c r="J58" s="143">
        <f>SUMIFS('январь 2026'!$G$2:$G$2684,'январь 2026'!$D$2:$D$2684,$B58,'январь 2026'!$J$2:$J$2684,J$1)</f>
        <v>0</v>
      </c>
      <c r="K58" s="143">
        <f>SUMIFS('январь 2026'!$G$2:$G$2684,'январь 2026'!$D$2:$D$2684,$B58,'январь 2026'!$J$2:$J$2684,K$1)</f>
        <v>0</v>
      </c>
      <c r="L58" s="143">
        <f>SUMIFS('январь 2026'!$G$2:$G$2684,'январь 2026'!$D$2:$D$2684,$B58,'январь 2026'!$J$2:$J$2684,L$1)</f>
        <v>0</v>
      </c>
      <c r="M58" s="143">
        <f>SUMIFS('январь 2026'!$G$2:$G$2684,'январь 2026'!$D$2:$D$2684,$B58,'январь 2026'!$J$2:$J$2684,M$1)</f>
        <v>0</v>
      </c>
      <c r="N58" s="143">
        <f>SUMIFS('январь 2026'!$G$2:$G$2684,'январь 2026'!$D$2:$D$2684,$B58,'январь 2026'!$J$2:$J$2684,N$1)</f>
        <v>0</v>
      </c>
      <c r="O58" s="143">
        <f>SUMIFS('январь 2026'!$G$2:$G$2684,'январь 2026'!$D$2:$D$2684,$B58,'январь 2026'!$J$2:$J$2684,O$1)</f>
        <v>0</v>
      </c>
      <c r="P58" s="143">
        <f>SUMIFS('январь 2026'!$G$2:$G$2684,'январь 2026'!$D$2:$D$2684,$B58,'январь 2026'!$J$2:$J$2684,P$1)</f>
        <v>0</v>
      </c>
      <c r="Q58" s="143">
        <f>SUMIFS('январь 2026'!$G$2:$G$2684,'январь 2026'!$D$2:$D$2684,$B58,'январь 2026'!$J$2:$J$2684,Q$1)</f>
        <v>0</v>
      </c>
      <c r="R58" s="143">
        <f>SUMIFS('январь 2026'!$G$2:$G$2684,'январь 2026'!$D$2:$D$2684,$B58,'январь 2026'!$J$2:$J$2684,R$1)</f>
        <v>0</v>
      </c>
      <c r="S58" s="143">
        <f>SUMIFS('январь 2026'!$G$2:$G$2684,'январь 2026'!$D$2:$D$2684,$B58,'январь 2026'!$J$2:$J$2684,S$1)</f>
        <v>0</v>
      </c>
      <c r="T58" s="143">
        <f>SUMIFS('январь 2026'!$G$2:$G$2684,'январь 2026'!$D$2:$D$2684,$B58,'январь 2026'!$J$2:$J$2684,T$1)</f>
        <v>0</v>
      </c>
      <c r="U58" s="143">
        <f>SUMIFS('январь 2026'!$G$2:$G$2684,'январь 2026'!$D$2:$D$2684,$B58,'январь 2026'!$J$2:$J$2684,U$1)</f>
        <v>0</v>
      </c>
      <c r="V58" s="143">
        <f>SUMIFS('январь 2026'!$G$2:$G$2684,'январь 2026'!$D$2:$D$2684,$B58,'январь 2026'!$J$2:$J$2684,V$1)</f>
        <v>0</v>
      </c>
      <c r="W58" s="143">
        <f>SUMIFS('январь 2026'!$G$2:$G$2684,'январь 2026'!$D$2:$D$2684,$B58,'январь 2026'!$J$2:$J$2684,W$1)</f>
        <v>0</v>
      </c>
      <c r="X58" s="143">
        <f>SUMIFS('январь 2026'!$G$2:$G$2684,'январь 2026'!$D$2:$D$2684,$B58,'январь 2026'!$J$2:$J$2684,X$1)</f>
        <v>0</v>
      </c>
      <c r="Y58" s="143">
        <f>SUMIFS('январь 2026'!$G$2:$G$2684,'январь 2026'!$D$2:$D$2684,$B58,'январь 2026'!$J$2:$J$2684,Y$1)</f>
        <v>0</v>
      </c>
      <c r="Z58" s="143">
        <f>SUMIFS('январь 2026'!$G$2:$G$2684,'январь 2026'!$D$2:$D$2684,$B58,'январь 2026'!$J$2:$J$2684,Z$1)</f>
        <v>0</v>
      </c>
      <c r="AA58" s="143">
        <f>SUMIFS('январь 2026'!$G$2:$G$2684,'январь 2026'!$D$2:$D$2684,$B58,'январь 2026'!$J$2:$J$2684,AA$1)</f>
        <v>0</v>
      </c>
      <c r="AB58" s="143">
        <f>SUMIFS('январь 2026'!$G$2:$G$2684,'январь 2026'!$D$2:$D$2684,$B58,'январь 2026'!$J$2:$J$2684,AB$1)</f>
        <v>0</v>
      </c>
      <c r="AC58" s="143">
        <f>SUMIFS('январь 2026'!$G$2:$G$2684,'январь 2026'!$D$2:$D$2684,$B58,'январь 2026'!$J$2:$J$2684,AC$1)</f>
        <v>0</v>
      </c>
      <c r="AD58" s="143">
        <f>SUMIFS('январь 2026'!$G$2:$G$2684,'январь 2026'!$D$2:$D$2684,$B58,'январь 2026'!$J$2:$J$2684,AD$1)</f>
        <v>0</v>
      </c>
      <c r="AE58" s="143">
        <f>SUMIFS('январь 2026'!$G$2:$G$2684,'январь 2026'!$D$2:$D$2684,$B58,'январь 2026'!$J$2:$J$2684,AE$1)</f>
        <v>0</v>
      </c>
      <c r="AF58" s="143">
        <f>SUMIFS('январь 2026'!$G$2:$G$2684,'январь 2026'!$D$2:$D$2684,$B58,'январь 2026'!$J$2:$J$2684,AF$1)</f>
        <v>0</v>
      </c>
      <c r="AG58" s="143">
        <f>SUMIFS('январь 2026'!$G$2:$G$2684,'январь 2026'!$D$2:$D$2684,$B58,'январь 2026'!$J$2:$J$2684,AG$1)</f>
        <v>0</v>
      </c>
      <c r="AH58" s="143">
        <f>SUMIFS('январь 2026'!$G$2:$G$2684,'январь 2026'!$D$2:$D$2684,$B58,'январь 2026'!$J$2:$J$2684,AH$1)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SUMIFS('январь 2026'!$G$2:$G$2684,'январь 2026'!$D$2:$D$2684,$B59,'январь 2026'!$J$2:$J$2684,D$1)</f>
        <v>0</v>
      </c>
      <c r="E59" s="143">
        <f>SUMIFS('январь 2026'!$G$2:$G$2684,'январь 2026'!$D$2:$D$2684,$B59,'январь 2026'!$J$2:$J$2684,E$1)</f>
        <v>0</v>
      </c>
      <c r="F59" s="143">
        <f>SUMIFS('январь 2026'!$G$2:$G$2684,'январь 2026'!$D$2:$D$2684,$B59,'январь 2026'!$J$2:$J$2684,F$1)</f>
        <v>0</v>
      </c>
      <c r="G59" s="143">
        <f>SUMIFS('январь 2026'!$G$2:$G$2684,'январь 2026'!$D$2:$D$2684,$B59,'январь 2026'!$J$2:$J$2684,G$1)</f>
        <v>0</v>
      </c>
      <c r="H59" s="143">
        <f>SUMIFS('январь 2026'!$G$2:$G$2684,'январь 2026'!$D$2:$D$2684,$B59,'январь 2026'!$J$2:$J$2684,H$1)</f>
        <v>0</v>
      </c>
      <c r="I59" s="143">
        <f>SUMIFS('январь 2026'!$G$2:$G$2684,'январь 2026'!$D$2:$D$2684,$B59,'январь 2026'!$J$2:$J$2684,I$1)</f>
        <v>0</v>
      </c>
      <c r="J59" s="143">
        <f>SUMIFS('январь 2026'!$G$2:$G$2684,'январь 2026'!$D$2:$D$2684,$B59,'январь 2026'!$J$2:$J$2684,J$1)</f>
        <v>0</v>
      </c>
      <c r="K59" s="143">
        <f>SUMIFS('январь 2026'!$G$2:$G$2684,'январь 2026'!$D$2:$D$2684,$B59,'январь 2026'!$J$2:$J$2684,K$1)</f>
        <v>0</v>
      </c>
      <c r="L59" s="143">
        <f>SUMIFS('январь 2026'!$G$2:$G$2684,'январь 2026'!$D$2:$D$2684,$B59,'январь 2026'!$J$2:$J$2684,L$1)</f>
        <v>0</v>
      </c>
      <c r="M59" s="143">
        <f>SUMIFS('январь 2026'!$G$2:$G$2684,'январь 2026'!$D$2:$D$2684,$B59,'январь 2026'!$J$2:$J$2684,M$1)</f>
        <v>0</v>
      </c>
      <c r="N59" s="143">
        <f>SUMIFS('январь 2026'!$G$2:$G$2684,'январь 2026'!$D$2:$D$2684,$B59,'январь 2026'!$J$2:$J$2684,N$1)</f>
        <v>0</v>
      </c>
      <c r="O59" s="143">
        <f>SUMIFS('январь 2026'!$G$2:$G$2684,'январь 2026'!$D$2:$D$2684,$B59,'январь 2026'!$J$2:$J$2684,O$1)</f>
        <v>0</v>
      </c>
      <c r="P59" s="143">
        <f>SUMIFS('январь 2026'!$G$2:$G$2684,'январь 2026'!$D$2:$D$2684,$B59,'январь 2026'!$J$2:$J$2684,P$1)</f>
        <v>0</v>
      </c>
      <c r="Q59" s="143">
        <f>SUMIFS('январь 2026'!$G$2:$G$2684,'январь 2026'!$D$2:$D$2684,$B59,'январь 2026'!$J$2:$J$2684,Q$1)</f>
        <v>0</v>
      </c>
      <c r="R59" s="143">
        <f>SUMIFS('январь 2026'!$G$2:$G$2684,'январь 2026'!$D$2:$D$2684,$B59,'январь 2026'!$J$2:$J$2684,R$1)</f>
        <v>0</v>
      </c>
      <c r="S59" s="143">
        <f>SUMIFS('январь 2026'!$G$2:$G$2684,'январь 2026'!$D$2:$D$2684,$B59,'январь 2026'!$J$2:$J$2684,S$1)</f>
        <v>0</v>
      </c>
      <c r="T59" s="143">
        <f>SUMIFS('январь 2026'!$G$2:$G$2684,'январь 2026'!$D$2:$D$2684,$B59,'январь 2026'!$J$2:$J$2684,T$1)</f>
        <v>0</v>
      </c>
      <c r="U59" s="143">
        <f>SUMIFS('январь 2026'!$G$2:$G$2684,'январь 2026'!$D$2:$D$2684,$B59,'январь 2026'!$J$2:$J$2684,U$1)</f>
        <v>0</v>
      </c>
      <c r="V59" s="143">
        <f>SUMIFS('январь 2026'!$G$2:$G$2684,'январь 2026'!$D$2:$D$2684,$B59,'январь 2026'!$J$2:$J$2684,V$1)</f>
        <v>0</v>
      </c>
      <c r="W59" s="143">
        <f>SUMIFS('январь 2026'!$G$2:$G$2684,'январь 2026'!$D$2:$D$2684,$B59,'январь 2026'!$J$2:$J$2684,W$1)</f>
        <v>0</v>
      </c>
      <c r="X59" s="143">
        <f>SUMIFS('январь 2026'!$G$2:$G$2684,'январь 2026'!$D$2:$D$2684,$B59,'январь 2026'!$J$2:$J$2684,X$1)</f>
        <v>0</v>
      </c>
      <c r="Y59" s="143">
        <f>SUMIFS('январь 2026'!$G$2:$G$2684,'январь 2026'!$D$2:$D$2684,$B59,'январь 2026'!$J$2:$J$2684,Y$1)</f>
        <v>0</v>
      </c>
      <c r="Z59" s="143">
        <f>SUMIFS('январь 2026'!$G$2:$G$2684,'январь 2026'!$D$2:$D$2684,$B59,'январь 2026'!$J$2:$J$2684,Z$1)</f>
        <v>0</v>
      </c>
      <c r="AA59" s="143">
        <f>SUMIFS('январь 2026'!$G$2:$G$2684,'январь 2026'!$D$2:$D$2684,$B59,'январь 2026'!$J$2:$J$2684,AA$1)</f>
        <v>0</v>
      </c>
      <c r="AB59" s="143">
        <f>SUMIFS('январь 2026'!$G$2:$G$2684,'январь 2026'!$D$2:$D$2684,$B59,'январь 2026'!$J$2:$J$2684,AB$1)</f>
        <v>0</v>
      </c>
      <c r="AC59" s="143">
        <f>SUMIFS('январь 2026'!$G$2:$G$2684,'январь 2026'!$D$2:$D$2684,$B59,'январь 2026'!$J$2:$J$2684,AC$1)</f>
        <v>0</v>
      </c>
      <c r="AD59" s="143">
        <f>SUMIFS('январь 2026'!$G$2:$G$2684,'январь 2026'!$D$2:$D$2684,$B59,'январь 2026'!$J$2:$J$2684,AD$1)</f>
        <v>0</v>
      </c>
      <c r="AE59" s="143">
        <f>SUMIFS('январь 2026'!$G$2:$G$2684,'январь 2026'!$D$2:$D$2684,$B59,'январь 2026'!$J$2:$J$2684,AE$1)</f>
        <v>0</v>
      </c>
      <c r="AF59" s="143">
        <f>SUMIFS('январь 2026'!$G$2:$G$2684,'январь 2026'!$D$2:$D$2684,$B59,'январь 2026'!$J$2:$J$2684,AF$1)</f>
        <v>0</v>
      </c>
      <c r="AG59" s="143">
        <f>SUMIFS('январь 2026'!$G$2:$G$2684,'январь 2026'!$D$2:$D$2684,$B59,'январь 2026'!$J$2:$J$2684,AG$1)</f>
        <v>0</v>
      </c>
      <c r="AH59" s="143">
        <f>SUMIFS('январь 2026'!$G$2:$G$2684,'январь 2026'!$D$2:$D$2684,$B59,'январь 2026'!$J$2:$J$2684,AH$1)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SUMIFS('январь 2026'!$G$2:$G$2684,'январь 2026'!$D$2:$D$2684,$B60,'январь 2026'!$J$2:$J$2684,D$1)</f>
        <v>0</v>
      </c>
      <c r="E60" s="143">
        <f>SUMIFS('январь 2026'!$G$2:$G$2684,'январь 2026'!$D$2:$D$2684,$B60,'январь 2026'!$J$2:$J$2684,E$1)</f>
        <v>0</v>
      </c>
      <c r="F60" s="143">
        <f>SUMIFS('январь 2026'!$G$2:$G$2684,'январь 2026'!$D$2:$D$2684,$B60,'январь 2026'!$J$2:$J$2684,F$1)</f>
        <v>0</v>
      </c>
      <c r="G60" s="143">
        <f>SUMIFS('январь 2026'!$G$2:$G$2684,'январь 2026'!$D$2:$D$2684,$B60,'январь 2026'!$J$2:$J$2684,G$1)</f>
        <v>0</v>
      </c>
      <c r="H60" s="143">
        <f>SUMIFS('январь 2026'!$G$2:$G$2684,'январь 2026'!$D$2:$D$2684,$B60,'январь 2026'!$J$2:$J$2684,H$1)</f>
        <v>0</v>
      </c>
      <c r="I60" s="143">
        <f>SUMIFS('январь 2026'!$G$2:$G$2684,'январь 2026'!$D$2:$D$2684,$B60,'январь 2026'!$J$2:$J$2684,I$1)</f>
        <v>0</v>
      </c>
      <c r="J60" s="143">
        <f>SUMIFS('январь 2026'!$G$2:$G$2684,'январь 2026'!$D$2:$D$2684,$B60,'январь 2026'!$J$2:$J$2684,J$1)</f>
        <v>0</v>
      </c>
      <c r="K60" s="143">
        <f>SUMIFS('январь 2026'!$G$2:$G$2684,'январь 2026'!$D$2:$D$2684,$B60,'январь 2026'!$J$2:$J$2684,K$1)</f>
        <v>0</v>
      </c>
      <c r="L60" s="143">
        <f>SUMIFS('январь 2026'!$G$2:$G$2684,'январь 2026'!$D$2:$D$2684,$B60,'январь 2026'!$J$2:$J$2684,L$1)</f>
        <v>0</v>
      </c>
      <c r="M60" s="143">
        <f>SUMIFS('январь 2026'!$G$2:$G$2684,'январь 2026'!$D$2:$D$2684,$B60,'январь 2026'!$J$2:$J$2684,M$1)</f>
        <v>0</v>
      </c>
      <c r="N60" s="143">
        <f>SUMIFS('январь 2026'!$G$2:$G$2684,'январь 2026'!$D$2:$D$2684,$B60,'январь 2026'!$J$2:$J$2684,N$1)</f>
        <v>0</v>
      </c>
      <c r="O60" s="143">
        <f>SUMIFS('январь 2026'!$G$2:$G$2684,'январь 2026'!$D$2:$D$2684,$B60,'январь 2026'!$J$2:$J$2684,O$1)</f>
        <v>0</v>
      </c>
      <c r="P60" s="143">
        <f>SUMIFS('январь 2026'!$G$2:$G$2684,'январь 2026'!$D$2:$D$2684,$B60,'январь 2026'!$J$2:$J$2684,P$1)</f>
        <v>0</v>
      </c>
      <c r="Q60" s="143">
        <f>SUMIFS('январь 2026'!$G$2:$G$2684,'январь 2026'!$D$2:$D$2684,$B60,'январь 2026'!$J$2:$J$2684,Q$1)</f>
        <v>0</v>
      </c>
      <c r="R60" s="143">
        <f>SUMIFS('январь 2026'!$G$2:$G$2684,'январь 2026'!$D$2:$D$2684,$B60,'январь 2026'!$J$2:$J$2684,R$1)</f>
        <v>0</v>
      </c>
      <c r="S60" s="143">
        <f>SUMIFS('январь 2026'!$G$2:$G$2684,'январь 2026'!$D$2:$D$2684,$B60,'январь 2026'!$J$2:$J$2684,S$1)</f>
        <v>0</v>
      </c>
      <c r="T60" s="143">
        <f>SUMIFS('январь 2026'!$G$2:$G$2684,'январь 2026'!$D$2:$D$2684,$B60,'январь 2026'!$J$2:$J$2684,T$1)</f>
        <v>0</v>
      </c>
      <c r="U60" s="143">
        <f>SUMIFS('январь 2026'!$G$2:$G$2684,'январь 2026'!$D$2:$D$2684,$B60,'январь 2026'!$J$2:$J$2684,U$1)</f>
        <v>0</v>
      </c>
      <c r="V60" s="143">
        <f>SUMIFS('январь 2026'!$G$2:$G$2684,'январь 2026'!$D$2:$D$2684,$B60,'январь 2026'!$J$2:$J$2684,V$1)</f>
        <v>0</v>
      </c>
      <c r="W60" s="143">
        <f>SUMIFS('январь 2026'!$G$2:$G$2684,'январь 2026'!$D$2:$D$2684,$B60,'январь 2026'!$J$2:$J$2684,W$1)</f>
        <v>0</v>
      </c>
      <c r="X60" s="143">
        <f>SUMIFS('январь 2026'!$G$2:$G$2684,'январь 2026'!$D$2:$D$2684,$B60,'январь 2026'!$J$2:$J$2684,X$1)</f>
        <v>0</v>
      </c>
      <c r="Y60" s="143">
        <f>SUMIFS('январь 2026'!$G$2:$G$2684,'январь 2026'!$D$2:$D$2684,$B60,'январь 2026'!$J$2:$J$2684,Y$1)</f>
        <v>0</v>
      </c>
      <c r="Z60" s="143">
        <f>SUMIFS('январь 2026'!$G$2:$G$2684,'январь 2026'!$D$2:$D$2684,$B60,'январь 2026'!$J$2:$J$2684,Z$1)</f>
        <v>0</v>
      </c>
      <c r="AA60" s="143">
        <f>SUMIFS('январь 2026'!$G$2:$G$2684,'январь 2026'!$D$2:$D$2684,$B60,'январь 2026'!$J$2:$J$2684,AA$1)</f>
        <v>0</v>
      </c>
      <c r="AB60" s="143">
        <f>SUMIFS('январь 2026'!$G$2:$G$2684,'январь 2026'!$D$2:$D$2684,$B60,'январь 2026'!$J$2:$J$2684,AB$1)</f>
        <v>0</v>
      </c>
      <c r="AC60" s="143">
        <f>SUMIFS('январь 2026'!$G$2:$G$2684,'январь 2026'!$D$2:$D$2684,$B60,'январь 2026'!$J$2:$J$2684,AC$1)</f>
        <v>0</v>
      </c>
      <c r="AD60" s="143">
        <f>SUMIFS('январь 2026'!$G$2:$G$2684,'январь 2026'!$D$2:$D$2684,$B60,'январь 2026'!$J$2:$J$2684,AD$1)</f>
        <v>0</v>
      </c>
      <c r="AE60" s="143">
        <f>SUMIFS('январь 2026'!$G$2:$G$2684,'январь 2026'!$D$2:$D$2684,$B60,'январь 2026'!$J$2:$J$2684,AE$1)</f>
        <v>0</v>
      </c>
      <c r="AF60" s="143">
        <f>SUMIFS('январь 2026'!$G$2:$G$2684,'январь 2026'!$D$2:$D$2684,$B60,'январь 2026'!$J$2:$J$2684,AF$1)</f>
        <v>0</v>
      </c>
      <c r="AG60" s="143">
        <f>SUMIFS('январь 2026'!$G$2:$G$2684,'январь 2026'!$D$2:$D$2684,$B60,'январь 2026'!$J$2:$J$2684,AG$1)</f>
        <v>0</v>
      </c>
      <c r="AH60" s="143">
        <f>SUMIFS('январь 2026'!$G$2:$G$2684,'январь 2026'!$D$2:$D$2684,$B60,'январь 2026'!$J$2:$J$2684,AH$1)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SUMIFS('январь 2026'!$G$2:$G$2684,'январь 2026'!$D$2:$D$2684,$B61,'январь 2026'!$J$2:$J$2684,D$1)</f>
        <v>0</v>
      </c>
      <c r="E61" s="143">
        <f>SUMIFS('январь 2026'!$G$2:$G$2684,'январь 2026'!$D$2:$D$2684,$B61,'январь 2026'!$J$2:$J$2684,E$1)</f>
        <v>0</v>
      </c>
      <c r="F61" s="143">
        <f>SUMIFS('январь 2026'!$G$2:$G$2684,'январь 2026'!$D$2:$D$2684,$B61,'январь 2026'!$J$2:$J$2684,F$1)</f>
        <v>0</v>
      </c>
      <c r="G61" s="143">
        <f>SUMIFS('январь 2026'!$G$2:$G$2684,'январь 2026'!$D$2:$D$2684,$B61,'январь 2026'!$J$2:$J$2684,G$1)</f>
        <v>0</v>
      </c>
      <c r="H61" s="143">
        <f>SUMIFS('январь 2026'!$G$2:$G$2684,'январь 2026'!$D$2:$D$2684,$B61,'январь 2026'!$J$2:$J$2684,H$1)</f>
        <v>0</v>
      </c>
      <c r="I61" s="143">
        <f>SUMIFS('январь 2026'!$G$2:$G$2684,'январь 2026'!$D$2:$D$2684,$B61,'январь 2026'!$J$2:$J$2684,I$1)</f>
        <v>0</v>
      </c>
      <c r="J61" s="143">
        <f>SUMIFS('январь 2026'!$G$2:$G$2684,'январь 2026'!$D$2:$D$2684,$B61,'январь 2026'!$J$2:$J$2684,J$1)</f>
        <v>0</v>
      </c>
      <c r="K61" s="143">
        <f>SUMIFS('январь 2026'!$G$2:$G$2684,'январь 2026'!$D$2:$D$2684,$B61,'январь 2026'!$J$2:$J$2684,K$1)</f>
        <v>0</v>
      </c>
      <c r="L61" s="143">
        <f>SUMIFS('январь 2026'!$G$2:$G$2684,'январь 2026'!$D$2:$D$2684,$B61,'январь 2026'!$J$2:$J$2684,L$1)</f>
        <v>0</v>
      </c>
      <c r="M61" s="143">
        <f>SUMIFS('январь 2026'!$G$2:$G$2684,'январь 2026'!$D$2:$D$2684,$B61,'январь 2026'!$J$2:$J$2684,M$1)</f>
        <v>0</v>
      </c>
      <c r="N61" s="143">
        <f>SUMIFS('январь 2026'!$G$2:$G$2684,'январь 2026'!$D$2:$D$2684,$B61,'январь 2026'!$J$2:$J$2684,N$1)</f>
        <v>0</v>
      </c>
      <c r="O61" s="143">
        <f>SUMIFS('январь 2026'!$G$2:$G$2684,'январь 2026'!$D$2:$D$2684,$B61,'январь 2026'!$J$2:$J$2684,O$1)</f>
        <v>0</v>
      </c>
      <c r="P61" s="143">
        <f>SUMIFS('январь 2026'!$G$2:$G$2684,'январь 2026'!$D$2:$D$2684,$B61,'январь 2026'!$J$2:$J$2684,P$1)</f>
        <v>0</v>
      </c>
      <c r="Q61" s="143">
        <f>SUMIFS('январь 2026'!$G$2:$G$2684,'январь 2026'!$D$2:$D$2684,$B61,'январь 2026'!$J$2:$J$2684,Q$1)</f>
        <v>0</v>
      </c>
      <c r="R61" s="143">
        <f>SUMIFS('январь 2026'!$G$2:$G$2684,'январь 2026'!$D$2:$D$2684,$B61,'январь 2026'!$J$2:$J$2684,R$1)</f>
        <v>0</v>
      </c>
      <c r="S61" s="143">
        <f>SUMIFS('январь 2026'!$G$2:$G$2684,'январь 2026'!$D$2:$D$2684,$B61,'январь 2026'!$J$2:$J$2684,S$1)</f>
        <v>0</v>
      </c>
      <c r="T61" s="143">
        <f>SUMIFS('январь 2026'!$G$2:$G$2684,'январь 2026'!$D$2:$D$2684,$B61,'январь 2026'!$J$2:$J$2684,T$1)</f>
        <v>0</v>
      </c>
      <c r="U61" s="143">
        <f>SUMIFS('январь 2026'!$G$2:$G$2684,'январь 2026'!$D$2:$D$2684,$B61,'январь 2026'!$J$2:$J$2684,U$1)</f>
        <v>0</v>
      </c>
      <c r="V61" s="143">
        <f>SUMIFS('январь 2026'!$G$2:$G$2684,'январь 2026'!$D$2:$D$2684,$B61,'январь 2026'!$J$2:$J$2684,V$1)</f>
        <v>0</v>
      </c>
      <c r="W61" s="143">
        <f>SUMIFS('январь 2026'!$G$2:$G$2684,'январь 2026'!$D$2:$D$2684,$B61,'январь 2026'!$J$2:$J$2684,W$1)</f>
        <v>0</v>
      </c>
      <c r="X61" s="143">
        <f>SUMIFS('январь 2026'!$G$2:$G$2684,'январь 2026'!$D$2:$D$2684,$B61,'январь 2026'!$J$2:$J$2684,X$1)</f>
        <v>0</v>
      </c>
      <c r="Y61" s="143">
        <f>SUMIFS('январь 2026'!$G$2:$G$2684,'январь 2026'!$D$2:$D$2684,$B61,'январь 2026'!$J$2:$J$2684,Y$1)</f>
        <v>0</v>
      </c>
      <c r="Z61" s="143">
        <f>SUMIFS('январь 2026'!$G$2:$G$2684,'январь 2026'!$D$2:$D$2684,$B61,'январь 2026'!$J$2:$J$2684,Z$1)</f>
        <v>0</v>
      </c>
      <c r="AA61" s="143">
        <f>SUMIFS('январь 2026'!$G$2:$G$2684,'январь 2026'!$D$2:$D$2684,$B61,'январь 2026'!$J$2:$J$2684,AA$1)</f>
        <v>0</v>
      </c>
      <c r="AB61" s="143">
        <f>SUMIFS('январь 2026'!$G$2:$G$2684,'январь 2026'!$D$2:$D$2684,$B61,'январь 2026'!$J$2:$J$2684,AB$1)</f>
        <v>0</v>
      </c>
      <c r="AC61" s="143">
        <f>SUMIFS('январь 2026'!$G$2:$G$2684,'январь 2026'!$D$2:$D$2684,$B61,'январь 2026'!$J$2:$J$2684,AC$1)</f>
        <v>0</v>
      </c>
      <c r="AD61" s="143">
        <f>SUMIFS('январь 2026'!$G$2:$G$2684,'январь 2026'!$D$2:$D$2684,$B61,'январь 2026'!$J$2:$J$2684,AD$1)</f>
        <v>0</v>
      </c>
      <c r="AE61" s="143">
        <f>SUMIFS('январь 2026'!$G$2:$G$2684,'январь 2026'!$D$2:$D$2684,$B61,'январь 2026'!$J$2:$J$2684,AE$1)</f>
        <v>0</v>
      </c>
      <c r="AF61" s="143">
        <f>SUMIFS('январь 2026'!$G$2:$G$2684,'январь 2026'!$D$2:$D$2684,$B61,'январь 2026'!$J$2:$J$2684,AF$1)</f>
        <v>0</v>
      </c>
      <c r="AG61" s="143">
        <f>SUMIFS('январь 2026'!$G$2:$G$2684,'январь 2026'!$D$2:$D$2684,$B61,'январь 2026'!$J$2:$J$2684,AG$1)</f>
        <v>0</v>
      </c>
      <c r="AH61" s="143">
        <f>SUMIFS('январь 2026'!$G$2:$G$2684,'январь 2026'!$D$2:$D$2684,$B61,'январь 2026'!$J$2:$J$2684,AH$1)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SUMIFS('январь 2026'!$G$2:$G$2684,'январь 2026'!$D$2:$D$2684,$B62,'январь 2026'!$J$2:$J$2684,D$1)</f>
        <v>0</v>
      </c>
      <c r="E62" s="143">
        <f>SUMIFS('январь 2026'!$G$2:$G$2684,'январь 2026'!$D$2:$D$2684,$B62,'январь 2026'!$J$2:$J$2684,E$1)</f>
        <v>0</v>
      </c>
      <c r="F62" s="143">
        <f>SUMIFS('январь 2026'!$G$2:$G$2684,'январь 2026'!$D$2:$D$2684,$B62,'январь 2026'!$J$2:$J$2684,F$1)</f>
        <v>0</v>
      </c>
      <c r="G62" s="143">
        <f>SUMIFS('январь 2026'!$G$2:$G$2684,'январь 2026'!$D$2:$D$2684,$B62,'январь 2026'!$J$2:$J$2684,G$1)</f>
        <v>0</v>
      </c>
      <c r="H62" s="143">
        <f>SUMIFS('январь 2026'!$G$2:$G$2684,'январь 2026'!$D$2:$D$2684,$B62,'январь 2026'!$J$2:$J$2684,H$1)</f>
        <v>0</v>
      </c>
      <c r="I62" s="143">
        <f>SUMIFS('январь 2026'!$G$2:$G$2684,'январь 2026'!$D$2:$D$2684,$B62,'январь 2026'!$J$2:$J$2684,I$1)</f>
        <v>0</v>
      </c>
      <c r="J62" s="143">
        <f>SUMIFS('январь 2026'!$G$2:$G$2684,'январь 2026'!$D$2:$D$2684,$B62,'январь 2026'!$J$2:$J$2684,J$1)</f>
        <v>0</v>
      </c>
      <c r="K62" s="143">
        <f>SUMIFS('январь 2026'!$G$2:$G$2684,'январь 2026'!$D$2:$D$2684,$B62,'январь 2026'!$J$2:$J$2684,K$1)</f>
        <v>0</v>
      </c>
      <c r="L62" s="143">
        <f>SUMIFS('январь 2026'!$G$2:$G$2684,'январь 2026'!$D$2:$D$2684,$B62,'январь 2026'!$J$2:$J$2684,L$1)</f>
        <v>0</v>
      </c>
      <c r="M62" s="143">
        <f>SUMIFS('январь 2026'!$G$2:$G$2684,'январь 2026'!$D$2:$D$2684,$B62,'январь 2026'!$J$2:$J$2684,M$1)</f>
        <v>0</v>
      </c>
      <c r="N62" s="143">
        <f>SUMIFS('январь 2026'!$G$2:$G$2684,'январь 2026'!$D$2:$D$2684,$B62,'январь 2026'!$J$2:$J$2684,N$1)</f>
        <v>0</v>
      </c>
      <c r="O62" s="143">
        <f>SUMIFS('январь 2026'!$G$2:$G$2684,'январь 2026'!$D$2:$D$2684,$B62,'январь 2026'!$J$2:$J$2684,O$1)</f>
        <v>0</v>
      </c>
      <c r="P62" s="143">
        <f>SUMIFS('январь 2026'!$G$2:$G$2684,'январь 2026'!$D$2:$D$2684,$B62,'январь 2026'!$J$2:$J$2684,P$1)</f>
        <v>0</v>
      </c>
      <c r="Q62" s="143">
        <f>SUMIFS('январь 2026'!$G$2:$G$2684,'январь 2026'!$D$2:$D$2684,$B62,'январь 2026'!$J$2:$J$2684,Q$1)</f>
        <v>0</v>
      </c>
      <c r="R62" s="143">
        <f>SUMIFS('январь 2026'!$G$2:$G$2684,'январь 2026'!$D$2:$D$2684,$B62,'январь 2026'!$J$2:$J$2684,R$1)</f>
        <v>0</v>
      </c>
      <c r="S62" s="143">
        <f>SUMIFS('январь 2026'!$G$2:$G$2684,'январь 2026'!$D$2:$D$2684,$B62,'январь 2026'!$J$2:$J$2684,S$1)</f>
        <v>0</v>
      </c>
      <c r="T62" s="143">
        <f>SUMIFS('январь 2026'!$G$2:$G$2684,'январь 2026'!$D$2:$D$2684,$B62,'январь 2026'!$J$2:$J$2684,T$1)</f>
        <v>0</v>
      </c>
      <c r="U62" s="143">
        <f>SUMIFS('январь 2026'!$G$2:$G$2684,'январь 2026'!$D$2:$D$2684,$B62,'январь 2026'!$J$2:$J$2684,U$1)</f>
        <v>0</v>
      </c>
      <c r="V62" s="143">
        <f>SUMIFS('январь 2026'!$G$2:$G$2684,'январь 2026'!$D$2:$D$2684,$B62,'январь 2026'!$J$2:$J$2684,V$1)</f>
        <v>0</v>
      </c>
      <c r="W62" s="143">
        <f>SUMIFS('январь 2026'!$G$2:$G$2684,'январь 2026'!$D$2:$D$2684,$B62,'январь 2026'!$J$2:$J$2684,W$1)</f>
        <v>0</v>
      </c>
      <c r="X62" s="143">
        <f>SUMIFS('январь 2026'!$G$2:$G$2684,'январь 2026'!$D$2:$D$2684,$B62,'январь 2026'!$J$2:$J$2684,X$1)</f>
        <v>0</v>
      </c>
      <c r="Y62" s="143">
        <f>SUMIFS('январь 2026'!$G$2:$G$2684,'январь 2026'!$D$2:$D$2684,$B62,'январь 2026'!$J$2:$J$2684,Y$1)</f>
        <v>0</v>
      </c>
      <c r="Z62" s="143">
        <f>SUMIFS('январь 2026'!$G$2:$G$2684,'январь 2026'!$D$2:$D$2684,$B62,'январь 2026'!$J$2:$J$2684,Z$1)</f>
        <v>0</v>
      </c>
      <c r="AA62" s="143">
        <f>SUMIFS('январь 2026'!$G$2:$G$2684,'январь 2026'!$D$2:$D$2684,$B62,'январь 2026'!$J$2:$J$2684,AA$1)</f>
        <v>0</v>
      </c>
      <c r="AB62" s="143">
        <f>SUMIFS('январь 2026'!$G$2:$G$2684,'январь 2026'!$D$2:$D$2684,$B62,'январь 2026'!$J$2:$J$2684,AB$1)</f>
        <v>0</v>
      </c>
      <c r="AC62" s="143">
        <f>SUMIFS('январь 2026'!$G$2:$G$2684,'январь 2026'!$D$2:$D$2684,$B62,'январь 2026'!$J$2:$J$2684,AC$1)</f>
        <v>0</v>
      </c>
      <c r="AD62" s="143">
        <f>SUMIFS('январь 2026'!$G$2:$G$2684,'январь 2026'!$D$2:$D$2684,$B62,'январь 2026'!$J$2:$J$2684,AD$1)</f>
        <v>0</v>
      </c>
      <c r="AE62" s="143">
        <f>SUMIFS('январь 2026'!$G$2:$G$2684,'январь 2026'!$D$2:$D$2684,$B62,'январь 2026'!$J$2:$J$2684,AE$1)</f>
        <v>0</v>
      </c>
      <c r="AF62" s="143">
        <f>SUMIFS('январь 2026'!$G$2:$G$2684,'январь 2026'!$D$2:$D$2684,$B62,'январь 2026'!$J$2:$J$2684,AF$1)</f>
        <v>0</v>
      </c>
      <c r="AG62" s="143">
        <f>SUMIFS('январь 2026'!$G$2:$G$2684,'январь 2026'!$D$2:$D$2684,$B62,'январь 2026'!$J$2:$J$2684,AG$1)</f>
        <v>0</v>
      </c>
      <c r="AH62" s="143">
        <f>SUMIFS('январь 2026'!$G$2:$G$2684,'январь 2026'!$D$2:$D$2684,$B62,'январь 2026'!$J$2:$J$2684,AH$1)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SUMIFS('январь 2026'!$G$2:$G$2684,'январь 2026'!$D$2:$D$2684,$B63,'январь 2026'!$J$2:$J$2684,D$1)</f>
        <v>0</v>
      </c>
      <c r="E63" s="143">
        <f>SUMIFS('январь 2026'!$G$2:$G$2684,'январь 2026'!$D$2:$D$2684,$B63,'январь 2026'!$J$2:$J$2684,E$1)</f>
        <v>0</v>
      </c>
      <c r="F63" s="143">
        <f>SUMIFS('январь 2026'!$G$2:$G$2684,'январь 2026'!$D$2:$D$2684,$B63,'январь 2026'!$J$2:$J$2684,F$1)</f>
        <v>0</v>
      </c>
      <c r="G63" s="143">
        <f>SUMIFS('январь 2026'!$G$2:$G$2684,'январь 2026'!$D$2:$D$2684,$B63,'январь 2026'!$J$2:$J$2684,G$1)</f>
        <v>0</v>
      </c>
      <c r="H63" s="143">
        <f>SUMIFS('январь 2026'!$G$2:$G$2684,'январь 2026'!$D$2:$D$2684,$B63,'январь 2026'!$J$2:$J$2684,H$1)</f>
        <v>0</v>
      </c>
      <c r="I63" s="143">
        <f>SUMIFS('январь 2026'!$G$2:$G$2684,'январь 2026'!$D$2:$D$2684,$B63,'январь 2026'!$J$2:$J$2684,I$1)</f>
        <v>0</v>
      </c>
      <c r="J63" s="143">
        <f>SUMIFS('январь 2026'!$G$2:$G$2684,'январь 2026'!$D$2:$D$2684,$B63,'январь 2026'!$J$2:$J$2684,J$1)</f>
        <v>0</v>
      </c>
      <c r="K63" s="143">
        <f>SUMIFS('январь 2026'!$G$2:$G$2684,'январь 2026'!$D$2:$D$2684,$B63,'январь 2026'!$J$2:$J$2684,K$1)</f>
        <v>0</v>
      </c>
      <c r="L63" s="143">
        <f>SUMIFS('январь 2026'!$G$2:$G$2684,'январь 2026'!$D$2:$D$2684,$B63,'январь 2026'!$J$2:$J$2684,L$1)</f>
        <v>0</v>
      </c>
      <c r="M63" s="143">
        <f>SUMIFS('январь 2026'!$G$2:$G$2684,'январь 2026'!$D$2:$D$2684,$B63,'январь 2026'!$J$2:$J$2684,M$1)</f>
        <v>0</v>
      </c>
      <c r="N63" s="143">
        <f>SUMIFS('январь 2026'!$G$2:$G$2684,'январь 2026'!$D$2:$D$2684,$B63,'январь 2026'!$J$2:$J$2684,N$1)</f>
        <v>0</v>
      </c>
      <c r="O63" s="143">
        <f>SUMIFS('январь 2026'!$G$2:$G$2684,'январь 2026'!$D$2:$D$2684,$B63,'январь 2026'!$J$2:$J$2684,O$1)</f>
        <v>0</v>
      </c>
      <c r="P63" s="143">
        <f>SUMIFS('январь 2026'!$G$2:$G$2684,'январь 2026'!$D$2:$D$2684,$B63,'январь 2026'!$J$2:$J$2684,P$1)</f>
        <v>0</v>
      </c>
      <c r="Q63" s="143">
        <f>SUMIFS('январь 2026'!$G$2:$G$2684,'январь 2026'!$D$2:$D$2684,$B63,'январь 2026'!$J$2:$J$2684,Q$1)</f>
        <v>0</v>
      </c>
      <c r="R63" s="143">
        <f>SUMIFS('январь 2026'!$G$2:$G$2684,'январь 2026'!$D$2:$D$2684,$B63,'январь 2026'!$J$2:$J$2684,R$1)</f>
        <v>0</v>
      </c>
      <c r="S63" s="143">
        <f>SUMIFS('январь 2026'!$G$2:$G$2684,'январь 2026'!$D$2:$D$2684,$B63,'январь 2026'!$J$2:$J$2684,S$1)</f>
        <v>0</v>
      </c>
      <c r="T63" s="143">
        <f>SUMIFS('январь 2026'!$G$2:$G$2684,'январь 2026'!$D$2:$D$2684,$B63,'январь 2026'!$J$2:$J$2684,T$1)</f>
        <v>0</v>
      </c>
      <c r="U63" s="143">
        <f>SUMIFS('январь 2026'!$G$2:$G$2684,'январь 2026'!$D$2:$D$2684,$B63,'январь 2026'!$J$2:$J$2684,U$1)</f>
        <v>0</v>
      </c>
      <c r="V63" s="143">
        <f>SUMIFS('январь 2026'!$G$2:$G$2684,'январь 2026'!$D$2:$D$2684,$B63,'январь 2026'!$J$2:$J$2684,V$1)</f>
        <v>0</v>
      </c>
      <c r="W63" s="143">
        <f>SUMIFS('январь 2026'!$G$2:$G$2684,'январь 2026'!$D$2:$D$2684,$B63,'январь 2026'!$J$2:$J$2684,W$1)</f>
        <v>0</v>
      </c>
      <c r="X63" s="143">
        <f>SUMIFS('январь 2026'!$G$2:$G$2684,'январь 2026'!$D$2:$D$2684,$B63,'январь 2026'!$J$2:$J$2684,X$1)</f>
        <v>0</v>
      </c>
      <c r="Y63" s="143">
        <f>SUMIFS('январь 2026'!$G$2:$G$2684,'январь 2026'!$D$2:$D$2684,$B63,'январь 2026'!$J$2:$J$2684,Y$1)</f>
        <v>0</v>
      </c>
      <c r="Z63" s="143">
        <f>SUMIFS('январь 2026'!$G$2:$G$2684,'январь 2026'!$D$2:$D$2684,$B63,'январь 2026'!$J$2:$J$2684,Z$1)</f>
        <v>0</v>
      </c>
      <c r="AA63" s="143">
        <f>SUMIFS('январь 2026'!$G$2:$G$2684,'январь 2026'!$D$2:$D$2684,$B63,'январь 2026'!$J$2:$J$2684,AA$1)</f>
        <v>0</v>
      </c>
      <c r="AB63" s="143">
        <f>SUMIFS('январь 2026'!$G$2:$G$2684,'январь 2026'!$D$2:$D$2684,$B63,'январь 2026'!$J$2:$J$2684,AB$1)</f>
        <v>0</v>
      </c>
      <c r="AC63" s="143">
        <f>SUMIFS('январь 2026'!$G$2:$G$2684,'январь 2026'!$D$2:$D$2684,$B63,'январь 2026'!$J$2:$J$2684,AC$1)</f>
        <v>0</v>
      </c>
      <c r="AD63" s="143">
        <f>SUMIFS('январь 2026'!$G$2:$G$2684,'январь 2026'!$D$2:$D$2684,$B63,'январь 2026'!$J$2:$J$2684,AD$1)</f>
        <v>0</v>
      </c>
      <c r="AE63" s="143">
        <f>SUMIFS('январь 2026'!$G$2:$G$2684,'январь 2026'!$D$2:$D$2684,$B63,'январь 2026'!$J$2:$J$2684,AE$1)</f>
        <v>0</v>
      </c>
      <c r="AF63" s="143">
        <f>SUMIFS('январь 2026'!$G$2:$G$2684,'январь 2026'!$D$2:$D$2684,$B63,'январь 2026'!$J$2:$J$2684,AF$1)</f>
        <v>0</v>
      </c>
      <c r="AG63" s="143">
        <f>SUMIFS('январь 2026'!$G$2:$G$2684,'январь 2026'!$D$2:$D$2684,$B63,'январь 2026'!$J$2:$J$2684,AG$1)</f>
        <v>0</v>
      </c>
      <c r="AH63" s="143">
        <f>SUMIFS('январь 2026'!$G$2:$G$2684,'январь 2026'!$D$2:$D$2684,$B63,'январь 2026'!$J$2:$J$2684,AH$1)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SUMIFS('январь 2026'!$G$2:$G$2684,'январь 2026'!$D$2:$D$2684,$B64,'январь 2026'!$J$2:$J$2684,D$1)</f>
        <v>0</v>
      </c>
      <c r="E64" s="143">
        <f>SUMIFS('январь 2026'!$G$2:$G$2684,'январь 2026'!$D$2:$D$2684,$B64,'январь 2026'!$J$2:$J$2684,E$1)</f>
        <v>0</v>
      </c>
      <c r="F64" s="143">
        <f>SUMIFS('январь 2026'!$G$2:$G$2684,'январь 2026'!$D$2:$D$2684,$B64,'январь 2026'!$J$2:$J$2684,F$1)</f>
        <v>0</v>
      </c>
      <c r="G64" s="143">
        <f>SUMIFS('январь 2026'!$G$2:$G$2684,'январь 2026'!$D$2:$D$2684,$B64,'январь 2026'!$J$2:$J$2684,G$1)</f>
        <v>0</v>
      </c>
      <c r="H64" s="143">
        <f>SUMIFS('январь 2026'!$G$2:$G$2684,'январь 2026'!$D$2:$D$2684,$B64,'январь 2026'!$J$2:$J$2684,H$1)</f>
        <v>0</v>
      </c>
      <c r="I64" s="143">
        <f>SUMIFS('январь 2026'!$G$2:$G$2684,'январь 2026'!$D$2:$D$2684,$B64,'январь 2026'!$J$2:$J$2684,I$1)</f>
        <v>0</v>
      </c>
      <c r="J64" s="143">
        <f>SUMIFS('январь 2026'!$G$2:$G$2684,'январь 2026'!$D$2:$D$2684,$B64,'январь 2026'!$J$2:$J$2684,J$1)</f>
        <v>0</v>
      </c>
      <c r="K64" s="143">
        <f>SUMIFS('январь 2026'!$G$2:$G$2684,'январь 2026'!$D$2:$D$2684,$B64,'январь 2026'!$J$2:$J$2684,K$1)</f>
        <v>0</v>
      </c>
      <c r="L64" s="143">
        <f>SUMIFS('январь 2026'!$G$2:$G$2684,'январь 2026'!$D$2:$D$2684,$B64,'январь 2026'!$J$2:$J$2684,L$1)</f>
        <v>0</v>
      </c>
      <c r="M64" s="143">
        <f>SUMIFS('январь 2026'!$G$2:$G$2684,'январь 2026'!$D$2:$D$2684,$B64,'январь 2026'!$J$2:$J$2684,M$1)</f>
        <v>0</v>
      </c>
      <c r="N64" s="143">
        <f>SUMIFS('январь 2026'!$G$2:$G$2684,'январь 2026'!$D$2:$D$2684,$B64,'январь 2026'!$J$2:$J$2684,N$1)</f>
        <v>0</v>
      </c>
      <c r="O64" s="143">
        <f>SUMIFS('январь 2026'!$G$2:$G$2684,'январь 2026'!$D$2:$D$2684,$B64,'январь 2026'!$J$2:$J$2684,O$1)</f>
        <v>0</v>
      </c>
      <c r="P64" s="143">
        <f>SUMIFS('январь 2026'!$G$2:$G$2684,'январь 2026'!$D$2:$D$2684,$B64,'январь 2026'!$J$2:$J$2684,P$1)</f>
        <v>0</v>
      </c>
      <c r="Q64" s="143">
        <f>SUMIFS('январь 2026'!$G$2:$G$2684,'январь 2026'!$D$2:$D$2684,$B64,'январь 2026'!$J$2:$J$2684,Q$1)</f>
        <v>0</v>
      </c>
      <c r="R64" s="143">
        <f>SUMIFS('январь 2026'!$G$2:$G$2684,'январь 2026'!$D$2:$D$2684,$B64,'январь 2026'!$J$2:$J$2684,R$1)</f>
        <v>0</v>
      </c>
      <c r="S64" s="143">
        <f>SUMIFS('январь 2026'!$G$2:$G$2684,'январь 2026'!$D$2:$D$2684,$B64,'январь 2026'!$J$2:$J$2684,S$1)</f>
        <v>0</v>
      </c>
      <c r="T64" s="143">
        <f>SUMIFS('январь 2026'!$G$2:$G$2684,'январь 2026'!$D$2:$D$2684,$B64,'январь 2026'!$J$2:$J$2684,T$1)</f>
        <v>0</v>
      </c>
      <c r="U64" s="143">
        <f>SUMIFS('январь 2026'!$G$2:$G$2684,'январь 2026'!$D$2:$D$2684,$B64,'январь 2026'!$J$2:$J$2684,U$1)</f>
        <v>0</v>
      </c>
      <c r="V64" s="143">
        <f>SUMIFS('январь 2026'!$G$2:$G$2684,'январь 2026'!$D$2:$D$2684,$B64,'январь 2026'!$J$2:$J$2684,V$1)</f>
        <v>0</v>
      </c>
      <c r="W64" s="143">
        <f>SUMIFS('январь 2026'!$G$2:$G$2684,'январь 2026'!$D$2:$D$2684,$B64,'январь 2026'!$J$2:$J$2684,W$1)</f>
        <v>0</v>
      </c>
      <c r="X64" s="143">
        <f>SUMIFS('январь 2026'!$G$2:$G$2684,'январь 2026'!$D$2:$D$2684,$B64,'январь 2026'!$J$2:$J$2684,X$1)</f>
        <v>0</v>
      </c>
      <c r="Y64" s="143">
        <f>SUMIFS('январь 2026'!$G$2:$G$2684,'январь 2026'!$D$2:$D$2684,$B64,'январь 2026'!$J$2:$J$2684,Y$1)</f>
        <v>0</v>
      </c>
      <c r="Z64" s="143">
        <f>SUMIFS('январь 2026'!$G$2:$G$2684,'январь 2026'!$D$2:$D$2684,$B64,'январь 2026'!$J$2:$J$2684,Z$1)</f>
        <v>0</v>
      </c>
      <c r="AA64" s="143">
        <f>SUMIFS('январь 2026'!$G$2:$G$2684,'январь 2026'!$D$2:$D$2684,$B64,'январь 2026'!$J$2:$J$2684,AA$1)</f>
        <v>0</v>
      </c>
      <c r="AB64" s="143">
        <f>SUMIFS('январь 2026'!$G$2:$G$2684,'январь 2026'!$D$2:$D$2684,$B64,'январь 2026'!$J$2:$J$2684,AB$1)</f>
        <v>0</v>
      </c>
      <c r="AC64" s="143">
        <f>SUMIFS('январь 2026'!$G$2:$G$2684,'январь 2026'!$D$2:$D$2684,$B64,'январь 2026'!$J$2:$J$2684,AC$1)</f>
        <v>0</v>
      </c>
      <c r="AD64" s="143">
        <f>SUMIFS('январь 2026'!$G$2:$G$2684,'январь 2026'!$D$2:$D$2684,$B64,'январь 2026'!$J$2:$J$2684,AD$1)</f>
        <v>0</v>
      </c>
      <c r="AE64" s="143">
        <f>SUMIFS('январь 2026'!$G$2:$G$2684,'январь 2026'!$D$2:$D$2684,$B64,'январь 2026'!$J$2:$J$2684,AE$1)</f>
        <v>0</v>
      </c>
      <c r="AF64" s="143">
        <f>SUMIFS('январь 2026'!$G$2:$G$2684,'январь 2026'!$D$2:$D$2684,$B64,'январь 2026'!$J$2:$J$2684,AF$1)</f>
        <v>0</v>
      </c>
      <c r="AG64" s="143">
        <f>SUMIFS('январь 2026'!$G$2:$G$2684,'январь 2026'!$D$2:$D$2684,$B64,'январь 2026'!$J$2:$J$2684,AG$1)</f>
        <v>0</v>
      </c>
      <c r="AH64" s="143">
        <f>SUMIFS('январь 2026'!$G$2:$G$2684,'январь 2026'!$D$2:$D$2684,$B64,'январь 2026'!$J$2:$J$2684,AH$1)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SUMIFS('январь 2026'!$G$2:$G$2684,'январь 2026'!$D$2:$D$2684,$B65,'январь 2026'!$J$2:$J$2684,D$1)</f>
        <v>0</v>
      </c>
      <c r="E65" s="143">
        <f>SUMIFS('январь 2026'!$G$2:$G$2684,'январь 2026'!$D$2:$D$2684,$B65,'январь 2026'!$J$2:$J$2684,E$1)</f>
        <v>0</v>
      </c>
      <c r="F65" s="143">
        <f>SUMIFS('январь 2026'!$G$2:$G$2684,'январь 2026'!$D$2:$D$2684,$B65,'январь 2026'!$J$2:$J$2684,F$1)</f>
        <v>0</v>
      </c>
      <c r="G65" s="143">
        <f>SUMIFS('январь 2026'!$G$2:$G$2684,'январь 2026'!$D$2:$D$2684,$B65,'январь 2026'!$J$2:$J$2684,G$1)</f>
        <v>0</v>
      </c>
      <c r="H65" s="143">
        <f>SUMIFS('январь 2026'!$G$2:$G$2684,'январь 2026'!$D$2:$D$2684,$B65,'январь 2026'!$J$2:$J$2684,H$1)</f>
        <v>0</v>
      </c>
      <c r="I65" s="143">
        <f>SUMIFS('январь 2026'!$G$2:$G$2684,'январь 2026'!$D$2:$D$2684,$B65,'январь 2026'!$J$2:$J$2684,I$1)</f>
        <v>0</v>
      </c>
      <c r="J65" s="143">
        <f>SUMIFS('январь 2026'!$G$2:$G$2684,'январь 2026'!$D$2:$D$2684,$B65,'январь 2026'!$J$2:$J$2684,J$1)</f>
        <v>0</v>
      </c>
      <c r="K65" s="143">
        <f>SUMIFS('январь 2026'!$G$2:$G$2684,'январь 2026'!$D$2:$D$2684,$B65,'январь 2026'!$J$2:$J$2684,K$1)</f>
        <v>0</v>
      </c>
      <c r="L65" s="143">
        <f>SUMIFS('январь 2026'!$G$2:$G$2684,'январь 2026'!$D$2:$D$2684,$B65,'январь 2026'!$J$2:$J$2684,L$1)</f>
        <v>0</v>
      </c>
      <c r="M65" s="143">
        <f>SUMIFS('январь 2026'!$G$2:$G$2684,'январь 2026'!$D$2:$D$2684,$B65,'январь 2026'!$J$2:$J$2684,M$1)</f>
        <v>0</v>
      </c>
      <c r="N65" s="143">
        <f>SUMIFS('январь 2026'!$G$2:$G$2684,'январь 2026'!$D$2:$D$2684,$B65,'январь 2026'!$J$2:$J$2684,N$1)</f>
        <v>0</v>
      </c>
      <c r="O65" s="143">
        <f>SUMIFS('январь 2026'!$G$2:$G$2684,'январь 2026'!$D$2:$D$2684,$B65,'январь 2026'!$J$2:$J$2684,O$1)</f>
        <v>0</v>
      </c>
      <c r="P65" s="143">
        <f>SUMIFS('январь 2026'!$G$2:$G$2684,'январь 2026'!$D$2:$D$2684,$B65,'январь 2026'!$J$2:$J$2684,P$1)</f>
        <v>0</v>
      </c>
      <c r="Q65" s="143">
        <f>SUMIFS('январь 2026'!$G$2:$G$2684,'январь 2026'!$D$2:$D$2684,$B65,'январь 2026'!$J$2:$J$2684,Q$1)</f>
        <v>0</v>
      </c>
      <c r="R65" s="143">
        <f>SUMIFS('январь 2026'!$G$2:$G$2684,'январь 2026'!$D$2:$D$2684,$B65,'январь 2026'!$J$2:$J$2684,R$1)</f>
        <v>0</v>
      </c>
      <c r="S65" s="143">
        <f>SUMIFS('январь 2026'!$G$2:$G$2684,'январь 2026'!$D$2:$D$2684,$B65,'январь 2026'!$J$2:$J$2684,S$1)</f>
        <v>0</v>
      </c>
      <c r="T65" s="143">
        <f>SUMIFS('январь 2026'!$G$2:$G$2684,'январь 2026'!$D$2:$D$2684,$B65,'январь 2026'!$J$2:$J$2684,T$1)</f>
        <v>0</v>
      </c>
      <c r="U65" s="143">
        <f>SUMIFS('январь 2026'!$G$2:$G$2684,'январь 2026'!$D$2:$D$2684,$B65,'январь 2026'!$J$2:$J$2684,U$1)</f>
        <v>0</v>
      </c>
      <c r="V65" s="143">
        <f>SUMIFS('январь 2026'!$G$2:$G$2684,'январь 2026'!$D$2:$D$2684,$B65,'январь 2026'!$J$2:$J$2684,V$1)</f>
        <v>0</v>
      </c>
      <c r="W65" s="143">
        <f>SUMIFS('январь 2026'!$G$2:$G$2684,'январь 2026'!$D$2:$D$2684,$B65,'январь 2026'!$J$2:$J$2684,W$1)</f>
        <v>0</v>
      </c>
      <c r="X65" s="143">
        <f>SUMIFS('январь 2026'!$G$2:$G$2684,'январь 2026'!$D$2:$D$2684,$B65,'январь 2026'!$J$2:$J$2684,X$1)</f>
        <v>0</v>
      </c>
      <c r="Y65" s="143">
        <f>SUMIFS('январь 2026'!$G$2:$G$2684,'январь 2026'!$D$2:$D$2684,$B65,'январь 2026'!$J$2:$J$2684,Y$1)</f>
        <v>0</v>
      </c>
      <c r="Z65" s="143">
        <f>SUMIFS('январь 2026'!$G$2:$G$2684,'январь 2026'!$D$2:$D$2684,$B65,'январь 2026'!$J$2:$J$2684,Z$1)</f>
        <v>0</v>
      </c>
      <c r="AA65" s="143">
        <f>SUMIFS('январь 2026'!$G$2:$G$2684,'январь 2026'!$D$2:$D$2684,$B65,'январь 2026'!$J$2:$J$2684,AA$1)</f>
        <v>0</v>
      </c>
      <c r="AB65" s="143">
        <f>SUMIFS('январь 2026'!$G$2:$G$2684,'январь 2026'!$D$2:$D$2684,$B65,'январь 2026'!$J$2:$J$2684,AB$1)</f>
        <v>0</v>
      </c>
      <c r="AC65" s="143">
        <f>SUMIFS('январь 2026'!$G$2:$G$2684,'январь 2026'!$D$2:$D$2684,$B65,'январь 2026'!$J$2:$J$2684,AC$1)</f>
        <v>0</v>
      </c>
      <c r="AD65" s="143">
        <f>SUMIFS('январь 2026'!$G$2:$G$2684,'январь 2026'!$D$2:$D$2684,$B65,'январь 2026'!$J$2:$J$2684,AD$1)</f>
        <v>0</v>
      </c>
      <c r="AE65" s="143">
        <f>SUMIFS('январь 2026'!$G$2:$G$2684,'январь 2026'!$D$2:$D$2684,$B65,'январь 2026'!$J$2:$J$2684,AE$1)</f>
        <v>0</v>
      </c>
      <c r="AF65" s="143">
        <f>SUMIFS('январь 2026'!$G$2:$G$2684,'январь 2026'!$D$2:$D$2684,$B65,'январь 2026'!$J$2:$J$2684,AF$1)</f>
        <v>0</v>
      </c>
      <c r="AG65" s="143">
        <f>SUMIFS('январь 2026'!$G$2:$G$2684,'январь 2026'!$D$2:$D$2684,$B65,'январь 2026'!$J$2:$J$2684,AG$1)</f>
        <v>0</v>
      </c>
      <c r="AH65" s="143">
        <f>SUMIFS('январь 2026'!$G$2:$G$2684,'январь 2026'!$D$2:$D$2684,$B65,'январь 2026'!$J$2:$J$2684,AH$1)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SUMIFS('январь 2026'!$G$2:$G$2684,'январь 2026'!$D$2:$D$2684,$B66,'январь 2026'!$J$2:$J$2684,D$1)</f>
        <v>0</v>
      </c>
      <c r="E66" s="143">
        <f>SUMIFS('январь 2026'!$G$2:$G$2684,'январь 2026'!$D$2:$D$2684,$B66,'январь 2026'!$J$2:$J$2684,E$1)</f>
        <v>0</v>
      </c>
      <c r="F66" s="143">
        <f>SUMIFS('январь 2026'!$G$2:$G$2684,'январь 2026'!$D$2:$D$2684,$B66,'январь 2026'!$J$2:$J$2684,F$1)</f>
        <v>0</v>
      </c>
      <c r="G66" s="143">
        <f>SUMIFS('январь 2026'!$G$2:$G$2684,'январь 2026'!$D$2:$D$2684,$B66,'январь 2026'!$J$2:$J$2684,G$1)</f>
        <v>0</v>
      </c>
      <c r="H66" s="143">
        <f>SUMIFS('январь 2026'!$G$2:$G$2684,'январь 2026'!$D$2:$D$2684,$B66,'январь 2026'!$J$2:$J$2684,H$1)</f>
        <v>0</v>
      </c>
      <c r="I66" s="143">
        <f>SUMIFS('январь 2026'!$G$2:$G$2684,'январь 2026'!$D$2:$D$2684,$B66,'январь 2026'!$J$2:$J$2684,I$1)</f>
        <v>0</v>
      </c>
      <c r="J66" s="143">
        <f>SUMIFS('январь 2026'!$G$2:$G$2684,'январь 2026'!$D$2:$D$2684,$B66,'январь 2026'!$J$2:$J$2684,J$1)</f>
        <v>0</v>
      </c>
      <c r="K66" s="143">
        <f>SUMIFS('январь 2026'!$G$2:$G$2684,'январь 2026'!$D$2:$D$2684,$B66,'январь 2026'!$J$2:$J$2684,K$1)</f>
        <v>0</v>
      </c>
      <c r="L66" s="143">
        <f>SUMIFS('январь 2026'!$G$2:$G$2684,'январь 2026'!$D$2:$D$2684,$B66,'январь 2026'!$J$2:$J$2684,L$1)</f>
        <v>0</v>
      </c>
      <c r="M66" s="143">
        <f>SUMIFS('январь 2026'!$G$2:$G$2684,'январь 2026'!$D$2:$D$2684,$B66,'январь 2026'!$J$2:$J$2684,M$1)</f>
        <v>0</v>
      </c>
      <c r="N66" s="143">
        <f>SUMIFS('январь 2026'!$G$2:$G$2684,'январь 2026'!$D$2:$D$2684,$B66,'январь 2026'!$J$2:$J$2684,N$1)</f>
        <v>0</v>
      </c>
      <c r="O66" s="143">
        <f>SUMIFS('январь 2026'!$G$2:$G$2684,'январь 2026'!$D$2:$D$2684,$B66,'январь 2026'!$J$2:$J$2684,O$1)</f>
        <v>0</v>
      </c>
      <c r="P66" s="143">
        <f>SUMIFS('январь 2026'!$G$2:$G$2684,'январь 2026'!$D$2:$D$2684,$B66,'январь 2026'!$J$2:$J$2684,P$1)</f>
        <v>0</v>
      </c>
      <c r="Q66" s="143">
        <f>SUMIFS('январь 2026'!$G$2:$G$2684,'январь 2026'!$D$2:$D$2684,$B66,'январь 2026'!$J$2:$J$2684,Q$1)</f>
        <v>0</v>
      </c>
      <c r="R66" s="143">
        <f>SUMIFS('январь 2026'!$G$2:$G$2684,'январь 2026'!$D$2:$D$2684,$B66,'январь 2026'!$J$2:$J$2684,R$1)</f>
        <v>0</v>
      </c>
      <c r="S66" s="143">
        <f>SUMIFS('январь 2026'!$G$2:$G$2684,'январь 2026'!$D$2:$D$2684,$B66,'январь 2026'!$J$2:$J$2684,S$1)</f>
        <v>0</v>
      </c>
      <c r="T66" s="143">
        <f>SUMIFS('январь 2026'!$G$2:$G$2684,'январь 2026'!$D$2:$D$2684,$B66,'январь 2026'!$J$2:$J$2684,T$1)</f>
        <v>0</v>
      </c>
      <c r="U66" s="143">
        <f>SUMIFS('январь 2026'!$G$2:$G$2684,'январь 2026'!$D$2:$D$2684,$B66,'январь 2026'!$J$2:$J$2684,U$1)</f>
        <v>0</v>
      </c>
      <c r="V66" s="143">
        <f>SUMIFS('январь 2026'!$G$2:$G$2684,'январь 2026'!$D$2:$D$2684,$B66,'январь 2026'!$J$2:$J$2684,V$1)</f>
        <v>0</v>
      </c>
      <c r="W66" s="143">
        <f>SUMIFS('январь 2026'!$G$2:$G$2684,'январь 2026'!$D$2:$D$2684,$B66,'январь 2026'!$J$2:$J$2684,W$1)</f>
        <v>0</v>
      </c>
      <c r="X66" s="143">
        <f>SUMIFS('январь 2026'!$G$2:$G$2684,'январь 2026'!$D$2:$D$2684,$B66,'январь 2026'!$J$2:$J$2684,X$1)</f>
        <v>0</v>
      </c>
      <c r="Y66" s="143">
        <f>SUMIFS('январь 2026'!$G$2:$G$2684,'январь 2026'!$D$2:$D$2684,$B66,'январь 2026'!$J$2:$J$2684,Y$1)</f>
        <v>0</v>
      </c>
      <c r="Z66" s="143">
        <f>SUMIFS('январь 2026'!$G$2:$G$2684,'январь 2026'!$D$2:$D$2684,$B66,'январь 2026'!$J$2:$J$2684,Z$1)</f>
        <v>0</v>
      </c>
      <c r="AA66" s="143">
        <f>SUMIFS('январь 2026'!$G$2:$G$2684,'январь 2026'!$D$2:$D$2684,$B66,'январь 2026'!$J$2:$J$2684,AA$1)</f>
        <v>0</v>
      </c>
      <c r="AB66" s="143">
        <f>SUMIFS('январь 2026'!$G$2:$G$2684,'январь 2026'!$D$2:$D$2684,$B66,'январь 2026'!$J$2:$J$2684,AB$1)</f>
        <v>0</v>
      </c>
      <c r="AC66" s="143">
        <f>SUMIFS('январь 2026'!$G$2:$G$2684,'январь 2026'!$D$2:$D$2684,$B66,'январь 2026'!$J$2:$J$2684,AC$1)</f>
        <v>0</v>
      </c>
      <c r="AD66" s="143">
        <f>SUMIFS('январь 2026'!$G$2:$G$2684,'январь 2026'!$D$2:$D$2684,$B66,'январь 2026'!$J$2:$J$2684,AD$1)</f>
        <v>0</v>
      </c>
      <c r="AE66" s="143">
        <f>SUMIFS('январь 2026'!$G$2:$G$2684,'январь 2026'!$D$2:$D$2684,$B66,'январь 2026'!$J$2:$J$2684,AE$1)</f>
        <v>0</v>
      </c>
      <c r="AF66" s="143">
        <f>SUMIFS('январь 2026'!$G$2:$G$2684,'январь 2026'!$D$2:$D$2684,$B66,'январь 2026'!$J$2:$J$2684,AF$1)</f>
        <v>0</v>
      </c>
      <c r="AG66" s="143">
        <f>SUMIFS('январь 2026'!$G$2:$G$2684,'январь 2026'!$D$2:$D$2684,$B66,'январь 2026'!$J$2:$J$2684,AG$1)</f>
        <v>0</v>
      </c>
      <c r="AH66" s="143">
        <f>SUMIFS('январь 2026'!$G$2:$G$2684,'январь 2026'!$D$2:$D$2684,$B66,'январь 2026'!$J$2:$J$2684,AH$1)</f>
        <v>0</v>
      </c>
      <c r="AI66" s="20">
        <f t="shared" si="1"/>
        <v>0</v>
      </c>
    </row>
    <row r="67" spans="2:35" ht="15" customHeight="1" x14ac:dyDescent="0.25">
      <c r="B67" s="127"/>
      <c r="C67" s="123"/>
      <c r="D67" s="143">
        <f>SUMIFS('январь 2026'!$G$2:$G$2684,'январь 2026'!$D$2:$D$2684,$B67,'январь 2026'!$J$2:$J$2684,D$1)</f>
        <v>0</v>
      </c>
      <c r="E67" s="143">
        <f>SUMIFS('январь 2026'!$G$2:$G$2684,'январь 2026'!$D$2:$D$2684,$B67,'январь 2026'!$J$2:$J$2684,E$1)</f>
        <v>0</v>
      </c>
      <c r="F67" s="143">
        <f>SUMIFS('январь 2026'!$G$2:$G$2684,'январь 2026'!$D$2:$D$2684,$B67,'январь 2026'!$J$2:$J$2684,F$1)</f>
        <v>0</v>
      </c>
      <c r="G67" s="143">
        <f>SUMIFS('январь 2026'!$G$2:$G$2684,'январь 2026'!$D$2:$D$2684,$B67,'январь 2026'!$J$2:$J$2684,G$1)</f>
        <v>0</v>
      </c>
      <c r="H67" s="143">
        <f>SUMIFS('январь 2026'!$G$2:$G$2684,'январь 2026'!$D$2:$D$2684,$B67,'январь 2026'!$J$2:$J$2684,H$1)</f>
        <v>0</v>
      </c>
      <c r="I67" s="143">
        <f>SUMIFS('январь 2026'!$G$2:$G$2684,'январь 2026'!$D$2:$D$2684,$B67,'январь 2026'!$J$2:$J$2684,I$1)</f>
        <v>0</v>
      </c>
      <c r="J67" s="143">
        <f>SUMIFS('январь 2026'!$G$2:$G$2684,'январь 2026'!$D$2:$D$2684,$B67,'январь 2026'!$J$2:$J$2684,J$1)</f>
        <v>0</v>
      </c>
      <c r="K67" s="143">
        <f>SUMIFS('январь 2026'!$G$2:$G$2684,'январь 2026'!$D$2:$D$2684,$B67,'январь 2026'!$J$2:$J$2684,K$1)</f>
        <v>0</v>
      </c>
      <c r="L67" s="143">
        <f>SUMIFS('январь 2026'!$G$2:$G$2684,'январь 2026'!$D$2:$D$2684,$B67,'январь 2026'!$J$2:$J$2684,L$1)</f>
        <v>0</v>
      </c>
      <c r="M67" s="143">
        <f>SUMIFS('январь 2026'!$G$2:$G$2684,'январь 2026'!$D$2:$D$2684,$B67,'январь 2026'!$J$2:$J$2684,M$1)</f>
        <v>0</v>
      </c>
      <c r="N67" s="143">
        <f>SUMIFS('январь 2026'!$G$2:$G$2684,'январь 2026'!$D$2:$D$2684,$B67,'январь 2026'!$J$2:$J$2684,N$1)</f>
        <v>0</v>
      </c>
      <c r="O67" s="143">
        <f>SUMIFS('январь 2026'!$G$2:$G$2684,'январь 2026'!$D$2:$D$2684,$B67,'январь 2026'!$J$2:$J$2684,O$1)</f>
        <v>0</v>
      </c>
      <c r="P67" s="143">
        <f>SUMIFS('январь 2026'!$G$2:$G$2684,'январь 2026'!$D$2:$D$2684,$B67,'январь 2026'!$J$2:$J$2684,P$1)</f>
        <v>0</v>
      </c>
      <c r="Q67" s="143">
        <f>SUMIFS('январь 2026'!$G$2:$G$2684,'январь 2026'!$D$2:$D$2684,$B67,'январь 2026'!$J$2:$J$2684,Q$1)</f>
        <v>0</v>
      </c>
      <c r="R67" s="143">
        <f>SUMIFS('январь 2026'!$G$2:$G$2684,'январь 2026'!$D$2:$D$2684,$B67,'январь 2026'!$J$2:$J$2684,R$1)</f>
        <v>0</v>
      </c>
      <c r="S67" s="143">
        <f>SUMIFS('январь 2026'!$G$2:$G$2684,'январь 2026'!$D$2:$D$2684,$B67,'январь 2026'!$J$2:$J$2684,S$1)</f>
        <v>0</v>
      </c>
      <c r="T67" s="143">
        <f>SUMIFS('январь 2026'!$G$2:$G$2684,'январь 2026'!$D$2:$D$2684,$B67,'январь 2026'!$J$2:$J$2684,T$1)</f>
        <v>0</v>
      </c>
      <c r="U67" s="143">
        <f>SUMIFS('январь 2026'!$G$2:$G$2684,'январь 2026'!$D$2:$D$2684,$B67,'январь 2026'!$J$2:$J$2684,U$1)</f>
        <v>0</v>
      </c>
      <c r="V67" s="143">
        <f>SUMIFS('январь 2026'!$G$2:$G$2684,'январь 2026'!$D$2:$D$2684,$B67,'январь 2026'!$J$2:$J$2684,V$1)</f>
        <v>0</v>
      </c>
      <c r="W67" s="143">
        <f>SUMIFS('январь 2026'!$G$2:$G$2684,'январь 2026'!$D$2:$D$2684,$B67,'январь 2026'!$J$2:$J$2684,W$1)</f>
        <v>0</v>
      </c>
      <c r="X67" s="143">
        <f>SUMIFS('январь 2026'!$G$2:$G$2684,'январь 2026'!$D$2:$D$2684,$B67,'январь 2026'!$J$2:$J$2684,X$1)</f>
        <v>0</v>
      </c>
      <c r="Y67" s="143">
        <f>SUMIFS('январь 2026'!$G$2:$G$2684,'январь 2026'!$D$2:$D$2684,$B67,'январь 2026'!$J$2:$J$2684,Y$1)</f>
        <v>0</v>
      </c>
      <c r="Z67" s="143">
        <f>SUMIFS('январь 2026'!$G$2:$G$2684,'январь 2026'!$D$2:$D$2684,$B67,'январь 2026'!$J$2:$J$2684,Z$1)</f>
        <v>0</v>
      </c>
      <c r="AA67" s="143">
        <f>SUMIFS('январь 2026'!$G$2:$G$2684,'январь 2026'!$D$2:$D$2684,$B67,'январь 2026'!$J$2:$J$2684,AA$1)</f>
        <v>0</v>
      </c>
      <c r="AB67" s="143">
        <f>SUMIFS('январь 2026'!$G$2:$G$2684,'январь 2026'!$D$2:$D$2684,$B67,'январь 2026'!$J$2:$J$2684,AB$1)</f>
        <v>0</v>
      </c>
      <c r="AC67" s="143">
        <f>SUMIFS('январь 2026'!$G$2:$G$2684,'январь 2026'!$D$2:$D$2684,$B67,'январь 2026'!$J$2:$J$2684,AC$1)</f>
        <v>0</v>
      </c>
      <c r="AD67" s="143">
        <f>SUMIFS('январь 2026'!$G$2:$G$2684,'январь 2026'!$D$2:$D$2684,$B67,'январь 2026'!$J$2:$J$2684,AD$1)</f>
        <v>0</v>
      </c>
      <c r="AE67" s="143">
        <f>SUMIFS('январь 2026'!$G$2:$G$2684,'январь 2026'!$D$2:$D$2684,$B67,'январь 2026'!$J$2:$J$2684,AE$1)</f>
        <v>0</v>
      </c>
      <c r="AF67" s="143">
        <f>SUMIFS('январь 2026'!$G$2:$G$2684,'январь 2026'!$D$2:$D$2684,$B67,'январь 2026'!$J$2:$J$2684,AF$1)</f>
        <v>0</v>
      </c>
      <c r="AG67" s="143">
        <f>SUMIFS('январь 2026'!$G$2:$G$2684,'январь 2026'!$D$2:$D$2684,$B67,'январь 2026'!$J$2:$J$2684,AG$1)</f>
        <v>0</v>
      </c>
      <c r="AH67" s="143">
        <f>SUMIFS('январь 2026'!$G$2:$G$2684,'январь 2026'!$D$2:$D$2684,$B67,'январь 2026'!$J$2:$J$2684,AH$1)</f>
        <v>0</v>
      </c>
      <c r="AI67" s="20">
        <f t="shared" si="1"/>
        <v>0</v>
      </c>
    </row>
    <row r="68" spans="2:35" ht="15" customHeight="1" x14ac:dyDescent="0.25">
      <c r="B68" s="84" t="s">
        <v>159</v>
      </c>
      <c r="C68" s="83">
        <v>200</v>
      </c>
      <c r="D68" s="144">
        <f>SUMIFS('январь 2026'!$G$2:$G$2684,'январь 2026'!$D$2:$D$2684,$B68,'январь 2026'!$J$2:$J$2684,D$1)</f>
        <v>0</v>
      </c>
      <c r="E68" s="144">
        <f>SUMIFS('январь 2026'!$G$2:$G$2684,'январь 2026'!$D$2:$D$2684,$B68,'январь 2026'!$J$2:$J$2684,E$1)</f>
        <v>0</v>
      </c>
      <c r="F68" s="144">
        <f>SUMIFS('январь 2026'!$G$2:$G$2684,'январь 2026'!$D$2:$D$2684,$B68,'январь 2026'!$J$2:$J$2684,F$1)</f>
        <v>0</v>
      </c>
      <c r="G68" s="144">
        <f>SUMIFS('январь 2026'!$G$2:$G$2684,'январь 2026'!$D$2:$D$2684,$B68,'январь 2026'!$J$2:$J$2684,G$1)</f>
        <v>0</v>
      </c>
      <c r="H68" s="144">
        <f>SUMIFS('январь 2026'!$G$2:$G$2684,'январь 2026'!$D$2:$D$2684,$B68,'январь 2026'!$J$2:$J$2684,H$1)</f>
        <v>0</v>
      </c>
      <c r="I68" s="144">
        <f>SUMIFS('январь 2026'!$G$2:$G$2684,'январь 2026'!$D$2:$D$2684,$B68,'январь 2026'!$J$2:$J$2684,I$1)</f>
        <v>0</v>
      </c>
      <c r="J68" s="144">
        <f>SUMIFS('январь 2026'!$G$2:$G$2684,'январь 2026'!$D$2:$D$2684,$B68,'январь 2026'!$J$2:$J$2684,J$1)</f>
        <v>0</v>
      </c>
      <c r="K68" s="144">
        <f>SUMIFS('январь 2026'!$G$2:$G$2684,'январь 2026'!$D$2:$D$2684,$B68,'январь 2026'!$J$2:$J$2684,K$1)</f>
        <v>0</v>
      </c>
      <c r="L68" s="144">
        <f>SUMIFS('январь 2026'!$G$2:$G$2684,'январь 2026'!$D$2:$D$2684,$B68,'январь 2026'!$J$2:$J$2684,L$1)</f>
        <v>0</v>
      </c>
      <c r="M68" s="144">
        <f>SUMIFS('январь 2026'!$G$2:$G$2684,'январь 2026'!$D$2:$D$2684,$B68,'январь 2026'!$J$2:$J$2684,M$1)</f>
        <v>0</v>
      </c>
      <c r="N68" s="144">
        <f>SUMIFS('январь 2026'!$G$2:$G$2684,'январь 2026'!$D$2:$D$2684,$B68,'январь 2026'!$J$2:$J$2684,N$1)</f>
        <v>0</v>
      </c>
      <c r="O68" s="144">
        <f>SUMIFS('январь 2026'!$G$2:$G$2684,'январь 2026'!$D$2:$D$2684,$B68,'январь 2026'!$J$2:$J$2684,O$1)</f>
        <v>0</v>
      </c>
      <c r="P68" s="144">
        <f>SUMIFS('январь 2026'!$G$2:$G$2684,'январь 2026'!$D$2:$D$2684,$B68,'январь 2026'!$J$2:$J$2684,P$1)</f>
        <v>0</v>
      </c>
      <c r="Q68" s="144">
        <f>SUMIFS('январь 2026'!$G$2:$G$2684,'январь 2026'!$D$2:$D$2684,$B68,'январь 2026'!$J$2:$J$2684,Q$1)</f>
        <v>0</v>
      </c>
      <c r="R68" s="144">
        <f>SUMIFS('январь 2026'!$G$2:$G$2684,'январь 2026'!$D$2:$D$2684,$B68,'январь 2026'!$J$2:$J$2684,R$1)</f>
        <v>0</v>
      </c>
      <c r="S68" s="144">
        <f>SUMIFS('январь 2026'!$G$2:$G$2684,'январь 2026'!$D$2:$D$2684,$B68,'январь 2026'!$J$2:$J$2684,S$1)</f>
        <v>0</v>
      </c>
      <c r="T68" s="144">
        <f>SUMIFS('январь 2026'!$G$2:$G$2684,'январь 2026'!$D$2:$D$2684,$B68,'январь 2026'!$J$2:$J$2684,T$1)</f>
        <v>0</v>
      </c>
      <c r="U68" s="144">
        <f>SUMIFS('январь 2026'!$G$2:$G$2684,'январь 2026'!$D$2:$D$2684,$B68,'январь 2026'!$J$2:$J$2684,U$1)</f>
        <v>0</v>
      </c>
      <c r="V68" s="144">
        <f>SUMIFS('январь 2026'!$G$2:$G$2684,'январь 2026'!$D$2:$D$2684,$B68,'январь 2026'!$J$2:$J$2684,V$1)</f>
        <v>0</v>
      </c>
      <c r="W68" s="144">
        <f>SUMIFS('январь 2026'!$G$2:$G$2684,'январь 2026'!$D$2:$D$2684,$B68,'январь 2026'!$J$2:$J$2684,W$1)</f>
        <v>0</v>
      </c>
      <c r="X68" s="144">
        <f>SUMIFS('январь 2026'!$G$2:$G$2684,'январь 2026'!$D$2:$D$2684,$B68,'январь 2026'!$J$2:$J$2684,X$1)</f>
        <v>0</v>
      </c>
      <c r="Y68" s="144">
        <f>SUMIFS('январь 2026'!$G$2:$G$2684,'январь 2026'!$D$2:$D$2684,$B68,'январь 2026'!$J$2:$J$2684,Y$1)</f>
        <v>0</v>
      </c>
      <c r="Z68" s="144">
        <f>SUMIFS('январь 2026'!$G$2:$G$2684,'январь 2026'!$D$2:$D$2684,$B68,'январь 2026'!$J$2:$J$2684,Z$1)</f>
        <v>0</v>
      </c>
      <c r="AA68" s="144">
        <f>SUMIFS('январь 2026'!$G$2:$G$2684,'январь 2026'!$D$2:$D$2684,$B68,'январь 2026'!$J$2:$J$2684,AA$1)</f>
        <v>0</v>
      </c>
      <c r="AB68" s="144">
        <f>SUMIFS('январь 2026'!$G$2:$G$2684,'январь 2026'!$D$2:$D$2684,$B68,'январь 2026'!$J$2:$J$2684,AB$1)</f>
        <v>0</v>
      </c>
      <c r="AC68" s="144">
        <f>SUMIFS('январь 2026'!$G$2:$G$2684,'январь 2026'!$D$2:$D$2684,$B68,'январь 2026'!$J$2:$J$2684,AC$1)</f>
        <v>0</v>
      </c>
      <c r="AD68" s="144">
        <f>SUMIFS('январь 2026'!$G$2:$G$2684,'январь 2026'!$D$2:$D$2684,$B68,'январь 2026'!$J$2:$J$2684,AD$1)</f>
        <v>0</v>
      </c>
      <c r="AE68" s="144">
        <f>SUMIFS('январь 2026'!$G$2:$G$2684,'январь 2026'!$D$2:$D$2684,$B68,'январь 2026'!$J$2:$J$2684,AE$1)</f>
        <v>0</v>
      </c>
      <c r="AF68" s="144">
        <f>SUMIFS('январь 2026'!$G$2:$G$2684,'январь 2026'!$D$2:$D$2684,$B68,'январь 2026'!$J$2:$J$2684,AF$1)</f>
        <v>0</v>
      </c>
      <c r="AG68" s="144">
        <f>SUMIFS('январь 2026'!$G$2:$G$2684,'январь 2026'!$D$2:$D$2684,$B68,'январь 2026'!$J$2:$J$2684,AG$1)</f>
        <v>0</v>
      </c>
      <c r="AH68" s="144">
        <f>SUMIFS('январь 2026'!$G$2:$G$2684,'январь 2026'!$D$2:$D$2684,$B68,'январь 2026'!$J$2:$J$2684,AH$1)</f>
        <v>0</v>
      </c>
      <c r="AI68" s="20">
        <f t="shared" si="1"/>
        <v>0</v>
      </c>
    </row>
    <row r="69" spans="2:35" ht="15" customHeight="1" x14ac:dyDescent="0.25">
      <c r="B69" s="84" t="s">
        <v>295</v>
      </c>
      <c r="C69" s="83">
        <v>50</v>
      </c>
      <c r="D69" s="144">
        <f>SUMIFS('январь 2026'!$G$2:$G$2684,'январь 2026'!$D$2:$D$2684,$B69,'январь 2026'!$J$2:$J$2684,D$1)</f>
        <v>0</v>
      </c>
      <c r="E69" s="144">
        <f>SUMIFS('январь 2026'!$G$2:$G$2684,'январь 2026'!$D$2:$D$2684,$B69,'январь 2026'!$J$2:$J$2684,E$1)</f>
        <v>0</v>
      </c>
      <c r="F69" s="144">
        <f>SUMIFS('январь 2026'!$G$2:$G$2684,'январь 2026'!$D$2:$D$2684,$B69,'январь 2026'!$J$2:$J$2684,F$1)</f>
        <v>0</v>
      </c>
      <c r="G69" s="144">
        <f>SUMIFS('январь 2026'!$G$2:$G$2684,'январь 2026'!$D$2:$D$2684,$B69,'январь 2026'!$J$2:$J$2684,G$1)</f>
        <v>0</v>
      </c>
      <c r="H69" s="144">
        <f>SUMIFS('январь 2026'!$G$2:$G$2684,'январь 2026'!$D$2:$D$2684,$B69,'январь 2026'!$J$2:$J$2684,H$1)</f>
        <v>0</v>
      </c>
      <c r="I69" s="144">
        <f>SUMIFS('январь 2026'!$G$2:$G$2684,'январь 2026'!$D$2:$D$2684,$B69,'январь 2026'!$J$2:$J$2684,I$1)</f>
        <v>0</v>
      </c>
      <c r="J69" s="144">
        <f>SUMIFS('январь 2026'!$G$2:$G$2684,'январь 2026'!$D$2:$D$2684,$B69,'январь 2026'!$J$2:$J$2684,J$1)</f>
        <v>0</v>
      </c>
      <c r="K69" s="144">
        <f>SUMIFS('январь 2026'!$G$2:$G$2684,'январь 2026'!$D$2:$D$2684,$B69,'январь 2026'!$J$2:$J$2684,K$1)</f>
        <v>0</v>
      </c>
      <c r="L69" s="144">
        <f>SUMIFS('январь 2026'!$G$2:$G$2684,'январь 2026'!$D$2:$D$2684,$B69,'январь 2026'!$J$2:$J$2684,L$1)</f>
        <v>0</v>
      </c>
      <c r="M69" s="144">
        <f>SUMIFS('январь 2026'!$G$2:$G$2684,'январь 2026'!$D$2:$D$2684,$B69,'январь 2026'!$J$2:$J$2684,M$1)</f>
        <v>0</v>
      </c>
      <c r="N69" s="144">
        <f>SUMIFS('январь 2026'!$G$2:$G$2684,'январь 2026'!$D$2:$D$2684,$B69,'январь 2026'!$J$2:$J$2684,N$1)</f>
        <v>0</v>
      </c>
      <c r="O69" s="144">
        <f>SUMIFS('январь 2026'!$G$2:$G$2684,'январь 2026'!$D$2:$D$2684,$B69,'январь 2026'!$J$2:$J$2684,O$1)</f>
        <v>0</v>
      </c>
      <c r="P69" s="144">
        <f>SUMIFS('январь 2026'!$G$2:$G$2684,'январь 2026'!$D$2:$D$2684,$B69,'январь 2026'!$J$2:$J$2684,P$1)</f>
        <v>0</v>
      </c>
      <c r="Q69" s="144">
        <f>SUMIFS('январь 2026'!$G$2:$G$2684,'январь 2026'!$D$2:$D$2684,$B69,'январь 2026'!$J$2:$J$2684,Q$1)</f>
        <v>0</v>
      </c>
      <c r="R69" s="144">
        <f>SUMIFS('январь 2026'!$G$2:$G$2684,'январь 2026'!$D$2:$D$2684,$B69,'январь 2026'!$J$2:$J$2684,R$1)</f>
        <v>0</v>
      </c>
      <c r="S69" s="144">
        <f>SUMIFS('январь 2026'!$G$2:$G$2684,'январь 2026'!$D$2:$D$2684,$B69,'январь 2026'!$J$2:$J$2684,S$1)</f>
        <v>0</v>
      </c>
      <c r="T69" s="144">
        <f>SUMIFS('январь 2026'!$G$2:$G$2684,'январь 2026'!$D$2:$D$2684,$B69,'январь 2026'!$J$2:$J$2684,T$1)</f>
        <v>0</v>
      </c>
      <c r="U69" s="144">
        <f>SUMIFS('январь 2026'!$G$2:$G$2684,'январь 2026'!$D$2:$D$2684,$B69,'январь 2026'!$J$2:$J$2684,U$1)</f>
        <v>0</v>
      </c>
      <c r="V69" s="144">
        <f>SUMIFS('январь 2026'!$G$2:$G$2684,'январь 2026'!$D$2:$D$2684,$B69,'январь 2026'!$J$2:$J$2684,V$1)</f>
        <v>0</v>
      </c>
      <c r="W69" s="144">
        <f>SUMIFS('январь 2026'!$G$2:$G$2684,'январь 2026'!$D$2:$D$2684,$B69,'январь 2026'!$J$2:$J$2684,W$1)</f>
        <v>0</v>
      </c>
      <c r="X69" s="144">
        <f>SUMIFS('январь 2026'!$G$2:$G$2684,'январь 2026'!$D$2:$D$2684,$B69,'январь 2026'!$J$2:$J$2684,X$1)</f>
        <v>0</v>
      </c>
      <c r="Y69" s="144">
        <f>SUMIFS('январь 2026'!$G$2:$G$2684,'январь 2026'!$D$2:$D$2684,$B69,'январь 2026'!$J$2:$J$2684,Y$1)</f>
        <v>0</v>
      </c>
      <c r="Z69" s="144">
        <f>SUMIFS('январь 2026'!$G$2:$G$2684,'январь 2026'!$D$2:$D$2684,$B69,'январь 2026'!$J$2:$J$2684,Z$1)</f>
        <v>0</v>
      </c>
      <c r="AA69" s="144">
        <f>SUMIFS('январь 2026'!$G$2:$G$2684,'январь 2026'!$D$2:$D$2684,$B69,'январь 2026'!$J$2:$J$2684,AA$1)</f>
        <v>0</v>
      </c>
      <c r="AB69" s="144">
        <f>SUMIFS('январь 2026'!$G$2:$G$2684,'январь 2026'!$D$2:$D$2684,$B69,'январь 2026'!$J$2:$J$2684,AB$1)</f>
        <v>0</v>
      </c>
      <c r="AC69" s="144">
        <f>SUMIFS('январь 2026'!$G$2:$G$2684,'январь 2026'!$D$2:$D$2684,$B69,'январь 2026'!$J$2:$J$2684,AC$1)</f>
        <v>0</v>
      </c>
      <c r="AD69" s="144">
        <f>SUMIFS('январь 2026'!$G$2:$G$2684,'январь 2026'!$D$2:$D$2684,$B69,'январь 2026'!$J$2:$J$2684,AD$1)</f>
        <v>0</v>
      </c>
      <c r="AE69" s="144">
        <f>SUMIFS('январь 2026'!$G$2:$G$2684,'январь 2026'!$D$2:$D$2684,$B69,'январь 2026'!$J$2:$J$2684,AE$1)</f>
        <v>0</v>
      </c>
      <c r="AF69" s="144">
        <f>SUMIFS('январь 2026'!$G$2:$G$2684,'январь 2026'!$D$2:$D$2684,$B69,'январь 2026'!$J$2:$J$2684,AF$1)</f>
        <v>0</v>
      </c>
      <c r="AG69" s="144">
        <f>SUMIFS('январь 2026'!$G$2:$G$2684,'январь 2026'!$D$2:$D$2684,$B69,'январь 2026'!$J$2:$J$2684,AG$1)</f>
        <v>0</v>
      </c>
      <c r="AH69" s="144">
        <f>SUMIFS('январь 2026'!$G$2:$G$2684,'январь 2026'!$D$2:$D$2684,$B69,'январь 2026'!$J$2:$J$2684,AH$1)</f>
        <v>0</v>
      </c>
      <c r="AI69" s="20">
        <f t="shared" si="1"/>
        <v>0</v>
      </c>
    </row>
    <row r="70" spans="2:35" ht="15" customHeight="1" x14ac:dyDescent="0.25">
      <c r="B70" s="85" t="s">
        <v>196</v>
      </c>
      <c r="C70" s="83">
        <v>200</v>
      </c>
      <c r="D70" s="144">
        <f>SUMIFS('январь 2026'!$G$2:$G$2684,'январь 2026'!$D$2:$D$2684,$B70,'январь 2026'!$J$2:$J$2684,D$1)</f>
        <v>0</v>
      </c>
      <c r="E70" s="144">
        <f>SUMIFS('январь 2026'!$G$2:$G$2684,'январь 2026'!$D$2:$D$2684,$B70,'январь 2026'!$J$2:$J$2684,E$1)</f>
        <v>0</v>
      </c>
      <c r="F70" s="144">
        <f>SUMIFS('январь 2026'!$G$2:$G$2684,'январь 2026'!$D$2:$D$2684,$B70,'январь 2026'!$J$2:$J$2684,F$1)</f>
        <v>0</v>
      </c>
      <c r="G70" s="144">
        <f>SUMIFS('январь 2026'!$G$2:$G$2684,'январь 2026'!$D$2:$D$2684,$B70,'январь 2026'!$J$2:$J$2684,G$1)</f>
        <v>0</v>
      </c>
      <c r="H70" s="144">
        <f>SUMIFS('январь 2026'!$G$2:$G$2684,'январь 2026'!$D$2:$D$2684,$B70,'январь 2026'!$J$2:$J$2684,H$1)</f>
        <v>0</v>
      </c>
      <c r="I70" s="144">
        <f>SUMIFS('январь 2026'!$G$2:$G$2684,'январь 2026'!$D$2:$D$2684,$B70,'январь 2026'!$J$2:$J$2684,I$1)</f>
        <v>0</v>
      </c>
      <c r="J70" s="144">
        <f>SUMIFS('январь 2026'!$G$2:$G$2684,'январь 2026'!$D$2:$D$2684,$B70,'январь 2026'!$J$2:$J$2684,J$1)</f>
        <v>0</v>
      </c>
      <c r="K70" s="144">
        <f>SUMIFS('январь 2026'!$G$2:$G$2684,'январь 2026'!$D$2:$D$2684,$B70,'январь 2026'!$J$2:$J$2684,K$1)</f>
        <v>0</v>
      </c>
      <c r="L70" s="144">
        <f>SUMIFS('январь 2026'!$G$2:$G$2684,'январь 2026'!$D$2:$D$2684,$B70,'январь 2026'!$J$2:$J$2684,L$1)</f>
        <v>0</v>
      </c>
      <c r="M70" s="144">
        <f>SUMIFS('январь 2026'!$G$2:$G$2684,'январь 2026'!$D$2:$D$2684,$B70,'январь 2026'!$J$2:$J$2684,M$1)</f>
        <v>0</v>
      </c>
      <c r="N70" s="144">
        <f>SUMIFS('январь 2026'!$G$2:$G$2684,'январь 2026'!$D$2:$D$2684,$B70,'январь 2026'!$J$2:$J$2684,N$1)</f>
        <v>0</v>
      </c>
      <c r="O70" s="144">
        <f>SUMIFS('январь 2026'!$G$2:$G$2684,'январь 2026'!$D$2:$D$2684,$B70,'январь 2026'!$J$2:$J$2684,O$1)</f>
        <v>0</v>
      </c>
      <c r="P70" s="144">
        <f>SUMIFS('январь 2026'!$G$2:$G$2684,'январь 2026'!$D$2:$D$2684,$B70,'январь 2026'!$J$2:$J$2684,P$1)</f>
        <v>0</v>
      </c>
      <c r="Q70" s="144">
        <f>SUMIFS('январь 2026'!$G$2:$G$2684,'январь 2026'!$D$2:$D$2684,$B70,'январь 2026'!$J$2:$J$2684,Q$1)</f>
        <v>0</v>
      </c>
      <c r="R70" s="144">
        <f>SUMIFS('январь 2026'!$G$2:$G$2684,'январь 2026'!$D$2:$D$2684,$B70,'январь 2026'!$J$2:$J$2684,R$1)</f>
        <v>0</v>
      </c>
      <c r="S70" s="144">
        <f>SUMIFS('январь 2026'!$G$2:$G$2684,'январь 2026'!$D$2:$D$2684,$B70,'январь 2026'!$J$2:$J$2684,S$1)</f>
        <v>0</v>
      </c>
      <c r="T70" s="144">
        <f>SUMIFS('январь 2026'!$G$2:$G$2684,'январь 2026'!$D$2:$D$2684,$B70,'январь 2026'!$J$2:$J$2684,T$1)</f>
        <v>0</v>
      </c>
      <c r="U70" s="144">
        <f>SUMIFS('январь 2026'!$G$2:$G$2684,'январь 2026'!$D$2:$D$2684,$B70,'январь 2026'!$J$2:$J$2684,U$1)</f>
        <v>0</v>
      </c>
      <c r="V70" s="144">
        <f>SUMIFS('январь 2026'!$G$2:$G$2684,'январь 2026'!$D$2:$D$2684,$B70,'январь 2026'!$J$2:$J$2684,V$1)</f>
        <v>0</v>
      </c>
      <c r="W70" s="144">
        <f>SUMIFS('январь 2026'!$G$2:$G$2684,'январь 2026'!$D$2:$D$2684,$B70,'январь 2026'!$J$2:$J$2684,W$1)</f>
        <v>0</v>
      </c>
      <c r="X70" s="144">
        <f>SUMIFS('январь 2026'!$G$2:$G$2684,'январь 2026'!$D$2:$D$2684,$B70,'январь 2026'!$J$2:$J$2684,X$1)</f>
        <v>0</v>
      </c>
      <c r="Y70" s="144">
        <f>SUMIFS('январь 2026'!$G$2:$G$2684,'январь 2026'!$D$2:$D$2684,$B70,'январь 2026'!$J$2:$J$2684,Y$1)</f>
        <v>0</v>
      </c>
      <c r="Z70" s="144">
        <f>SUMIFS('январь 2026'!$G$2:$G$2684,'январь 2026'!$D$2:$D$2684,$B70,'январь 2026'!$J$2:$J$2684,Z$1)</f>
        <v>0</v>
      </c>
      <c r="AA70" s="144">
        <f>SUMIFS('январь 2026'!$G$2:$G$2684,'январь 2026'!$D$2:$D$2684,$B70,'январь 2026'!$J$2:$J$2684,AA$1)</f>
        <v>0</v>
      </c>
      <c r="AB70" s="144">
        <f>SUMIFS('январь 2026'!$G$2:$G$2684,'январь 2026'!$D$2:$D$2684,$B70,'январь 2026'!$J$2:$J$2684,AB$1)</f>
        <v>0</v>
      </c>
      <c r="AC70" s="144">
        <f>SUMIFS('январь 2026'!$G$2:$G$2684,'январь 2026'!$D$2:$D$2684,$B70,'январь 2026'!$J$2:$J$2684,AC$1)</f>
        <v>0</v>
      </c>
      <c r="AD70" s="144">
        <f>SUMIFS('январь 2026'!$G$2:$G$2684,'январь 2026'!$D$2:$D$2684,$B70,'январь 2026'!$J$2:$J$2684,AD$1)</f>
        <v>0</v>
      </c>
      <c r="AE70" s="144">
        <f>SUMIFS('январь 2026'!$G$2:$G$2684,'январь 2026'!$D$2:$D$2684,$B70,'январь 2026'!$J$2:$J$2684,AE$1)</f>
        <v>0</v>
      </c>
      <c r="AF70" s="144">
        <f>SUMIFS('январь 2026'!$G$2:$G$2684,'январь 2026'!$D$2:$D$2684,$B70,'январь 2026'!$J$2:$J$2684,AF$1)</f>
        <v>0</v>
      </c>
      <c r="AG70" s="144">
        <f>SUMIFS('январь 2026'!$G$2:$G$2684,'январь 2026'!$D$2:$D$2684,$B70,'январь 2026'!$J$2:$J$2684,AG$1)</f>
        <v>0</v>
      </c>
      <c r="AH70" s="144">
        <f>SUMIFS('январь 2026'!$G$2:$G$2684,'январь 2026'!$D$2:$D$2684,$B70,'январь 2026'!$J$2:$J$2684,AH$1)</f>
        <v>0</v>
      </c>
      <c r="AI70" s="20">
        <f t="shared" si="1"/>
        <v>0</v>
      </c>
    </row>
    <row r="71" spans="2:35" ht="15" customHeight="1" x14ac:dyDescent="0.25">
      <c r="B71" s="85" t="s">
        <v>205</v>
      </c>
      <c r="C71" s="83">
        <v>25</v>
      </c>
      <c r="D71" s="144">
        <f>SUMIFS('январь 2026'!$G$2:$G$2684,'январь 2026'!$D$2:$D$2684,$B71,'январь 2026'!$J$2:$J$2684,D$1)</f>
        <v>0</v>
      </c>
      <c r="E71" s="144">
        <f>SUMIFS('январь 2026'!$G$2:$G$2684,'январь 2026'!$D$2:$D$2684,$B71,'январь 2026'!$J$2:$J$2684,E$1)</f>
        <v>0</v>
      </c>
      <c r="F71" s="144">
        <f>SUMIFS('январь 2026'!$G$2:$G$2684,'январь 2026'!$D$2:$D$2684,$B71,'январь 2026'!$J$2:$J$2684,F$1)</f>
        <v>0</v>
      </c>
      <c r="G71" s="144">
        <f>SUMIFS('январь 2026'!$G$2:$G$2684,'январь 2026'!$D$2:$D$2684,$B71,'январь 2026'!$J$2:$J$2684,G$1)</f>
        <v>0</v>
      </c>
      <c r="H71" s="144">
        <f>SUMIFS('январь 2026'!$G$2:$G$2684,'январь 2026'!$D$2:$D$2684,$B71,'январь 2026'!$J$2:$J$2684,H$1)</f>
        <v>0</v>
      </c>
      <c r="I71" s="144">
        <f>SUMIFS('январь 2026'!$G$2:$G$2684,'январь 2026'!$D$2:$D$2684,$B71,'январь 2026'!$J$2:$J$2684,I$1)</f>
        <v>0</v>
      </c>
      <c r="J71" s="144">
        <f>SUMIFS('январь 2026'!$G$2:$G$2684,'январь 2026'!$D$2:$D$2684,$B71,'январь 2026'!$J$2:$J$2684,J$1)</f>
        <v>0</v>
      </c>
      <c r="K71" s="144">
        <f>SUMIFS('январь 2026'!$G$2:$G$2684,'январь 2026'!$D$2:$D$2684,$B71,'январь 2026'!$J$2:$J$2684,K$1)</f>
        <v>0</v>
      </c>
      <c r="L71" s="144">
        <f>SUMIFS('январь 2026'!$G$2:$G$2684,'январь 2026'!$D$2:$D$2684,$B71,'январь 2026'!$J$2:$J$2684,L$1)</f>
        <v>0</v>
      </c>
      <c r="M71" s="144">
        <f>SUMIFS('январь 2026'!$G$2:$G$2684,'январь 2026'!$D$2:$D$2684,$B71,'январь 2026'!$J$2:$J$2684,M$1)</f>
        <v>0</v>
      </c>
      <c r="N71" s="144">
        <f>SUMIFS('январь 2026'!$G$2:$G$2684,'январь 2026'!$D$2:$D$2684,$B71,'январь 2026'!$J$2:$J$2684,N$1)</f>
        <v>0</v>
      </c>
      <c r="O71" s="144">
        <f>SUMIFS('январь 2026'!$G$2:$G$2684,'январь 2026'!$D$2:$D$2684,$B71,'январь 2026'!$J$2:$J$2684,O$1)</f>
        <v>0</v>
      </c>
      <c r="P71" s="144">
        <f>SUMIFS('январь 2026'!$G$2:$G$2684,'январь 2026'!$D$2:$D$2684,$B71,'январь 2026'!$J$2:$J$2684,P$1)</f>
        <v>0</v>
      </c>
      <c r="Q71" s="144">
        <f>SUMIFS('январь 2026'!$G$2:$G$2684,'январь 2026'!$D$2:$D$2684,$B71,'январь 2026'!$J$2:$J$2684,Q$1)</f>
        <v>0</v>
      </c>
      <c r="R71" s="144">
        <f>SUMIFS('январь 2026'!$G$2:$G$2684,'январь 2026'!$D$2:$D$2684,$B71,'январь 2026'!$J$2:$J$2684,R$1)</f>
        <v>0</v>
      </c>
      <c r="S71" s="144">
        <f>SUMIFS('январь 2026'!$G$2:$G$2684,'январь 2026'!$D$2:$D$2684,$B71,'январь 2026'!$J$2:$J$2684,S$1)</f>
        <v>0</v>
      </c>
      <c r="T71" s="144">
        <f>SUMIFS('январь 2026'!$G$2:$G$2684,'январь 2026'!$D$2:$D$2684,$B71,'январь 2026'!$J$2:$J$2684,T$1)</f>
        <v>0</v>
      </c>
      <c r="U71" s="144">
        <f>SUMIFS('январь 2026'!$G$2:$G$2684,'январь 2026'!$D$2:$D$2684,$B71,'январь 2026'!$J$2:$J$2684,U$1)</f>
        <v>0</v>
      </c>
      <c r="V71" s="144">
        <f>SUMIFS('январь 2026'!$G$2:$G$2684,'январь 2026'!$D$2:$D$2684,$B71,'январь 2026'!$J$2:$J$2684,V$1)</f>
        <v>0</v>
      </c>
      <c r="W71" s="144">
        <f>SUMIFS('январь 2026'!$G$2:$G$2684,'январь 2026'!$D$2:$D$2684,$B71,'январь 2026'!$J$2:$J$2684,W$1)</f>
        <v>0</v>
      </c>
      <c r="X71" s="144">
        <f>SUMIFS('январь 2026'!$G$2:$G$2684,'январь 2026'!$D$2:$D$2684,$B71,'январь 2026'!$J$2:$J$2684,X$1)</f>
        <v>0</v>
      </c>
      <c r="Y71" s="144">
        <f>SUMIFS('январь 2026'!$G$2:$G$2684,'январь 2026'!$D$2:$D$2684,$B71,'январь 2026'!$J$2:$J$2684,Y$1)</f>
        <v>0</v>
      </c>
      <c r="Z71" s="144">
        <f>SUMIFS('январь 2026'!$G$2:$G$2684,'январь 2026'!$D$2:$D$2684,$B71,'январь 2026'!$J$2:$J$2684,Z$1)</f>
        <v>0</v>
      </c>
      <c r="AA71" s="144">
        <f>SUMIFS('январь 2026'!$G$2:$G$2684,'январь 2026'!$D$2:$D$2684,$B71,'январь 2026'!$J$2:$J$2684,AA$1)</f>
        <v>0</v>
      </c>
      <c r="AB71" s="144">
        <f>SUMIFS('январь 2026'!$G$2:$G$2684,'январь 2026'!$D$2:$D$2684,$B71,'январь 2026'!$J$2:$J$2684,AB$1)</f>
        <v>0</v>
      </c>
      <c r="AC71" s="144">
        <f>SUMIFS('январь 2026'!$G$2:$G$2684,'январь 2026'!$D$2:$D$2684,$B71,'январь 2026'!$J$2:$J$2684,AC$1)</f>
        <v>0</v>
      </c>
      <c r="AD71" s="144">
        <f>SUMIFS('январь 2026'!$G$2:$G$2684,'январь 2026'!$D$2:$D$2684,$B71,'январь 2026'!$J$2:$J$2684,AD$1)</f>
        <v>0</v>
      </c>
      <c r="AE71" s="144">
        <f>SUMIFS('январь 2026'!$G$2:$G$2684,'январь 2026'!$D$2:$D$2684,$B71,'январь 2026'!$J$2:$J$2684,AE$1)</f>
        <v>0</v>
      </c>
      <c r="AF71" s="144">
        <f>SUMIFS('январь 2026'!$G$2:$G$2684,'январь 2026'!$D$2:$D$2684,$B71,'январь 2026'!$J$2:$J$2684,AF$1)</f>
        <v>0</v>
      </c>
      <c r="AG71" s="144">
        <f>SUMIFS('январь 2026'!$G$2:$G$2684,'январь 2026'!$D$2:$D$2684,$B71,'январь 2026'!$J$2:$J$2684,AG$1)</f>
        <v>0</v>
      </c>
      <c r="AH71" s="144">
        <f>SUMIFS('январь 2026'!$G$2:$G$2684,'январь 2026'!$D$2:$D$2684,$B71,'январь 2026'!$J$2:$J$2684,AH$1)</f>
        <v>0</v>
      </c>
      <c r="AI71" s="20">
        <f t="shared" si="1"/>
        <v>0</v>
      </c>
    </row>
    <row r="72" spans="2:35" ht="15" customHeight="1" x14ac:dyDescent="0.25">
      <c r="B72" s="85" t="s">
        <v>177</v>
      </c>
      <c r="C72" s="83">
        <v>50</v>
      </c>
      <c r="D72" s="144">
        <f>SUMIFS('январь 2026'!$G$2:$G$2684,'январь 2026'!$D$2:$D$2684,$B72,'январь 2026'!$J$2:$J$2684,D$1)</f>
        <v>0</v>
      </c>
      <c r="E72" s="144">
        <f>SUMIFS('январь 2026'!$G$2:$G$2684,'январь 2026'!$D$2:$D$2684,$B72,'январь 2026'!$J$2:$J$2684,E$1)</f>
        <v>0</v>
      </c>
      <c r="F72" s="144">
        <f>SUMIFS('январь 2026'!$G$2:$G$2684,'январь 2026'!$D$2:$D$2684,$B72,'январь 2026'!$J$2:$J$2684,F$1)</f>
        <v>0</v>
      </c>
      <c r="G72" s="144">
        <f>SUMIFS('январь 2026'!$G$2:$G$2684,'январь 2026'!$D$2:$D$2684,$B72,'январь 2026'!$J$2:$J$2684,G$1)</f>
        <v>0</v>
      </c>
      <c r="H72" s="144">
        <f>SUMIFS('январь 2026'!$G$2:$G$2684,'январь 2026'!$D$2:$D$2684,$B72,'январь 2026'!$J$2:$J$2684,H$1)</f>
        <v>0</v>
      </c>
      <c r="I72" s="144">
        <f>SUMIFS('январь 2026'!$G$2:$G$2684,'январь 2026'!$D$2:$D$2684,$B72,'январь 2026'!$J$2:$J$2684,I$1)</f>
        <v>0</v>
      </c>
      <c r="J72" s="144">
        <f>SUMIFS('январь 2026'!$G$2:$G$2684,'январь 2026'!$D$2:$D$2684,$B72,'январь 2026'!$J$2:$J$2684,J$1)</f>
        <v>0</v>
      </c>
      <c r="K72" s="144">
        <f>SUMIFS('январь 2026'!$G$2:$G$2684,'январь 2026'!$D$2:$D$2684,$B72,'январь 2026'!$J$2:$J$2684,K$1)</f>
        <v>0</v>
      </c>
      <c r="L72" s="144">
        <f>SUMIFS('январь 2026'!$G$2:$G$2684,'январь 2026'!$D$2:$D$2684,$B72,'январь 2026'!$J$2:$J$2684,L$1)</f>
        <v>0</v>
      </c>
      <c r="M72" s="144">
        <f>SUMIFS('январь 2026'!$G$2:$G$2684,'январь 2026'!$D$2:$D$2684,$B72,'январь 2026'!$J$2:$J$2684,M$1)</f>
        <v>0</v>
      </c>
      <c r="N72" s="144">
        <f>SUMIFS('январь 2026'!$G$2:$G$2684,'январь 2026'!$D$2:$D$2684,$B72,'январь 2026'!$J$2:$J$2684,N$1)</f>
        <v>0</v>
      </c>
      <c r="O72" s="144">
        <f>SUMIFS('январь 2026'!$G$2:$G$2684,'январь 2026'!$D$2:$D$2684,$B72,'январь 2026'!$J$2:$J$2684,O$1)</f>
        <v>0</v>
      </c>
      <c r="P72" s="144">
        <f>SUMIFS('январь 2026'!$G$2:$G$2684,'январь 2026'!$D$2:$D$2684,$B72,'январь 2026'!$J$2:$J$2684,P$1)</f>
        <v>0</v>
      </c>
      <c r="Q72" s="144">
        <f>SUMIFS('январь 2026'!$G$2:$G$2684,'январь 2026'!$D$2:$D$2684,$B72,'январь 2026'!$J$2:$J$2684,Q$1)</f>
        <v>0</v>
      </c>
      <c r="R72" s="144">
        <f>SUMIFS('январь 2026'!$G$2:$G$2684,'январь 2026'!$D$2:$D$2684,$B72,'январь 2026'!$J$2:$J$2684,R$1)</f>
        <v>0</v>
      </c>
      <c r="S72" s="144">
        <f>SUMIFS('январь 2026'!$G$2:$G$2684,'январь 2026'!$D$2:$D$2684,$B72,'январь 2026'!$J$2:$J$2684,S$1)</f>
        <v>0</v>
      </c>
      <c r="T72" s="144">
        <f>SUMIFS('январь 2026'!$G$2:$G$2684,'январь 2026'!$D$2:$D$2684,$B72,'январь 2026'!$J$2:$J$2684,T$1)</f>
        <v>0</v>
      </c>
      <c r="U72" s="144">
        <f>SUMIFS('январь 2026'!$G$2:$G$2684,'январь 2026'!$D$2:$D$2684,$B72,'январь 2026'!$J$2:$J$2684,U$1)</f>
        <v>0</v>
      </c>
      <c r="V72" s="144">
        <f>SUMIFS('январь 2026'!$G$2:$G$2684,'январь 2026'!$D$2:$D$2684,$B72,'январь 2026'!$J$2:$J$2684,V$1)</f>
        <v>0</v>
      </c>
      <c r="W72" s="144">
        <f>SUMIFS('январь 2026'!$G$2:$G$2684,'январь 2026'!$D$2:$D$2684,$B72,'январь 2026'!$J$2:$J$2684,W$1)</f>
        <v>0</v>
      </c>
      <c r="X72" s="144">
        <f>SUMIFS('январь 2026'!$G$2:$G$2684,'январь 2026'!$D$2:$D$2684,$B72,'январь 2026'!$J$2:$J$2684,X$1)</f>
        <v>0</v>
      </c>
      <c r="Y72" s="144">
        <f>SUMIFS('январь 2026'!$G$2:$G$2684,'январь 2026'!$D$2:$D$2684,$B72,'январь 2026'!$J$2:$J$2684,Y$1)</f>
        <v>0</v>
      </c>
      <c r="Z72" s="144">
        <f>SUMIFS('январь 2026'!$G$2:$G$2684,'январь 2026'!$D$2:$D$2684,$B72,'январь 2026'!$J$2:$J$2684,Z$1)</f>
        <v>0</v>
      </c>
      <c r="AA72" s="144">
        <f>SUMIFS('январь 2026'!$G$2:$G$2684,'январь 2026'!$D$2:$D$2684,$B72,'январь 2026'!$J$2:$J$2684,AA$1)</f>
        <v>0</v>
      </c>
      <c r="AB72" s="144">
        <f>SUMIFS('январь 2026'!$G$2:$G$2684,'январь 2026'!$D$2:$D$2684,$B72,'январь 2026'!$J$2:$J$2684,AB$1)</f>
        <v>0</v>
      </c>
      <c r="AC72" s="144">
        <f>SUMIFS('январь 2026'!$G$2:$G$2684,'январь 2026'!$D$2:$D$2684,$B72,'январь 2026'!$J$2:$J$2684,AC$1)</f>
        <v>0</v>
      </c>
      <c r="AD72" s="144">
        <f>SUMIFS('январь 2026'!$G$2:$G$2684,'январь 2026'!$D$2:$D$2684,$B72,'январь 2026'!$J$2:$J$2684,AD$1)</f>
        <v>0</v>
      </c>
      <c r="AE72" s="144">
        <f>SUMIFS('январь 2026'!$G$2:$G$2684,'январь 2026'!$D$2:$D$2684,$B72,'январь 2026'!$J$2:$J$2684,AE$1)</f>
        <v>0</v>
      </c>
      <c r="AF72" s="144">
        <f>SUMIFS('январь 2026'!$G$2:$G$2684,'январь 2026'!$D$2:$D$2684,$B72,'январь 2026'!$J$2:$J$2684,AF$1)</f>
        <v>0</v>
      </c>
      <c r="AG72" s="144">
        <f>SUMIFS('январь 2026'!$G$2:$G$2684,'январь 2026'!$D$2:$D$2684,$B72,'январь 2026'!$J$2:$J$2684,AG$1)</f>
        <v>0</v>
      </c>
      <c r="AH72" s="144">
        <f>SUMIFS('январь 2026'!$G$2:$G$2684,'январь 2026'!$D$2:$D$2684,$B72,'январь 2026'!$J$2:$J$2684,AH$1)</f>
        <v>0</v>
      </c>
      <c r="AI72" s="20">
        <f t="shared" si="1"/>
        <v>0</v>
      </c>
    </row>
    <row r="73" spans="2:35" ht="15.75" x14ac:dyDescent="0.25">
      <c r="B73" s="82" t="s">
        <v>157</v>
      </c>
      <c r="C73" s="81">
        <v>200</v>
      </c>
      <c r="D73" s="144">
        <f>SUMIFS('январь 2026'!$G$2:$G$2684,'январь 2026'!$D$2:$D$2684,$B73,'январь 2026'!$J$2:$J$2684,D$1)</f>
        <v>0</v>
      </c>
      <c r="E73" s="144">
        <f>SUMIFS('январь 2026'!$G$2:$G$2684,'январь 2026'!$D$2:$D$2684,$B73,'январь 2026'!$J$2:$J$2684,E$1)</f>
        <v>0</v>
      </c>
      <c r="F73" s="144">
        <f>SUMIFS('январь 2026'!$G$2:$G$2684,'январь 2026'!$D$2:$D$2684,$B73,'январь 2026'!$J$2:$J$2684,F$1)</f>
        <v>0</v>
      </c>
      <c r="G73" s="144">
        <f>SUMIFS('январь 2026'!$G$2:$G$2684,'январь 2026'!$D$2:$D$2684,$B73,'январь 2026'!$J$2:$J$2684,G$1)</f>
        <v>0</v>
      </c>
      <c r="H73" s="144">
        <f>SUMIFS('январь 2026'!$G$2:$G$2684,'январь 2026'!$D$2:$D$2684,$B73,'январь 2026'!$J$2:$J$2684,H$1)</f>
        <v>0</v>
      </c>
      <c r="I73" s="144">
        <f>SUMIFS('январь 2026'!$G$2:$G$2684,'январь 2026'!$D$2:$D$2684,$B73,'январь 2026'!$J$2:$J$2684,I$1)</f>
        <v>0</v>
      </c>
      <c r="J73" s="144">
        <f>SUMIFS('январь 2026'!$G$2:$G$2684,'январь 2026'!$D$2:$D$2684,$B73,'январь 2026'!$J$2:$J$2684,J$1)</f>
        <v>0</v>
      </c>
      <c r="K73" s="144">
        <f>SUMIFS('январь 2026'!$G$2:$G$2684,'январь 2026'!$D$2:$D$2684,$B73,'январь 2026'!$J$2:$J$2684,K$1)</f>
        <v>0</v>
      </c>
      <c r="L73" s="144">
        <f>SUMIFS('январь 2026'!$G$2:$G$2684,'январь 2026'!$D$2:$D$2684,$B73,'январь 2026'!$J$2:$J$2684,L$1)</f>
        <v>0</v>
      </c>
      <c r="M73" s="144">
        <f>SUMIFS('январь 2026'!$G$2:$G$2684,'январь 2026'!$D$2:$D$2684,$B73,'январь 2026'!$J$2:$J$2684,M$1)</f>
        <v>0</v>
      </c>
      <c r="N73" s="144">
        <f>SUMIFS('январь 2026'!$G$2:$G$2684,'январь 2026'!$D$2:$D$2684,$B73,'январь 2026'!$J$2:$J$2684,N$1)</f>
        <v>0</v>
      </c>
      <c r="O73" s="144">
        <f>SUMIFS('январь 2026'!$G$2:$G$2684,'январь 2026'!$D$2:$D$2684,$B73,'январь 2026'!$J$2:$J$2684,O$1)</f>
        <v>0</v>
      </c>
      <c r="P73" s="144">
        <f>SUMIFS('январь 2026'!$G$2:$G$2684,'январь 2026'!$D$2:$D$2684,$B73,'январь 2026'!$J$2:$J$2684,P$1)</f>
        <v>0</v>
      </c>
      <c r="Q73" s="144">
        <f>SUMIFS('январь 2026'!$G$2:$G$2684,'январь 2026'!$D$2:$D$2684,$B73,'январь 2026'!$J$2:$J$2684,Q$1)</f>
        <v>0</v>
      </c>
      <c r="R73" s="144">
        <f>SUMIFS('январь 2026'!$G$2:$G$2684,'январь 2026'!$D$2:$D$2684,$B73,'январь 2026'!$J$2:$J$2684,R$1)</f>
        <v>0</v>
      </c>
      <c r="S73" s="144">
        <f>SUMIFS('январь 2026'!$G$2:$G$2684,'январь 2026'!$D$2:$D$2684,$B73,'январь 2026'!$J$2:$J$2684,S$1)</f>
        <v>0</v>
      </c>
      <c r="T73" s="144">
        <f>SUMIFS('январь 2026'!$G$2:$G$2684,'январь 2026'!$D$2:$D$2684,$B73,'январь 2026'!$J$2:$J$2684,T$1)</f>
        <v>0</v>
      </c>
      <c r="U73" s="144">
        <f>SUMIFS('январь 2026'!$G$2:$G$2684,'январь 2026'!$D$2:$D$2684,$B73,'январь 2026'!$J$2:$J$2684,U$1)</f>
        <v>0</v>
      </c>
      <c r="V73" s="144">
        <f>SUMIFS('январь 2026'!$G$2:$G$2684,'январь 2026'!$D$2:$D$2684,$B73,'январь 2026'!$J$2:$J$2684,V$1)</f>
        <v>0</v>
      </c>
      <c r="W73" s="144">
        <f>SUMIFS('январь 2026'!$G$2:$G$2684,'январь 2026'!$D$2:$D$2684,$B73,'январь 2026'!$J$2:$J$2684,W$1)</f>
        <v>0</v>
      </c>
      <c r="X73" s="144">
        <f>SUMIFS('январь 2026'!$G$2:$G$2684,'январь 2026'!$D$2:$D$2684,$B73,'январь 2026'!$J$2:$J$2684,X$1)</f>
        <v>0</v>
      </c>
      <c r="Y73" s="144">
        <f>SUMIFS('январь 2026'!$G$2:$G$2684,'январь 2026'!$D$2:$D$2684,$B73,'январь 2026'!$J$2:$J$2684,Y$1)</f>
        <v>0</v>
      </c>
      <c r="Z73" s="144">
        <f>SUMIFS('январь 2026'!$G$2:$G$2684,'январь 2026'!$D$2:$D$2684,$B73,'январь 2026'!$J$2:$J$2684,Z$1)</f>
        <v>0</v>
      </c>
      <c r="AA73" s="144">
        <f>SUMIFS('январь 2026'!$G$2:$G$2684,'январь 2026'!$D$2:$D$2684,$B73,'январь 2026'!$J$2:$J$2684,AA$1)</f>
        <v>0</v>
      </c>
      <c r="AB73" s="144">
        <f>SUMIFS('январь 2026'!$G$2:$G$2684,'январь 2026'!$D$2:$D$2684,$B73,'январь 2026'!$J$2:$J$2684,AB$1)</f>
        <v>0</v>
      </c>
      <c r="AC73" s="144">
        <f>SUMIFS('январь 2026'!$G$2:$G$2684,'январь 2026'!$D$2:$D$2684,$B73,'январь 2026'!$J$2:$J$2684,AC$1)</f>
        <v>0</v>
      </c>
      <c r="AD73" s="144">
        <f>SUMIFS('январь 2026'!$G$2:$G$2684,'январь 2026'!$D$2:$D$2684,$B73,'январь 2026'!$J$2:$J$2684,AD$1)</f>
        <v>0</v>
      </c>
      <c r="AE73" s="144">
        <f>SUMIFS('январь 2026'!$G$2:$G$2684,'январь 2026'!$D$2:$D$2684,$B73,'январь 2026'!$J$2:$J$2684,AE$1)</f>
        <v>0</v>
      </c>
      <c r="AF73" s="144">
        <f>SUMIFS('январь 2026'!$G$2:$G$2684,'январь 2026'!$D$2:$D$2684,$B73,'январь 2026'!$J$2:$J$2684,AF$1)</f>
        <v>0</v>
      </c>
      <c r="AG73" s="144">
        <f>SUMIFS('январь 2026'!$G$2:$G$2684,'январь 2026'!$D$2:$D$2684,$B73,'январь 2026'!$J$2:$J$2684,AG$1)</f>
        <v>0</v>
      </c>
      <c r="AH73" s="144">
        <f>SUMIFS('январь 2026'!$G$2:$G$2684,'январь 2026'!$D$2:$D$2684,$B73,'январь 2026'!$J$2:$J$2684,AH$1)</f>
        <v>0</v>
      </c>
      <c r="AI73" s="20">
        <f t="shared" si="1"/>
        <v>0</v>
      </c>
    </row>
    <row r="74" spans="2:35" ht="15.75" x14ac:dyDescent="0.25">
      <c r="B74" s="85" t="s">
        <v>156</v>
      </c>
      <c r="C74" s="83">
        <v>200</v>
      </c>
      <c r="D74" s="144">
        <f>SUMIFS('январь 2026'!$G$2:$G$2684,'январь 2026'!$D$2:$D$2684,$B74,'январь 2026'!$J$2:$J$2684,D$1)</f>
        <v>0</v>
      </c>
      <c r="E74" s="144">
        <f>SUMIFS('январь 2026'!$G$2:$G$2684,'январь 2026'!$D$2:$D$2684,$B74,'январь 2026'!$J$2:$J$2684,E$1)</f>
        <v>0</v>
      </c>
      <c r="F74" s="144">
        <f>SUMIFS('январь 2026'!$G$2:$G$2684,'январь 2026'!$D$2:$D$2684,$B74,'январь 2026'!$J$2:$J$2684,F$1)</f>
        <v>0</v>
      </c>
      <c r="G74" s="144">
        <f>SUMIFS('январь 2026'!$G$2:$G$2684,'январь 2026'!$D$2:$D$2684,$B74,'январь 2026'!$J$2:$J$2684,G$1)</f>
        <v>0</v>
      </c>
      <c r="H74" s="144">
        <f>SUMIFS('январь 2026'!$G$2:$G$2684,'январь 2026'!$D$2:$D$2684,$B74,'январь 2026'!$J$2:$J$2684,H$1)</f>
        <v>0</v>
      </c>
      <c r="I74" s="144">
        <f>SUMIFS('январь 2026'!$G$2:$G$2684,'январь 2026'!$D$2:$D$2684,$B74,'январь 2026'!$J$2:$J$2684,I$1)</f>
        <v>0</v>
      </c>
      <c r="J74" s="144">
        <f>SUMIFS('январь 2026'!$G$2:$G$2684,'январь 2026'!$D$2:$D$2684,$B74,'январь 2026'!$J$2:$J$2684,J$1)</f>
        <v>0</v>
      </c>
      <c r="K74" s="144">
        <f>SUMIFS('январь 2026'!$G$2:$G$2684,'январь 2026'!$D$2:$D$2684,$B74,'январь 2026'!$J$2:$J$2684,K$1)</f>
        <v>0</v>
      </c>
      <c r="L74" s="144">
        <f>SUMIFS('январь 2026'!$G$2:$G$2684,'январь 2026'!$D$2:$D$2684,$B74,'январь 2026'!$J$2:$J$2684,L$1)</f>
        <v>0</v>
      </c>
      <c r="M74" s="144">
        <f>SUMIFS('январь 2026'!$G$2:$G$2684,'январь 2026'!$D$2:$D$2684,$B74,'январь 2026'!$J$2:$J$2684,M$1)</f>
        <v>0</v>
      </c>
      <c r="N74" s="144">
        <f>SUMIFS('январь 2026'!$G$2:$G$2684,'январь 2026'!$D$2:$D$2684,$B74,'январь 2026'!$J$2:$J$2684,N$1)</f>
        <v>0</v>
      </c>
      <c r="O74" s="144">
        <f>SUMIFS('январь 2026'!$G$2:$G$2684,'январь 2026'!$D$2:$D$2684,$B74,'январь 2026'!$J$2:$J$2684,O$1)</f>
        <v>0</v>
      </c>
      <c r="P74" s="144">
        <f>SUMIFS('январь 2026'!$G$2:$G$2684,'январь 2026'!$D$2:$D$2684,$B74,'январь 2026'!$J$2:$J$2684,P$1)</f>
        <v>0</v>
      </c>
      <c r="Q74" s="144">
        <f>SUMIFS('январь 2026'!$G$2:$G$2684,'январь 2026'!$D$2:$D$2684,$B74,'январь 2026'!$J$2:$J$2684,Q$1)</f>
        <v>0</v>
      </c>
      <c r="R74" s="144">
        <f>SUMIFS('январь 2026'!$G$2:$G$2684,'январь 2026'!$D$2:$D$2684,$B74,'январь 2026'!$J$2:$J$2684,R$1)</f>
        <v>88</v>
      </c>
      <c r="S74" s="144">
        <f>SUMIFS('январь 2026'!$G$2:$G$2684,'январь 2026'!$D$2:$D$2684,$B74,'январь 2026'!$J$2:$J$2684,S$1)</f>
        <v>88</v>
      </c>
      <c r="T74" s="144">
        <f>SUMIFS('январь 2026'!$G$2:$G$2684,'январь 2026'!$D$2:$D$2684,$B74,'январь 2026'!$J$2:$J$2684,T$1)</f>
        <v>0</v>
      </c>
      <c r="U74" s="144">
        <f>SUMIFS('январь 2026'!$G$2:$G$2684,'январь 2026'!$D$2:$D$2684,$B74,'январь 2026'!$J$2:$J$2684,U$1)</f>
        <v>0</v>
      </c>
      <c r="V74" s="144">
        <f>SUMIFS('январь 2026'!$G$2:$G$2684,'январь 2026'!$D$2:$D$2684,$B74,'январь 2026'!$J$2:$J$2684,V$1)</f>
        <v>0</v>
      </c>
      <c r="W74" s="144">
        <f>SUMIFS('январь 2026'!$G$2:$G$2684,'январь 2026'!$D$2:$D$2684,$B74,'январь 2026'!$J$2:$J$2684,W$1)</f>
        <v>0</v>
      </c>
      <c r="X74" s="144">
        <f>SUMIFS('январь 2026'!$G$2:$G$2684,'январь 2026'!$D$2:$D$2684,$B74,'январь 2026'!$J$2:$J$2684,X$1)</f>
        <v>0</v>
      </c>
      <c r="Y74" s="144">
        <f>SUMIFS('январь 2026'!$G$2:$G$2684,'январь 2026'!$D$2:$D$2684,$B74,'январь 2026'!$J$2:$J$2684,Y$1)</f>
        <v>0</v>
      </c>
      <c r="Z74" s="144">
        <f>SUMIFS('январь 2026'!$G$2:$G$2684,'январь 2026'!$D$2:$D$2684,$B74,'январь 2026'!$J$2:$J$2684,Z$1)</f>
        <v>0</v>
      </c>
      <c r="AA74" s="144">
        <f>SUMIFS('январь 2026'!$G$2:$G$2684,'январь 2026'!$D$2:$D$2684,$B74,'январь 2026'!$J$2:$J$2684,AA$1)</f>
        <v>0</v>
      </c>
      <c r="AB74" s="144">
        <f>SUMIFS('январь 2026'!$G$2:$G$2684,'январь 2026'!$D$2:$D$2684,$B74,'январь 2026'!$J$2:$J$2684,AB$1)</f>
        <v>0</v>
      </c>
      <c r="AC74" s="144">
        <f>SUMIFS('январь 2026'!$G$2:$G$2684,'январь 2026'!$D$2:$D$2684,$B74,'январь 2026'!$J$2:$J$2684,AC$1)</f>
        <v>0</v>
      </c>
      <c r="AD74" s="144">
        <f>SUMIFS('январь 2026'!$G$2:$G$2684,'январь 2026'!$D$2:$D$2684,$B74,'январь 2026'!$J$2:$J$2684,AD$1)</f>
        <v>0</v>
      </c>
      <c r="AE74" s="144">
        <f>SUMIFS('январь 2026'!$G$2:$G$2684,'январь 2026'!$D$2:$D$2684,$B74,'январь 2026'!$J$2:$J$2684,AE$1)</f>
        <v>0</v>
      </c>
      <c r="AF74" s="144">
        <f>SUMIFS('январь 2026'!$G$2:$G$2684,'январь 2026'!$D$2:$D$2684,$B74,'январь 2026'!$J$2:$J$2684,AF$1)</f>
        <v>264</v>
      </c>
      <c r="AG74" s="144">
        <f>SUMIFS('январь 2026'!$G$2:$G$2684,'январь 2026'!$D$2:$D$2684,$B74,'январь 2026'!$J$2:$J$2684,AG$1)</f>
        <v>0</v>
      </c>
      <c r="AH74" s="144">
        <f>SUMIFS('январь 2026'!$G$2:$G$2684,'январь 2026'!$D$2:$D$2684,$B74,'январь 2026'!$J$2:$J$2684,AH$1)</f>
        <v>0</v>
      </c>
      <c r="AI74" s="20">
        <f t="shared" si="1"/>
        <v>440</v>
      </c>
    </row>
    <row r="75" spans="2:35" ht="15.75" x14ac:dyDescent="0.25">
      <c r="B75" s="85" t="s">
        <v>287</v>
      </c>
      <c r="C75" s="83">
        <v>200</v>
      </c>
      <c r="D75" s="144">
        <f>SUMIFS('январь 2026'!$G$2:$G$2684,'январь 2026'!$D$2:$D$2684,$B75,'январь 2026'!$J$2:$J$2684,D$1)</f>
        <v>0</v>
      </c>
      <c r="E75" s="144">
        <f>SUMIFS('январь 2026'!$G$2:$G$2684,'январь 2026'!$D$2:$D$2684,$B75,'январь 2026'!$J$2:$J$2684,E$1)</f>
        <v>0</v>
      </c>
      <c r="F75" s="144">
        <f>SUMIFS('январь 2026'!$G$2:$G$2684,'январь 2026'!$D$2:$D$2684,$B75,'январь 2026'!$J$2:$J$2684,F$1)</f>
        <v>0</v>
      </c>
      <c r="G75" s="144">
        <f>SUMIFS('январь 2026'!$G$2:$G$2684,'январь 2026'!$D$2:$D$2684,$B75,'январь 2026'!$J$2:$J$2684,G$1)</f>
        <v>0</v>
      </c>
      <c r="H75" s="144">
        <f>SUMIFS('январь 2026'!$G$2:$G$2684,'январь 2026'!$D$2:$D$2684,$B75,'январь 2026'!$J$2:$J$2684,H$1)</f>
        <v>0</v>
      </c>
      <c r="I75" s="144">
        <f>SUMIFS('январь 2026'!$G$2:$G$2684,'январь 2026'!$D$2:$D$2684,$B75,'январь 2026'!$J$2:$J$2684,I$1)</f>
        <v>0</v>
      </c>
      <c r="J75" s="144">
        <f>SUMIFS('январь 2026'!$G$2:$G$2684,'январь 2026'!$D$2:$D$2684,$B75,'январь 2026'!$J$2:$J$2684,J$1)</f>
        <v>0</v>
      </c>
      <c r="K75" s="144">
        <f>SUMIFS('январь 2026'!$G$2:$G$2684,'январь 2026'!$D$2:$D$2684,$B75,'январь 2026'!$J$2:$J$2684,K$1)</f>
        <v>0</v>
      </c>
      <c r="L75" s="144">
        <f>SUMIFS('январь 2026'!$G$2:$G$2684,'январь 2026'!$D$2:$D$2684,$B75,'январь 2026'!$J$2:$J$2684,L$1)</f>
        <v>0</v>
      </c>
      <c r="M75" s="144">
        <f>SUMIFS('январь 2026'!$G$2:$G$2684,'январь 2026'!$D$2:$D$2684,$B75,'январь 2026'!$J$2:$J$2684,M$1)</f>
        <v>0</v>
      </c>
      <c r="N75" s="144">
        <f>SUMIFS('январь 2026'!$G$2:$G$2684,'январь 2026'!$D$2:$D$2684,$B75,'январь 2026'!$J$2:$J$2684,N$1)</f>
        <v>0</v>
      </c>
      <c r="O75" s="144">
        <f>SUMIFS('январь 2026'!$G$2:$G$2684,'январь 2026'!$D$2:$D$2684,$B75,'январь 2026'!$J$2:$J$2684,O$1)</f>
        <v>0</v>
      </c>
      <c r="P75" s="144">
        <f>SUMIFS('январь 2026'!$G$2:$G$2684,'январь 2026'!$D$2:$D$2684,$B75,'январь 2026'!$J$2:$J$2684,P$1)</f>
        <v>0</v>
      </c>
      <c r="Q75" s="144">
        <f>SUMIFS('январь 2026'!$G$2:$G$2684,'январь 2026'!$D$2:$D$2684,$B75,'январь 2026'!$J$2:$J$2684,Q$1)</f>
        <v>0</v>
      </c>
      <c r="R75" s="144">
        <f>SUMIFS('январь 2026'!$G$2:$G$2684,'январь 2026'!$D$2:$D$2684,$B75,'январь 2026'!$J$2:$J$2684,R$1)</f>
        <v>0</v>
      </c>
      <c r="S75" s="144">
        <f>SUMIFS('январь 2026'!$G$2:$G$2684,'январь 2026'!$D$2:$D$2684,$B75,'январь 2026'!$J$2:$J$2684,S$1)</f>
        <v>0</v>
      </c>
      <c r="T75" s="144">
        <f>SUMIFS('январь 2026'!$G$2:$G$2684,'январь 2026'!$D$2:$D$2684,$B75,'январь 2026'!$J$2:$J$2684,T$1)</f>
        <v>0</v>
      </c>
      <c r="U75" s="144">
        <f>SUMIFS('январь 2026'!$G$2:$G$2684,'январь 2026'!$D$2:$D$2684,$B75,'январь 2026'!$J$2:$J$2684,U$1)</f>
        <v>0</v>
      </c>
      <c r="V75" s="144">
        <f>SUMIFS('январь 2026'!$G$2:$G$2684,'январь 2026'!$D$2:$D$2684,$B75,'январь 2026'!$J$2:$J$2684,V$1)</f>
        <v>0</v>
      </c>
      <c r="W75" s="144">
        <f>SUMIFS('январь 2026'!$G$2:$G$2684,'январь 2026'!$D$2:$D$2684,$B75,'январь 2026'!$J$2:$J$2684,W$1)</f>
        <v>0</v>
      </c>
      <c r="X75" s="144">
        <f>SUMIFS('январь 2026'!$G$2:$G$2684,'январь 2026'!$D$2:$D$2684,$B75,'январь 2026'!$J$2:$J$2684,X$1)</f>
        <v>0</v>
      </c>
      <c r="Y75" s="144">
        <f>SUMIFS('январь 2026'!$G$2:$G$2684,'январь 2026'!$D$2:$D$2684,$B75,'январь 2026'!$J$2:$J$2684,Y$1)</f>
        <v>0</v>
      </c>
      <c r="Z75" s="144">
        <f>SUMIFS('январь 2026'!$G$2:$G$2684,'январь 2026'!$D$2:$D$2684,$B75,'январь 2026'!$J$2:$J$2684,Z$1)</f>
        <v>0</v>
      </c>
      <c r="AA75" s="144">
        <f>SUMIFS('январь 2026'!$G$2:$G$2684,'январь 2026'!$D$2:$D$2684,$B75,'январь 2026'!$J$2:$J$2684,AA$1)</f>
        <v>0</v>
      </c>
      <c r="AB75" s="144">
        <f>SUMIFS('январь 2026'!$G$2:$G$2684,'январь 2026'!$D$2:$D$2684,$B75,'январь 2026'!$J$2:$J$2684,AB$1)</f>
        <v>0</v>
      </c>
      <c r="AC75" s="144">
        <f>SUMIFS('январь 2026'!$G$2:$G$2684,'январь 2026'!$D$2:$D$2684,$B75,'январь 2026'!$J$2:$J$2684,AC$1)</f>
        <v>0</v>
      </c>
      <c r="AD75" s="144">
        <f>SUMIFS('январь 2026'!$G$2:$G$2684,'январь 2026'!$D$2:$D$2684,$B75,'январь 2026'!$J$2:$J$2684,AD$1)</f>
        <v>0</v>
      </c>
      <c r="AE75" s="144">
        <f>SUMIFS('январь 2026'!$G$2:$G$2684,'январь 2026'!$D$2:$D$2684,$B75,'январь 2026'!$J$2:$J$2684,AE$1)</f>
        <v>0</v>
      </c>
      <c r="AF75" s="144">
        <f>SUMIFS('январь 2026'!$G$2:$G$2684,'январь 2026'!$D$2:$D$2684,$B75,'январь 2026'!$J$2:$J$2684,AF$1)</f>
        <v>0</v>
      </c>
      <c r="AG75" s="144">
        <f>SUMIFS('январь 2026'!$G$2:$G$2684,'январь 2026'!$D$2:$D$2684,$B75,'январь 2026'!$J$2:$J$2684,AG$1)</f>
        <v>0</v>
      </c>
      <c r="AH75" s="144">
        <f>SUMIFS('январь 2026'!$G$2:$G$2684,'январь 2026'!$D$2:$D$2684,$B75,'январь 2026'!$J$2:$J$2684,AH$1)</f>
        <v>0</v>
      </c>
      <c r="AI75" s="20">
        <f t="shared" si="1"/>
        <v>0</v>
      </c>
    </row>
    <row r="76" spans="2:35" ht="15.75" x14ac:dyDescent="0.25">
      <c r="B76" s="85" t="s">
        <v>329</v>
      </c>
      <c r="C76" s="83">
        <v>190</v>
      </c>
      <c r="D76" s="144">
        <f>SUMIFS('январь 2026'!$G$2:$G$2684,'январь 2026'!$D$2:$D$2684,$B76,'январь 2026'!$J$2:$J$2684,D$1)</f>
        <v>0</v>
      </c>
      <c r="E76" s="144">
        <f>SUMIFS('январь 2026'!$G$2:$G$2684,'январь 2026'!$D$2:$D$2684,$B76,'январь 2026'!$J$2:$J$2684,E$1)</f>
        <v>0</v>
      </c>
      <c r="F76" s="144">
        <f>SUMIFS('январь 2026'!$G$2:$G$2684,'январь 2026'!$D$2:$D$2684,$B76,'январь 2026'!$J$2:$J$2684,F$1)</f>
        <v>0</v>
      </c>
      <c r="G76" s="144">
        <f>SUMIFS('январь 2026'!$G$2:$G$2684,'январь 2026'!$D$2:$D$2684,$B76,'январь 2026'!$J$2:$J$2684,G$1)</f>
        <v>0</v>
      </c>
      <c r="H76" s="144">
        <f>SUMIFS('январь 2026'!$G$2:$G$2684,'январь 2026'!$D$2:$D$2684,$B76,'январь 2026'!$J$2:$J$2684,H$1)</f>
        <v>0</v>
      </c>
      <c r="I76" s="144">
        <f>SUMIFS('январь 2026'!$G$2:$G$2684,'январь 2026'!$D$2:$D$2684,$B76,'январь 2026'!$J$2:$J$2684,I$1)</f>
        <v>0</v>
      </c>
      <c r="J76" s="144">
        <f>SUMIFS('январь 2026'!$G$2:$G$2684,'январь 2026'!$D$2:$D$2684,$B76,'январь 2026'!$J$2:$J$2684,J$1)</f>
        <v>0</v>
      </c>
      <c r="K76" s="144">
        <f>SUMIFS('январь 2026'!$G$2:$G$2684,'январь 2026'!$D$2:$D$2684,$B76,'январь 2026'!$J$2:$J$2684,K$1)</f>
        <v>0</v>
      </c>
      <c r="L76" s="144">
        <f>SUMIFS('январь 2026'!$G$2:$G$2684,'январь 2026'!$D$2:$D$2684,$B76,'январь 2026'!$J$2:$J$2684,L$1)</f>
        <v>0</v>
      </c>
      <c r="M76" s="144">
        <f>SUMIFS('январь 2026'!$G$2:$G$2684,'январь 2026'!$D$2:$D$2684,$B76,'январь 2026'!$J$2:$J$2684,M$1)</f>
        <v>0</v>
      </c>
      <c r="N76" s="144">
        <f>SUMIFS('январь 2026'!$G$2:$G$2684,'январь 2026'!$D$2:$D$2684,$B76,'январь 2026'!$J$2:$J$2684,N$1)</f>
        <v>0</v>
      </c>
      <c r="O76" s="144">
        <f>SUMIFS('январь 2026'!$G$2:$G$2684,'январь 2026'!$D$2:$D$2684,$B76,'январь 2026'!$J$2:$J$2684,O$1)</f>
        <v>0</v>
      </c>
      <c r="P76" s="144">
        <f>SUMIFS('январь 2026'!$G$2:$G$2684,'январь 2026'!$D$2:$D$2684,$B76,'январь 2026'!$J$2:$J$2684,P$1)</f>
        <v>0</v>
      </c>
      <c r="Q76" s="144">
        <f>SUMIFS('январь 2026'!$G$2:$G$2684,'январь 2026'!$D$2:$D$2684,$B76,'январь 2026'!$J$2:$J$2684,Q$1)</f>
        <v>0</v>
      </c>
      <c r="R76" s="144">
        <f>SUMIFS('январь 2026'!$G$2:$G$2684,'январь 2026'!$D$2:$D$2684,$B76,'январь 2026'!$J$2:$J$2684,R$1)</f>
        <v>0</v>
      </c>
      <c r="S76" s="144">
        <f>SUMIFS('январь 2026'!$G$2:$G$2684,'январь 2026'!$D$2:$D$2684,$B76,'январь 2026'!$J$2:$J$2684,S$1)</f>
        <v>0</v>
      </c>
      <c r="T76" s="144">
        <f>SUMIFS('январь 2026'!$G$2:$G$2684,'январь 2026'!$D$2:$D$2684,$B76,'январь 2026'!$J$2:$J$2684,T$1)</f>
        <v>0</v>
      </c>
      <c r="U76" s="144">
        <f>SUMIFS('январь 2026'!$G$2:$G$2684,'январь 2026'!$D$2:$D$2684,$B76,'январь 2026'!$J$2:$J$2684,U$1)</f>
        <v>0</v>
      </c>
      <c r="V76" s="144">
        <f>SUMIFS('январь 2026'!$G$2:$G$2684,'январь 2026'!$D$2:$D$2684,$B76,'январь 2026'!$J$2:$J$2684,V$1)</f>
        <v>0</v>
      </c>
      <c r="W76" s="144">
        <f>SUMIFS('январь 2026'!$G$2:$G$2684,'январь 2026'!$D$2:$D$2684,$B76,'январь 2026'!$J$2:$J$2684,W$1)</f>
        <v>0</v>
      </c>
      <c r="X76" s="144">
        <f>SUMIFS('январь 2026'!$G$2:$G$2684,'январь 2026'!$D$2:$D$2684,$B76,'январь 2026'!$J$2:$J$2684,X$1)</f>
        <v>0</v>
      </c>
      <c r="Y76" s="144">
        <f>SUMIFS('январь 2026'!$G$2:$G$2684,'январь 2026'!$D$2:$D$2684,$B76,'январь 2026'!$J$2:$J$2684,Y$1)</f>
        <v>0</v>
      </c>
      <c r="Z76" s="144">
        <f>SUMIFS('январь 2026'!$G$2:$G$2684,'январь 2026'!$D$2:$D$2684,$B76,'январь 2026'!$J$2:$J$2684,Z$1)</f>
        <v>0</v>
      </c>
      <c r="AA76" s="144">
        <f>SUMIFS('январь 2026'!$G$2:$G$2684,'январь 2026'!$D$2:$D$2684,$B76,'январь 2026'!$J$2:$J$2684,AA$1)</f>
        <v>0</v>
      </c>
      <c r="AB76" s="144">
        <f>SUMIFS('январь 2026'!$G$2:$G$2684,'январь 2026'!$D$2:$D$2684,$B76,'январь 2026'!$J$2:$J$2684,AB$1)</f>
        <v>0</v>
      </c>
      <c r="AC76" s="144">
        <f>SUMIFS('январь 2026'!$G$2:$G$2684,'январь 2026'!$D$2:$D$2684,$B76,'январь 2026'!$J$2:$J$2684,AC$1)</f>
        <v>0</v>
      </c>
      <c r="AD76" s="144">
        <f>SUMIFS('январь 2026'!$G$2:$G$2684,'январь 2026'!$D$2:$D$2684,$B76,'январь 2026'!$J$2:$J$2684,AD$1)</f>
        <v>0</v>
      </c>
      <c r="AE76" s="144">
        <f>SUMIFS('январь 2026'!$G$2:$G$2684,'январь 2026'!$D$2:$D$2684,$B76,'январь 2026'!$J$2:$J$2684,AE$1)</f>
        <v>0</v>
      </c>
      <c r="AF76" s="144">
        <f>SUMIFS('январь 2026'!$G$2:$G$2684,'январь 2026'!$D$2:$D$2684,$B76,'январь 2026'!$J$2:$J$2684,AF$1)</f>
        <v>0</v>
      </c>
      <c r="AG76" s="144">
        <f>SUMIFS('январь 2026'!$G$2:$G$2684,'январь 2026'!$D$2:$D$2684,$B76,'январь 2026'!$J$2:$J$2684,AG$1)</f>
        <v>0</v>
      </c>
      <c r="AH76" s="144">
        <f>SUMIFS('январь 2026'!$G$2:$G$2684,'январь 2026'!$D$2:$D$2684,$B76,'январь 2026'!$J$2:$J$2684,AH$1)</f>
        <v>0</v>
      </c>
      <c r="AI76" s="20">
        <f t="shared" si="1"/>
        <v>0</v>
      </c>
    </row>
    <row r="77" spans="2:35" ht="15" customHeight="1" x14ac:dyDescent="0.25">
      <c r="B77" s="85" t="s">
        <v>200</v>
      </c>
      <c r="C77" s="83">
        <v>200</v>
      </c>
      <c r="D77" s="144">
        <f>SUMIFS('январь 2026'!$G$2:$G$2684,'январь 2026'!$D$2:$D$2684,$B77,'январь 2026'!$J$2:$J$2684,D$1)</f>
        <v>0</v>
      </c>
      <c r="E77" s="144">
        <f>SUMIFS('январь 2026'!$G$2:$G$2684,'январь 2026'!$D$2:$D$2684,$B77,'январь 2026'!$J$2:$J$2684,E$1)</f>
        <v>0</v>
      </c>
      <c r="F77" s="144">
        <f>SUMIFS('январь 2026'!$G$2:$G$2684,'январь 2026'!$D$2:$D$2684,$B77,'январь 2026'!$J$2:$J$2684,F$1)</f>
        <v>0</v>
      </c>
      <c r="G77" s="144">
        <f>SUMIFS('январь 2026'!$G$2:$G$2684,'январь 2026'!$D$2:$D$2684,$B77,'январь 2026'!$J$2:$J$2684,G$1)</f>
        <v>0</v>
      </c>
      <c r="H77" s="144">
        <f>SUMIFS('январь 2026'!$G$2:$G$2684,'январь 2026'!$D$2:$D$2684,$B77,'январь 2026'!$J$2:$J$2684,H$1)</f>
        <v>0</v>
      </c>
      <c r="I77" s="144">
        <f>SUMIFS('январь 2026'!$G$2:$G$2684,'январь 2026'!$D$2:$D$2684,$B77,'январь 2026'!$J$2:$J$2684,I$1)</f>
        <v>0</v>
      </c>
      <c r="J77" s="144">
        <f>SUMIFS('январь 2026'!$G$2:$G$2684,'январь 2026'!$D$2:$D$2684,$B77,'январь 2026'!$J$2:$J$2684,J$1)</f>
        <v>0</v>
      </c>
      <c r="K77" s="144">
        <f>SUMIFS('январь 2026'!$G$2:$G$2684,'январь 2026'!$D$2:$D$2684,$B77,'январь 2026'!$J$2:$J$2684,K$1)</f>
        <v>0</v>
      </c>
      <c r="L77" s="144">
        <f>SUMIFS('январь 2026'!$G$2:$G$2684,'январь 2026'!$D$2:$D$2684,$B77,'январь 2026'!$J$2:$J$2684,L$1)</f>
        <v>0</v>
      </c>
      <c r="M77" s="144">
        <f>SUMIFS('январь 2026'!$G$2:$G$2684,'январь 2026'!$D$2:$D$2684,$B77,'январь 2026'!$J$2:$J$2684,M$1)</f>
        <v>0</v>
      </c>
      <c r="N77" s="144">
        <f>SUMIFS('январь 2026'!$G$2:$G$2684,'январь 2026'!$D$2:$D$2684,$B77,'январь 2026'!$J$2:$J$2684,N$1)</f>
        <v>0</v>
      </c>
      <c r="O77" s="144">
        <f>SUMIFS('январь 2026'!$G$2:$G$2684,'январь 2026'!$D$2:$D$2684,$B77,'январь 2026'!$J$2:$J$2684,O$1)</f>
        <v>0</v>
      </c>
      <c r="P77" s="144">
        <f>SUMIFS('январь 2026'!$G$2:$G$2684,'январь 2026'!$D$2:$D$2684,$B77,'январь 2026'!$J$2:$J$2684,P$1)</f>
        <v>0</v>
      </c>
      <c r="Q77" s="144">
        <f>SUMIFS('январь 2026'!$G$2:$G$2684,'январь 2026'!$D$2:$D$2684,$B77,'январь 2026'!$J$2:$J$2684,Q$1)</f>
        <v>0</v>
      </c>
      <c r="R77" s="144">
        <f>SUMIFS('январь 2026'!$G$2:$G$2684,'январь 2026'!$D$2:$D$2684,$B77,'январь 2026'!$J$2:$J$2684,R$1)</f>
        <v>0</v>
      </c>
      <c r="S77" s="144">
        <f>SUMIFS('январь 2026'!$G$2:$G$2684,'январь 2026'!$D$2:$D$2684,$B77,'январь 2026'!$J$2:$J$2684,S$1)</f>
        <v>0</v>
      </c>
      <c r="T77" s="144">
        <f>SUMIFS('январь 2026'!$G$2:$G$2684,'январь 2026'!$D$2:$D$2684,$B77,'январь 2026'!$J$2:$J$2684,T$1)</f>
        <v>0</v>
      </c>
      <c r="U77" s="144">
        <f>SUMIFS('январь 2026'!$G$2:$G$2684,'январь 2026'!$D$2:$D$2684,$B77,'январь 2026'!$J$2:$J$2684,U$1)</f>
        <v>0</v>
      </c>
      <c r="V77" s="144">
        <f>SUMIFS('январь 2026'!$G$2:$G$2684,'январь 2026'!$D$2:$D$2684,$B77,'январь 2026'!$J$2:$J$2684,V$1)</f>
        <v>0</v>
      </c>
      <c r="W77" s="144">
        <f>SUMIFS('январь 2026'!$G$2:$G$2684,'январь 2026'!$D$2:$D$2684,$B77,'январь 2026'!$J$2:$J$2684,W$1)</f>
        <v>0</v>
      </c>
      <c r="X77" s="144">
        <f>SUMIFS('январь 2026'!$G$2:$G$2684,'январь 2026'!$D$2:$D$2684,$B77,'январь 2026'!$J$2:$J$2684,X$1)</f>
        <v>0</v>
      </c>
      <c r="Y77" s="144">
        <f>SUMIFS('январь 2026'!$G$2:$G$2684,'январь 2026'!$D$2:$D$2684,$B77,'январь 2026'!$J$2:$J$2684,Y$1)</f>
        <v>0</v>
      </c>
      <c r="Z77" s="144">
        <f>SUMIFS('январь 2026'!$G$2:$G$2684,'январь 2026'!$D$2:$D$2684,$B77,'январь 2026'!$J$2:$J$2684,Z$1)</f>
        <v>0</v>
      </c>
      <c r="AA77" s="144">
        <f>SUMIFS('январь 2026'!$G$2:$G$2684,'январь 2026'!$D$2:$D$2684,$B77,'январь 2026'!$J$2:$J$2684,AA$1)</f>
        <v>0</v>
      </c>
      <c r="AB77" s="144">
        <f>SUMIFS('январь 2026'!$G$2:$G$2684,'январь 2026'!$D$2:$D$2684,$B77,'январь 2026'!$J$2:$J$2684,AB$1)</f>
        <v>0</v>
      </c>
      <c r="AC77" s="144">
        <f>SUMIFS('январь 2026'!$G$2:$G$2684,'январь 2026'!$D$2:$D$2684,$B77,'январь 2026'!$J$2:$J$2684,AC$1)</f>
        <v>0</v>
      </c>
      <c r="AD77" s="144">
        <f>SUMIFS('январь 2026'!$G$2:$G$2684,'январь 2026'!$D$2:$D$2684,$B77,'январь 2026'!$J$2:$J$2684,AD$1)</f>
        <v>0</v>
      </c>
      <c r="AE77" s="144">
        <f>SUMIFS('январь 2026'!$G$2:$G$2684,'январь 2026'!$D$2:$D$2684,$B77,'январь 2026'!$J$2:$J$2684,AE$1)</f>
        <v>0</v>
      </c>
      <c r="AF77" s="144">
        <f>SUMIFS('январь 2026'!$G$2:$G$2684,'январь 2026'!$D$2:$D$2684,$B77,'январь 2026'!$J$2:$J$2684,AF$1)</f>
        <v>0</v>
      </c>
      <c r="AG77" s="144">
        <f>SUMIFS('январь 2026'!$G$2:$G$2684,'январь 2026'!$D$2:$D$2684,$B77,'январь 2026'!$J$2:$J$2684,AG$1)</f>
        <v>0</v>
      </c>
      <c r="AH77" s="144">
        <f>SUMIFS('январь 2026'!$G$2:$G$2684,'январь 2026'!$D$2:$D$2684,$B77,'январь 2026'!$J$2:$J$2684,AH$1)</f>
        <v>0</v>
      </c>
      <c r="AI77" s="20">
        <f t="shared" si="1"/>
        <v>0</v>
      </c>
    </row>
    <row r="78" spans="2:35" ht="15" customHeight="1" x14ac:dyDescent="0.25">
      <c r="B78" s="85" t="s">
        <v>185</v>
      </c>
      <c r="C78" s="83">
        <v>200</v>
      </c>
      <c r="D78" s="144">
        <f>SUMIFS('январь 2026'!$G$2:$G$2684,'январь 2026'!$D$2:$D$2684,$B78,'январь 2026'!$J$2:$J$2684,D$1)</f>
        <v>0</v>
      </c>
      <c r="E78" s="144">
        <f>SUMIFS('январь 2026'!$G$2:$G$2684,'январь 2026'!$D$2:$D$2684,$B78,'январь 2026'!$J$2:$J$2684,E$1)</f>
        <v>0</v>
      </c>
      <c r="F78" s="144">
        <f>SUMIFS('январь 2026'!$G$2:$G$2684,'январь 2026'!$D$2:$D$2684,$B78,'январь 2026'!$J$2:$J$2684,F$1)</f>
        <v>0</v>
      </c>
      <c r="G78" s="144">
        <f>SUMIFS('январь 2026'!$G$2:$G$2684,'январь 2026'!$D$2:$D$2684,$B78,'январь 2026'!$J$2:$J$2684,G$1)</f>
        <v>0</v>
      </c>
      <c r="H78" s="144">
        <f>SUMIFS('январь 2026'!$G$2:$G$2684,'январь 2026'!$D$2:$D$2684,$B78,'январь 2026'!$J$2:$J$2684,H$1)</f>
        <v>0</v>
      </c>
      <c r="I78" s="144">
        <f>SUMIFS('январь 2026'!$G$2:$G$2684,'январь 2026'!$D$2:$D$2684,$B78,'январь 2026'!$J$2:$J$2684,I$1)</f>
        <v>0</v>
      </c>
      <c r="J78" s="144">
        <f>SUMIFS('январь 2026'!$G$2:$G$2684,'январь 2026'!$D$2:$D$2684,$B78,'январь 2026'!$J$2:$J$2684,J$1)</f>
        <v>0</v>
      </c>
      <c r="K78" s="144">
        <f>SUMIFS('январь 2026'!$G$2:$G$2684,'январь 2026'!$D$2:$D$2684,$B78,'январь 2026'!$J$2:$J$2684,K$1)</f>
        <v>0</v>
      </c>
      <c r="L78" s="144">
        <f>SUMIFS('январь 2026'!$G$2:$G$2684,'январь 2026'!$D$2:$D$2684,$B78,'январь 2026'!$J$2:$J$2684,L$1)</f>
        <v>0</v>
      </c>
      <c r="M78" s="144">
        <f>SUMIFS('январь 2026'!$G$2:$G$2684,'январь 2026'!$D$2:$D$2684,$B78,'январь 2026'!$J$2:$J$2684,M$1)</f>
        <v>0</v>
      </c>
      <c r="N78" s="144">
        <f>SUMIFS('январь 2026'!$G$2:$G$2684,'январь 2026'!$D$2:$D$2684,$B78,'январь 2026'!$J$2:$J$2684,N$1)</f>
        <v>0</v>
      </c>
      <c r="O78" s="144">
        <f>SUMIFS('январь 2026'!$G$2:$G$2684,'январь 2026'!$D$2:$D$2684,$B78,'январь 2026'!$J$2:$J$2684,O$1)</f>
        <v>0</v>
      </c>
      <c r="P78" s="144">
        <f>SUMIFS('январь 2026'!$G$2:$G$2684,'январь 2026'!$D$2:$D$2684,$B78,'январь 2026'!$J$2:$J$2684,P$1)</f>
        <v>0</v>
      </c>
      <c r="Q78" s="144">
        <f>SUMIFS('январь 2026'!$G$2:$G$2684,'январь 2026'!$D$2:$D$2684,$B78,'январь 2026'!$J$2:$J$2684,Q$1)</f>
        <v>0</v>
      </c>
      <c r="R78" s="144">
        <f>SUMIFS('январь 2026'!$G$2:$G$2684,'январь 2026'!$D$2:$D$2684,$B78,'январь 2026'!$J$2:$J$2684,R$1)</f>
        <v>0</v>
      </c>
      <c r="S78" s="144">
        <f>SUMIFS('январь 2026'!$G$2:$G$2684,'январь 2026'!$D$2:$D$2684,$B78,'январь 2026'!$J$2:$J$2684,S$1)</f>
        <v>0</v>
      </c>
      <c r="T78" s="144">
        <f>SUMIFS('январь 2026'!$G$2:$G$2684,'январь 2026'!$D$2:$D$2684,$B78,'январь 2026'!$J$2:$J$2684,T$1)</f>
        <v>0</v>
      </c>
      <c r="U78" s="144">
        <f>SUMIFS('январь 2026'!$G$2:$G$2684,'январь 2026'!$D$2:$D$2684,$B78,'январь 2026'!$J$2:$J$2684,U$1)</f>
        <v>0</v>
      </c>
      <c r="V78" s="144">
        <f>SUMIFS('январь 2026'!$G$2:$G$2684,'январь 2026'!$D$2:$D$2684,$B78,'январь 2026'!$J$2:$J$2684,V$1)</f>
        <v>0</v>
      </c>
      <c r="W78" s="144">
        <f>SUMIFS('январь 2026'!$G$2:$G$2684,'январь 2026'!$D$2:$D$2684,$B78,'январь 2026'!$J$2:$J$2684,W$1)</f>
        <v>0</v>
      </c>
      <c r="X78" s="144">
        <f>SUMIFS('январь 2026'!$G$2:$G$2684,'январь 2026'!$D$2:$D$2684,$B78,'январь 2026'!$J$2:$J$2684,X$1)</f>
        <v>0</v>
      </c>
      <c r="Y78" s="144">
        <f>SUMIFS('январь 2026'!$G$2:$G$2684,'январь 2026'!$D$2:$D$2684,$B78,'январь 2026'!$J$2:$J$2684,Y$1)</f>
        <v>0</v>
      </c>
      <c r="Z78" s="144">
        <f>SUMIFS('январь 2026'!$G$2:$G$2684,'январь 2026'!$D$2:$D$2684,$B78,'январь 2026'!$J$2:$J$2684,Z$1)</f>
        <v>0</v>
      </c>
      <c r="AA78" s="144">
        <f>SUMIFS('январь 2026'!$G$2:$G$2684,'январь 2026'!$D$2:$D$2684,$B78,'январь 2026'!$J$2:$J$2684,AA$1)</f>
        <v>0</v>
      </c>
      <c r="AB78" s="144">
        <f>SUMIFS('январь 2026'!$G$2:$G$2684,'январь 2026'!$D$2:$D$2684,$B78,'январь 2026'!$J$2:$J$2684,AB$1)</f>
        <v>0</v>
      </c>
      <c r="AC78" s="144">
        <f>SUMIFS('январь 2026'!$G$2:$G$2684,'январь 2026'!$D$2:$D$2684,$B78,'январь 2026'!$J$2:$J$2684,AC$1)</f>
        <v>0</v>
      </c>
      <c r="AD78" s="144">
        <f>SUMIFS('январь 2026'!$G$2:$G$2684,'январь 2026'!$D$2:$D$2684,$B78,'январь 2026'!$J$2:$J$2684,AD$1)</f>
        <v>0</v>
      </c>
      <c r="AE78" s="144">
        <f>SUMIFS('январь 2026'!$G$2:$G$2684,'январь 2026'!$D$2:$D$2684,$B78,'январь 2026'!$J$2:$J$2684,AE$1)</f>
        <v>0</v>
      </c>
      <c r="AF78" s="144">
        <f>SUMIFS('январь 2026'!$G$2:$G$2684,'январь 2026'!$D$2:$D$2684,$B78,'январь 2026'!$J$2:$J$2684,AF$1)</f>
        <v>0</v>
      </c>
      <c r="AG78" s="144">
        <f>SUMIFS('январь 2026'!$G$2:$G$2684,'январь 2026'!$D$2:$D$2684,$B78,'январь 2026'!$J$2:$J$2684,AG$1)</f>
        <v>0</v>
      </c>
      <c r="AH78" s="144">
        <f>SUMIFS('январь 2026'!$G$2:$G$2684,'январь 2026'!$D$2:$D$2684,$B78,'январь 2026'!$J$2:$J$2684,AH$1)</f>
        <v>0</v>
      </c>
      <c r="AI78" s="20">
        <f t="shared" si="1"/>
        <v>0</v>
      </c>
    </row>
    <row r="79" spans="2:35" ht="15" customHeight="1" x14ac:dyDescent="0.25">
      <c r="B79" s="85" t="s">
        <v>186</v>
      </c>
      <c r="C79" s="83">
        <v>200</v>
      </c>
      <c r="D79" s="144">
        <f>SUMIFS('январь 2026'!$G$2:$G$2684,'январь 2026'!$D$2:$D$2684,$B79,'январь 2026'!$J$2:$J$2684,D$1)</f>
        <v>0</v>
      </c>
      <c r="E79" s="144">
        <f>SUMIFS('январь 2026'!$G$2:$G$2684,'январь 2026'!$D$2:$D$2684,$B79,'январь 2026'!$J$2:$J$2684,E$1)</f>
        <v>0</v>
      </c>
      <c r="F79" s="144">
        <f>SUMIFS('январь 2026'!$G$2:$G$2684,'январь 2026'!$D$2:$D$2684,$B79,'январь 2026'!$J$2:$J$2684,F$1)</f>
        <v>0</v>
      </c>
      <c r="G79" s="144">
        <f>SUMIFS('январь 2026'!$G$2:$G$2684,'январь 2026'!$D$2:$D$2684,$B79,'январь 2026'!$J$2:$J$2684,G$1)</f>
        <v>0</v>
      </c>
      <c r="H79" s="144">
        <f>SUMIFS('январь 2026'!$G$2:$G$2684,'январь 2026'!$D$2:$D$2684,$B79,'январь 2026'!$J$2:$J$2684,H$1)</f>
        <v>0</v>
      </c>
      <c r="I79" s="144">
        <f>SUMIFS('январь 2026'!$G$2:$G$2684,'январь 2026'!$D$2:$D$2684,$B79,'январь 2026'!$J$2:$J$2684,I$1)</f>
        <v>0</v>
      </c>
      <c r="J79" s="144">
        <f>SUMIFS('январь 2026'!$G$2:$G$2684,'январь 2026'!$D$2:$D$2684,$B79,'январь 2026'!$J$2:$J$2684,J$1)</f>
        <v>0</v>
      </c>
      <c r="K79" s="144">
        <f>SUMIFS('январь 2026'!$G$2:$G$2684,'январь 2026'!$D$2:$D$2684,$B79,'январь 2026'!$J$2:$J$2684,K$1)</f>
        <v>0</v>
      </c>
      <c r="L79" s="144">
        <f>SUMIFS('январь 2026'!$G$2:$G$2684,'январь 2026'!$D$2:$D$2684,$B79,'январь 2026'!$J$2:$J$2684,L$1)</f>
        <v>0</v>
      </c>
      <c r="M79" s="144">
        <f>SUMIFS('январь 2026'!$G$2:$G$2684,'январь 2026'!$D$2:$D$2684,$B79,'январь 2026'!$J$2:$J$2684,M$1)</f>
        <v>0</v>
      </c>
      <c r="N79" s="144">
        <f>SUMIFS('январь 2026'!$G$2:$G$2684,'январь 2026'!$D$2:$D$2684,$B79,'январь 2026'!$J$2:$J$2684,N$1)</f>
        <v>0</v>
      </c>
      <c r="O79" s="144">
        <f>SUMIFS('январь 2026'!$G$2:$G$2684,'январь 2026'!$D$2:$D$2684,$B79,'январь 2026'!$J$2:$J$2684,O$1)</f>
        <v>0</v>
      </c>
      <c r="P79" s="144">
        <f>SUMIFS('январь 2026'!$G$2:$G$2684,'январь 2026'!$D$2:$D$2684,$B79,'январь 2026'!$J$2:$J$2684,P$1)</f>
        <v>0</v>
      </c>
      <c r="Q79" s="144">
        <f>SUMIFS('январь 2026'!$G$2:$G$2684,'январь 2026'!$D$2:$D$2684,$B79,'январь 2026'!$J$2:$J$2684,Q$1)</f>
        <v>0</v>
      </c>
      <c r="R79" s="144">
        <f>SUMIFS('январь 2026'!$G$2:$G$2684,'январь 2026'!$D$2:$D$2684,$B79,'январь 2026'!$J$2:$J$2684,R$1)</f>
        <v>0</v>
      </c>
      <c r="S79" s="144">
        <f>SUMIFS('январь 2026'!$G$2:$G$2684,'январь 2026'!$D$2:$D$2684,$B79,'январь 2026'!$J$2:$J$2684,S$1)</f>
        <v>0</v>
      </c>
      <c r="T79" s="144">
        <f>SUMIFS('январь 2026'!$G$2:$G$2684,'январь 2026'!$D$2:$D$2684,$B79,'январь 2026'!$J$2:$J$2684,T$1)</f>
        <v>0</v>
      </c>
      <c r="U79" s="144">
        <f>SUMIFS('январь 2026'!$G$2:$G$2684,'январь 2026'!$D$2:$D$2684,$B79,'январь 2026'!$J$2:$J$2684,U$1)</f>
        <v>0</v>
      </c>
      <c r="V79" s="144">
        <f>SUMIFS('январь 2026'!$G$2:$G$2684,'январь 2026'!$D$2:$D$2684,$B79,'январь 2026'!$J$2:$J$2684,V$1)</f>
        <v>0</v>
      </c>
      <c r="W79" s="144">
        <f>SUMIFS('январь 2026'!$G$2:$G$2684,'январь 2026'!$D$2:$D$2684,$B79,'январь 2026'!$J$2:$J$2684,W$1)</f>
        <v>0</v>
      </c>
      <c r="X79" s="144">
        <f>SUMIFS('январь 2026'!$G$2:$G$2684,'январь 2026'!$D$2:$D$2684,$B79,'январь 2026'!$J$2:$J$2684,X$1)</f>
        <v>0</v>
      </c>
      <c r="Y79" s="144">
        <f>SUMIFS('январь 2026'!$G$2:$G$2684,'январь 2026'!$D$2:$D$2684,$B79,'январь 2026'!$J$2:$J$2684,Y$1)</f>
        <v>0</v>
      </c>
      <c r="Z79" s="144">
        <f>SUMIFS('январь 2026'!$G$2:$G$2684,'январь 2026'!$D$2:$D$2684,$B79,'январь 2026'!$J$2:$J$2684,Z$1)</f>
        <v>0</v>
      </c>
      <c r="AA79" s="144">
        <f>SUMIFS('январь 2026'!$G$2:$G$2684,'январь 2026'!$D$2:$D$2684,$B79,'январь 2026'!$J$2:$J$2684,AA$1)</f>
        <v>0</v>
      </c>
      <c r="AB79" s="144">
        <f>SUMIFS('январь 2026'!$G$2:$G$2684,'январь 2026'!$D$2:$D$2684,$B79,'январь 2026'!$J$2:$J$2684,AB$1)</f>
        <v>0</v>
      </c>
      <c r="AC79" s="144">
        <f>SUMIFS('январь 2026'!$G$2:$G$2684,'январь 2026'!$D$2:$D$2684,$B79,'январь 2026'!$J$2:$J$2684,AC$1)</f>
        <v>0</v>
      </c>
      <c r="AD79" s="144">
        <f>SUMIFS('январь 2026'!$G$2:$G$2684,'январь 2026'!$D$2:$D$2684,$B79,'январь 2026'!$J$2:$J$2684,AD$1)</f>
        <v>0</v>
      </c>
      <c r="AE79" s="144">
        <f>SUMIFS('январь 2026'!$G$2:$G$2684,'январь 2026'!$D$2:$D$2684,$B79,'январь 2026'!$J$2:$J$2684,AE$1)</f>
        <v>0</v>
      </c>
      <c r="AF79" s="144">
        <f>SUMIFS('январь 2026'!$G$2:$G$2684,'январь 2026'!$D$2:$D$2684,$B79,'январь 2026'!$J$2:$J$2684,AF$1)</f>
        <v>0</v>
      </c>
      <c r="AG79" s="144">
        <f>SUMIFS('январь 2026'!$G$2:$G$2684,'январь 2026'!$D$2:$D$2684,$B79,'январь 2026'!$J$2:$J$2684,AG$1)</f>
        <v>0</v>
      </c>
      <c r="AH79" s="144">
        <f>SUMIFS('январь 2026'!$G$2:$G$2684,'январь 2026'!$D$2:$D$2684,$B79,'январь 2026'!$J$2:$J$2684,AH$1)</f>
        <v>0</v>
      </c>
      <c r="AI79" s="20">
        <f t="shared" si="1"/>
        <v>0</v>
      </c>
    </row>
    <row r="80" spans="2:35" ht="15" customHeight="1" x14ac:dyDescent="0.25">
      <c r="B80" s="85" t="s">
        <v>252</v>
      </c>
      <c r="C80" s="83">
        <v>190</v>
      </c>
      <c r="D80" s="144">
        <f>SUMIFS('январь 2026'!$G$2:$G$2684,'январь 2026'!$D$2:$D$2684,$B80,'январь 2026'!$J$2:$J$2684,D$1)</f>
        <v>0</v>
      </c>
      <c r="E80" s="144">
        <f>SUMIFS('январь 2026'!$G$2:$G$2684,'январь 2026'!$D$2:$D$2684,$B80,'январь 2026'!$J$2:$J$2684,E$1)</f>
        <v>0</v>
      </c>
      <c r="F80" s="144">
        <f>SUMIFS('январь 2026'!$G$2:$G$2684,'январь 2026'!$D$2:$D$2684,$B80,'январь 2026'!$J$2:$J$2684,F$1)</f>
        <v>0</v>
      </c>
      <c r="G80" s="144">
        <f>SUMIFS('январь 2026'!$G$2:$G$2684,'январь 2026'!$D$2:$D$2684,$B80,'январь 2026'!$J$2:$J$2684,G$1)</f>
        <v>0</v>
      </c>
      <c r="H80" s="144">
        <f>SUMIFS('январь 2026'!$G$2:$G$2684,'январь 2026'!$D$2:$D$2684,$B80,'январь 2026'!$J$2:$J$2684,H$1)</f>
        <v>0</v>
      </c>
      <c r="I80" s="144">
        <f>SUMIFS('январь 2026'!$G$2:$G$2684,'январь 2026'!$D$2:$D$2684,$B80,'январь 2026'!$J$2:$J$2684,I$1)</f>
        <v>0</v>
      </c>
      <c r="J80" s="144">
        <f>SUMIFS('январь 2026'!$G$2:$G$2684,'январь 2026'!$D$2:$D$2684,$B80,'январь 2026'!$J$2:$J$2684,J$1)</f>
        <v>0</v>
      </c>
      <c r="K80" s="144">
        <f>SUMIFS('январь 2026'!$G$2:$G$2684,'январь 2026'!$D$2:$D$2684,$B80,'январь 2026'!$J$2:$J$2684,K$1)</f>
        <v>0</v>
      </c>
      <c r="L80" s="144">
        <f>SUMIFS('январь 2026'!$G$2:$G$2684,'январь 2026'!$D$2:$D$2684,$B80,'январь 2026'!$J$2:$J$2684,L$1)</f>
        <v>0</v>
      </c>
      <c r="M80" s="144">
        <f>SUMIFS('январь 2026'!$G$2:$G$2684,'январь 2026'!$D$2:$D$2684,$B80,'январь 2026'!$J$2:$J$2684,M$1)</f>
        <v>0</v>
      </c>
      <c r="N80" s="144">
        <f>SUMIFS('январь 2026'!$G$2:$G$2684,'январь 2026'!$D$2:$D$2684,$B80,'январь 2026'!$J$2:$J$2684,N$1)</f>
        <v>0</v>
      </c>
      <c r="O80" s="144">
        <f>SUMIFS('январь 2026'!$G$2:$G$2684,'январь 2026'!$D$2:$D$2684,$B80,'январь 2026'!$J$2:$J$2684,O$1)</f>
        <v>0</v>
      </c>
      <c r="P80" s="144">
        <f>SUMIFS('январь 2026'!$G$2:$G$2684,'январь 2026'!$D$2:$D$2684,$B80,'январь 2026'!$J$2:$J$2684,P$1)</f>
        <v>0</v>
      </c>
      <c r="Q80" s="144">
        <f>SUMIFS('январь 2026'!$G$2:$G$2684,'январь 2026'!$D$2:$D$2684,$B80,'январь 2026'!$J$2:$J$2684,Q$1)</f>
        <v>0</v>
      </c>
      <c r="R80" s="144">
        <f>SUMIFS('январь 2026'!$G$2:$G$2684,'январь 2026'!$D$2:$D$2684,$B80,'январь 2026'!$J$2:$J$2684,R$1)</f>
        <v>0</v>
      </c>
      <c r="S80" s="144">
        <f>SUMIFS('январь 2026'!$G$2:$G$2684,'январь 2026'!$D$2:$D$2684,$B80,'январь 2026'!$J$2:$J$2684,S$1)</f>
        <v>0</v>
      </c>
      <c r="T80" s="144">
        <f>SUMIFS('январь 2026'!$G$2:$G$2684,'январь 2026'!$D$2:$D$2684,$B80,'январь 2026'!$J$2:$J$2684,T$1)</f>
        <v>0</v>
      </c>
      <c r="U80" s="144">
        <f>SUMIFS('январь 2026'!$G$2:$G$2684,'январь 2026'!$D$2:$D$2684,$B80,'январь 2026'!$J$2:$J$2684,U$1)</f>
        <v>0</v>
      </c>
      <c r="V80" s="144">
        <f>SUMIFS('январь 2026'!$G$2:$G$2684,'январь 2026'!$D$2:$D$2684,$B80,'январь 2026'!$J$2:$J$2684,V$1)</f>
        <v>0</v>
      </c>
      <c r="W80" s="144">
        <f>SUMIFS('январь 2026'!$G$2:$G$2684,'январь 2026'!$D$2:$D$2684,$B80,'январь 2026'!$J$2:$J$2684,W$1)</f>
        <v>0</v>
      </c>
      <c r="X80" s="144">
        <f>SUMIFS('январь 2026'!$G$2:$G$2684,'январь 2026'!$D$2:$D$2684,$B80,'январь 2026'!$J$2:$J$2684,X$1)</f>
        <v>0</v>
      </c>
      <c r="Y80" s="144">
        <f>SUMIFS('январь 2026'!$G$2:$G$2684,'январь 2026'!$D$2:$D$2684,$B80,'январь 2026'!$J$2:$J$2684,Y$1)</f>
        <v>0</v>
      </c>
      <c r="Z80" s="144">
        <f>SUMIFS('январь 2026'!$G$2:$G$2684,'январь 2026'!$D$2:$D$2684,$B80,'январь 2026'!$J$2:$J$2684,Z$1)</f>
        <v>0</v>
      </c>
      <c r="AA80" s="144">
        <f>SUMIFS('январь 2026'!$G$2:$G$2684,'январь 2026'!$D$2:$D$2684,$B80,'январь 2026'!$J$2:$J$2684,AA$1)</f>
        <v>0</v>
      </c>
      <c r="AB80" s="144">
        <f>SUMIFS('январь 2026'!$G$2:$G$2684,'январь 2026'!$D$2:$D$2684,$B80,'январь 2026'!$J$2:$J$2684,AB$1)</f>
        <v>0</v>
      </c>
      <c r="AC80" s="144">
        <f>SUMIFS('январь 2026'!$G$2:$G$2684,'январь 2026'!$D$2:$D$2684,$B80,'январь 2026'!$J$2:$J$2684,AC$1)</f>
        <v>0</v>
      </c>
      <c r="AD80" s="144">
        <f>SUMIFS('январь 2026'!$G$2:$G$2684,'январь 2026'!$D$2:$D$2684,$B80,'январь 2026'!$J$2:$J$2684,AD$1)</f>
        <v>0</v>
      </c>
      <c r="AE80" s="144">
        <f>SUMIFS('январь 2026'!$G$2:$G$2684,'январь 2026'!$D$2:$D$2684,$B80,'январь 2026'!$J$2:$J$2684,AE$1)</f>
        <v>0</v>
      </c>
      <c r="AF80" s="144">
        <f>SUMIFS('январь 2026'!$G$2:$G$2684,'январь 2026'!$D$2:$D$2684,$B80,'январь 2026'!$J$2:$J$2684,AF$1)</f>
        <v>0</v>
      </c>
      <c r="AG80" s="144">
        <f>SUMIFS('январь 2026'!$G$2:$G$2684,'январь 2026'!$D$2:$D$2684,$B80,'январь 2026'!$J$2:$J$2684,AG$1)</f>
        <v>0</v>
      </c>
      <c r="AH80" s="144">
        <f>SUMIFS('январь 2026'!$G$2:$G$2684,'январь 2026'!$D$2:$D$2684,$B80,'январь 2026'!$J$2:$J$2684,AH$1)</f>
        <v>0</v>
      </c>
      <c r="AI80" s="20">
        <f t="shared" si="1"/>
        <v>0</v>
      </c>
    </row>
    <row r="81" spans="2:35" ht="15" customHeight="1" x14ac:dyDescent="0.25">
      <c r="B81" s="85" t="s">
        <v>197</v>
      </c>
      <c r="C81" s="83">
        <v>200</v>
      </c>
      <c r="D81" s="144">
        <f>SUMIFS('январь 2026'!$G$2:$G$2684,'январь 2026'!$D$2:$D$2684,$B81,'январь 2026'!$J$2:$J$2684,D$1)</f>
        <v>0</v>
      </c>
      <c r="E81" s="144">
        <f>SUMIFS('январь 2026'!$G$2:$G$2684,'январь 2026'!$D$2:$D$2684,$B81,'январь 2026'!$J$2:$J$2684,E$1)</f>
        <v>0</v>
      </c>
      <c r="F81" s="144">
        <f>SUMIFS('январь 2026'!$G$2:$G$2684,'январь 2026'!$D$2:$D$2684,$B81,'январь 2026'!$J$2:$J$2684,F$1)</f>
        <v>0</v>
      </c>
      <c r="G81" s="144">
        <f>SUMIFS('январь 2026'!$G$2:$G$2684,'январь 2026'!$D$2:$D$2684,$B81,'январь 2026'!$J$2:$J$2684,G$1)</f>
        <v>0</v>
      </c>
      <c r="H81" s="144">
        <f>SUMIFS('январь 2026'!$G$2:$G$2684,'январь 2026'!$D$2:$D$2684,$B81,'январь 2026'!$J$2:$J$2684,H$1)</f>
        <v>0</v>
      </c>
      <c r="I81" s="144">
        <f>SUMIFS('январь 2026'!$G$2:$G$2684,'январь 2026'!$D$2:$D$2684,$B81,'январь 2026'!$J$2:$J$2684,I$1)</f>
        <v>0</v>
      </c>
      <c r="J81" s="144">
        <f>SUMIFS('январь 2026'!$G$2:$G$2684,'январь 2026'!$D$2:$D$2684,$B81,'январь 2026'!$J$2:$J$2684,J$1)</f>
        <v>0</v>
      </c>
      <c r="K81" s="144">
        <f>SUMIFS('январь 2026'!$G$2:$G$2684,'январь 2026'!$D$2:$D$2684,$B81,'январь 2026'!$J$2:$J$2684,K$1)</f>
        <v>0</v>
      </c>
      <c r="L81" s="144">
        <f>SUMIFS('январь 2026'!$G$2:$G$2684,'январь 2026'!$D$2:$D$2684,$B81,'январь 2026'!$J$2:$J$2684,L$1)</f>
        <v>0</v>
      </c>
      <c r="M81" s="144">
        <f>SUMIFS('январь 2026'!$G$2:$G$2684,'январь 2026'!$D$2:$D$2684,$B81,'январь 2026'!$J$2:$J$2684,M$1)</f>
        <v>0</v>
      </c>
      <c r="N81" s="144">
        <f>SUMIFS('январь 2026'!$G$2:$G$2684,'январь 2026'!$D$2:$D$2684,$B81,'январь 2026'!$J$2:$J$2684,N$1)</f>
        <v>0</v>
      </c>
      <c r="O81" s="144">
        <f>SUMIFS('январь 2026'!$G$2:$G$2684,'январь 2026'!$D$2:$D$2684,$B81,'январь 2026'!$J$2:$J$2684,O$1)</f>
        <v>0</v>
      </c>
      <c r="P81" s="144">
        <f>SUMIFS('январь 2026'!$G$2:$G$2684,'январь 2026'!$D$2:$D$2684,$B81,'январь 2026'!$J$2:$J$2684,P$1)</f>
        <v>0</v>
      </c>
      <c r="Q81" s="144">
        <f>SUMIFS('январь 2026'!$G$2:$G$2684,'январь 2026'!$D$2:$D$2684,$B81,'январь 2026'!$J$2:$J$2684,Q$1)</f>
        <v>0</v>
      </c>
      <c r="R81" s="144">
        <f>SUMIFS('январь 2026'!$G$2:$G$2684,'январь 2026'!$D$2:$D$2684,$B81,'январь 2026'!$J$2:$J$2684,R$1)</f>
        <v>0</v>
      </c>
      <c r="S81" s="144">
        <f>SUMIFS('январь 2026'!$G$2:$G$2684,'январь 2026'!$D$2:$D$2684,$B81,'январь 2026'!$J$2:$J$2684,S$1)</f>
        <v>0</v>
      </c>
      <c r="T81" s="144">
        <f>SUMIFS('январь 2026'!$G$2:$G$2684,'январь 2026'!$D$2:$D$2684,$B81,'январь 2026'!$J$2:$J$2684,T$1)</f>
        <v>0</v>
      </c>
      <c r="U81" s="144">
        <f>SUMIFS('январь 2026'!$G$2:$G$2684,'январь 2026'!$D$2:$D$2684,$B81,'январь 2026'!$J$2:$J$2684,U$1)</f>
        <v>0</v>
      </c>
      <c r="V81" s="144">
        <f>SUMIFS('январь 2026'!$G$2:$G$2684,'январь 2026'!$D$2:$D$2684,$B81,'январь 2026'!$J$2:$J$2684,V$1)</f>
        <v>0</v>
      </c>
      <c r="W81" s="144">
        <f>SUMIFS('январь 2026'!$G$2:$G$2684,'январь 2026'!$D$2:$D$2684,$B81,'январь 2026'!$J$2:$J$2684,W$1)</f>
        <v>0</v>
      </c>
      <c r="X81" s="144">
        <f>SUMIFS('январь 2026'!$G$2:$G$2684,'январь 2026'!$D$2:$D$2684,$B81,'январь 2026'!$J$2:$J$2684,X$1)</f>
        <v>0</v>
      </c>
      <c r="Y81" s="144">
        <f>SUMIFS('январь 2026'!$G$2:$G$2684,'январь 2026'!$D$2:$D$2684,$B81,'январь 2026'!$J$2:$J$2684,Y$1)</f>
        <v>0</v>
      </c>
      <c r="Z81" s="144">
        <f>SUMIFS('январь 2026'!$G$2:$G$2684,'январь 2026'!$D$2:$D$2684,$B81,'январь 2026'!$J$2:$J$2684,Z$1)</f>
        <v>0</v>
      </c>
      <c r="AA81" s="144">
        <f>SUMIFS('январь 2026'!$G$2:$G$2684,'январь 2026'!$D$2:$D$2684,$B81,'январь 2026'!$J$2:$J$2684,AA$1)</f>
        <v>0</v>
      </c>
      <c r="AB81" s="144">
        <f>SUMIFS('январь 2026'!$G$2:$G$2684,'январь 2026'!$D$2:$D$2684,$B81,'январь 2026'!$J$2:$J$2684,AB$1)</f>
        <v>0</v>
      </c>
      <c r="AC81" s="144">
        <f>SUMIFS('январь 2026'!$G$2:$G$2684,'январь 2026'!$D$2:$D$2684,$B81,'январь 2026'!$J$2:$J$2684,AC$1)</f>
        <v>0</v>
      </c>
      <c r="AD81" s="144">
        <f>SUMIFS('январь 2026'!$G$2:$G$2684,'январь 2026'!$D$2:$D$2684,$B81,'январь 2026'!$J$2:$J$2684,AD$1)</f>
        <v>0</v>
      </c>
      <c r="AE81" s="144">
        <f>SUMIFS('январь 2026'!$G$2:$G$2684,'январь 2026'!$D$2:$D$2684,$B81,'январь 2026'!$J$2:$J$2684,AE$1)</f>
        <v>0</v>
      </c>
      <c r="AF81" s="144">
        <f>SUMIFS('январь 2026'!$G$2:$G$2684,'январь 2026'!$D$2:$D$2684,$B81,'январь 2026'!$J$2:$J$2684,AF$1)</f>
        <v>0</v>
      </c>
      <c r="AG81" s="144">
        <f>SUMIFS('январь 2026'!$G$2:$G$2684,'январь 2026'!$D$2:$D$2684,$B81,'январь 2026'!$J$2:$J$2684,AG$1)</f>
        <v>0</v>
      </c>
      <c r="AH81" s="144">
        <f>SUMIFS('январь 2026'!$G$2:$G$2684,'январь 2026'!$D$2:$D$2684,$B81,'январь 2026'!$J$2:$J$2684,AH$1)</f>
        <v>0</v>
      </c>
      <c r="AI81" s="20">
        <f t="shared" si="1"/>
        <v>0</v>
      </c>
    </row>
    <row r="82" spans="2:35" ht="15" customHeight="1" x14ac:dyDescent="0.25">
      <c r="B82" s="85" t="s">
        <v>204</v>
      </c>
      <c r="C82" s="83">
        <v>25</v>
      </c>
      <c r="D82" s="144">
        <f>SUMIFS('январь 2026'!$G$2:$G$2684,'январь 2026'!$D$2:$D$2684,$B82,'январь 2026'!$J$2:$J$2684,D$1)</f>
        <v>0</v>
      </c>
      <c r="E82" s="144">
        <f>SUMIFS('январь 2026'!$G$2:$G$2684,'январь 2026'!$D$2:$D$2684,$B82,'январь 2026'!$J$2:$J$2684,E$1)</f>
        <v>0</v>
      </c>
      <c r="F82" s="144">
        <f>SUMIFS('январь 2026'!$G$2:$G$2684,'январь 2026'!$D$2:$D$2684,$B82,'январь 2026'!$J$2:$J$2684,F$1)</f>
        <v>0</v>
      </c>
      <c r="G82" s="144">
        <f>SUMIFS('январь 2026'!$G$2:$G$2684,'январь 2026'!$D$2:$D$2684,$B82,'январь 2026'!$J$2:$J$2684,G$1)</f>
        <v>0</v>
      </c>
      <c r="H82" s="144">
        <f>SUMIFS('январь 2026'!$G$2:$G$2684,'январь 2026'!$D$2:$D$2684,$B82,'январь 2026'!$J$2:$J$2684,H$1)</f>
        <v>0</v>
      </c>
      <c r="I82" s="144">
        <f>SUMIFS('январь 2026'!$G$2:$G$2684,'январь 2026'!$D$2:$D$2684,$B82,'январь 2026'!$J$2:$J$2684,I$1)</f>
        <v>0</v>
      </c>
      <c r="J82" s="144">
        <f>SUMIFS('январь 2026'!$G$2:$G$2684,'январь 2026'!$D$2:$D$2684,$B82,'январь 2026'!$J$2:$J$2684,J$1)</f>
        <v>0</v>
      </c>
      <c r="K82" s="144">
        <f>SUMIFS('январь 2026'!$G$2:$G$2684,'январь 2026'!$D$2:$D$2684,$B82,'январь 2026'!$J$2:$J$2684,K$1)</f>
        <v>0</v>
      </c>
      <c r="L82" s="144">
        <f>SUMIFS('январь 2026'!$G$2:$G$2684,'январь 2026'!$D$2:$D$2684,$B82,'январь 2026'!$J$2:$J$2684,L$1)</f>
        <v>0</v>
      </c>
      <c r="M82" s="144">
        <f>SUMIFS('январь 2026'!$G$2:$G$2684,'январь 2026'!$D$2:$D$2684,$B82,'январь 2026'!$J$2:$J$2684,M$1)</f>
        <v>0</v>
      </c>
      <c r="N82" s="144">
        <f>SUMIFS('январь 2026'!$G$2:$G$2684,'январь 2026'!$D$2:$D$2684,$B82,'январь 2026'!$J$2:$J$2684,N$1)</f>
        <v>0</v>
      </c>
      <c r="O82" s="144">
        <f>SUMIFS('январь 2026'!$G$2:$G$2684,'январь 2026'!$D$2:$D$2684,$B82,'январь 2026'!$J$2:$J$2684,O$1)</f>
        <v>0</v>
      </c>
      <c r="P82" s="144">
        <f>SUMIFS('январь 2026'!$G$2:$G$2684,'январь 2026'!$D$2:$D$2684,$B82,'январь 2026'!$J$2:$J$2684,P$1)</f>
        <v>0</v>
      </c>
      <c r="Q82" s="144">
        <f>SUMIFS('январь 2026'!$G$2:$G$2684,'январь 2026'!$D$2:$D$2684,$B82,'январь 2026'!$J$2:$J$2684,Q$1)</f>
        <v>0</v>
      </c>
      <c r="R82" s="144">
        <f>SUMIFS('январь 2026'!$G$2:$G$2684,'январь 2026'!$D$2:$D$2684,$B82,'январь 2026'!$J$2:$J$2684,R$1)</f>
        <v>0</v>
      </c>
      <c r="S82" s="144">
        <f>SUMIFS('январь 2026'!$G$2:$G$2684,'январь 2026'!$D$2:$D$2684,$B82,'январь 2026'!$J$2:$J$2684,S$1)</f>
        <v>0</v>
      </c>
      <c r="T82" s="144">
        <f>SUMIFS('январь 2026'!$G$2:$G$2684,'январь 2026'!$D$2:$D$2684,$B82,'январь 2026'!$J$2:$J$2684,T$1)</f>
        <v>0</v>
      </c>
      <c r="U82" s="144">
        <f>SUMIFS('январь 2026'!$G$2:$G$2684,'январь 2026'!$D$2:$D$2684,$B82,'январь 2026'!$J$2:$J$2684,U$1)</f>
        <v>0</v>
      </c>
      <c r="V82" s="144">
        <f>SUMIFS('январь 2026'!$G$2:$G$2684,'январь 2026'!$D$2:$D$2684,$B82,'январь 2026'!$J$2:$J$2684,V$1)</f>
        <v>0</v>
      </c>
      <c r="W82" s="144">
        <f>SUMIFS('январь 2026'!$G$2:$G$2684,'январь 2026'!$D$2:$D$2684,$B82,'январь 2026'!$J$2:$J$2684,W$1)</f>
        <v>0</v>
      </c>
      <c r="X82" s="144">
        <f>SUMIFS('январь 2026'!$G$2:$G$2684,'январь 2026'!$D$2:$D$2684,$B82,'январь 2026'!$J$2:$J$2684,X$1)</f>
        <v>0</v>
      </c>
      <c r="Y82" s="144">
        <f>SUMIFS('январь 2026'!$G$2:$G$2684,'январь 2026'!$D$2:$D$2684,$B82,'январь 2026'!$J$2:$J$2684,Y$1)</f>
        <v>0</v>
      </c>
      <c r="Z82" s="144">
        <f>SUMIFS('январь 2026'!$G$2:$G$2684,'январь 2026'!$D$2:$D$2684,$B82,'январь 2026'!$J$2:$J$2684,Z$1)</f>
        <v>0</v>
      </c>
      <c r="AA82" s="144">
        <f>SUMIFS('январь 2026'!$G$2:$G$2684,'январь 2026'!$D$2:$D$2684,$B82,'январь 2026'!$J$2:$J$2684,AA$1)</f>
        <v>0</v>
      </c>
      <c r="AB82" s="144">
        <f>SUMIFS('январь 2026'!$G$2:$G$2684,'январь 2026'!$D$2:$D$2684,$B82,'январь 2026'!$J$2:$J$2684,AB$1)</f>
        <v>0</v>
      </c>
      <c r="AC82" s="144">
        <f>SUMIFS('январь 2026'!$G$2:$G$2684,'январь 2026'!$D$2:$D$2684,$B82,'январь 2026'!$J$2:$J$2684,AC$1)</f>
        <v>0</v>
      </c>
      <c r="AD82" s="144">
        <f>SUMIFS('январь 2026'!$G$2:$G$2684,'январь 2026'!$D$2:$D$2684,$B82,'январь 2026'!$J$2:$J$2684,AD$1)</f>
        <v>0</v>
      </c>
      <c r="AE82" s="144">
        <f>SUMIFS('январь 2026'!$G$2:$G$2684,'январь 2026'!$D$2:$D$2684,$B82,'январь 2026'!$J$2:$J$2684,AE$1)</f>
        <v>0</v>
      </c>
      <c r="AF82" s="144">
        <f>SUMIFS('январь 2026'!$G$2:$G$2684,'январь 2026'!$D$2:$D$2684,$B82,'январь 2026'!$J$2:$J$2684,AF$1)</f>
        <v>0</v>
      </c>
      <c r="AG82" s="144">
        <f>SUMIFS('январь 2026'!$G$2:$G$2684,'январь 2026'!$D$2:$D$2684,$B82,'январь 2026'!$J$2:$J$2684,AG$1)</f>
        <v>0</v>
      </c>
      <c r="AH82" s="144">
        <f>SUMIFS('январь 2026'!$G$2:$G$2684,'январь 2026'!$D$2:$D$2684,$B82,'январь 2026'!$J$2:$J$2684,AH$1)</f>
        <v>0</v>
      </c>
      <c r="AI82" s="20">
        <f t="shared" si="1"/>
        <v>0</v>
      </c>
    </row>
    <row r="83" spans="2:35" ht="15" customHeight="1" x14ac:dyDescent="0.25">
      <c r="B83" s="85" t="s">
        <v>176</v>
      </c>
      <c r="C83" s="83">
        <v>50</v>
      </c>
      <c r="D83" s="144">
        <f>SUMIFS('январь 2026'!$G$2:$G$2684,'январь 2026'!$D$2:$D$2684,$B83,'январь 2026'!$J$2:$J$2684,D$1)</f>
        <v>0</v>
      </c>
      <c r="E83" s="144">
        <f>SUMIFS('январь 2026'!$G$2:$G$2684,'январь 2026'!$D$2:$D$2684,$B83,'январь 2026'!$J$2:$J$2684,E$1)</f>
        <v>0</v>
      </c>
      <c r="F83" s="144">
        <f>SUMIFS('январь 2026'!$G$2:$G$2684,'январь 2026'!$D$2:$D$2684,$B83,'январь 2026'!$J$2:$J$2684,F$1)</f>
        <v>0</v>
      </c>
      <c r="G83" s="144">
        <f>SUMIFS('январь 2026'!$G$2:$G$2684,'январь 2026'!$D$2:$D$2684,$B83,'январь 2026'!$J$2:$J$2684,G$1)</f>
        <v>0</v>
      </c>
      <c r="H83" s="144">
        <f>SUMIFS('январь 2026'!$G$2:$G$2684,'январь 2026'!$D$2:$D$2684,$B83,'январь 2026'!$J$2:$J$2684,H$1)</f>
        <v>0</v>
      </c>
      <c r="I83" s="144">
        <f>SUMIFS('январь 2026'!$G$2:$G$2684,'январь 2026'!$D$2:$D$2684,$B83,'январь 2026'!$J$2:$J$2684,I$1)</f>
        <v>0</v>
      </c>
      <c r="J83" s="144">
        <f>SUMIFS('январь 2026'!$G$2:$G$2684,'январь 2026'!$D$2:$D$2684,$B83,'январь 2026'!$J$2:$J$2684,J$1)</f>
        <v>0</v>
      </c>
      <c r="K83" s="144">
        <f>SUMIFS('январь 2026'!$G$2:$G$2684,'январь 2026'!$D$2:$D$2684,$B83,'январь 2026'!$J$2:$J$2684,K$1)</f>
        <v>0</v>
      </c>
      <c r="L83" s="144">
        <f>SUMIFS('январь 2026'!$G$2:$G$2684,'январь 2026'!$D$2:$D$2684,$B83,'январь 2026'!$J$2:$J$2684,L$1)</f>
        <v>0</v>
      </c>
      <c r="M83" s="144">
        <f>SUMIFS('январь 2026'!$G$2:$G$2684,'январь 2026'!$D$2:$D$2684,$B83,'январь 2026'!$J$2:$J$2684,M$1)</f>
        <v>0</v>
      </c>
      <c r="N83" s="144">
        <f>SUMIFS('январь 2026'!$G$2:$G$2684,'январь 2026'!$D$2:$D$2684,$B83,'январь 2026'!$J$2:$J$2684,N$1)</f>
        <v>0</v>
      </c>
      <c r="O83" s="144">
        <f>SUMIFS('январь 2026'!$G$2:$G$2684,'январь 2026'!$D$2:$D$2684,$B83,'январь 2026'!$J$2:$J$2684,O$1)</f>
        <v>0</v>
      </c>
      <c r="P83" s="144">
        <f>SUMIFS('январь 2026'!$G$2:$G$2684,'январь 2026'!$D$2:$D$2684,$B83,'январь 2026'!$J$2:$J$2684,P$1)</f>
        <v>0</v>
      </c>
      <c r="Q83" s="144">
        <f>SUMIFS('январь 2026'!$G$2:$G$2684,'январь 2026'!$D$2:$D$2684,$B83,'январь 2026'!$J$2:$J$2684,Q$1)</f>
        <v>0</v>
      </c>
      <c r="R83" s="144">
        <f>SUMIFS('январь 2026'!$G$2:$G$2684,'январь 2026'!$D$2:$D$2684,$B83,'январь 2026'!$J$2:$J$2684,R$1)</f>
        <v>0</v>
      </c>
      <c r="S83" s="144">
        <f>SUMIFS('январь 2026'!$G$2:$G$2684,'январь 2026'!$D$2:$D$2684,$B83,'январь 2026'!$J$2:$J$2684,S$1)</f>
        <v>0</v>
      </c>
      <c r="T83" s="144">
        <f>SUMIFS('январь 2026'!$G$2:$G$2684,'январь 2026'!$D$2:$D$2684,$B83,'январь 2026'!$J$2:$J$2684,T$1)</f>
        <v>0</v>
      </c>
      <c r="U83" s="144">
        <f>SUMIFS('январь 2026'!$G$2:$G$2684,'январь 2026'!$D$2:$D$2684,$B83,'январь 2026'!$J$2:$J$2684,U$1)</f>
        <v>0</v>
      </c>
      <c r="V83" s="144">
        <f>SUMIFS('январь 2026'!$G$2:$G$2684,'январь 2026'!$D$2:$D$2684,$B83,'январь 2026'!$J$2:$J$2684,V$1)</f>
        <v>0</v>
      </c>
      <c r="W83" s="144">
        <f>SUMIFS('январь 2026'!$G$2:$G$2684,'январь 2026'!$D$2:$D$2684,$B83,'январь 2026'!$J$2:$J$2684,W$1)</f>
        <v>0</v>
      </c>
      <c r="X83" s="144">
        <f>SUMIFS('январь 2026'!$G$2:$G$2684,'январь 2026'!$D$2:$D$2684,$B83,'январь 2026'!$J$2:$J$2684,X$1)</f>
        <v>0</v>
      </c>
      <c r="Y83" s="144">
        <f>SUMIFS('январь 2026'!$G$2:$G$2684,'январь 2026'!$D$2:$D$2684,$B83,'январь 2026'!$J$2:$J$2684,Y$1)</f>
        <v>0</v>
      </c>
      <c r="Z83" s="144">
        <f>SUMIFS('январь 2026'!$G$2:$G$2684,'январь 2026'!$D$2:$D$2684,$B83,'январь 2026'!$J$2:$J$2684,Z$1)</f>
        <v>0</v>
      </c>
      <c r="AA83" s="144">
        <f>SUMIFS('январь 2026'!$G$2:$G$2684,'январь 2026'!$D$2:$D$2684,$B83,'январь 2026'!$J$2:$J$2684,AA$1)</f>
        <v>0</v>
      </c>
      <c r="AB83" s="144">
        <f>SUMIFS('январь 2026'!$G$2:$G$2684,'январь 2026'!$D$2:$D$2684,$B83,'январь 2026'!$J$2:$J$2684,AB$1)</f>
        <v>0</v>
      </c>
      <c r="AC83" s="144">
        <f>SUMIFS('январь 2026'!$G$2:$G$2684,'январь 2026'!$D$2:$D$2684,$B83,'январь 2026'!$J$2:$J$2684,AC$1)</f>
        <v>0</v>
      </c>
      <c r="AD83" s="144">
        <f>SUMIFS('январь 2026'!$G$2:$G$2684,'январь 2026'!$D$2:$D$2684,$B83,'январь 2026'!$J$2:$J$2684,AD$1)</f>
        <v>0</v>
      </c>
      <c r="AE83" s="144">
        <f>SUMIFS('январь 2026'!$G$2:$G$2684,'январь 2026'!$D$2:$D$2684,$B83,'январь 2026'!$J$2:$J$2684,AE$1)</f>
        <v>0</v>
      </c>
      <c r="AF83" s="144">
        <f>SUMIFS('январь 2026'!$G$2:$G$2684,'январь 2026'!$D$2:$D$2684,$B83,'январь 2026'!$J$2:$J$2684,AF$1)</f>
        <v>0</v>
      </c>
      <c r="AG83" s="144">
        <f>SUMIFS('январь 2026'!$G$2:$G$2684,'январь 2026'!$D$2:$D$2684,$B83,'январь 2026'!$J$2:$J$2684,AG$1)</f>
        <v>0</v>
      </c>
      <c r="AH83" s="144">
        <f>SUMIFS('январь 2026'!$G$2:$G$2684,'январь 2026'!$D$2:$D$2684,$B83,'январь 2026'!$J$2:$J$2684,AH$1)</f>
        <v>0</v>
      </c>
      <c r="AI83" s="20">
        <f t="shared" si="1"/>
        <v>0</v>
      </c>
    </row>
    <row r="84" spans="2:35" ht="15" customHeight="1" x14ac:dyDescent="0.25">
      <c r="B84" s="85" t="s">
        <v>165</v>
      </c>
      <c r="C84" s="83">
        <v>200</v>
      </c>
      <c r="D84" s="144">
        <f>SUMIFS('январь 2026'!$G$2:$G$2684,'январь 2026'!$D$2:$D$2684,$B84,'январь 2026'!$J$2:$J$2684,D$1)</f>
        <v>0</v>
      </c>
      <c r="E84" s="144">
        <f>SUMIFS('январь 2026'!$G$2:$G$2684,'январь 2026'!$D$2:$D$2684,$B84,'январь 2026'!$J$2:$J$2684,E$1)</f>
        <v>0</v>
      </c>
      <c r="F84" s="144">
        <f>SUMIFS('январь 2026'!$G$2:$G$2684,'январь 2026'!$D$2:$D$2684,$B84,'январь 2026'!$J$2:$J$2684,F$1)</f>
        <v>0</v>
      </c>
      <c r="G84" s="144">
        <f>SUMIFS('январь 2026'!$G$2:$G$2684,'январь 2026'!$D$2:$D$2684,$B84,'январь 2026'!$J$2:$J$2684,G$1)</f>
        <v>0</v>
      </c>
      <c r="H84" s="144">
        <f>SUMIFS('январь 2026'!$G$2:$G$2684,'январь 2026'!$D$2:$D$2684,$B84,'январь 2026'!$J$2:$J$2684,H$1)</f>
        <v>0</v>
      </c>
      <c r="I84" s="144">
        <f>SUMIFS('январь 2026'!$G$2:$G$2684,'январь 2026'!$D$2:$D$2684,$B84,'январь 2026'!$J$2:$J$2684,I$1)</f>
        <v>0</v>
      </c>
      <c r="J84" s="144">
        <f>SUMIFS('январь 2026'!$G$2:$G$2684,'январь 2026'!$D$2:$D$2684,$B84,'январь 2026'!$J$2:$J$2684,J$1)</f>
        <v>0</v>
      </c>
      <c r="K84" s="144">
        <f>SUMIFS('январь 2026'!$G$2:$G$2684,'январь 2026'!$D$2:$D$2684,$B84,'январь 2026'!$J$2:$J$2684,K$1)</f>
        <v>0</v>
      </c>
      <c r="L84" s="144">
        <f>SUMIFS('январь 2026'!$G$2:$G$2684,'январь 2026'!$D$2:$D$2684,$B84,'январь 2026'!$J$2:$J$2684,L$1)</f>
        <v>0</v>
      </c>
      <c r="M84" s="144">
        <f>SUMIFS('январь 2026'!$G$2:$G$2684,'январь 2026'!$D$2:$D$2684,$B84,'январь 2026'!$J$2:$J$2684,M$1)</f>
        <v>0</v>
      </c>
      <c r="N84" s="144">
        <f>SUMIFS('январь 2026'!$G$2:$G$2684,'январь 2026'!$D$2:$D$2684,$B84,'январь 2026'!$J$2:$J$2684,N$1)</f>
        <v>0</v>
      </c>
      <c r="O84" s="144">
        <f>SUMIFS('январь 2026'!$G$2:$G$2684,'январь 2026'!$D$2:$D$2684,$B84,'январь 2026'!$J$2:$J$2684,O$1)</f>
        <v>0</v>
      </c>
      <c r="P84" s="144">
        <f>SUMIFS('январь 2026'!$G$2:$G$2684,'январь 2026'!$D$2:$D$2684,$B84,'январь 2026'!$J$2:$J$2684,P$1)</f>
        <v>0</v>
      </c>
      <c r="Q84" s="144">
        <f>SUMIFS('январь 2026'!$G$2:$G$2684,'январь 2026'!$D$2:$D$2684,$B84,'январь 2026'!$J$2:$J$2684,Q$1)</f>
        <v>0</v>
      </c>
      <c r="R84" s="144">
        <f>SUMIFS('январь 2026'!$G$2:$G$2684,'январь 2026'!$D$2:$D$2684,$B84,'январь 2026'!$J$2:$J$2684,R$1)</f>
        <v>0</v>
      </c>
      <c r="S84" s="144">
        <f>SUMIFS('январь 2026'!$G$2:$G$2684,'январь 2026'!$D$2:$D$2684,$B84,'январь 2026'!$J$2:$J$2684,S$1)</f>
        <v>0</v>
      </c>
      <c r="T84" s="144">
        <f>SUMIFS('январь 2026'!$G$2:$G$2684,'январь 2026'!$D$2:$D$2684,$B84,'январь 2026'!$J$2:$J$2684,T$1)</f>
        <v>0</v>
      </c>
      <c r="U84" s="144">
        <f>SUMIFS('январь 2026'!$G$2:$G$2684,'январь 2026'!$D$2:$D$2684,$B84,'январь 2026'!$J$2:$J$2684,U$1)</f>
        <v>0</v>
      </c>
      <c r="V84" s="144">
        <f>SUMIFS('январь 2026'!$G$2:$G$2684,'январь 2026'!$D$2:$D$2684,$B84,'январь 2026'!$J$2:$J$2684,V$1)</f>
        <v>0</v>
      </c>
      <c r="W84" s="144">
        <f>SUMIFS('январь 2026'!$G$2:$G$2684,'январь 2026'!$D$2:$D$2684,$B84,'январь 2026'!$J$2:$J$2684,W$1)</f>
        <v>0</v>
      </c>
      <c r="X84" s="144">
        <f>SUMIFS('январь 2026'!$G$2:$G$2684,'январь 2026'!$D$2:$D$2684,$B84,'январь 2026'!$J$2:$J$2684,X$1)</f>
        <v>0</v>
      </c>
      <c r="Y84" s="144">
        <f>SUMIFS('январь 2026'!$G$2:$G$2684,'январь 2026'!$D$2:$D$2684,$B84,'январь 2026'!$J$2:$J$2684,Y$1)</f>
        <v>0</v>
      </c>
      <c r="Z84" s="144">
        <f>SUMIFS('январь 2026'!$G$2:$G$2684,'январь 2026'!$D$2:$D$2684,$B84,'январь 2026'!$J$2:$J$2684,Z$1)</f>
        <v>0</v>
      </c>
      <c r="AA84" s="144">
        <f>SUMIFS('январь 2026'!$G$2:$G$2684,'январь 2026'!$D$2:$D$2684,$B84,'январь 2026'!$J$2:$J$2684,AA$1)</f>
        <v>0</v>
      </c>
      <c r="AB84" s="144">
        <f>SUMIFS('январь 2026'!$G$2:$G$2684,'январь 2026'!$D$2:$D$2684,$B84,'январь 2026'!$J$2:$J$2684,AB$1)</f>
        <v>0</v>
      </c>
      <c r="AC84" s="144">
        <f>SUMIFS('январь 2026'!$G$2:$G$2684,'январь 2026'!$D$2:$D$2684,$B84,'январь 2026'!$J$2:$J$2684,AC$1)</f>
        <v>0</v>
      </c>
      <c r="AD84" s="144">
        <f>SUMIFS('январь 2026'!$G$2:$G$2684,'январь 2026'!$D$2:$D$2684,$B84,'январь 2026'!$J$2:$J$2684,AD$1)</f>
        <v>0</v>
      </c>
      <c r="AE84" s="144">
        <f>SUMIFS('январь 2026'!$G$2:$G$2684,'январь 2026'!$D$2:$D$2684,$B84,'январь 2026'!$J$2:$J$2684,AE$1)</f>
        <v>0</v>
      </c>
      <c r="AF84" s="144">
        <f>SUMIFS('январь 2026'!$G$2:$G$2684,'январь 2026'!$D$2:$D$2684,$B84,'январь 2026'!$J$2:$J$2684,AF$1)</f>
        <v>0</v>
      </c>
      <c r="AG84" s="144">
        <f>SUMIFS('январь 2026'!$G$2:$G$2684,'январь 2026'!$D$2:$D$2684,$B84,'январь 2026'!$J$2:$J$2684,AG$1)</f>
        <v>0</v>
      </c>
      <c r="AH84" s="144">
        <f>SUMIFS('январь 2026'!$G$2:$G$2684,'январь 2026'!$D$2:$D$2684,$B84,'январь 2026'!$J$2:$J$2684,AH$1)</f>
        <v>0</v>
      </c>
      <c r="AI84" s="20">
        <f t="shared" si="1"/>
        <v>0</v>
      </c>
    </row>
    <row r="85" spans="2:35" ht="15" customHeight="1" x14ac:dyDescent="0.25">
      <c r="B85" s="85" t="s">
        <v>166</v>
      </c>
      <c r="C85" s="83">
        <v>200</v>
      </c>
      <c r="D85" s="144">
        <f>SUMIFS('январь 2026'!$G$2:$G$2684,'январь 2026'!$D$2:$D$2684,$B85,'январь 2026'!$J$2:$J$2684,D$1)</f>
        <v>0</v>
      </c>
      <c r="E85" s="144">
        <f>SUMIFS('январь 2026'!$G$2:$G$2684,'январь 2026'!$D$2:$D$2684,$B85,'январь 2026'!$J$2:$J$2684,E$1)</f>
        <v>0</v>
      </c>
      <c r="F85" s="144">
        <f>SUMIFS('январь 2026'!$G$2:$G$2684,'январь 2026'!$D$2:$D$2684,$B85,'январь 2026'!$J$2:$J$2684,F$1)</f>
        <v>0</v>
      </c>
      <c r="G85" s="144">
        <f>SUMIFS('январь 2026'!$G$2:$G$2684,'январь 2026'!$D$2:$D$2684,$B85,'январь 2026'!$J$2:$J$2684,G$1)</f>
        <v>0</v>
      </c>
      <c r="H85" s="144">
        <f>SUMIFS('январь 2026'!$G$2:$G$2684,'январь 2026'!$D$2:$D$2684,$B85,'январь 2026'!$J$2:$J$2684,H$1)</f>
        <v>0</v>
      </c>
      <c r="I85" s="144">
        <f>SUMIFS('январь 2026'!$G$2:$G$2684,'январь 2026'!$D$2:$D$2684,$B85,'январь 2026'!$J$2:$J$2684,I$1)</f>
        <v>0</v>
      </c>
      <c r="J85" s="144">
        <f>SUMIFS('январь 2026'!$G$2:$G$2684,'январь 2026'!$D$2:$D$2684,$B85,'январь 2026'!$J$2:$J$2684,J$1)</f>
        <v>0</v>
      </c>
      <c r="K85" s="144">
        <f>SUMIFS('январь 2026'!$G$2:$G$2684,'январь 2026'!$D$2:$D$2684,$B85,'январь 2026'!$J$2:$J$2684,K$1)</f>
        <v>0</v>
      </c>
      <c r="L85" s="144">
        <f>SUMIFS('январь 2026'!$G$2:$G$2684,'январь 2026'!$D$2:$D$2684,$B85,'январь 2026'!$J$2:$J$2684,L$1)</f>
        <v>0</v>
      </c>
      <c r="M85" s="144">
        <f>SUMIFS('январь 2026'!$G$2:$G$2684,'январь 2026'!$D$2:$D$2684,$B85,'январь 2026'!$J$2:$J$2684,M$1)</f>
        <v>0</v>
      </c>
      <c r="N85" s="144">
        <f>SUMIFS('январь 2026'!$G$2:$G$2684,'январь 2026'!$D$2:$D$2684,$B85,'январь 2026'!$J$2:$J$2684,N$1)</f>
        <v>0</v>
      </c>
      <c r="O85" s="144">
        <f>SUMIFS('январь 2026'!$G$2:$G$2684,'январь 2026'!$D$2:$D$2684,$B85,'январь 2026'!$J$2:$J$2684,O$1)</f>
        <v>0</v>
      </c>
      <c r="P85" s="144">
        <f>SUMIFS('январь 2026'!$G$2:$G$2684,'январь 2026'!$D$2:$D$2684,$B85,'январь 2026'!$J$2:$J$2684,P$1)</f>
        <v>0</v>
      </c>
      <c r="Q85" s="144">
        <f>SUMIFS('январь 2026'!$G$2:$G$2684,'январь 2026'!$D$2:$D$2684,$B85,'январь 2026'!$J$2:$J$2684,Q$1)</f>
        <v>0</v>
      </c>
      <c r="R85" s="144">
        <f>SUMIFS('январь 2026'!$G$2:$G$2684,'январь 2026'!$D$2:$D$2684,$B85,'январь 2026'!$J$2:$J$2684,R$1)</f>
        <v>0</v>
      </c>
      <c r="S85" s="144">
        <f>SUMIFS('январь 2026'!$G$2:$G$2684,'январь 2026'!$D$2:$D$2684,$B85,'январь 2026'!$J$2:$J$2684,S$1)</f>
        <v>0</v>
      </c>
      <c r="T85" s="144">
        <f>SUMIFS('январь 2026'!$G$2:$G$2684,'январь 2026'!$D$2:$D$2684,$B85,'январь 2026'!$J$2:$J$2684,T$1)</f>
        <v>0</v>
      </c>
      <c r="U85" s="144">
        <f>SUMIFS('январь 2026'!$G$2:$G$2684,'январь 2026'!$D$2:$D$2684,$B85,'январь 2026'!$J$2:$J$2684,U$1)</f>
        <v>0</v>
      </c>
      <c r="V85" s="144">
        <f>SUMIFS('январь 2026'!$G$2:$G$2684,'январь 2026'!$D$2:$D$2684,$B85,'январь 2026'!$J$2:$J$2684,V$1)</f>
        <v>0</v>
      </c>
      <c r="W85" s="144">
        <f>SUMIFS('январь 2026'!$G$2:$G$2684,'январь 2026'!$D$2:$D$2684,$B85,'январь 2026'!$J$2:$J$2684,W$1)</f>
        <v>0</v>
      </c>
      <c r="X85" s="144">
        <f>SUMIFS('январь 2026'!$G$2:$G$2684,'январь 2026'!$D$2:$D$2684,$B85,'январь 2026'!$J$2:$J$2684,X$1)</f>
        <v>0</v>
      </c>
      <c r="Y85" s="144">
        <f>SUMIFS('январь 2026'!$G$2:$G$2684,'январь 2026'!$D$2:$D$2684,$B85,'январь 2026'!$J$2:$J$2684,Y$1)</f>
        <v>0</v>
      </c>
      <c r="Z85" s="144">
        <f>SUMIFS('январь 2026'!$G$2:$G$2684,'январь 2026'!$D$2:$D$2684,$B85,'январь 2026'!$J$2:$J$2684,Z$1)</f>
        <v>0</v>
      </c>
      <c r="AA85" s="144">
        <f>SUMIFS('январь 2026'!$G$2:$G$2684,'январь 2026'!$D$2:$D$2684,$B85,'январь 2026'!$J$2:$J$2684,AA$1)</f>
        <v>0</v>
      </c>
      <c r="AB85" s="144">
        <f>SUMIFS('январь 2026'!$G$2:$G$2684,'январь 2026'!$D$2:$D$2684,$B85,'январь 2026'!$J$2:$J$2684,AB$1)</f>
        <v>0</v>
      </c>
      <c r="AC85" s="144">
        <f>SUMIFS('январь 2026'!$G$2:$G$2684,'январь 2026'!$D$2:$D$2684,$B85,'январь 2026'!$J$2:$J$2684,AC$1)</f>
        <v>0</v>
      </c>
      <c r="AD85" s="144">
        <f>SUMIFS('январь 2026'!$G$2:$G$2684,'январь 2026'!$D$2:$D$2684,$B85,'январь 2026'!$J$2:$J$2684,AD$1)</f>
        <v>88</v>
      </c>
      <c r="AE85" s="144">
        <f>SUMIFS('январь 2026'!$G$2:$G$2684,'январь 2026'!$D$2:$D$2684,$B85,'январь 2026'!$J$2:$J$2684,AE$1)</f>
        <v>0</v>
      </c>
      <c r="AF85" s="144">
        <f>SUMIFS('январь 2026'!$G$2:$G$2684,'январь 2026'!$D$2:$D$2684,$B85,'январь 2026'!$J$2:$J$2684,AF$1)</f>
        <v>0</v>
      </c>
      <c r="AG85" s="144">
        <f>SUMIFS('январь 2026'!$G$2:$G$2684,'январь 2026'!$D$2:$D$2684,$B85,'январь 2026'!$J$2:$J$2684,AG$1)</f>
        <v>88</v>
      </c>
      <c r="AH85" s="144">
        <f>SUMIFS('январь 2026'!$G$2:$G$2684,'январь 2026'!$D$2:$D$2684,$B85,'январь 2026'!$J$2:$J$2684,AH$1)</f>
        <v>0</v>
      </c>
      <c r="AI85" s="20">
        <f t="shared" si="1"/>
        <v>176</v>
      </c>
    </row>
    <row r="86" spans="2:35" ht="15" customHeight="1" x14ac:dyDescent="0.25">
      <c r="B86" s="85" t="s">
        <v>346</v>
      </c>
      <c r="C86" s="83">
        <v>215.5</v>
      </c>
      <c r="D86" s="144">
        <f>SUMIFS('январь 2026'!$G$2:$G$2684,'январь 2026'!$D$2:$D$2684,$B86,'январь 2026'!$J$2:$J$2684,D$1)</f>
        <v>0</v>
      </c>
      <c r="E86" s="144">
        <f>SUMIFS('январь 2026'!$G$2:$G$2684,'январь 2026'!$D$2:$D$2684,$B86,'январь 2026'!$J$2:$J$2684,E$1)</f>
        <v>0</v>
      </c>
      <c r="F86" s="144">
        <f>SUMIFS('январь 2026'!$G$2:$G$2684,'январь 2026'!$D$2:$D$2684,$B86,'январь 2026'!$J$2:$J$2684,F$1)</f>
        <v>0</v>
      </c>
      <c r="G86" s="144">
        <f>SUMIFS('январь 2026'!$G$2:$G$2684,'январь 2026'!$D$2:$D$2684,$B86,'январь 2026'!$J$2:$J$2684,G$1)</f>
        <v>0</v>
      </c>
      <c r="H86" s="144">
        <f>SUMIFS('январь 2026'!$G$2:$G$2684,'январь 2026'!$D$2:$D$2684,$B86,'январь 2026'!$J$2:$J$2684,H$1)</f>
        <v>0</v>
      </c>
      <c r="I86" s="144">
        <f>SUMIFS('январь 2026'!$G$2:$G$2684,'январь 2026'!$D$2:$D$2684,$B86,'январь 2026'!$J$2:$J$2684,I$1)</f>
        <v>0</v>
      </c>
      <c r="J86" s="144">
        <f>SUMIFS('январь 2026'!$G$2:$G$2684,'январь 2026'!$D$2:$D$2684,$B86,'январь 2026'!$J$2:$J$2684,J$1)</f>
        <v>0</v>
      </c>
      <c r="K86" s="144">
        <f>SUMIFS('январь 2026'!$G$2:$G$2684,'январь 2026'!$D$2:$D$2684,$B86,'январь 2026'!$J$2:$J$2684,K$1)</f>
        <v>0</v>
      </c>
      <c r="L86" s="144">
        <f>SUMIFS('январь 2026'!$G$2:$G$2684,'январь 2026'!$D$2:$D$2684,$B86,'январь 2026'!$J$2:$J$2684,L$1)</f>
        <v>0</v>
      </c>
      <c r="M86" s="144">
        <f>SUMIFS('январь 2026'!$G$2:$G$2684,'январь 2026'!$D$2:$D$2684,$B86,'январь 2026'!$J$2:$J$2684,M$1)</f>
        <v>0</v>
      </c>
      <c r="N86" s="144">
        <f>SUMIFS('январь 2026'!$G$2:$G$2684,'январь 2026'!$D$2:$D$2684,$B86,'январь 2026'!$J$2:$J$2684,N$1)</f>
        <v>0</v>
      </c>
      <c r="O86" s="144">
        <f>SUMIFS('январь 2026'!$G$2:$G$2684,'январь 2026'!$D$2:$D$2684,$B86,'январь 2026'!$J$2:$J$2684,O$1)</f>
        <v>0</v>
      </c>
      <c r="P86" s="144">
        <f>SUMIFS('январь 2026'!$G$2:$G$2684,'январь 2026'!$D$2:$D$2684,$B86,'январь 2026'!$J$2:$J$2684,P$1)</f>
        <v>0</v>
      </c>
      <c r="Q86" s="144">
        <f>SUMIFS('январь 2026'!$G$2:$G$2684,'январь 2026'!$D$2:$D$2684,$B86,'январь 2026'!$J$2:$J$2684,Q$1)</f>
        <v>0</v>
      </c>
      <c r="R86" s="144">
        <f>SUMIFS('январь 2026'!$G$2:$G$2684,'январь 2026'!$D$2:$D$2684,$B86,'январь 2026'!$J$2:$J$2684,R$1)</f>
        <v>0</v>
      </c>
      <c r="S86" s="144">
        <f>SUMIFS('январь 2026'!$G$2:$G$2684,'январь 2026'!$D$2:$D$2684,$B86,'январь 2026'!$J$2:$J$2684,S$1)</f>
        <v>0</v>
      </c>
      <c r="T86" s="144">
        <f>SUMIFS('январь 2026'!$G$2:$G$2684,'январь 2026'!$D$2:$D$2684,$B86,'январь 2026'!$J$2:$J$2684,T$1)</f>
        <v>0</v>
      </c>
      <c r="U86" s="144">
        <f>SUMIFS('январь 2026'!$G$2:$G$2684,'январь 2026'!$D$2:$D$2684,$B86,'январь 2026'!$J$2:$J$2684,U$1)</f>
        <v>0</v>
      </c>
      <c r="V86" s="144">
        <f>SUMIFS('январь 2026'!$G$2:$G$2684,'январь 2026'!$D$2:$D$2684,$B86,'январь 2026'!$J$2:$J$2684,V$1)</f>
        <v>0</v>
      </c>
      <c r="W86" s="144">
        <f>SUMIFS('январь 2026'!$G$2:$G$2684,'январь 2026'!$D$2:$D$2684,$B86,'январь 2026'!$J$2:$J$2684,W$1)</f>
        <v>0</v>
      </c>
      <c r="X86" s="144">
        <f>SUMIFS('январь 2026'!$G$2:$G$2684,'январь 2026'!$D$2:$D$2684,$B86,'январь 2026'!$J$2:$J$2684,X$1)</f>
        <v>0</v>
      </c>
      <c r="Y86" s="144">
        <f>SUMIFS('январь 2026'!$G$2:$G$2684,'январь 2026'!$D$2:$D$2684,$B86,'январь 2026'!$J$2:$J$2684,Y$1)</f>
        <v>0</v>
      </c>
      <c r="Z86" s="144">
        <f>SUMIFS('январь 2026'!$G$2:$G$2684,'январь 2026'!$D$2:$D$2684,$B86,'январь 2026'!$J$2:$J$2684,Z$1)</f>
        <v>0</v>
      </c>
      <c r="AA86" s="144">
        <f>SUMIFS('январь 2026'!$G$2:$G$2684,'январь 2026'!$D$2:$D$2684,$B86,'январь 2026'!$J$2:$J$2684,AA$1)</f>
        <v>0</v>
      </c>
      <c r="AB86" s="144">
        <f>SUMIFS('январь 2026'!$G$2:$G$2684,'январь 2026'!$D$2:$D$2684,$B86,'январь 2026'!$J$2:$J$2684,AB$1)</f>
        <v>0</v>
      </c>
      <c r="AC86" s="144">
        <f>SUMIFS('январь 2026'!$G$2:$G$2684,'январь 2026'!$D$2:$D$2684,$B86,'январь 2026'!$J$2:$J$2684,AC$1)</f>
        <v>0</v>
      </c>
      <c r="AD86" s="144">
        <f>SUMIFS('январь 2026'!$G$2:$G$2684,'январь 2026'!$D$2:$D$2684,$B86,'январь 2026'!$J$2:$J$2684,AD$1)</f>
        <v>0</v>
      </c>
      <c r="AE86" s="144">
        <f>SUMIFS('январь 2026'!$G$2:$G$2684,'январь 2026'!$D$2:$D$2684,$B86,'январь 2026'!$J$2:$J$2684,AE$1)</f>
        <v>0</v>
      </c>
      <c r="AF86" s="144">
        <f>SUMIFS('январь 2026'!$G$2:$G$2684,'январь 2026'!$D$2:$D$2684,$B86,'январь 2026'!$J$2:$J$2684,AF$1)</f>
        <v>0</v>
      </c>
      <c r="AG86" s="144">
        <f>SUMIFS('январь 2026'!$G$2:$G$2684,'январь 2026'!$D$2:$D$2684,$B86,'январь 2026'!$J$2:$J$2684,AG$1)</f>
        <v>0</v>
      </c>
      <c r="AH86" s="144">
        <f>SUMIFS('январь 2026'!$G$2:$G$2684,'январь 2026'!$D$2:$D$2684,$B86,'январь 2026'!$J$2:$J$2684,AH$1)</f>
        <v>0</v>
      </c>
      <c r="AI86" s="20"/>
    </row>
    <row r="87" spans="2:35" ht="15" customHeight="1" x14ac:dyDescent="0.25">
      <c r="B87" s="85" t="s">
        <v>300</v>
      </c>
      <c r="C87" s="83">
        <v>200</v>
      </c>
      <c r="D87" s="144">
        <f>SUMIFS('январь 2026'!$G$2:$G$2684,'январь 2026'!$D$2:$D$2684,$B87,'январь 2026'!$J$2:$J$2684,D$1)</f>
        <v>0</v>
      </c>
      <c r="E87" s="144">
        <f>SUMIFS('январь 2026'!$G$2:$G$2684,'январь 2026'!$D$2:$D$2684,$B87,'январь 2026'!$J$2:$J$2684,E$1)</f>
        <v>0</v>
      </c>
      <c r="F87" s="144">
        <f>SUMIFS('январь 2026'!$G$2:$G$2684,'январь 2026'!$D$2:$D$2684,$B87,'январь 2026'!$J$2:$J$2684,F$1)</f>
        <v>0</v>
      </c>
      <c r="G87" s="144">
        <f>SUMIFS('январь 2026'!$G$2:$G$2684,'январь 2026'!$D$2:$D$2684,$B87,'январь 2026'!$J$2:$J$2684,G$1)</f>
        <v>0</v>
      </c>
      <c r="H87" s="144">
        <f>SUMIFS('январь 2026'!$G$2:$G$2684,'январь 2026'!$D$2:$D$2684,$B87,'январь 2026'!$J$2:$J$2684,H$1)</f>
        <v>0</v>
      </c>
      <c r="I87" s="144">
        <f>SUMIFS('январь 2026'!$G$2:$G$2684,'январь 2026'!$D$2:$D$2684,$B87,'январь 2026'!$J$2:$J$2684,I$1)</f>
        <v>0</v>
      </c>
      <c r="J87" s="144">
        <f>SUMIFS('январь 2026'!$G$2:$G$2684,'январь 2026'!$D$2:$D$2684,$B87,'январь 2026'!$J$2:$J$2684,J$1)</f>
        <v>0</v>
      </c>
      <c r="K87" s="144">
        <f>SUMIFS('январь 2026'!$G$2:$G$2684,'январь 2026'!$D$2:$D$2684,$B87,'январь 2026'!$J$2:$J$2684,K$1)</f>
        <v>0</v>
      </c>
      <c r="L87" s="144">
        <f>SUMIFS('январь 2026'!$G$2:$G$2684,'январь 2026'!$D$2:$D$2684,$B87,'январь 2026'!$J$2:$J$2684,L$1)</f>
        <v>0</v>
      </c>
      <c r="M87" s="144">
        <f>SUMIFS('январь 2026'!$G$2:$G$2684,'январь 2026'!$D$2:$D$2684,$B87,'январь 2026'!$J$2:$J$2684,M$1)</f>
        <v>0</v>
      </c>
      <c r="N87" s="144">
        <f>SUMIFS('январь 2026'!$G$2:$G$2684,'январь 2026'!$D$2:$D$2684,$B87,'январь 2026'!$J$2:$J$2684,N$1)</f>
        <v>0</v>
      </c>
      <c r="O87" s="144">
        <f>SUMIFS('январь 2026'!$G$2:$G$2684,'январь 2026'!$D$2:$D$2684,$B87,'январь 2026'!$J$2:$J$2684,O$1)</f>
        <v>0</v>
      </c>
      <c r="P87" s="144">
        <f>SUMIFS('январь 2026'!$G$2:$G$2684,'январь 2026'!$D$2:$D$2684,$B87,'январь 2026'!$J$2:$J$2684,P$1)</f>
        <v>0</v>
      </c>
      <c r="Q87" s="144">
        <f>SUMIFS('январь 2026'!$G$2:$G$2684,'январь 2026'!$D$2:$D$2684,$B87,'январь 2026'!$J$2:$J$2684,Q$1)</f>
        <v>0</v>
      </c>
      <c r="R87" s="144">
        <f>SUMIFS('январь 2026'!$G$2:$G$2684,'январь 2026'!$D$2:$D$2684,$B87,'январь 2026'!$J$2:$J$2684,R$1)</f>
        <v>0</v>
      </c>
      <c r="S87" s="144">
        <f>SUMIFS('январь 2026'!$G$2:$G$2684,'январь 2026'!$D$2:$D$2684,$B87,'январь 2026'!$J$2:$J$2684,S$1)</f>
        <v>0</v>
      </c>
      <c r="T87" s="144">
        <f>SUMIFS('январь 2026'!$G$2:$G$2684,'январь 2026'!$D$2:$D$2684,$B87,'январь 2026'!$J$2:$J$2684,T$1)</f>
        <v>0</v>
      </c>
      <c r="U87" s="144">
        <f>SUMIFS('январь 2026'!$G$2:$G$2684,'январь 2026'!$D$2:$D$2684,$B87,'январь 2026'!$J$2:$J$2684,U$1)</f>
        <v>0</v>
      </c>
      <c r="V87" s="144">
        <f>SUMIFS('январь 2026'!$G$2:$G$2684,'январь 2026'!$D$2:$D$2684,$B87,'январь 2026'!$J$2:$J$2684,V$1)</f>
        <v>0</v>
      </c>
      <c r="W87" s="144">
        <f>SUMIFS('январь 2026'!$G$2:$G$2684,'январь 2026'!$D$2:$D$2684,$B87,'январь 2026'!$J$2:$J$2684,W$1)</f>
        <v>0</v>
      </c>
      <c r="X87" s="144">
        <f>SUMIFS('январь 2026'!$G$2:$G$2684,'январь 2026'!$D$2:$D$2684,$B87,'январь 2026'!$J$2:$J$2684,X$1)</f>
        <v>0</v>
      </c>
      <c r="Y87" s="144">
        <f>SUMIFS('январь 2026'!$G$2:$G$2684,'январь 2026'!$D$2:$D$2684,$B87,'январь 2026'!$J$2:$J$2684,Y$1)</f>
        <v>0</v>
      </c>
      <c r="Z87" s="144">
        <f>SUMIFS('январь 2026'!$G$2:$G$2684,'январь 2026'!$D$2:$D$2684,$B87,'январь 2026'!$J$2:$J$2684,Z$1)</f>
        <v>0</v>
      </c>
      <c r="AA87" s="144">
        <f>SUMIFS('январь 2026'!$G$2:$G$2684,'январь 2026'!$D$2:$D$2684,$B87,'январь 2026'!$J$2:$J$2684,AA$1)</f>
        <v>0</v>
      </c>
      <c r="AB87" s="144">
        <f>SUMIFS('январь 2026'!$G$2:$G$2684,'январь 2026'!$D$2:$D$2684,$B87,'январь 2026'!$J$2:$J$2684,AB$1)</f>
        <v>0</v>
      </c>
      <c r="AC87" s="144">
        <f>SUMIFS('январь 2026'!$G$2:$G$2684,'январь 2026'!$D$2:$D$2684,$B87,'январь 2026'!$J$2:$J$2684,AC$1)</f>
        <v>0</v>
      </c>
      <c r="AD87" s="144">
        <f>SUMIFS('январь 2026'!$G$2:$G$2684,'январь 2026'!$D$2:$D$2684,$B87,'январь 2026'!$J$2:$J$2684,AD$1)</f>
        <v>0</v>
      </c>
      <c r="AE87" s="144">
        <f>SUMIFS('январь 2026'!$G$2:$G$2684,'январь 2026'!$D$2:$D$2684,$B87,'январь 2026'!$J$2:$J$2684,AE$1)</f>
        <v>0</v>
      </c>
      <c r="AF87" s="144">
        <f>SUMIFS('январь 2026'!$G$2:$G$2684,'январь 2026'!$D$2:$D$2684,$B87,'январь 2026'!$J$2:$J$2684,AF$1)</f>
        <v>0</v>
      </c>
      <c r="AG87" s="144">
        <f>SUMIFS('январь 2026'!$G$2:$G$2684,'январь 2026'!$D$2:$D$2684,$B87,'январь 2026'!$J$2:$J$2684,AG$1)</f>
        <v>0</v>
      </c>
      <c r="AH87" s="144">
        <f>SUMIFS('январь 2026'!$G$2:$G$2684,'январь 2026'!$D$2:$D$2684,$B87,'январь 2026'!$J$2:$J$2684,AH$1)</f>
        <v>0</v>
      </c>
      <c r="AI87" s="20">
        <f t="shared" si="1"/>
        <v>0</v>
      </c>
    </row>
    <row r="88" spans="2:35" ht="15" customHeight="1" x14ac:dyDescent="0.25">
      <c r="B88" s="85" t="s">
        <v>311</v>
      </c>
      <c r="C88" s="83">
        <v>210</v>
      </c>
      <c r="D88" s="144">
        <f>SUMIFS('январь 2026'!$G$2:$G$2684,'январь 2026'!$D$2:$D$2684,$B88,'январь 2026'!$J$2:$J$2684,D$1)</f>
        <v>0</v>
      </c>
      <c r="E88" s="144">
        <f>SUMIFS('январь 2026'!$G$2:$G$2684,'январь 2026'!$D$2:$D$2684,$B88,'январь 2026'!$J$2:$J$2684,E$1)</f>
        <v>0</v>
      </c>
      <c r="F88" s="144">
        <f>SUMIFS('январь 2026'!$G$2:$G$2684,'январь 2026'!$D$2:$D$2684,$B88,'январь 2026'!$J$2:$J$2684,F$1)</f>
        <v>0</v>
      </c>
      <c r="G88" s="144">
        <f>SUMIFS('январь 2026'!$G$2:$G$2684,'январь 2026'!$D$2:$D$2684,$B88,'январь 2026'!$J$2:$J$2684,G$1)</f>
        <v>0</v>
      </c>
      <c r="H88" s="144">
        <f>SUMIFS('январь 2026'!$G$2:$G$2684,'январь 2026'!$D$2:$D$2684,$B88,'январь 2026'!$J$2:$J$2684,H$1)</f>
        <v>0</v>
      </c>
      <c r="I88" s="144">
        <f>SUMIFS('январь 2026'!$G$2:$G$2684,'январь 2026'!$D$2:$D$2684,$B88,'январь 2026'!$J$2:$J$2684,I$1)</f>
        <v>0</v>
      </c>
      <c r="J88" s="144">
        <f>SUMIFS('январь 2026'!$G$2:$G$2684,'январь 2026'!$D$2:$D$2684,$B88,'январь 2026'!$J$2:$J$2684,J$1)</f>
        <v>0</v>
      </c>
      <c r="K88" s="144">
        <f>SUMIFS('январь 2026'!$G$2:$G$2684,'январь 2026'!$D$2:$D$2684,$B88,'январь 2026'!$J$2:$J$2684,K$1)</f>
        <v>0</v>
      </c>
      <c r="L88" s="144">
        <f>SUMIFS('январь 2026'!$G$2:$G$2684,'январь 2026'!$D$2:$D$2684,$B88,'январь 2026'!$J$2:$J$2684,L$1)</f>
        <v>0</v>
      </c>
      <c r="M88" s="144">
        <f>SUMIFS('январь 2026'!$G$2:$G$2684,'январь 2026'!$D$2:$D$2684,$B88,'январь 2026'!$J$2:$J$2684,M$1)</f>
        <v>0</v>
      </c>
      <c r="N88" s="144">
        <f>SUMIFS('январь 2026'!$G$2:$G$2684,'январь 2026'!$D$2:$D$2684,$B88,'январь 2026'!$J$2:$J$2684,N$1)</f>
        <v>0</v>
      </c>
      <c r="O88" s="144">
        <f>SUMIFS('январь 2026'!$G$2:$G$2684,'январь 2026'!$D$2:$D$2684,$B88,'январь 2026'!$J$2:$J$2684,O$1)</f>
        <v>0</v>
      </c>
      <c r="P88" s="144">
        <f>SUMIFS('январь 2026'!$G$2:$G$2684,'январь 2026'!$D$2:$D$2684,$B88,'январь 2026'!$J$2:$J$2684,P$1)</f>
        <v>0</v>
      </c>
      <c r="Q88" s="144">
        <f>SUMIFS('январь 2026'!$G$2:$G$2684,'январь 2026'!$D$2:$D$2684,$B88,'январь 2026'!$J$2:$J$2684,Q$1)</f>
        <v>0</v>
      </c>
      <c r="R88" s="144">
        <f>SUMIFS('январь 2026'!$G$2:$G$2684,'январь 2026'!$D$2:$D$2684,$B88,'январь 2026'!$J$2:$J$2684,R$1)</f>
        <v>0</v>
      </c>
      <c r="S88" s="144">
        <f>SUMIFS('январь 2026'!$G$2:$G$2684,'январь 2026'!$D$2:$D$2684,$B88,'январь 2026'!$J$2:$J$2684,S$1)</f>
        <v>0</v>
      </c>
      <c r="T88" s="144">
        <f>SUMIFS('январь 2026'!$G$2:$G$2684,'январь 2026'!$D$2:$D$2684,$B88,'январь 2026'!$J$2:$J$2684,T$1)</f>
        <v>0</v>
      </c>
      <c r="U88" s="144">
        <f>SUMIFS('январь 2026'!$G$2:$G$2684,'январь 2026'!$D$2:$D$2684,$B88,'январь 2026'!$J$2:$J$2684,U$1)</f>
        <v>0</v>
      </c>
      <c r="V88" s="144">
        <f>SUMIFS('январь 2026'!$G$2:$G$2684,'январь 2026'!$D$2:$D$2684,$B88,'январь 2026'!$J$2:$J$2684,V$1)</f>
        <v>0</v>
      </c>
      <c r="W88" s="144">
        <f>SUMIFS('январь 2026'!$G$2:$G$2684,'январь 2026'!$D$2:$D$2684,$B88,'январь 2026'!$J$2:$J$2684,W$1)</f>
        <v>0</v>
      </c>
      <c r="X88" s="144">
        <f>SUMIFS('январь 2026'!$G$2:$G$2684,'январь 2026'!$D$2:$D$2684,$B88,'январь 2026'!$J$2:$J$2684,X$1)</f>
        <v>0</v>
      </c>
      <c r="Y88" s="144">
        <f>SUMIFS('январь 2026'!$G$2:$G$2684,'январь 2026'!$D$2:$D$2684,$B88,'январь 2026'!$J$2:$J$2684,Y$1)</f>
        <v>0</v>
      </c>
      <c r="Z88" s="144">
        <f>SUMIFS('январь 2026'!$G$2:$G$2684,'январь 2026'!$D$2:$D$2684,$B88,'январь 2026'!$J$2:$J$2684,Z$1)</f>
        <v>0</v>
      </c>
      <c r="AA88" s="144">
        <f>SUMIFS('январь 2026'!$G$2:$G$2684,'январь 2026'!$D$2:$D$2684,$B88,'январь 2026'!$J$2:$J$2684,AA$1)</f>
        <v>0</v>
      </c>
      <c r="AB88" s="144">
        <f>SUMIFS('январь 2026'!$G$2:$G$2684,'январь 2026'!$D$2:$D$2684,$B88,'январь 2026'!$J$2:$J$2684,AB$1)</f>
        <v>0</v>
      </c>
      <c r="AC88" s="144">
        <f>SUMIFS('январь 2026'!$G$2:$G$2684,'январь 2026'!$D$2:$D$2684,$B88,'январь 2026'!$J$2:$J$2684,AC$1)</f>
        <v>0</v>
      </c>
      <c r="AD88" s="144">
        <f>SUMIFS('январь 2026'!$G$2:$G$2684,'январь 2026'!$D$2:$D$2684,$B88,'январь 2026'!$J$2:$J$2684,AD$1)</f>
        <v>0</v>
      </c>
      <c r="AE88" s="144">
        <f>SUMIFS('январь 2026'!$G$2:$G$2684,'январь 2026'!$D$2:$D$2684,$B88,'январь 2026'!$J$2:$J$2684,AE$1)</f>
        <v>0</v>
      </c>
      <c r="AF88" s="144">
        <f>SUMIFS('январь 2026'!$G$2:$G$2684,'январь 2026'!$D$2:$D$2684,$B88,'январь 2026'!$J$2:$J$2684,AF$1)</f>
        <v>0</v>
      </c>
      <c r="AG88" s="144">
        <f>SUMIFS('январь 2026'!$G$2:$G$2684,'январь 2026'!$D$2:$D$2684,$B88,'январь 2026'!$J$2:$J$2684,AG$1)</f>
        <v>0</v>
      </c>
      <c r="AH88" s="144">
        <f>SUMIFS('январь 2026'!$G$2:$G$2684,'январь 2026'!$D$2:$D$2684,$B88,'январь 2026'!$J$2:$J$2684,AH$1)</f>
        <v>0</v>
      </c>
      <c r="AI88" s="20">
        <f t="shared" si="1"/>
        <v>0</v>
      </c>
    </row>
    <row r="89" spans="2:35" ht="15" customHeight="1" x14ac:dyDescent="0.25">
      <c r="B89" s="85" t="s">
        <v>337</v>
      </c>
      <c r="C89" s="83">
        <v>1000</v>
      </c>
      <c r="D89" s="144">
        <f>SUMIFS('январь 2026'!$G$2:$G$2684,'январь 2026'!$D$2:$D$2684,$B89,'январь 2026'!$J$2:$J$2684,D$1)</f>
        <v>0</v>
      </c>
      <c r="E89" s="144">
        <f>SUMIFS('январь 2026'!$G$2:$G$2684,'январь 2026'!$D$2:$D$2684,$B89,'январь 2026'!$J$2:$J$2684,E$1)</f>
        <v>0</v>
      </c>
      <c r="F89" s="144">
        <f>SUMIFS('январь 2026'!$G$2:$G$2684,'январь 2026'!$D$2:$D$2684,$B89,'январь 2026'!$J$2:$J$2684,F$1)</f>
        <v>0</v>
      </c>
      <c r="G89" s="144">
        <f>SUMIFS('январь 2026'!$G$2:$G$2684,'январь 2026'!$D$2:$D$2684,$B89,'январь 2026'!$J$2:$J$2684,G$1)</f>
        <v>0</v>
      </c>
      <c r="H89" s="144">
        <f>SUMIFS('январь 2026'!$G$2:$G$2684,'январь 2026'!$D$2:$D$2684,$B89,'январь 2026'!$J$2:$J$2684,H$1)</f>
        <v>0</v>
      </c>
      <c r="I89" s="144">
        <f>SUMIFS('январь 2026'!$G$2:$G$2684,'январь 2026'!$D$2:$D$2684,$B89,'январь 2026'!$J$2:$J$2684,I$1)</f>
        <v>0</v>
      </c>
      <c r="J89" s="144">
        <f>SUMIFS('январь 2026'!$G$2:$G$2684,'январь 2026'!$D$2:$D$2684,$B89,'январь 2026'!$J$2:$J$2684,J$1)</f>
        <v>0</v>
      </c>
      <c r="K89" s="144">
        <f>SUMIFS('январь 2026'!$G$2:$G$2684,'январь 2026'!$D$2:$D$2684,$B89,'январь 2026'!$J$2:$J$2684,K$1)</f>
        <v>0</v>
      </c>
      <c r="L89" s="144">
        <f>SUMIFS('январь 2026'!$G$2:$G$2684,'январь 2026'!$D$2:$D$2684,$B89,'январь 2026'!$J$2:$J$2684,L$1)</f>
        <v>0</v>
      </c>
      <c r="M89" s="144">
        <f>SUMIFS('январь 2026'!$G$2:$G$2684,'январь 2026'!$D$2:$D$2684,$B89,'январь 2026'!$J$2:$J$2684,M$1)</f>
        <v>0</v>
      </c>
      <c r="N89" s="144">
        <f>SUMIFS('январь 2026'!$G$2:$G$2684,'январь 2026'!$D$2:$D$2684,$B89,'январь 2026'!$J$2:$J$2684,N$1)</f>
        <v>0</v>
      </c>
      <c r="O89" s="144">
        <f>SUMIFS('январь 2026'!$G$2:$G$2684,'январь 2026'!$D$2:$D$2684,$B89,'январь 2026'!$J$2:$J$2684,O$1)</f>
        <v>0</v>
      </c>
      <c r="P89" s="144">
        <f>SUMIFS('январь 2026'!$G$2:$G$2684,'январь 2026'!$D$2:$D$2684,$B89,'январь 2026'!$J$2:$J$2684,P$1)</f>
        <v>0</v>
      </c>
      <c r="Q89" s="144">
        <f>SUMIFS('январь 2026'!$G$2:$G$2684,'январь 2026'!$D$2:$D$2684,$B89,'январь 2026'!$J$2:$J$2684,Q$1)</f>
        <v>0</v>
      </c>
      <c r="R89" s="144">
        <f>SUMIFS('январь 2026'!$G$2:$G$2684,'январь 2026'!$D$2:$D$2684,$B89,'январь 2026'!$J$2:$J$2684,R$1)</f>
        <v>0</v>
      </c>
      <c r="S89" s="144">
        <f>SUMIFS('январь 2026'!$G$2:$G$2684,'январь 2026'!$D$2:$D$2684,$B89,'январь 2026'!$J$2:$J$2684,S$1)</f>
        <v>0</v>
      </c>
      <c r="T89" s="144">
        <f>SUMIFS('январь 2026'!$G$2:$G$2684,'январь 2026'!$D$2:$D$2684,$B89,'январь 2026'!$J$2:$J$2684,T$1)</f>
        <v>0</v>
      </c>
      <c r="U89" s="144">
        <f>SUMIFS('январь 2026'!$G$2:$G$2684,'январь 2026'!$D$2:$D$2684,$B89,'январь 2026'!$J$2:$J$2684,U$1)</f>
        <v>0</v>
      </c>
      <c r="V89" s="144">
        <f>SUMIFS('январь 2026'!$G$2:$G$2684,'январь 2026'!$D$2:$D$2684,$B89,'январь 2026'!$J$2:$J$2684,V$1)</f>
        <v>0</v>
      </c>
      <c r="W89" s="144">
        <f>SUMIFS('январь 2026'!$G$2:$G$2684,'январь 2026'!$D$2:$D$2684,$B89,'январь 2026'!$J$2:$J$2684,W$1)</f>
        <v>0</v>
      </c>
      <c r="X89" s="144">
        <f>SUMIFS('январь 2026'!$G$2:$G$2684,'январь 2026'!$D$2:$D$2684,$B89,'январь 2026'!$J$2:$J$2684,X$1)</f>
        <v>0</v>
      </c>
      <c r="Y89" s="144">
        <f>SUMIFS('январь 2026'!$G$2:$G$2684,'январь 2026'!$D$2:$D$2684,$B89,'январь 2026'!$J$2:$J$2684,Y$1)</f>
        <v>0</v>
      </c>
      <c r="Z89" s="144">
        <f>SUMIFS('январь 2026'!$G$2:$G$2684,'январь 2026'!$D$2:$D$2684,$B89,'январь 2026'!$J$2:$J$2684,Z$1)</f>
        <v>0</v>
      </c>
      <c r="AA89" s="144">
        <f>SUMIFS('январь 2026'!$G$2:$G$2684,'январь 2026'!$D$2:$D$2684,$B89,'январь 2026'!$J$2:$J$2684,AA$1)</f>
        <v>0</v>
      </c>
      <c r="AB89" s="144">
        <f>SUMIFS('январь 2026'!$G$2:$G$2684,'январь 2026'!$D$2:$D$2684,$B89,'январь 2026'!$J$2:$J$2684,AB$1)</f>
        <v>0</v>
      </c>
      <c r="AC89" s="144">
        <f>SUMIFS('январь 2026'!$G$2:$G$2684,'январь 2026'!$D$2:$D$2684,$B89,'январь 2026'!$J$2:$J$2684,AC$1)</f>
        <v>0</v>
      </c>
      <c r="AD89" s="144">
        <f>SUMIFS('январь 2026'!$G$2:$G$2684,'январь 2026'!$D$2:$D$2684,$B89,'январь 2026'!$J$2:$J$2684,AD$1)</f>
        <v>0</v>
      </c>
      <c r="AE89" s="144">
        <f>SUMIFS('январь 2026'!$G$2:$G$2684,'январь 2026'!$D$2:$D$2684,$B89,'январь 2026'!$J$2:$J$2684,AE$1)</f>
        <v>0</v>
      </c>
      <c r="AF89" s="144">
        <f>SUMIFS('январь 2026'!$G$2:$G$2684,'январь 2026'!$D$2:$D$2684,$B89,'январь 2026'!$J$2:$J$2684,AF$1)</f>
        <v>0</v>
      </c>
      <c r="AG89" s="144">
        <f>SUMIFS('январь 2026'!$G$2:$G$2684,'январь 2026'!$D$2:$D$2684,$B89,'январь 2026'!$J$2:$J$2684,AG$1)</f>
        <v>0</v>
      </c>
      <c r="AH89" s="144">
        <f>SUMIFS('январь 2026'!$G$2:$G$2684,'январь 2026'!$D$2:$D$2684,$B89,'январь 2026'!$J$2:$J$2684,AH$1)</f>
        <v>0</v>
      </c>
      <c r="AI89" s="20">
        <f t="shared" si="1"/>
        <v>0</v>
      </c>
    </row>
    <row r="90" spans="2:35" ht="15" customHeight="1" x14ac:dyDescent="0.25">
      <c r="B90" s="85" t="s">
        <v>253</v>
      </c>
      <c r="C90" s="83">
        <v>190</v>
      </c>
      <c r="D90" s="144">
        <f>SUMIFS('январь 2026'!$G$2:$G$2684,'январь 2026'!$D$2:$D$2684,$B90,'январь 2026'!$J$2:$J$2684,D$1)</f>
        <v>0</v>
      </c>
      <c r="E90" s="144">
        <f>SUMIFS('январь 2026'!$G$2:$G$2684,'январь 2026'!$D$2:$D$2684,$B90,'январь 2026'!$J$2:$J$2684,E$1)</f>
        <v>0</v>
      </c>
      <c r="F90" s="144">
        <f>SUMIFS('январь 2026'!$G$2:$G$2684,'январь 2026'!$D$2:$D$2684,$B90,'январь 2026'!$J$2:$J$2684,F$1)</f>
        <v>0</v>
      </c>
      <c r="G90" s="144">
        <f>SUMIFS('январь 2026'!$G$2:$G$2684,'январь 2026'!$D$2:$D$2684,$B90,'январь 2026'!$J$2:$J$2684,G$1)</f>
        <v>0</v>
      </c>
      <c r="H90" s="144">
        <f>SUMIFS('январь 2026'!$G$2:$G$2684,'январь 2026'!$D$2:$D$2684,$B90,'январь 2026'!$J$2:$J$2684,H$1)</f>
        <v>0</v>
      </c>
      <c r="I90" s="144">
        <f>SUMIFS('январь 2026'!$G$2:$G$2684,'январь 2026'!$D$2:$D$2684,$B90,'январь 2026'!$J$2:$J$2684,I$1)</f>
        <v>0</v>
      </c>
      <c r="J90" s="144">
        <f>SUMIFS('январь 2026'!$G$2:$G$2684,'январь 2026'!$D$2:$D$2684,$B90,'январь 2026'!$J$2:$J$2684,J$1)</f>
        <v>0</v>
      </c>
      <c r="K90" s="144">
        <f>SUMIFS('январь 2026'!$G$2:$G$2684,'январь 2026'!$D$2:$D$2684,$B90,'январь 2026'!$J$2:$J$2684,K$1)</f>
        <v>0</v>
      </c>
      <c r="L90" s="144">
        <f>SUMIFS('январь 2026'!$G$2:$G$2684,'январь 2026'!$D$2:$D$2684,$B90,'январь 2026'!$J$2:$J$2684,L$1)</f>
        <v>0</v>
      </c>
      <c r="M90" s="144">
        <f>SUMIFS('январь 2026'!$G$2:$G$2684,'январь 2026'!$D$2:$D$2684,$B90,'январь 2026'!$J$2:$J$2684,M$1)</f>
        <v>0</v>
      </c>
      <c r="N90" s="144">
        <f>SUMIFS('январь 2026'!$G$2:$G$2684,'январь 2026'!$D$2:$D$2684,$B90,'январь 2026'!$J$2:$J$2684,N$1)</f>
        <v>0</v>
      </c>
      <c r="O90" s="144">
        <f>SUMIFS('январь 2026'!$G$2:$G$2684,'январь 2026'!$D$2:$D$2684,$B90,'январь 2026'!$J$2:$J$2684,O$1)</f>
        <v>0</v>
      </c>
      <c r="P90" s="144">
        <f>SUMIFS('январь 2026'!$G$2:$G$2684,'январь 2026'!$D$2:$D$2684,$B90,'январь 2026'!$J$2:$J$2684,P$1)</f>
        <v>0</v>
      </c>
      <c r="Q90" s="144">
        <f>SUMIFS('январь 2026'!$G$2:$G$2684,'январь 2026'!$D$2:$D$2684,$B90,'январь 2026'!$J$2:$J$2684,Q$1)</f>
        <v>0</v>
      </c>
      <c r="R90" s="144">
        <f>SUMIFS('январь 2026'!$G$2:$G$2684,'январь 2026'!$D$2:$D$2684,$B90,'январь 2026'!$J$2:$J$2684,R$1)</f>
        <v>0</v>
      </c>
      <c r="S90" s="144">
        <f>SUMIFS('январь 2026'!$G$2:$G$2684,'январь 2026'!$D$2:$D$2684,$B90,'январь 2026'!$J$2:$J$2684,S$1)</f>
        <v>0</v>
      </c>
      <c r="T90" s="144">
        <f>SUMIFS('январь 2026'!$G$2:$G$2684,'январь 2026'!$D$2:$D$2684,$B90,'январь 2026'!$J$2:$J$2684,T$1)</f>
        <v>0</v>
      </c>
      <c r="U90" s="144">
        <f>SUMIFS('январь 2026'!$G$2:$G$2684,'январь 2026'!$D$2:$D$2684,$B90,'январь 2026'!$J$2:$J$2684,U$1)</f>
        <v>0</v>
      </c>
      <c r="V90" s="144">
        <f>SUMIFS('январь 2026'!$G$2:$G$2684,'январь 2026'!$D$2:$D$2684,$B90,'январь 2026'!$J$2:$J$2684,V$1)</f>
        <v>0</v>
      </c>
      <c r="W90" s="144">
        <f>SUMIFS('январь 2026'!$G$2:$G$2684,'январь 2026'!$D$2:$D$2684,$B90,'январь 2026'!$J$2:$J$2684,W$1)</f>
        <v>0</v>
      </c>
      <c r="X90" s="144">
        <f>SUMIFS('январь 2026'!$G$2:$G$2684,'январь 2026'!$D$2:$D$2684,$B90,'январь 2026'!$J$2:$J$2684,X$1)</f>
        <v>0</v>
      </c>
      <c r="Y90" s="144">
        <f>SUMIFS('январь 2026'!$G$2:$G$2684,'январь 2026'!$D$2:$D$2684,$B90,'январь 2026'!$J$2:$J$2684,Y$1)</f>
        <v>0</v>
      </c>
      <c r="Z90" s="144">
        <f>SUMIFS('январь 2026'!$G$2:$G$2684,'январь 2026'!$D$2:$D$2684,$B90,'январь 2026'!$J$2:$J$2684,Z$1)</f>
        <v>0</v>
      </c>
      <c r="AA90" s="144">
        <f>SUMIFS('январь 2026'!$G$2:$G$2684,'январь 2026'!$D$2:$D$2684,$B90,'январь 2026'!$J$2:$J$2684,AA$1)</f>
        <v>0</v>
      </c>
      <c r="AB90" s="144">
        <f>SUMIFS('январь 2026'!$G$2:$G$2684,'январь 2026'!$D$2:$D$2684,$B90,'январь 2026'!$J$2:$J$2684,AB$1)</f>
        <v>0</v>
      </c>
      <c r="AC90" s="144">
        <f>SUMIFS('январь 2026'!$G$2:$G$2684,'январь 2026'!$D$2:$D$2684,$B90,'январь 2026'!$J$2:$J$2684,AC$1)</f>
        <v>0</v>
      </c>
      <c r="AD90" s="144">
        <f>SUMIFS('январь 2026'!$G$2:$G$2684,'январь 2026'!$D$2:$D$2684,$B90,'январь 2026'!$J$2:$J$2684,AD$1)</f>
        <v>0</v>
      </c>
      <c r="AE90" s="144">
        <f>SUMIFS('январь 2026'!$G$2:$G$2684,'январь 2026'!$D$2:$D$2684,$B90,'январь 2026'!$J$2:$J$2684,AE$1)</f>
        <v>0</v>
      </c>
      <c r="AF90" s="144">
        <f>SUMIFS('январь 2026'!$G$2:$G$2684,'январь 2026'!$D$2:$D$2684,$B90,'январь 2026'!$J$2:$J$2684,AF$1)</f>
        <v>0</v>
      </c>
      <c r="AG90" s="144">
        <f>SUMIFS('январь 2026'!$G$2:$G$2684,'январь 2026'!$D$2:$D$2684,$B90,'январь 2026'!$J$2:$J$2684,AG$1)</f>
        <v>0</v>
      </c>
      <c r="AH90" s="144">
        <f>SUMIFS('январь 2026'!$G$2:$G$2684,'январь 2026'!$D$2:$D$2684,$B90,'январь 2026'!$J$2:$J$2684,AH$1)</f>
        <v>0</v>
      </c>
      <c r="AI90" s="20">
        <f t="shared" si="1"/>
        <v>0</v>
      </c>
    </row>
    <row r="91" spans="2:35" ht="15" customHeight="1" x14ac:dyDescent="0.25">
      <c r="B91" s="82" t="s">
        <v>344</v>
      </c>
      <c r="C91" s="83">
        <v>180</v>
      </c>
      <c r="D91" s="144">
        <f>SUMIFS('январь 2026'!$G$2:$G$2684,'январь 2026'!$D$2:$D$2684,$B91,'январь 2026'!$J$2:$J$2684,D$1)</f>
        <v>0</v>
      </c>
      <c r="E91" s="144">
        <f>SUMIFS('январь 2026'!$G$2:$G$2684,'январь 2026'!$D$2:$D$2684,$B91,'январь 2026'!$J$2:$J$2684,E$1)</f>
        <v>0</v>
      </c>
      <c r="F91" s="144">
        <f>SUMIFS('январь 2026'!$G$2:$G$2684,'январь 2026'!$D$2:$D$2684,$B91,'январь 2026'!$J$2:$J$2684,F$1)</f>
        <v>0</v>
      </c>
      <c r="G91" s="144">
        <f>SUMIFS('январь 2026'!$G$2:$G$2684,'январь 2026'!$D$2:$D$2684,$B91,'январь 2026'!$J$2:$J$2684,G$1)</f>
        <v>0</v>
      </c>
      <c r="H91" s="144">
        <f>SUMIFS('январь 2026'!$G$2:$G$2684,'январь 2026'!$D$2:$D$2684,$B91,'январь 2026'!$J$2:$J$2684,H$1)</f>
        <v>0</v>
      </c>
      <c r="I91" s="144">
        <f>SUMIFS('январь 2026'!$G$2:$G$2684,'январь 2026'!$D$2:$D$2684,$B91,'январь 2026'!$J$2:$J$2684,I$1)</f>
        <v>0</v>
      </c>
      <c r="J91" s="144">
        <f>SUMIFS('январь 2026'!$G$2:$G$2684,'январь 2026'!$D$2:$D$2684,$B91,'январь 2026'!$J$2:$J$2684,J$1)</f>
        <v>0</v>
      </c>
      <c r="K91" s="144">
        <f>SUMIFS('январь 2026'!$G$2:$G$2684,'январь 2026'!$D$2:$D$2684,$B91,'январь 2026'!$J$2:$J$2684,K$1)</f>
        <v>0</v>
      </c>
      <c r="L91" s="144">
        <f>SUMIFS('январь 2026'!$G$2:$G$2684,'январь 2026'!$D$2:$D$2684,$B91,'январь 2026'!$J$2:$J$2684,L$1)</f>
        <v>0</v>
      </c>
      <c r="M91" s="144">
        <f>SUMIFS('январь 2026'!$G$2:$G$2684,'январь 2026'!$D$2:$D$2684,$B91,'январь 2026'!$J$2:$J$2684,M$1)</f>
        <v>0</v>
      </c>
      <c r="N91" s="144">
        <f>SUMIFS('январь 2026'!$G$2:$G$2684,'январь 2026'!$D$2:$D$2684,$B91,'январь 2026'!$J$2:$J$2684,N$1)</f>
        <v>0</v>
      </c>
      <c r="O91" s="144">
        <f>SUMIFS('январь 2026'!$G$2:$G$2684,'январь 2026'!$D$2:$D$2684,$B91,'январь 2026'!$J$2:$J$2684,O$1)</f>
        <v>0</v>
      </c>
      <c r="P91" s="144">
        <f>SUMIFS('январь 2026'!$G$2:$G$2684,'январь 2026'!$D$2:$D$2684,$B91,'январь 2026'!$J$2:$J$2684,P$1)</f>
        <v>0</v>
      </c>
      <c r="Q91" s="144">
        <f>SUMIFS('январь 2026'!$G$2:$G$2684,'январь 2026'!$D$2:$D$2684,$B91,'январь 2026'!$J$2:$J$2684,Q$1)</f>
        <v>0</v>
      </c>
      <c r="R91" s="144">
        <f>SUMIFS('январь 2026'!$G$2:$G$2684,'январь 2026'!$D$2:$D$2684,$B91,'январь 2026'!$J$2:$J$2684,R$1)</f>
        <v>0</v>
      </c>
      <c r="S91" s="144">
        <f>SUMIFS('январь 2026'!$G$2:$G$2684,'январь 2026'!$D$2:$D$2684,$B91,'январь 2026'!$J$2:$J$2684,S$1)</f>
        <v>0</v>
      </c>
      <c r="T91" s="144">
        <f>SUMIFS('январь 2026'!$G$2:$G$2684,'январь 2026'!$D$2:$D$2684,$B91,'январь 2026'!$J$2:$J$2684,T$1)</f>
        <v>0</v>
      </c>
      <c r="U91" s="144">
        <f>SUMIFS('январь 2026'!$G$2:$G$2684,'январь 2026'!$D$2:$D$2684,$B91,'январь 2026'!$J$2:$J$2684,U$1)</f>
        <v>0</v>
      </c>
      <c r="V91" s="144">
        <f>SUMIFS('январь 2026'!$G$2:$G$2684,'январь 2026'!$D$2:$D$2684,$B91,'январь 2026'!$J$2:$J$2684,V$1)</f>
        <v>0</v>
      </c>
      <c r="W91" s="144">
        <f>SUMIFS('январь 2026'!$G$2:$G$2684,'январь 2026'!$D$2:$D$2684,$B91,'январь 2026'!$J$2:$J$2684,W$1)</f>
        <v>0</v>
      </c>
      <c r="X91" s="144">
        <f>SUMIFS('январь 2026'!$G$2:$G$2684,'январь 2026'!$D$2:$D$2684,$B91,'январь 2026'!$J$2:$J$2684,X$1)</f>
        <v>0</v>
      </c>
      <c r="Y91" s="144">
        <f>SUMIFS('январь 2026'!$G$2:$G$2684,'январь 2026'!$D$2:$D$2684,$B91,'январь 2026'!$J$2:$J$2684,Y$1)</f>
        <v>0</v>
      </c>
      <c r="Z91" s="144">
        <f>SUMIFS('январь 2026'!$G$2:$G$2684,'январь 2026'!$D$2:$D$2684,$B91,'январь 2026'!$J$2:$J$2684,Z$1)</f>
        <v>0</v>
      </c>
      <c r="AA91" s="144">
        <f>SUMIFS('январь 2026'!$G$2:$G$2684,'январь 2026'!$D$2:$D$2684,$B91,'январь 2026'!$J$2:$J$2684,AA$1)</f>
        <v>0</v>
      </c>
      <c r="AB91" s="144">
        <f>SUMIFS('январь 2026'!$G$2:$G$2684,'январь 2026'!$D$2:$D$2684,$B91,'январь 2026'!$J$2:$J$2684,AB$1)</f>
        <v>0</v>
      </c>
      <c r="AC91" s="144">
        <f>SUMIFS('январь 2026'!$G$2:$G$2684,'январь 2026'!$D$2:$D$2684,$B91,'январь 2026'!$J$2:$J$2684,AC$1)</f>
        <v>0</v>
      </c>
      <c r="AD91" s="144">
        <f>SUMIFS('январь 2026'!$G$2:$G$2684,'январь 2026'!$D$2:$D$2684,$B91,'январь 2026'!$J$2:$J$2684,AD$1)</f>
        <v>0</v>
      </c>
      <c r="AE91" s="144">
        <f>SUMIFS('январь 2026'!$G$2:$G$2684,'январь 2026'!$D$2:$D$2684,$B91,'январь 2026'!$J$2:$J$2684,AE$1)</f>
        <v>0</v>
      </c>
      <c r="AF91" s="144">
        <f>SUMIFS('январь 2026'!$G$2:$G$2684,'январь 2026'!$D$2:$D$2684,$B91,'январь 2026'!$J$2:$J$2684,AF$1)</f>
        <v>0</v>
      </c>
      <c r="AG91" s="144">
        <f>SUMIFS('январь 2026'!$G$2:$G$2684,'январь 2026'!$D$2:$D$2684,$B91,'январь 2026'!$J$2:$J$2684,AG$1)</f>
        <v>0</v>
      </c>
      <c r="AH91" s="144">
        <f>SUMIFS('январь 2026'!$G$2:$G$2684,'январь 2026'!$D$2:$D$2684,$B91,'январь 2026'!$J$2:$J$2684,AH$1)</f>
        <v>0</v>
      </c>
      <c r="AI91" s="20">
        <f t="shared" si="1"/>
        <v>0</v>
      </c>
    </row>
    <row r="92" spans="2:35" ht="15" customHeight="1" x14ac:dyDescent="0.25">
      <c r="B92" s="82" t="s">
        <v>187</v>
      </c>
      <c r="C92" s="81">
        <v>180</v>
      </c>
      <c r="D92" s="144">
        <f>SUMIFS('январь 2026'!$G$2:$G$2684,'январь 2026'!$D$2:$D$2684,$B92,'январь 2026'!$J$2:$J$2684,D$1)</f>
        <v>0</v>
      </c>
      <c r="E92" s="144">
        <f>SUMIFS('январь 2026'!$G$2:$G$2684,'январь 2026'!$D$2:$D$2684,$B92,'январь 2026'!$J$2:$J$2684,E$1)</f>
        <v>0</v>
      </c>
      <c r="F92" s="144">
        <f>SUMIFS('январь 2026'!$G$2:$G$2684,'январь 2026'!$D$2:$D$2684,$B92,'январь 2026'!$J$2:$J$2684,F$1)</f>
        <v>0</v>
      </c>
      <c r="G92" s="144">
        <f>SUMIFS('январь 2026'!$G$2:$G$2684,'январь 2026'!$D$2:$D$2684,$B92,'январь 2026'!$J$2:$J$2684,G$1)</f>
        <v>0</v>
      </c>
      <c r="H92" s="144">
        <f>SUMIFS('январь 2026'!$G$2:$G$2684,'январь 2026'!$D$2:$D$2684,$B92,'январь 2026'!$J$2:$J$2684,H$1)</f>
        <v>0</v>
      </c>
      <c r="I92" s="144">
        <f>SUMIFS('январь 2026'!$G$2:$G$2684,'январь 2026'!$D$2:$D$2684,$B92,'январь 2026'!$J$2:$J$2684,I$1)</f>
        <v>0</v>
      </c>
      <c r="J92" s="144">
        <f>SUMIFS('январь 2026'!$G$2:$G$2684,'январь 2026'!$D$2:$D$2684,$B92,'январь 2026'!$J$2:$J$2684,J$1)</f>
        <v>0</v>
      </c>
      <c r="K92" s="144">
        <f>SUMIFS('январь 2026'!$G$2:$G$2684,'январь 2026'!$D$2:$D$2684,$B92,'январь 2026'!$J$2:$J$2684,K$1)</f>
        <v>0</v>
      </c>
      <c r="L92" s="144">
        <f>SUMIFS('январь 2026'!$G$2:$G$2684,'январь 2026'!$D$2:$D$2684,$B92,'январь 2026'!$J$2:$J$2684,L$1)</f>
        <v>0</v>
      </c>
      <c r="M92" s="144">
        <f>SUMIFS('январь 2026'!$G$2:$G$2684,'январь 2026'!$D$2:$D$2684,$B92,'январь 2026'!$J$2:$J$2684,M$1)</f>
        <v>0</v>
      </c>
      <c r="N92" s="144">
        <f>SUMIFS('январь 2026'!$G$2:$G$2684,'январь 2026'!$D$2:$D$2684,$B92,'январь 2026'!$J$2:$J$2684,N$1)</f>
        <v>0</v>
      </c>
      <c r="O92" s="144">
        <f>SUMIFS('январь 2026'!$G$2:$G$2684,'январь 2026'!$D$2:$D$2684,$B92,'январь 2026'!$J$2:$J$2684,O$1)</f>
        <v>0</v>
      </c>
      <c r="P92" s="144">
        <f>SUMIFS('январь 2026'!$G$2:$G$2684,'январь 2026'!$D$2:$D$2684,$B92,'январь 2026'!$J$2:$J$2684,P$1)</f>
        <v>0</v>
      </c>
      <c r="Q92" s="144">
        <f>SUMIFS('январь 2026'!$G$2:$G$2684,'январь 2026'!$D$2:$D$2684,$B92,'январь 2026'!$J$2:$J$2684,Q$1)</f>
        <v>0</v>
      </c>
      <c r="R92" s="144">
        <f>SUMIFS('январь 2026'!$G$2:$G$2684,'январь 2026'!$D$2:$D$2684,$B92,'январь 2026'!$J$2:$J$2684,R$1)</f>
        <v>0</v>
      </c>
      <c r="S92" s="144">
        <f>SUMIFS('январь 2026'!$G$2:$G$2684,'январь 2026'!$D$2:$D$2684,$B92,'январь 2026'!$J$2:$J$2684,S$1)</f>
        <v>0</v>
      </c>
      <c r="T92" s="144">
        <f>SUMIFS('январь 2026'!$G$2:$G$2684,'январь 2026'!$D$2:$D$2684,$B92,'январь 2026'!$J$2:$J$2684,T$1)</f>
        <v>0</v>
      </c>
      <c r="U92" s="144">
        <f>SUMIFS('январь 2026'!$G$2:$G$2684,'январь 2026'!$D$2:$D$2684,$B92,'январь 2026'!$J$2:$J$2684,U$1)</f>
        <v>0</v>
      </c>
      <c r="V92" s="144">
        <f>SUMIFS('январь 2026'!$G$2:$G$2684,'январь 2026'!$D$2:$D$2684,$B92,'январь 2026'!$J$2:$J$2684,V$1)</f>
        <v>0</v>
      </c>
      <c r="W92" s="144">
        <f>SUMIFS('январь 2026'!$G$2:$G$2684,'январь 2026'!$D$2:$D$2684,$B92,'январь 2026'!$J$2:$J$2684,W$1)</f>
        <v>0</v>
      </c>
      <c r="X92" s="144">
        <f>SUMIFS('январь 2026'!$G$2:$G$2684,'январь 2026'!$D$2:$D$2684,$B92,'январь 2026'!$J$2:$J$2684,X$1)</f>
        <v>0</v>
      </c>
      <c r="Y92" s="144">
        <f>SUMIFS('январь 2026'!$G$2:$G$2684,'январь 2026'!$D$2:$D$2684,$B92,'январь 2026'!$J$2:$J$2684,Y$1)</f>
        <v>0</v>
      </c>
      <c r="Z92" s="144">
        <f>SUMIFS('январь 2026'!$G$2:$G$2684,'январь 2026'!$D$2:$D$2684,$B92,'январь 2026'!$J$2:$J$2684,Z$1)</f>
        <v>0</v>
      </c>
      <c r="AA92" s="144">
        <f>SUMIFS('январь 2026'!$G$2:$G$2684,'январь 2026'!$D$2:$D$2684,$B92,'январь 2026'!$J$2:$J$2684,AA$1)</f>
        <v>0</v>
      </c>
      <c r="AB92" s="144">
        <f>SUMIFS('январь 2026'!$G$2:$G$2684,'январь 2026'!$D$2:$D$2684,$B92,'январь 2026'!$J$2:$J$2684,AB$1)</f>
        <v>0</v>
      </c>
      <c r="AC92" s="144">
        <f>SUMIFS('январь 2026'!$G$2:$G$2684,'январь 2026'!$D$2:$D$2684,$B92,'январь 2026'!$J$2:$J$2684,AC$1)</f>
        <v>0</v>
      </c>
      <c r="AD92" s="144">
        <f>SUMIFS('январь 2026'!$G$2:$G$2684,'январь 2026'!$D$2:$D$2684,$B92,'январь 2026'!$J$2:$J$2684,AD$1)</f>
        <v>0</v>
      </c>
      <c r="AE92" s="144">
        <f>SUMIFS('январь 2026'!$G$2:$G$2684,'январь 2026'!$D$2:$D$2684,$B92,'январь 2026'!$J$2:$J$2684,AE$1)</f>
        <v>0</v>
      </c>
      <c r="AF92" s="144">
        <f>SUMIFS('январь 2026'!$G$2:$G$2684,'январь 2026'!$D$2:$D$2684,$B92,'январь 2026'!$J$2:$J$2684,AF$1)</f>
        <v>0</v>
      </c>
      <c r="AG92" s="144">
        <f>SUMIFS('январь 2026'!$G$2:$G$2684,'январь 2026'!$D$2:$D$2684,$B92,'январь 2026'!$J$2:$J$2684,AG$1)</f>
        <v>0</v>
      </c>
      <c r="AH92" s="144">
        <f>SUMIFS('январь 2026'!$G$2:$G$2684,'январь 2026'!$D$2:$D$2684,$B92,'январь 2026'!$J$2:$J$2684,AH$1)</f>
        <v>0</v>
      </c>
      <c r="AI92" s="20">
        <f t="shared" si="1"/>
        <v>0</v>
      </c>
    </row>
    <row r="93" spans="2:35" ht="15" customHeight="1" x14ac:dyDescent="0.25">
      <c r="B93" s="85" t="s">
        <v>188</v>
      </c>
      <c r="C93" s="83">
        <v>190</v>
      </c>
      <c r="D93" s="144">
        <f>SUMIFS('январь 2026'!$G$2:$G$2684,'январь 2026'!$D$2:$D$2684,$B93,'январь 2026'!$J$2:$J$2684,D$1)</f>
        <v>0</v>
      </c>
      <c r="E93" s="144">
        <f>SUMIFS('январь 2026'!$G$2:$G$2684,'январь 2026'!$D$2:$D$2684,$B93,'январь 2026'!$J$2:$J$2684,E$1)</f>
        <v>0</v>
      </c>
      <c r="F93" s="144">
        <f>SUMIFS('январь 2026'!$G$2:$G$2684,'январь 2026'!$D$2:$D$2684,$B93,'январь 2026'!$J$2:$J$2684,F$1)</f>
        <v>0</v>
      </c>
      <c r="G93" s="144">
        <f>SUMIFS('январь 2026'!$G$2:$G$2684,'январь 2026'!$D$2:$D$2684,$B93,'январь 2026'!$J$2:$J$2684,G$1)</f>
        <v>0</v>
      </c>
      <c r="H93" s="144">
        <f>SUMIFS('январь 2026'!$G$2:$G$2684,'январь 2026'!$D$2:$D$2684,$B93,'январь 2026'!$J$2:$J$2684,H$1)</f>
        <v>0</v>
      </c>
      <c r="I93" s="144">
        <f>SUMIFS('январь 2026'!$G$2:$G$2684,'январь 2026'!$D$2:$D$2684,$B93,'январь 2026'!$J$2:$J$2684,I$1)</f>
        <v>0</v>
      </c>
      <c r="J93" s="144">
        <f>SUMIFS('январь 2026'!$G$2:$G$2684,'январь 2026'!$D$2:$D$2684,$B93,'январь 2026'!$J$2:$J$2684,J$1)</f>
        <v>0</v>
      </c>
      <c r="K93" s="144">
        <f>SUMIFS('январь 2026'!$G$2:$G$2684,'январь 2026'!$D$2:$D$2684,$B93,'январь 2026'!$J$2:$J$2684,K$1)</f>
        <v>0</v>
      </c>
      <c r="L93" s="144">
        <f>SUMIFS('январь 2026'!$G$2:$G$2684,'январь 2026'!$D$2:$D$2684,$B93,'январь 2026'!$J$2:$J$2684,L$1)</f>
        <v>0</v>
      </c>
      <c r="M93" s="144">
        <f>SUMIFS('январь 2026'!$G$2:$G$2684,'январь 2026'!$D$2:$D$2684,$B93,'январь 2026'!$J$2:$J$2684,M$1)</f>
        <v>0</v>
      </c>
      <c r="N93" s="144">
        <f>SUMIFS('январь 2026'!$G$2:$G$2684,'январь 2026'!$D$2:$D$2684,$B93,'январь 2026'!$J$2:$J$2684,N$1)</f>
        <v>0</v>
      </c>
      <c r="O93" s="144">
        <f>SUMIFS('январь 2026'!$G$2:$G$2684,'январь 2026'!$D$2:$D$2684,$B93,'январь 2026'!$J$2:$J$2684,O$1)</f>
        <v>0</v>
      </c>
      <c r="P93" s="144">
        <f>SUMIFS('январь 2026'!$G$2:$G$2684,'январь 2026'!$D$2:$D$2684,$B93,'январь 2026'!$J$2:$J$2684,P$1)</f>
        <v>0</v>
      </c>
      <c r="Q93" s="144">
        <f>SUMIFS('январь 2026'!$G$2:$G$2684,'январь 2026'!$D$2:$D$2684,$B93,'январь 2026'!$J$2:$J$2684,Q$1)</f>
        <v>0</v>
      </c>
      <c r="R93" s="144">
        <f>SUMIFS('январь 2026'!$G$2:$G$2684,'январь 2026'!$D$2:$D$2684,$B93,'январь 2026'!$J$2:$J$2684,R$1)</f>
        <v>0</v>
      </c>
      <c r="S93" s="144">
        <f>SUMIFS('январь 2026'!$G$2:$G$2684,'январь 2026'!$D$2:$D$2684,$B93,'январь 2026'!$J$2:$J$2684,S$1)</f>
        <v>0</v>
      </c>
      <c r="T93" s="144">
        <f>SUMIFS('январь 2026'!$G$2:$G$2684,'январь 2026'!$D$2:$D$2684,$B93,'январь 2026'!$J$2:$J$2684,T$1)</f>
        <v>0</v>
      </c>
      <c r="U93" s="144">
        <f>SUMIFS('январь 2026'!$G$2:$G$2684,'январь 2026'!$D$2:$D$2684,$B93,'январь 2026'!$J$2:$J$2684,U$1)</f>
        <v>0</v>
      </c>
      <c r="V93" s="144">
        <f>SUMIFS('январь 2026'!$G$2:$G$2684,'январь 2026'!$D$2:$D$2684,$B93,'январь 2026'!$J$2:$J$2684,V$1)</f>
        <v>0</v>
      </c>
      <c r="W93" s="144">
        <f>SUMIFS('январь 2026'!$G$2:$G$2684,'январь 2026'!$D$2:$D$2684,$B93,'январь 2026'!$J$2:$J$2684,W$1)</f>
        <v>0</v>
      </c>
      <c r="X93" s="144">
        <f>SUMIFS('январь 2026'!$G$2:$G$2684,'январь 2026'!$D$2:$D$2684,$B93,'январь 2026'!$J$2:$J$2684,X$1)</f>
        <v>0</v>
      </c>
      <c r="Y93" s="144">
        <f>SUMIFS('январь 2026'!$G$2:$G$2684,'январь 2026'!$D$2:$D$2684,$B93,'январь 2026'!$J$2:$J$2684,Y$1)</f>
        <v>0</v>
      </c>
      <c r="Z93" s="144">
        <f>SUMIFS('январь 2026'!$G$2:$G$2684,'январь 2026'!$D$2:$D$2684,$B93,'январь 2026'!$J$2:$J$2684,Z$1)</f>
        <v>0</v>
      </c>
      <c r="AA93" s="144">
        <f>SUMIFS('январь 2026'!$G$2:$G$2684,'январь 2026'!$D$2:$D$2684,$B93,'январь 2026'!$J$2:$J$2684,AA$1)</f>
        <v>0</v>
      </c>
      <c r="AB93" s="144">
        <f>SUMIFS('январь 2026'!$G$2:$G$2684,'январь 2026'!$D$2:$D$2684,$B93,'январь 2026'!$J$2:$J$2684,AB$1)</f>
        <v>0</v>
      </c>
      <c r="AC93" s="144">
        <f>SUMIFS('январь 2026'!$G$2:$G$2684,'январь 2026'!$D$2:$D$2684,$B93,'январь 2026'!$J$2:$J$2684,AC$1)</f>
        <v>0</v>
      </c>
      <c r="AD93" s="144">
        <f>SUMIFS('январь 2026'!$G$2:$G$2684,'январь 2026'!$D$2:$D$2684,$B93,'январь 2026'!$J$2:$J$2684,AD$1)</f>
        <v>0</v>
      </c>
      <c r="AE93" s="144">
        <f>SUMIFS('январь 2026'!$G$2:$G$2684,'январь 2026'!$D$2:$D$2684,$B93,'январь 2026'!$J$2:$J$2684,AE$1)</f>
        <v>0</v>
      </c>
      <c r="AF93" s="144">
        <f>SUMIFS('январь 2026'!$G$2:$G$2684,'январь 2026'!$D$2:$D$2684,$B93,'январь 2026'!$J$2:$J$2684,AF$1)</f>
        <v>0</v>
      </c>
      <c r="AG93" s="144">
        <f>SUMIFS('январь 2026'!$G$2:$G$2684,'январь 2026'!$D$2:$D$2684,$B93,'январь 2026'!$J$2:$J$2684,AG$1)</f>
        <v>0</v>
      </c>
      <c r="AH93" s="144">
        <f>SUMIFS('январь 2026'!$G$2:$G$2684,'январь 2026'!$D$2:$D$2684,$B93,'январь 2026'!$J$2:$J$2684,AH$1)</f>
        <v>0</v>
      </c>
      <c r="AI93" s="20">
        <f t="shared" si="1"/>
        <v>0</v>
      </c>
    </row>
    <row r="94" spans="2:35" ht="15" customHeight="1" x14ac:dyDescent="0.25">
      <c r="B94" s="85" t="s">
        <v>189</v>
      </c>
      <c r="C94" s="83">
        <v>190</v>
      </c>
      <c r="D94" s="144">
        <f>SUMIFS('январь 2026'!$G$2:$G$2684,'январь 2026'!$D$2:$D$2684,$B94,'январь 2026'!$J$2:$J$2684,D$1)</f>
        <v>0</v>
      </c>
      <c r="E94" s="144">
        <f>SUMIFS('январь 2026'!$G$2:$G$2684,'январь 2026'!$D$2:$D$2684,$B94,'январь 2026'!$J$2:$J$2684,E$1)</f>
        <v>0</v>
      </c>
      <c r="F94" s="144">
        <f>SUMIFS('январь 2026'!$G$2:$G$2684,'январь 2026'!$D$2:$D$2684,$B94,'январь 2026'!$J$2:$J$2684,F$1)</f>
        <v>0</v>
      </c>
      <c r="G94" s="144">
        <f>SUMIFS('январь 2026'!$G$2:$G$2684,'январь 2026'!$D$2:$D$2684,$B94,'январь 2026'!$J$2:$J$2684,G$1)</f>
        <v>0</v>
      </c>
      <c r="H94" s="144">
        <f>SUMIFS('январь 2026'!$G$2:$G$2684,'январь 2026'!$D$2:$D$2684,$B94,'январь 2026'!$J$2:$J$2684,H$1)</f>
        <v>0</v>
      </c>
      <c r="I94" s="144">
        <f>SUMIFS('январь 2026'!$G$2:$G$2684,'январь 2026'!$D$2:$D$2684,$B94,'январь 2026'!$J$2:$J$2684,I$1)</f>
        <v>0</v>
      </c>
      <c r="J94" s="144">
        <f>SUMIFS('январь 2026'!$G$2:$G$2684,'январь 2026'!$D$2:$D$2684,$B94,'январь 2026'!$J$2:$J$2684,J$1)</f>
        <v>0</v>
      </c>
      <c r="K94" s="144">
        <f>SUMIFS('январь 2026'!$G$2:$G$2684,'январь 2026'!$D$2:$D$2684,$B94,'январь 2026'!$J$2:$J$2684,K$1)</f>
        <v>0</v>
      </c>
      <c r="L94" s="144">
        <f>SUMIFS('январь 2026'!$G$2:$G$2684,'январь 2026'!$D$2:$D$2684,$B94,'январь 2026'!$J$2:$J$2684,L$1)</f>
        <v>0</v>
      </c>
      <c r="M94" s="144">
        <f>SUMIFS('январь 2026'!$G$2:$G$2684,'январь 2026'!$D$2:$D$2684,$B94,'январь 2026'!$J$2:$J$2684,M$1)</f>
        <v>0</v>
      </c>
      <c r="N94" s="144">
        <f>SUMIFS('январь 2026'!$G$2:$G$2684,'январь 2026'!$D$2:$D$2684,$B94,'январь 2026'!$J$2:$J$2684,N$1)</f>
        <v>0</v>
      </c>
      <c r="O94" s="144">
        <f>SUMIFS('январь 2026'!$G$2:$G$2684,'январь 2026'!$D$2:$D$2684,$B94,'январь 2026'!$J$2:$J$2684,O$1)</f>
        <v>0</v>
      </c>
      <c r="P94" s="144">
        <f>SUMIFS('январь 2026'!$G$2:$G$2684,'январь 2026'!$D$2:$D$2684,$B94,'январь 2026'!$J$2:$J$2684,P$1)</f>
        <v>0</v>
      </c>
      <c r="Q94" s="144">
        <f>SUMIFS('январь 2026'!$G$2:$G$2684,'январь 2026'!$D$2:$D$2684,$B94,'январь 2026'!$J$2:$J$2684,Q$1)</f>
        <v>0</v>
      </c>
      <c r="R94" s="144">
        <f>SUMIFS('январь 2026'!$G$2:$G$2684,'январь 2026'!$D$2:$D$2684,$B94,'январь 2026'!$J$2:$J$2684,R$1)</f>
        <v>0</v>
      </c>
      <c r="S94" s="144">
        <f>SUMIFS('январь 2026'!$G$2:$G$2684,'январь 2026'!$D$2:$D$2684,$B94,'январь 2026'!$J$2:$J$2684,S$1)</f>
        <v>0</v>
      </c>
      <c r="T94" s="144">
        <f>SUMIFS('январь 2026'!$G$2:$G$2684,'январь 2026'!$D$2:$D$2684,$B94,'январь 2026'!$J$2:$J$2684,T$1)</f>
        <v>0</v>
      </c>
      <c r="U94" s="144">
        <f>SUMIFS('январь 2026'!$G$2:$G$2684,'январь 2026'!$D$2:$D$2684,$B94,'январь 2026'!$J$2:$J$2684,U$1)</f>
        <v>0</v>
      </c>
      <c r="V94" s="144">
        <f>SUMIFS('январь 2026'!$G$2:$G$2684,'январь 2026'!$D$2:$D$2684,$B94,'январь 2026'!$J$2:$J$2684,V$1)</f>
        <v>0</v>
      </c>
      <c r="W94" s="144">
        <f>SUMIFS('январь 2026'!$G$2:$G$2684,'январь 2026'!$D$2:$D$2684,$B94,'январь 2026'!$J$2:$J$2684,W$1)</f>
        <v>0</v>
      </c>
      <c r="X94" s="144">
        <f>SUMIFS('январь 2026'!$G$2:$G$2684,'январь 2026'!$D$2:$D$2684,$B94,'январь 2026'!$J$2:$J$2684,X$1)</f>
        <v>0</v>
      </c>
      <c r="Y94" s="144">
        <f>SUMIFS('январь 2026'!$G$2:$G$2684,'январь 2026'!$D$2:$D$2684,$B94,'январь 2026'!$J$2:$J$2684,Y$1)</f>
        <v>0</v>
      </c>
      <c r="Z94" s="144">
        <f>SUMIFS('январь 2026'!$G$2:$G$2684,'январь 2026'!$D$2:$D$2684,$B94,'январь 2026'!$J$2:$J$2684,Z$1)</f>
        <v>0</v>
      </c>
      <c r="AA94" s="144">
        <f>SUMIFS('январь 2026'!$G$2:$G$2684,'январь 2026'!$D$2:$D$2684,$B94,'январь 2026'!$J$2:$J$2684,AA$1)</f>
        <v>0</v>
      </c>
      <c r="AB94" s="144">
        <f>SUMIFS('январь 2026'!$G$2:$G$2684,'январь 2026'!$D$2:$D$2684,$B94,'январь 2026'!$J$2:$J$2684,AB$1)</f>
        <v>0</v>
      </c>
      <c r="AC94" s="144">
        <f>SUMIFS('январь 2026'!$G$2:$G$2684,'январь 2026'!$D$2:$D$2684,$B94,'январь 2026'!$J$2:$J$2684,AC$1)</f>
        <v>0</v>
      </c>
      <c r="AD94" s="144">
        <f>SUMIFS('январь 2026'!$G$2:$G$2684,'январь 2026'!$D$2:$D$2684,$B94,'январь 2026'!$J$2:$J$2684,AD$1)</f>
        <v>0</v>
      </c>
      <c r="AE94" s="144">
        <f>SUMIFS('январь 2026'!$G$2:$G$2684,'январь 2026'!$D$2:$D$2684,$B94,'январь 2026'!$J$2:$J$2684,AE$1)</f>
        <v>0</v>
      </c>
      <c r="AF94" s="144">
        <f>SUMIFS('январь 2026'!$G$2:$G$2684,'январь 2026'!$D$2:$D$2684,$B94,'январь 2026'!$J$2:$J$2684,AF$1)</f>
        <v>0</v>
      </c>
      <c r="AG94" s="144">
        <f>SUMIFS('январь 2026'!$G$2:$G$2684,'январь 2026'!$D$2:$D$2684,$B94,'январь 2026'!$J$2:$J$2684,AG$1)</f>
        <v>0</v>
      </c>
      <c r="AH94" s="144">
        <f>SUMIFS('январь 2026'!$G$2:$G$2684,'январь 2026'!$D$2:$D$2684,$B94,'январь 2026'!$J$2:$J$2684,AH$1)</f>
        <v>0</v>
      </c>
      <c r="AI94" s="20">
        <f t="shared" si="1"/>
        <v>0</v>
      </c>
    </row>
    <row r="95" spans="2:35" ht="15" customHeight="1" x14ac:dyDescent="0.25">
      <c r="B95" s="85" t="s">
        <v>296</v>
      </c>
      <c r="C95" s="83">
        <v>200</v>
      </c>
      <c r="D95" s="144">
        <f>SUMIFS('январь 2026'!$G$2:$G$2684,'январь 2026'!$D$2:$D$2684,$B95,'январь 2026'!$J$2:$J$2684,D$1)</f>
        <v>0</v>
      </c>
      <c r="E95" s="144">
        <f>SUMIFS('январь 2026'!$G$2:$G$2684,'январь 2026'!$D$2:$D$2684,$B95,'январь 2026'!$J$2:$J$2684,E$1)</f>
        <v>0</v>
      </c>
      <c r="F95" s="144">
        <f>SUMIFS('январь 2026'!$G$2:$G$2684,'январь 2026'!$D$2:$D$2684,$B95,'январь 2026'!$J$2:$J$2684,F$1)</f>
        <v>0</v>
      </c>
      <c r="G95" s="144">
        <f>SUMIFS('январь 2026'!$G$2:$G$2684,'январь 2026'!$D$2:$D$2684,$B95,'январь 2026'!$J$2:$J$2684,G$1)</f>
        <v>0</v>
      </c>
      <c r="H95" s="144">
        <f>SUMIFS('январь 2026'!$G$2:$G$2684,'январь 2026'!$D$2:$D$2684,$B95,'январь 2026'!$J$2:$J$2684,H$1)</f>
        <v>0</v>
      </c>
      <c r="I95" s="144">
        <f>SUMIFS('январь 2026'!$G$2:$G$2684,'январь 2026'!$D$2:$D$2684,$B95,'январь 2026'!$J$2:$J$2684,I$1)</f>
        <v>0</v>
      </c>
      <c r="J95" s="144">
        <f>SUMIFS('январь 2026'!$G$2:$G$2684,'январь 2026'!$D$2:$D$2684,$B95,'январь 2026'!$J$2:$J$2684,J$1)</f>
        <v>0</v>
      </c>
      <c r="K95" s="144">
        <f>SUMIFS('январь 2026'!$G$2:$G$2684,'январь 2026'!$D$2:$D$2684,$B95,'январь 2026'!$J$2:$J$2684,K$1)</f>
        <v>0</v>
      </c>
      <c r="L95" s="144">
        <f>SUMIFS('январь 2026'!$G$2:$G$2684,'январь 2026'!$D$2:$D$2684,$B95,'январь 2026'!$J$2:$J$2684,L$1)</f>
        <v>0</v>
      </c>
      <c r="M95" s="144">
        <f>SUMIFS('январь 2026'!$G$2:$G$2684,'январь 2026'!$D$2:$D$2684,$B95,'январь 2026'!$J$2:$J$2684,M$1)</f>
        <v>0</v>
      </c>
      <c r="N95" s="144">
        <f>SUMIFS('январь 2026'!$G$2:$G$2684,'январь 2026'!$D$2:$D$2684,$B95,'январь 2026'!$J$2:$J$2684,N$1)</f>
        <v>0</v>
      </c>
      <c r="O95" s="144">
        <f>SUMIFS('январь 2026'!$G$2:$G$2684,'январь 2026'!$D$2:$D$2684,$B95,'январь 2026'!$J$2:$J$2684,O$1)</f>
        <v>0</v>
      </c>
      <c r="P95" s="144">
        <f>SUMIFS('январь 2026'!$G$2:$G$2684,'январь 2026'!$D$2:$D$2684,$B95,'январь 2026'!$J$2:$J$2684,P$1)</f>
        <v>88</v>
      </c>
      <c r="Q95" s="144">
        <f>SUMIFS('январь 2026'!$G$2:$G$2684,'январь 2026'!$D$2:$D$2684,$B95,'январь 2026'!$J$2:$J$2684,Q$1)</f>
        <v>0</v>
      </c>
      <c r="R95" s="144">
        <f>SUMIFS('январь 2026'!$G$2:$G$2684,'январь 2026'!$D$2:$D$2684,$B95,'январь 2026'!$J$2:$J$2684,R$1)</f>
        <v>0</v>
      </c>
      <c r="S95" s="144">
        <f>SUMIFS('январь 2026'!$G$2:$G$2684,'январь 2026'!$D$2:$D$2684,$B95,'январь 2026'!$J$2:$J$2684,S$1)</f>
        <v>0</v>
      </c>
      <c r="T95" s="144">
        <f>SUMIFS('январь 2026'!$G$2:$G$2684,'январь 2026'!$D$2:$D$2684,$B95,'январь 2026'!$J$2:$J$2684,T$1)</f>
        <v>0</v>
      </c>
      <c r="U95" s="144">
        <f>SUMIFS('январь 2026'!$G$2:$G$2684,'январь 2026'!$D$2:$D$2684,$B95,'январь 2026'!$J$2:$J$2684,U$1)</f>
        <v>0</v>
      </c>
      <c r="V95" s="144">
        <f>SUMIFS('январь 2026'!$G$2:$G$2684,'январь 2026'!$D$2:$D$2684,$B95,'январь 2026'!$J$2:$J$2684,V$1)</f>
        <v>0</v>
      </c>
      <c r="W95" s="144">
        <f>SUMIFS('январь 2026'!$G$2:$G$2684,'январь 2026'!$D$2:$D$2684,$B95,'январь 2026'!$J$2:$J$2684,W$1)</f>
        <v>0</v>
      </c>
      <c r="X95" s="144">
        <f>SUMIFS('январь 2026'!$G$2:$G$2684,'январь 2026'!$D$2:$D$2684,$B95,'январь 2026'!$J$2:$J$2684,X$1)</f>
        <v>0</v>
      </c>
      <c r="Y95" s="144">
        <f>SUMIFS('январь 2026'!$G$2:$G$2684,'январь 2026'!$D$2:$D$2684,$B95,'январь 2026'!$J$2:$J$2684,Y$1)</f>
        <v>0</v>
      </c>
      <c r="Z95" s="144">
        <f>SUMIFS('январь 2026'!$G$2:$G$2684,'январь 2026'!$D$2:$D$2684,$B95,'январь 2026'!$J$2:$J$2684,Z$1)</f>
        <v>0</v>
      </c>
      <c r="AA95" s="144">
        <f>SUMIFS('январь 2026'!$G$2:$G$2684,'январь 2026'!$D$2:$D$2684,$B95,'январь 2026'!$J$2:$J$2684,AA$1)</f>
        <v>0</v>
      </c>
      <c r="AB95" s="144">
        <f>SUMIFS('январь 2026'!$G$2:$G$2684,'январь 2026'!$D$2:$D$2684,$B95,'январь 2026'!$J$2:$J$2684,AB$1)</f>
        <v>0</v>
      </c>
      <c r="AC95" s="144">
        <f>SUMIFS('январь 2026'!$G$2:$G$2684,'январь 2026'!$D$2:$D$2684,$B95,'январь 2026'!$J$2:$J$2684,AC$1)</f>
        <v>0</v>
      </c>
      <c r="AD95" s="144">
        <f>SUMIFS('январь 2026'!$G$2:$G$2684,'январь 2026'!$D$2:$D$2684,$B95,'январь 2026'!$J$2:$J$2684,AD$1)</f>
        <v>0</v>
      </c>
      <c r="AE95" s="144">
        <f>SUMIFS('январь 2026'!$G$2:$G$2684,'январь 2026'!$D$2:$D$2684,$B95,'январь 2026'!$J$2:$J$2684,AE$1)</f>
        <v>0</v>
      </c>
      <c r="AF95" s="144">
        <f>SUMIFS('январь 2026'!$G$2:$G$2684,'январь 2026'!$D$2:$D$2684,$B95,'январь 2026'!$J$2:$J$2684,AF$1)</f>
        <v>0</v>
      </c>
      <c r="AG95" s="144">
        <f>SUMIFS('январь 2026'!$G$2:$G$2684,'январь 2026'!$D$2:$D$2684,$B95,'январь 2026'!$J$2:$J$2684,AG$1)</f>
        <v>28</v>
      </c>
      <c r="AH95" s="144">
        <f>SUMIFS('январь 2026'!$G$2:$G$2684,'январь 2026'!$D$2:$D$2684,$B95,'январь 2026'!$J$2:$J$2684,AH$1)</f>
        <v>0</v>
      </c>
      <c r="AI95" s="20">
        <f t="shared" si="1"/>
        <v>116</v>
      </c>
    </row>
    <row r="96" spans="2:35" ht="15" customHeight="1" x14ac:dyDescent="0.25">
      <c r="B96" s="85" t="s">
        <v>190</v>
      </c>
      <c r="C96" s="83">
        <v>900</v>
      </c>
      <c r="D96" s="144">
        <f>SUMIFS('январь 2026'!$G$2:$G$2684,'январь 2026'!$D$2:$D$2684,$B96,'январь 2026'!$J$2:$J$2684,D$1)</f>
        <v>0</v>
      </c>
      <c r="E96" s="144">
        <f>SUMIFS('январь 2026'!$G$2:$G$2684,'январь 2026'!$D$2:$D$2684,$B96,'январь 2026'!$J$2:$J$2684,E$1)</f>
        <v>0</v>
      </c>
      <c r="F96" s="144">
        <f>SUMIFS('январь 2026'!$G$2:$G$2684,'январь 2026'!$D$2:$D$2684,$B96,'январь 2026'!$J$2:$J$2684,F$1)</f>
        <v>0</v>
      </c>
      <c r="G96" s="144">
        <f>SUMIFS('январь 2026'!$G$2:$G$2684,'январь 2026'!$D$2:$D$2684,$B96,'январь 2026'!$J$2:$J$2684,G$1)</f>
        <v>0</v>
      </c>
      <c r="H96" s="144">
        <f>SUMIFS('январь 2026'!$G$2:$G$2684,'январь 2026'!$D$2:$D$2684,$B96,'январь 2026'!$J$2:$J$2684,H$1)</f>
        <v>0</v>
      </c>
      <c r="I96" s="144">
        <f>SUMIFS('январь 2026'!$G$2:$G$2684,'январь 2026'!$D$2:$D$2684,$B96,'январь 2026'!$J$2:$J$2684,I$1)</f>
        <v>0</v>
      </c>
      <c r="J96" s="144">
        <f>SUMIFS('январь 2026'!$G$2:$G$2684,'январь 2026'!$D$2:$D$2684,$B96,'январь 2026'!$J$2:$J$2684,J$1)</f>
        <v>0</v>
      </c>
      <c r="K96" s="144">
        <f>SUMIFS('январь 2026'!$G$2:$G$2684,'январь 2026'!$D$2:$D$2684,$B96,'январь 2026'!$J$2:$J$2684,K$1)</f>
        <v>0</v>
      </c>
      <c r="L96" s="144">
        <f>SUMIFS('январь 2026'!$G$2:$G$2684,'январь 2026'!$D$2:$D$2684,$B96,'январь 2026'!$J$2:$J$2684,L$1)</f>
        <v>0</v>
      </c>
      <c r="M96" s="144">
        <f>SUMIFS('январь 2026'!$G$2:$G$2684,'январь 2026'!$D$2:$D$2684,$B96,'январь 2026'!$J$2:$J$2684,M$1)</f>
        <v>0</v>
      </c>
      <c r="N96" s="144">
        <f>SUMIFS('январь 2026'!$G$2:$G$2684,'январь 2026'!$D$2:$D$2684,$B96,'январь 2026'!$J$2:$J$2684,N$1)</f>
        <v>0</v>
      </c>
      <c r="O96" s="144">
        <f>SUMIFS('январь 2026'!$G$2:$G$2684,'январь 2026'!$D$2:$D$2684,$B96,'январь 2026'!$J$2:$J$2684,O$1)</f>
        <v>0</v>
      </c>
      <c r="P96" s="144">
        <f>SUMIFS('январь 2026'!$G$2:$G$2684,'январь 2026'!$D$2:$D$2684,$B96,'январь 2026'!$J$2:$J$2684,P$1)</f>
        <v>0</v>
      </c>
      <c r="Q96" s="144">
        <f>SUMIFS('январь 2026'!$G$2:$G$2684,'январь 2026'!$D$2:$D$2684,$B96,'январь 2026'!$J$2:$J$2684,Q$1)</f>
        <v>0</v>
      </c>
      <c r="R96" s="144">
        <f>SUMIFS('январь 2026'!$G$2:$G$2684,'январь 2026'!$D$2:$D$2684,$B96,'январь 2026'!$J$2:$J$2684,R$1)</f>
        <v>0</v>
      </c>
      <c r="S96" s="144">
        <f>SUMIFS('январь 2026'!$G$2:$G$2684,'январь 2026'!$D$2:$D$2684,$B96,'январь 2026'!$J$2:$J$2684,S$1)</f>
        <v>0</v>
      </c>
      <c r="T96" s="144">
        <f>SUMIFS('январь 2026'!$G$2:$G$2684,'январь 2026'!$D$2:$D$2684,$B96,'январь 2026'!$J$2:$J$2684,T$1)</f>
        <v>0</v>
      </c>
      <c r="U96" s="144">
        <f>SUMIFS('январь 2026'!$G$2:$G$2684,'январь 2026'!$D$2:$D$2684,$B96,'январь 2026'!$J$2:$J$2684,U$1)</f>
        <v>0</v>
      </c>
      <c r="V96" s="144">
        <f>SUMIFS('январь 2026'!$G$2:$G$2684,'январь 2026'!$D$2:$D$2684,$B96,'январь 2026'!$J$2:$J$2684,V$1)</f>
        <v>0</v>
      </c>
      <c r="W96" s="144">
        <f>SUMIFS('январь 2026'!$G$2:$G$2684,'январь 2026'!$D$2:$D$2684,$B96,'январь 2026'!$J$2:$J$2684,W$1)</f>
        <v>0</v>
      </c>
      <c r="X96" s="144">
        <f>SUMIFS('январь 2026'!$G$2:$G$2684,'январь 2026'!$D$2:$D$2684,$B96,'январь 2026'!$J$2:$J$2684,X$1)</f>
        <v>0</v>
      </c>
      <c r="Y96" s="144">
        <f>SUMIFS('январь 2026'!$G$2:$G$2684,'январь 2026'!$D$2:$D$2684,$B96,'январь 2026'!$J$2:$J$2684,Y$1)</f>
        <v>0</v>
      </c>
      <c r="Z96" s="144">
        <f>SUMIFS('январь 2026'!$G$2:$G$2684,'январь 2026'!$D$2:$D$2684,$B96,'январь 2026'!$J$2:$J$2684,Z$1)</f>
        <v>0</v>
      </c>
      <c r="AA96" s="144">
        <f>SUMIFS('январь 2026'!$G$2:$G$2684,'январь 2026'!$D$2:$D$2684,$B96,'январь 2026'!$J$2:$J$2684,AA$1)</f>
        <v>0</v>
      </c>
      <c r="AB96" s="144">
        <f>SUMIFS('январь 2026'!$G$2:$G$2684,'январь 2026'!$D$2:$D$2684,$B96,'январь 2026'!$J$2:$J$2684,AB$1)</f>
        <v>0</v>
      </c>
      <c r="AC96" s="144">
        <f>SUMIFS('январь 2026'!$G$2:$G$2684,'январь 2026'!$D$2:$D$2684,$B96,'январь 2026'!$J$2:$J$2684,AC$1)</f>
        <v>0</v>
      </c>
      <c r="AD96" s="144">
        <f>SUMIFS('январь 2026'!$G$2:$G$2684,'январь 2026'!$D$2:$D$2684,$B96,'январь 2026'!$J$2:$J$2684,AD$1)</f>
        <v>0</v>
      </c>
      <c r="AE96" s="144">
        <f>SUMIFS('январь 2026'!$G$2:$G$2684,'январь 2026'!$D$2:$D$2684,$B96,'январь 2026'!$J$2:$J$2684,AE$1)</f>
        <v>0</v>
      </c>
      <c r="AF96" s="144">
        <f>SUMIFS('январь 2026'!$G$2:$G$2684,'январь 2026'!$D$2:$D$2684,$B96,'январь 2026'!$J$2:$J$2684,AF$1)</f>
        <v>0</v>
      </c>
      <c r="AG96" s="144">
        <f>SUMIFS('январь 2026'!$G$2:$G$2684,'январь 2026'!$D$2:$D$2684,$B96,'январь 2026'!$J$2:$J$2684,AG$1)</f>
        <v>0</v>
      </c>
      <c r="AH96" s="144">
        <f>SUMIFS('январь 2026'!$G$2:$G$2684,'январь 2026'!$D$2:$D$2684,$B96,'январь 2026'!$J$2:$J$2684,AH$1)</f>
        <v>0</v>
      </c>
      <c r="AI96" s="20">
        <f t="shared" si="1"/>
        <v>0</v>
      </c>
    </row>
    <row r="97" spans="2:35" ht="15" customHeight="1" x14ac:dyDescent="0.25">
      <c r="B97" s="82" t="s">
        <v>184</v>
      </c>
      <c r="C97" s="81">
        <v>190</v>
      </c>
      <c r="D97" s="144">
        <f>SUMIFS('январь 2026'!$G$2:$G$2684,'январь 2026'!$D$2:$D$2684,$B97,'январь 2026'!$J$2:$J$2684,D$1)</f>
        <v>0</v>
      </c>
      <c r="E97" s="144">
        <f>SUMIFS('январь 2026'!$G$2:$G$2684,'январь 2026'!$D$2:$D$2684,$B97,'январь 2026'!$J$2:$J$2684,E$1)</f>
        <v>0</v>
      </c>
      <c r="F97" s="144">
        <f>SUMIFS('январь 2026'!$G$2:$G$2684,'январь 2026'!$D$2:$D$2684,$B97,'январь 2026'!$J$2:$J$2684,F$1)</f>
        <v>0</v>
      </c>
      <c r="G97" s="144">
        <f>SUMIFS('январь 2026'!$G$2:$G$2684,'январь 2026'!$D$2:$D$2684,$B97,'январь 2026'!$J$2:$J$2684,G$1)</f>
        <v>0</v>
      </c>
      <c r="H97" s="144">
        <f>SUMIFS('январь 2026'!$G$2:$G$2684,'январь 2026'!$D$2:$D$2684,$B97,'январь 2026'!$J$2:$J$2684,H$1)</f>
        <v>0</v>
      </c>
      <c r="I97" s="144">
        <f>SUMIFS('январь 2026'!$G$2:$G$2684,'январь 2026'!$D$2:$D$2684,$B97,'январь 2026'!$J$2:$J$2684,I$1)</f>
        <v>0</v>
      </c>
      <c r="J97" s="144">
        <f>SUMIFS('январь 2026'!$G$2:$G$2684,'январь 2026'!$D$2:$D$2684,$B97,'январь 2026'!$J$2:$J$2684,J$1)</f>
        <v>0</v>
      </c>
      <c r="K97" s="144">
        <f>SUMIFS('январь 2026'!$G$2:$G$2684,'январь 2026'!$D$2:$D$2684,$B97,'январь 2026'!$J$2:$J$2684,K$1)</f>
        <v>0</v>
      </c>
      <c r="L97" s="144">
        <f>SUMIFS('январь 2026'!$G$2:$G$2684,'январь 2026'!$D$2:$D$2684,$B97,'январь 2026'!$J$2:$J$2684,L$1)</f>
        <v>0</v>
      </c>
      <c r="M97" s="144">
        <f>SUMIFS('январь 2026'!$G$2:$G$2684,'январь 2026'!$D$2:$D$2684,$B97,'январь 2026'!$J$2:$J$2684,M$1)</f>
        <v>0</v>
      </c>
      <c r="N97" s="144">
        <f>SUMIFS('январь 2026'!$G$2:$G$2684,'январь 2026'!$D$2:$D$2684,$B97,'январь 2026'!$J$2:$J$2684,N$1)</f>
        <v>0</v>
      </c>
      <c r="O97" s="144">
        <f>SUMIFS('январь 2026'!$G$2:$G$2684,'январь 2026'!$D$2:$D$2684,$B97,'январь 2026'!$J$2:$J$2684,O$1)</f>
        <v>0</v>
      </c>
      <c r="P97" s="144">
        <f>SUMIFS('январь 2026'!$G$2:$G$2684,'январь 2026'!$D$2:$D$2684,$B97,'январь 2026'!$J$2:$J$2684,P$1)</f>
        <v>0</v>
      </c>
      <c r="Q97" s="144">
        <f>SUMIFS('январь 2026'!$G$2:$G$2684,'январь 2026'!$D$2:$D$2684,$B97,'январь 2026'!$J$2:$J$2684,Q$1)</f>
        <v>0</v>
      </c>
      <c r="R97" s="144">
        <f>SUMIFS('январь 2026'!$G$2:$G$2684,'январь 2026'!$D$2:$D$2684,$B97,'январь 2026'!$J$2:$J$2684,R$1)</f>
        <v>0</v>
      </c>
      <c r="S97" s="144">
        <f>SUMIFS('январь 2026'!$G$2:$G$2684,'январь 2026'!$D$2:$D$2684,$B97,'январь 2026'!$J$2:$J$2684,S$1)</f>
        <v>0</v>
      </c>
      <c r="T97" s="144">
        <f>SUMIFS('январь 2026'!$G$2:$G$2684,'январь 2026'!$D$2:$D$2684,$B97,'январь 2026'!$J$2:$J$2684,T$1)</f>
        <v>0</v>
      </c>
      <c r="U97" s="144">
        <f>SUMIFS('январь 2026'!$G$2:$G$2684,'январь 2026'!$D$2:$D$2684,$B97,'январь 2026'!$J$2:$J$2684,U$1)</f>
        <v>0</v>
      </c>
      <c r="V97" s="144">
        <f>SUMIFS('январь 2026'!$G$2:$G$2684,'январь 2026'!$D$2:$D$2684,$B97,'январь 2026'!$J$2:$J$2684,V$1)</f>
        <v>0</v>
      </c>
      <c r="W97" s="144">
        <f>SUMIFS('январь 2026'!$G$2:$G$2684,'январь 2026'!$D$2:$D$2684,$B97,'январь 2026'!$J$2:$J$2684,W$1)</f>
        <v>0</v>
      </c>
      <c r="X97" s="144">
        <f>SUMIFS('январь 2026'!$G$2:$G$2684,'январь 2026'!$D$2:$D$2684,$B97,'январь 2026'!$J$2:$J$2684,X$1)</f>
        <v>0</v>
      </c>
      <c r="Y97" s="144">
        <f>SUMIFS('январь 2026'!$G$2:$G$2684,'январь 2026'!$D$2:$D$2684,$B97,'январь 2026'!$J$2:$J$2684,Y$1)</f>
        <v>0</v>
      </c>
      <c r="Z97" s="144">
        <f>SUMIFS('январь 2026'!$G$2:$G$2684,'январь 2026'!$D$2:$D$2684,$B97,'январь 2026'!$J$2:$J$2684,Z$1)</f>
        <v>0</v>
      </c>
      <c r="AA97" s="144">
        <f>SUMIFS('январь 2026'!$G$2:$G$2684,'январь 2026'!$D$2:$D$2684,$B97,'январь 2026'!$J$2:$J$2684,AA$1)</f>
        <v>0</v>
      </c>
      <c r="AB97" s="144">
        <f>SUMIFS('январь 2026'!$G$2:$G$2684,'январь 2026'!$D$2:$D$2684,$B97,'январь 2026'!$J$2:$J$2684,AB$1)</f>
        <v>0</v>
      </c>
      <c r="AC97" s="144">
        <f>SUMIFS('январь 2026'!$G$2:$G$2684,'январь 2026'!$D$2:$D$2684,$B97,'январь 2026'!$J$2:$J$2684,AC$1)</f>
        <v>0</v>
      </c>
      <c r="AD97" s="144">
        <f>SUMIFS('январь 2026'!$G$2:$G$2684,'январь 2026'!$D$2:$D$2684,$B97,'январь 2026'!$J$2:$J$2684,AD$1)</f>
        <v>0</v>
      </c>
      <c r="AE97" s="144">
        <f>SUMIFS('январь 2026'!$G$2:$G$2684,'январь 2026'!$D$2:$D$2684,$B97,'январь 2026'!$J$2:$J$2684,AE$1)</f>
        <v>0</v>
      </c>
      <c r="AF97" s="144">
        <f>SUMIFS('январь 2026'!$G$2:$G$2684,'январь 2026'!$D$2:$D$2684,$B97,'январь 2026'!$J$2:$J$2684,AF$1)</f>
        <v>0</v>
      </c>
      <c r="AG97" s="144">
        <f>SUMIFS('январь 2026'!$G$2:$G$2684,'январь 2026'!$D$2:$D$2684,$B97,'январь 2026'!$J$2:$J$2684,AG$1)</f>
        <v>0</v>
      </c>
      <c r="AH97" s="144">
        <f>SUMIFS('январь 2026'!$G$2:$G$2684,'январь 2026'!$D$2:$D$2684,$B97,'январь 2026'!$J$2:$J$2684,AH$1)</f>
        <v>0</v>
      </c>
      <c r="AI97" s="20">
        <f t="shared" si="1"/>
        <v>0</v>
      </c>
    </row>
    <row r="98" spans="2:35" ht="15" customHeight="1" x14ac:dyDescent="0.25">
      <c r="B98" s="82" t="s">
        <v>203</v>
      </c>
      <c r="C98" s="81">
        <v>190</v>
      </c>
      <c r="D98" s="144">
        <f>SUMIFS('январь 2026'!$G$2:$G$2684,'январь 2026'!$D$2:$D$2684,$B98,'январь 2026'!$J$2:$J$2684,D$1)</f>
        <v>0</v>
      </c>
      <c r="E98" s="144">
        <f>SUMIFS('январь 2026'!$G$2:$G$2684,'январь 2026'!$D$2:$D$2684,$B98,'январь 2026'!$J$2:$J$2684,E$1)</f>
        <v>0</v>
      </c>
      <c r="F98" s="144">
        <f>SUMIFS('январь 2026'!$G$2:$G$2684,'январь 2026'!$D$2:$D$2684,$B98,'январь 2026'!$J$2:$J$2684,F$1)</f>
        <v>0</v>
      </c>
      <c r="G98" s="144">
        <f>SUMIFS('январь 2026'!$G$2:$G$2684,'январь 2026'!$D$2:$D$2684,$B98,'январь 2026'!$J$2:$J$2684,G$1)</f>
        <v>0</v>
      </c>
      <c r="H98" s="144">
        <f>SUMIFS('январь 2026'!$G$2:$G$2684,'январь 2026'!$D$2:$D$2684,$B98,'январь 2026'!$J$2:$J$2684,H$1)</f>
        <v>0</v>
      </c>
      <c r="I98" s="144">
        <f>SUMIFS('январь 2026'!$G$2:$G$2684,'январь 2026'!$D$2:$D$2684,$B98,'январь 2026'!$J$2:$J$2684,I$1)</f>
        <v>0</v>
      </c>
      <c r="J98" s="144">
        <f>SUMIFS('январь 2026'!$G$2:$G$2684,'январь 2026'!$D$2:$D$2684,$B98,'январь 2026'!$J$2:$J$2684,J$1)</f>
        <v>0</v>
      </c>
      <c r="K98" s="144">
        <f>SUMIFS('январь 2026'!$G$2:$G$2684,'январь 2026'!$D$2:$D$2684,$B98,'январь 2026'!$J$2:$J$2684,K$1)</f>
        <v>0</v>
      </c>
      <c r="L98" s="144">
        <f>SUMIFS('январь 2026'!$G$2:$G$2684,'январь 2026'!$D$2:$D$2684,$B98,'январь 2026'!$J$2:$J$2684,L$1)</f>
        <v>0</v>
      </c>
      <c r="M98" s="144">
        <f>SUMIFS('январь 2026'!$G$2:$G$2684,'январь 2026'!$D$2:$D$2684,$B98,'январь 2026'!$J$2:$J$2684,M$1)</f>
        <v>0</v>
      </c>
      <c r="N98" s="144">
        <f>SUMIFS('январь 2026'!$G$2:$G$2684,'январь 2026'!$D$2:$D$2684,$B98,'январь 2026'!$J$2:$J$2684,N$1)</f>
        <v>0</v>
      </c>
      <c r="O98" s="144">
        <f>SUMIFS('январь 2026'!$G$2:$G$2684,'январь 2026'!$D$2:$D$2684,$B98,'январь 2026'!$J$2:$J$2684,O$1)</f>
        <v>0</v>
      </c>
      <c r="P98" s="144">
        <f>SUMIFS('январь 2026'!$G$2:$G$2684,'январь 2026'!$D$2:$D$2684,$B98,'январь 2026'!$J$2:$J$2684,P$1)</f>
        <v>0</v>
      </c>
      <c r="Q98" s="144">
        <f>SUMIFS('январь 2026'!$G$2:$G$2684,'январь 2026'!$D$2:$D$2684,$B98,'январь 2026'!$J$2:$J$2684,Q$1)</f>
        <v>0</v>
      </c>
      <c r="R98" s="144">
        <f>SUMIFS('январь 2026'!$G$2:$G$2684,'январь 2026'!$D$2:$D$2684,$B98,'январь 2026'!$J$2:$J$2684,R$1)</f>
        <v>0</v>
      </c>
      <c r="S98" s="144">
        <f>SUMIFS('январь 2026'!$G$2:$G$2684,'январь 2026'!$D$2:$D$2684,$B98,'январь 2026'!$J$2:$J$2684,S$1)</f>
        <v>0</v>
      </c>
      <c r="T98" s="144">
        <f>SUMIFS('январь 2026'!$G$2:$G$2684,'январь 2026'!$D$2:$D$2684,$B98,'январь 2026'!$J$2:$J$2684,T$1)</f>
        <v>0</v>
      </c>
      <c r="U98" s="144">
        <f>SUMIFS('январь 2026'!$G$2:$G$2684,'январь 2026'!$D$2:$D$2684,$B98,'январь 2026'!$J$2:$J$2684,U$1)</f>
        <v>0</v>
      </c>
      <c r="V98" s="144">
        <f>SUMIFS('январь 2026'!$G$2:$G$2684,'январь 2026'!$D$2:$D$2684,$B98,'январь 2026'!$J$2:$J$2684,V$1)</f>
        <v>0</v>
      </c>
      <c r="W98" s="144">
        <f>SUMIFS('январь 2026'!$G$2:$G$2684,'январь 2026'!$D$2:$D$2684,$B98,'январь 2026'!$J$2:$J$2684,W$1)</f>
        <v>0</v>
      </c>
      <c r="X98" s="144">
        <f>SUMIFS('январь 2026'!$G$2:$G$2684,'январь 2026'!$D$2:$D$2684,$B98,'январь 2026'!$J$2:$J$2684,X$1)</f>
        <v>0</v>
      </c>
      <c r="Y98" s="144">
        <f>SUMIFS('январь 2026'!$G$2:$G$2684,'январь 2026'!$D$2:$D$2684,$B98,'январь 2026'!$J$2:$J$2684,Y$1)</f>
        <v>0</v>
      </c>
      <c r="Z98" s="144">
        <f>SUMIFS('январь 2026'!$G$2:$G$2684,'январь 2026'!$D$2:$D$2684,$B98,'январь 2026'!$J$2:$J$2684,Z$1)</f>
        <v>0</v>
      </c>
      <c r="AA98" s="144">
        <f>SUMIFS('январь 2026'!$G$2:$G$2684,'январь 2026'!$D$2:$D$2684,$B98,'январь 2026'!$J$2:$J$2684,AA$1)</f>
        <v>0</v>
      </c>
      <c r="AB98" s="144">
        <f>SUMIFS('январь 2026'!$G$2:$G$2684,'январь 2026'!$D$2:$D$2684,$B98,'январь 2026'!$J$2:$J$2684,AB$1)</f>
        <v>0</v>
      </c>
      <c r="AC98" s="144">
        <f>SUMIFS('январь 2026'!$G$2:$G$2684,'январь 2026'!$D$2:$D$2684,$B98,'январь 2026'!$J$2:$J$2684,AC$1)</f>
        <v>0</v>
      </c>
      <c r="AD98" s="144">
        <f>SUMIFS('январь 2026'!$G$2:$G$2684,'январь 2026'!$D$2:$D$2684,$B98,'январь 2026'!$J$2:$J$2684,AD$1)</f>
        <v>0</v>
      </c>
      <c r="AE98" s="144">
        <f>SUMIFS('январь 2026'!$G$2:$G$2684,'январь 2026'!$D$2:$D$2684,$B98,'январь 2026'!$J$2:$J$2684,AE$1)</f>
        <v>0</v>
      </c>
      <c r="AF98" s="144">
        <f>SUMIFS('январь 2026'!$G$2:$G$2684,'январь 2026'!$D$2:$D$2684,$B98,'январь 2026'!$J$2:$J$2684,AF$1)</f>
        <v>0</v>
      </c>
      <c r="AG98" s="144">
        <f>SUMIFS('январь 2026'!$G$2:$G$2684,'январь 2026'!$D$2:$D$2684,$B98,'январь 2026'!$J$2:$J$2684,AG$1)</f>
        <v>0</v>
      </c>
      <c r="AH98" s="144">
        <f>SUMIFS('январь 2026'!$G$2:$G$2684,'январь 2026'!$D$2:$D$2684,$B98,'январь 2026'!$J$2:$J$2684,AH$1)</f>
        <v>0</v>
      </c>
      <c r="AI98" s="20">
        <f t="shared" si="1"/>
        <v>0</v>
      </c>
    </row>
    <row r="99" spans="2:35" ht="15" customHeight="1" x14ac:dyDescent="0.25">
      <c r="B99" s="85" t="s">
        <v>171</v>
      </c>
      <c r="C99" s="81">
        <v>190</v>
      </c>
      <c r="D99" s="144">
        <f>SUMIFS('январь 2026'!$G$2:$G$2684,'январь 2026'!$D$2:$D$2684,$B99,'январь 2026'!$J$2:$J$2684,D$1)</f>
        <v>0</v>
      </c>
      <c r="E99" s="144">
        <f>SUMIFS('январь 2026'!$G$2:$G$2684,'январь 2026'!$D$2:$D$2684,$B99,'январь 2026'!$J$2:$J$2684,E$1)</f>
        <v>0</v>
      </c>
      <c r="F99" s="144">
        <f>SUMIFS('январь 2026'!$G$2:$G$2684,'январь 2026'!$D$2:$D$2684,$B99,'январь 2026'!$J$2:$J$2684,F$1)</f>
        <v>0</v>
      </c>
      <c r="G99" s="144">
        <f>SUMIFS('январь 2026'!$G$2:$G$2684,'январь 2026'!$D$2:$D$2684,$B99,'январь 2026'!$J$2:$J$2684,G$1)</f>
        <v>0</v>
      </c>
      <c r="H99" s="144">
        <f>SUMIFS('январь 2026'!$G$2:$G$2684,'январь 2026'!$D$2:$D$2684,$B99,'январь 2026'!$J$2:$J$2684,H$1)</f>
        <v>0</v>
      </c>
      <c r="I99" s="144">
        <f>SUMIFS('январь 2026'!$G$2:$G$2684,'январь 2026'!$D$2:$D$2684,$B99,'январь 2026'!$J$2:$J$2684,I$1)</f>
        <v>0</v>
      </c>
      <c r="J99" s="144">
        <f>SUMIFS('январь 2026'!$G$2:$G$2684,'январь 2026'!$D$2:$D$2684,$B99,'январь 2026'!$J$2:$J$2684,J$1)</f>
        <v>0</v>
      </c>
      <c r="K99" s="144">
        <f>SUMIFS('январь 2026'!$G$2:$G$2684,'январь 2026'!$D$2:$D$2684,$B99,'январь 2026'!$J$2:$J$2684,K$1)</f>
        <v>0</v>
      </c>
      <c r="L99" s="144">
        <f>SUMIFS('январь 2026'!$G$2:$G$2684,'январь 2026'!$D$2:$D$2684,$B99,'январь 2026'!$J$2:$J$2684,L$1)</f>
        <v>0</v>
      </c>
      <c r="M99" s="144">
        <f>SUMIFS('январь 2026'!$G$2:$G$2684,'январь 2026'!$D$2:$D$2684,$B99,'январь 2026'!$J$2:$J$2684,M$1)</f>
        <v>0</v>
      </c>
      <c r="N99" s="144">
        <f>SUMIFS('январь 2026'!$G$2:$G$2684,'январь 2026'!$D$2:$D$2684,$B99,'январь 2026'!$J$2:$J$2684,N$1)</f>
        <v>0</v>
      </c>
      <c r="O99" s="144">
        <f>SUMIFS('январь 2026'!$G$2:$G$2684,'январь 2026'!$D$2:$D$2684,$B99,'январь 2026'!$J$2:$J$2684,O$1)</f>
        <v>0</v>
      </c>
      <c r="P99" s="144">
        <f>SUMIFS('январь 2026'!$G$2:$G$2684,'январь 2026'!$D$2:$D$2684,$B99,'январь 2026'!$J$2:$J$2684,P$1)</f>
        <v>0</v>
      </c>
      <c r="Q99" s="144">
        <f>SUMIFS('январь 2026'!$G$2:$G$2684,'январь 2026'!$D$2:$D$2684,$B99,'январь 2026'!$J$2:$J$2684,Q$1)</f>
        <v>0</v>
      </c>
      <c r="R99" s="144">
        <f>SUMIFS('январь 2026'!$G$2:$G$2684,'январь 2026'!$D$2:$D$2684,$B99,'январь 2026'!$J$2:$J$2684,R$1)</f>
        <v>0</v>
      </c>
      <c r="S99" s="144">
        <f>SUMIFS('январь 2026'!$G$2:$G$2684,'январь 2026'!$D$2:$D$2684,$B99,'январь 2026'!$J$2:$J$2684,S$1)</f>
        <v>0</v>
      </c>
      <c r="T99" s="144">
        <f>SUMIFS('январь 2026'!$G$2:$G$2684,'январь 2026'!$D$2:$D$2684,$B99,'январь 2026'!$J$2:$J$2684,T$1)</f>
        <v>0</v>
      </c>
      <c r="U99" s="144">
        <f>SUMIFS('январь 2026'!$G$2:$G$2684,'январь 2026'!$D$2:$D$2684,$B99,'январь 2026'!$J$2:$J$2684,U$1)</f>
        <v>0</v>
      </c>
      <c r="V99" s="144">
        <f>SUMIFS('январь 2026'!$G$2:$G$2684,'январь 2026'!$D$2:$D$2684,$B99,'январь 2026'!$J$2:$J$2684,V$1)</f>
        <v>0</v>
      </c>
      <c r="W99" s="144">
        <f>SUMIFS('январь 2026'!$G$2:$G$2684,'январь 2026'!$D$2:$D$2684,$B99,'январь 2026'!$J$2:$J$2684,W$1)</f>
        <v>0</v>
      </c>
      <c r="X99" s="144">
        <f>SUMIFS('январь 2026'!$G$2:$G$2684,'январь 2026'!$D$2:$D$2684,$B99,'январь 2026'!$J$2:$J$2684,X$1)</f>
        <v>0</v>
      </c>
      <c r="Y99" s="144">
        <f>SUMIFS('январь 2026'!$G$2:$G$2684,'январь 2026'!$D$2:$D$2684,$B99,'январь 2026'!$J$2:$J$2684,Y$1)</f>
        <v>0</v>
      </c>
      <c r="Z99" s="144">
        <f>SUMIFS('январь 2026'!$G$2:$G$2684,'январь 2026'!$D$2:$D$2684,$B99,'январь 2026'!$J$2:$J$2684,Z$1)</f>
        <v>0</v>
      </c>
      <c r="AA99" s="144">
        <f>SUMIFS('январь 2026'!$G$2:$G$2684,'январь 2026'!$D$2:$D$2684,$B99,'январь 2026'!$J$2:$J$2684,AA$1)</f>
        <v>0</v>
      </c>
      <c r="AB99" s="144">
        <f>SUMIFS('январь 2026'!$G$2:$G$2684,'январь 2026'!$D$2:$D$2684,$B99,'январь 2026'!$J$2:$J$2684,AB$1)</f>
        <v>0</v>
      </c>
      <c r="AC99" s="144">
        <f>SUMIFS('январь 2026'!$G$2:$G$2684,'январь 2026'!$D$2:$D$2684,$B99,'январь 2026'!$J$2:$J$2684,AC$1)</f>
        <v>0</v>
      </c>
      <c r="AD99" s="144">
        <f>SUMIFS('январь 2026'!$G$2:$G$2684,'январь 2026'!$D$2:$D$2684,$B99,'январь 2026'!$J$2:$J$2684,AD$1)</f>
        <v>0</v>
      </c>
      <c r="AE99" s="144">
        <f>SUMIFS('январь 2026'!$G$2:$G$2684,'январь 2026'!$D$2:$D$2684,$B99,'январь 2026'!$J$2:$J$2684,AE$1)</f>
        <v>0</v>
      </c>
      <c r="AF99" s="144">
        <f>SUMIFS('январь 2026'!$G$2:$G$2684,'январь 2026'!$D$2:$D$2684,$B99,'январь 2026'!$J$2:$J$2684,AF$1)</f>
        <v>0</v>
      </c>
      <c r="AG99" s="144">
        <f>SUMIFS('январь 2026'!$G$2:$G$2684,'январь 2026'!$D$2:$D$2684,$B99,'январь 2026'!$J$2:$J$2684,AG$1)</f>
        <v>0</v>
      </c>
      <c r="AH99" s="144">
        <f>SUMIFS('январь 2026'!$G$2:$G$2684,'январь 2026'!$D$2:$D$2684,$B99,'январь 2026'!$J$2:$J$2684,AH$1)</f>
        <v>0</v>
      </c>
      <c r="AI99" s="20">
        <f t="shared" si="1"/>
        <v>0</v>
      </c>
    </row>
    <row r="100" spans="2:35" ht="15" customHeight="1" x14ac:dyDescent="0.25">
      <c r="B100" s="85" t="s">
        <v>180</v>
      </c>
      <c r="C100" s="83">
        <v>180</v>
      </c>
      <c r="D100" s="144">
        <f>SUMIFS('январь 2026'!$G$2:$G$2684,'январь 2026'!$D$2:$D$2684,$B100,'январь 2026'!$J$2:$J$2684,D$1)</f>
        <v>0</v>
      </c>
      <c r="E100" s="144">
        <f>SUMIFS('январь 2026'!$G$2:$G$2684,'январь 2026'!$D$2:$D$2684,$B100,'январь 2026'!$J$2:$J$2684,E$1)</f>
        <v>0</v>
      </c>
      <c r="F100" s="144">
        <f>SUMIFS('январь 2026'!$G$2:$G$2684,'январь 2026'!$D$2:$D$2684,$B100,'январь 2026'!$J$2:$J$2684,F$1)</f>
        <v>0</v>
      </c>
      <c r="G100" s="144">
        <f>SUMIFS('январь 2026'!$G$2:$G$2684,'январь 2026'!$D$2:$D$2684,$B100,'январь 2026'!$J$2:$J$2684,G$1)</f>
        <v>0</v>
      </c>
      <c r="H100" s="144">
        <f>SUMIFS('январь 2026'!$G$2:$G$2684,'январь 2026'!$D$2:$D$2684,$B100,'январь 2026'!$J$2:$J$2684,H$1)</f>
        <v>0</v>
      </c>
      <c r="I100" s="144">
        <f>SUMIFS('январь 2026'!$G$2:$G$2684,'январь 2026'!$D$2:$D$2684,$B100,'январь 2026'!$J$2:$J$2684,I$1)</f>
        <v>0</v>
      </c>
      <c r="J100" s="144">
        <f>SUMIFS('январь 2026'!$G$2:$G$2684,'январь 2026'!$D$2:$D$2684,$B100,'январь 2026'!$J$2:$J$2684,J$1)</f>
        <v>0</v>
      </c>
      <c r="K100" s="144">
        <f>SUMIFS('январь 2026'!$G$2:$G$2684,'январь 2026'!$D$2:$D$2684,$B100,'январь 2026'!$J$2:$J$2684,K$1)</f>
        <v>0</v>
      </c>
      <c r="L100" s="144">
        <f>SUMIFS('январь 2026'!$G$2:$G$2684,'январь 2026'!$D$2:$D$2684,$B100,'январь 2026'!$J$2:$J$2684,L$1)</f>
        <v>0</v>
      </c>
      <c r="M100" s="144">
        <f>SUMIFS('январь 2026'!$G$2:$G$2684,'январь 2026'!$D$2:$D$2684,$B100,'январь 2026'!$J$2:$J$2684,M$1)</f>
        <v>0</v>
      </c>
      <c r="N100" s="144">
        <f>SUMIFS('январь 2026'!$G$2:$G$2684,'январь 2026'!$D$2:$D$2684,$B100,'январь 2026'!$J$2:$J$2684,N$1)</f>
        <v>0</v>
      </c>
      <c r="O100" s="144">
        <f>SUMIFS('январь 2026'!$G$2:$G$2684,'январь 2026'!$D$2:$D$2684,$B100,'январь 2026'!$J$2:$J$2684,O$1)</f>
        <v>0</v>
      </c>
      <c r="P100" s="144">
        <f>SUMIFS('январь 2026'!$G$2:$G$2684,'январь 2026'!$D$2:$D$2684,$B100,'январь 2026'!$J$2:$J$2684,P$1)</f>
        <v>0</v>
      </c>
      <c r="Q100" s="144">
        <f>SUMIFS('январь 2026'!$G$2:$G$2684,'январь 2026'!$D$2:$D$2684,$B100,'январь 2026'!$J$2:$J$2684,Q$1)</f>
        <v>0</v>
      </c>
      <c r="R100" s="144">
        <f>SUMIFS('январь 2026'!$G$2:$G$2684,'январь 2026'!$D$2:$D$2684,$B100,'январь 2026'!$J$2:$J$2684,R$1)</f>
        <v>0</v>
      </c>
      <c r="S100" s="144">
        <f>SUMIFS('январь 2026'!$G$2:$G$2684,'январь 2026'!$D$2:$D$2684,$B100,'январь 2026'!$J$2:$J$2684,S$1)</f>
        <v>0</v>
      </c>
      <c r="T100" s="144">
        <f>SUMIFS('январь 2026'!$G$2:$G$2684,'январь 2026'!$D$2:$D$2684,$B100,'январь 2026'!$J$2:$J$2684,T$1)</f>
        <v>0</v>
      </c>
      <c r="U100" s="144">
        <f>SUMIFS('январь 2026'!$G$2:$G$2684,'январь 2026'!$D$2:$D$2684,$B100,'январь 2026'!$J$2:$J$2684,U$1)</f>
        <v>0</v>
      </c>
      <c r="V100" s="144">
        <f>SUMIFS('январь 2026'!$G$2:$G$2684,'январь 2026'!$D$2:$D$2684,$B100,'январь 2026'!$J$2:$J$2684,V$1)</f>
        <v>0</v>
      </c>
      <c r="W100" s="144">
        <f>SUMIFS('январь 2026'!$G$2:$G$2684,'январь 2026'!$D$2:$D$2684,$B100,'январь 2026'!$J$2:$J$2684,W$1)</f>
        <v>0</v>
      </c>
      <c r="X100" s="144">
        <f>SUMIFS('январь 2026'!$G$2:$G$2684,'январь 2026'!$D$2:$D$2684,$B100,'январь 2026'!$J$2:$J$2684,X$1)</f>
        <v>0</v>
      </c>
      <c r="Y100" s="144">
        <f>SUMIFS('январь 2026'!$G$2:$G$2684,'январь 2026'!$D$2:$D$2684,$B100,'январь 2026'!$J$2:$J$2684,Y$1)</f>
        <v>0</v>
      </c>
      <c r="Z100" s="144">
        <f>SUMIFS('январь 2026'!$G$2:$G$2684,'январь 2026'!$D$2:$D$2684,$B100,'январь 2026'!$J$2:$J$2684,Z$1)</f>
        <v>0</v>
      </c>
      <c r="AA100" s="144">
        <f>SUMIFS('январь 2026'!$G$2:$G$2684,'январь 2026'!$D$2:$D$2684,$B100,'январь 2026'!$J$2:$J$2684,AA$1)</f>
        <v>0</v>
      </c>
      <c r="AB100" s="144">
        <f>SUMIFS('январь 2026'!$G$2:$G$2684,'январь 2026'!$D$2:$D$2684,$B100,'январь 2026'!$J$2:$J$2684,AB$1)</f>
        <v>0</v>
      </c>
      <c r="AC100" s="144">
        <f>SUMIFS('январь 2026'!$G$2:$G$2684,'январь 2026'!$D$2:$D$2684,$B100,'январь 2026'!$J$2:$J$2684,AC$1)</f>
        <v>0</v>
      </c>
      <c r="AD100" s="144">
        <f>SUMIFS('январь 2026'!$G$2:$G$2684,'январь 2026'!$D$2:$D$2684,$B100,'январь 2026'!$J$2:$J$2684,AD$1)</f>
        <v>0</v>
      </c>
      <c r="AE100" s="144">
        <f>SUMIFS('январь 2026'!$G$2:$G$2684,'январь 2026'!$D$2:$D$2684,$B100,'январь 2026'!$J$2:$J$2684,AE$1)</f>
        <v>0</v>
      </c>
      <c r="AF100" s="144">
        <f>SUMIFS('январь 2026'!$G$2:$G$2684,'январь 2026'!$D$2:$D$2684,$B100,'январь 2026'!$J$2:$J$2684,AF$1)</f>
        <v>0</v>
      </c>
      <c r="AG100" s="144">
        <f>SUMIFS('январь 2026'!$G$2:$G$2684,'январь 2026'!$D$2:$D$2684,$B100,'январь 2026'!$J$2:$J$2684,AG$1)</f>
        <v>0</v>
      </c>
      <c r="AH100" s="144">
        <f>SUMIFS('январь 2026'!$G$2:$G$2684,'январь 2026'!$D$2:$D$2684,$B100,'январь 2026'!$J$2:$J$2684,AH$1)</f>
        <v>0</v>
      </c>
      <c r="AI100" s="20">
        <f t="shared" si="1"/>
        <v>0</v>
      </c>
    </row>
    <row r="101" spans="2:35" ht="15" customHeight="1" x14ac:dyDescent="0.25">
      <c r="B101" s="85" t="s">
        <v>286</v>
      </c>
      <c r="C101" s="83">
        <v>190</v>
      </c>
      <c r="D101" s="144">
        <f>SUMIFS('январь 2026'!$G$2:$G$2684,'январь 2026'!$D$2:$D$2684,$B101,'январь 2026'!$J$2:$J$2684,D$1)</f>
        <v>0</v>
      </c>
      <c r="E101" s="144">
        <f>SUMIFS('январь 2026'!$G$2:$G$2684,'январь 2026'!$D$2:$D$2684,$B101,'январь 2026'!$J$2:$J$2684,E$1)</f>
        <v>0</v>
      </c>
      <c r="F101" s="144">
        <f>SUMIFS('январь 2026'!$G$2:$G$2684,'январь 2026'!$D$2:$D$2684,$B101,'январь 2026'!$J$2:$J$2684,F$1)</f>
        <v>0</v>
      </c>
      <c r="G101" s="144">
        <f>SUMIFS('январь 2026'!$G$2:$G$2684,'январь 2026'!$D$2:$D$2684,$B101,'январь 2026'!$J$2:$J$2684,G$1)</f>
        <v>0</v>
      </c>
      <c r="H101" s="144">
        <f>SUMIFS('январь 2026'!$G$2:$G$2684,'январь 2026'!$D$2:$D$2684,$B101,'январь 2026'!$J$2:$J$2684,H$1)</f>
        <v>0</v>
      </c>
      <c r="I101" s="144">
        <f>SUMIFS('январь 2026'!$G$2:$G$2684,'январь 2026'!$D$2:$D$2684,$B101,'январь 2026'!$J$2:$J$2684,I$1)</f>
        <v>0</v>
      </c>
      <c r="J101" s="144">
        <f>SUMIFS('январь 2026'!$G$2:$G$2684,'январь 2026'!$D$2:$D$2684,$B101,'январь 2026'!$J$2:$J$2684,J$1)</f>
        <v>0</v>
      </c>
      <c r="K101" s="144">
        <f>SUMIFS('январь 2026'!$G$2:$G$2684,'январь 2026'!$D$2:$D$2684,$B101,'январь 2026'!$J$2:$J$2684,K$1)</f>
        <v>0</v>
      </c>
      <c r="L101" s="144">
        <f>SUMIFS('январь 2026'!$G$2:$G$2684,'январь 2026'!$D$2:$D$2684,$B101,'январь 2026'!$J$2:$J$2684,L$1)</f>
        <v>0</v>
      </c>
      <c r="M101" s="144">
        <f>SUMIFS('январь 2026'!$G$2:$G$2684,'январь 2026'!$D$2:$D$2684,$B101,'январь 2026'!$J$2:$J$2684,M$1)</f>
        <v>0</v>
      </c>
      <c r="N101" s="144">
        <f>SUMIFS('январь 2026'!$G$2:$G$2684,'январь 2026'!$D$2:$D$2684,$B101,'январь 2026'!$J$2:$J$2684,N$1)</f>
        <v>0</v>
      </c>
      <c r="O101" s="144">
        <f>SUMIFS('январь 2026'!$G$2:$G$2684,'январь 2026'!$D$2:$D$2684,$B101,'январь 2026'!$J$2:$J$2684,O$1)</f>
        <v>0</v>
      </c>
      <c r="P101" s="144">
        <f>SUMIFS('январь 2026'!$G$2:$G$2684,'январь 2026'!$D$2:$D$2684,$B101,'январь 2026'!$J$2:$J$2684,P$1)</f>
        <v>0</v>
      </c>
      <c r="Q101" s="144">
        <f>SUMIFS('январь 2026'!$G$2:$G$2684,'январь 2026'!$D$2:$D$2684,$B101,'январь 2026'!$J$2:$J$2684,Q$1)</f>
        <v>0</v>
      </c>
      <c r="R101" s="144">
        <f>SUMIFS('январь 2026'!$G$2:$G$2684,'январь 2026'!$D$2:$D$2684,$B101,'январь 2026'!$J$2:$J$2684,R$1)</f>
        <v>0</v>
      </c>
      <c r="S101" s="144">
        <f>SUMIFS('январь 2026'!$G$2:$G$2684,'январь 2026'!$D$2:$D$2684,$B101,'январь 2026'!$J$2:$J$2684,S$1)</f>
        <v>0</v>
      </c>
      <c r="T101" s="144">
        <f>SUMIFS('январь 2026'!$G$2:$G$2684,'январь 2026'!$D$2:$D$2684,$B101,'январь 2026'!$J$2:$J$2684,T$1)</f>
        <v>0</v>
      </c>
      <c r="U101" s="144">
        <f>SUMIFS('январь 2026'!$G$2:$G$2684,'январь 2026'!$D$2:$D$2684,$B101,'январь 2026'!$J$2:$J$2684,U$1)</f>
        <v>0</v>
      </c>
      <c r="V101" s="144">
        <f>SUMIFS('январь 2026'!$G$2:$G$2684,'январь 2026'!$D$2:$D$2684,$B101,'январь 2026'!$J$2:$J$2684,V$1)</f>
        <v>0</v>
      </c>
      <c r="W101" s="144">
        <f>SUMIFS('январь 2026'!$G$2:$G$2684,'январь 2026'!$D$2:$D$2684,$B101,'январь 2026'!$J$2:$J$2684,W$1)</f>
        <v>0</v>
      </c>
      <c r="X101" s="144">
        <f>SUMIFS('январь 2026'!$G$2:$G$2684,'январь 2026'!$D$2:$D$2684,$B101,'январь 2026'!$J$2:$J$2684,X$1)</f>
        <v>0</v>
      </c>
      <c r="Y101" s="144">
        <f>SUMIFS('январь 2026'!$G$2:$G$2684,'январь 2026'!$D$2:$D$2684,$B101,'январь 2026'!$J$2:$J$2684,Y$1)</f>
        <v>0</v>
      </c>
      <c r="Z101" s="144">
        <f>SUMIFS('январь 2026'!$G$2:$G$2684,'январь 2026'!$D$2:$D$2684,$B101,'январь 2026'!$J$2:$J$2684,Z$1)</f>
        <v>0</v>
      </c>
      <c r="AA101" s="144">
        <f>SUMIFS('январь 2026'!$G$2:$G$2684,'январь 2026'!$D$2:$D$2684,$B101,'январь 2026'!$J$2:$J$2684,AA$1)</f>
        <v>0</v>
      </c>
      <c r="AB101" s="144">
        <f>SUMIFS('январь 2026'!$G$2:$G$2684,'январь 2026'!$D$2:$D$2684,$B101,'январь 2026'!$J$2:$J$2684,AB$1)</f>
        <v>0</v>
      </c>
      <c r="AC101" s="144">
        <f>SUMIFS('январь 2026'!$G$2:$G$2684,'январь 2026'!$D$2:$D$2684,$B101,'январь 2026'!$J$2:$J$2684,AC$1)</f>
        <v>0</v>
      </c>
      <c r="AD101" s="144">
        <f>SUMIFS('январь 2026'!$G$2:$G$2684,'январь 2026'!$D$2:$D$2684,$B101,'январь 2026'!$J$2:$J$2684,AD$1)</f>
        <v>0</v>
      </c>
      <c r="AE101" s="144">
        <f>SUMIFS('январь 2026'!$G$2:$G$2684,'январь 2026'!$D$2:$D$2684,$B101,'январь 2026'!$J$2:$J$2684,AE$1)</f>
        <v>0</v>
      </c>
      <c r="AF101" s="144">
        <f>SUMIFS('январь 2026'!$G$2:$G$2684,'январь 2026'!$D$2:$D$2684,$B101,'январь 2026'!$J$2:$J$2684,AF$1)</f>
        <v>0</v>
      </c>
      <c r="AG101" s="144">
        <f>SUMIFS('январь 2026'!$G$2:$G$2684,'январь 2026'!$D$2:$D$2684,$B101,'январь 2026'!$J$2:$J$2684,AG$1)</f>
        <v>0</v>
      </c>
      <c r="AH101" s="144">
        <f>SUMIFS('январь 2026'!$G$2:$G$2684,'январь 2026'!$D$2:$D$2684,$B101,'январь 2026'!$J$2:$J$2684,AH$1)</f>
        <v>0</v>
      </c>
      <c r="AI101" s="20">
        <f t="shared" si="1"/>
        <v>0</v>
      </c>
    </row>
    <row r="102" spans="2:35" ht="15" customHeight="1" x14ac:dyDescent="0.25">
      <c r="B102" s="85" t="s">
        <v>298</v>
      </c>
      <c r="C102" s="83">
        <v>190</v>
      </c>
      <c r="D102" s="144">
        <f>SUMIFS('январь 2026'!$G$2:$G$2684,'январь 2026'!$D$2:$D$2684,$B102,'январь 2026'!$J$2:$J$2684,D$1)</f>
        <v>0</v>
      </c>
      <c r="E102" s="144">
        <f>SUMIFS('январь 2026'!$G$2:$G$2684,'январь 2026'!$D$2:$D$2684,$B102,'январь 2026'!$J$2:$J$2684,E$1)</f>
        <v>0</v>
      </c>
      <c r="F102" s="144">
        <f>SUMIFS('январь 2026'!$G$2:$G$2684,'январь 2026'!$D$2:$D$2684,$B102,'январь 2026'!$J$2:$J$2684,F$1)</f>
        <v>0</v>
      </c>
      <c r="G102" s="144">
        <f>SUMIFS('январь 2026'!$G$2:$G$2684,'январь 2026'!$D$2:$D$2684,$B102,'январь 2026'!$J$2:$J$2684,G$1)</f>
        <v>0</v>
      </c>
      <c r="H102" s="144">
        <f>SUMIFS('январь 2026'!$G$2:$G$2684,'январь 2026'!$D$2:$D$2684,$B102,'январь 2026'!$J$2:$J$2684,H$1)</f>
        <v>0</v>
      </c>
      <c r="I102" s="144">
        <f>SUMIFS('январь 2026'!$G$2:$G$2684,'январь 2026'!$D$2:$D$2684,$B102,'январь 2026'!$J$2:$J$2684,I$1)</f>
        <v>0</v>
      </c>
      <c r="J102" s="144">
        <f>SUMIFS('январь 2026'!$G$2:$G$2684,'январь 2026'!$D$2:$D$2684,$B102,'январь 2026'!$J$2:$J$2684,J$1)</f>
        <v>0</v>
      </c>
      <c r="K102" s="144">
        <f>SUMIFS('январь 2026'!$G$2:$G$2684,'январь 2026'!$D$2:$D$2684,$B102,'январь 2026'!$J$2:$J$2684,K$1)</f>
        <v>0</v>
      </c>
      <c r="L102" s="144">
        <f>SUMIFS('январь 2026'!$G$2:$G$2684,'январь 2026'!$D$2:$D$2684,$B102,'январь 2026'!$J$2:$J$2684,L$1)</f>
        <v>0</v>
      </c>
      <c r="M102" s="144">
        <f>SUMIFS('январь 2026'!$G$2:$G$2684,'январь 2026'!$D$2:$D$2684,$B102,'январь 2026'!$J$2:$J$2684,M$1)</f>
        <v>0</v>
      </c>
      <c r="N102" s="144">
        <f>SUMIFS('январь 2026'!$G$2:$G$2684,'январь 2026'!$D$2:$D$2684,$B102,'январь 2026'!$J$2:$J$2684,N$1)</f>
        <v>0</v>
      </c>
      <c r="O102" s="144">
        <f>SUMIFS('январь 2026'!$G$2:$G$2684,'январь 2026'!$D$2:$D$2684,$B102,'январь 2026'!$J$2:$J$2684,O$1)</f>
        <v>0</v>
      </c>
      <c r="P102" s="144">
        <f>SUMIFS('январь 2026'!$G$2:$G$2684,'январь 2026'!$D$2:$D$2684,$B102,'январь 2026'!$J$2:$J$2684,P$1)</f>
        <v>0</v>
      </c>
      <c r="Q102" s="144">
        <f>SUMIFS('январь 2026'!$G$2:$G$2684,'январь 2026'!$D$2:$D$2684,$B102,'январь 2026'!$J$2:$J$2684,Q$1)</f>
        <v>0</v>
      </c>
      <c r="R102" s="144">
        <f>SUMIFS('январь 2026'!$G$2:$G$2684,'январь 2026'!$D$2:$D$2684,$B102,'январь 2026'!$J$2:$J$2684,R$1)</f>
        <v>0</v>
      </c>
      <c r="S102" s="144">
        <f>SUMIFS('январь 2026'!$G$2:$G$2684,'январь 2026'!$D$2:$D$2684,$B102,'январь 2026'!$J$2:$J$2684,S$1)</f>
        <v>0</v>
      </c>
      <c r="T102" s="144">
        <f>SUMIFS('январь 2026'!$G$2:$G$2684,'январь 2026'!$D$2:$D$2684,$B102,'январь 2026'!$J$2:$J$2684,T$1)</f>
        <v>0</v>
      </c>
      <c r="U102" s="144">
        <f>SUMIFS('январь 2026'!$G$2:$G$2684,'январь 2026'!$D$2:$D$2684,$B102,'январь 2026'!$J$2:$J$2684,U$1)</f>
        <v>0</v>
      </c>
      <c r="V102" s="144">
        <f>SUMIFS('январь 2026'!$G$2:$G$2684,'январь 2026'!$D$2:$D$2684,$B102,'январь 2026'!$J$2:$J$2684,V$1)</f>
        <v>0</v>
      </c>
      <c r="W102" s="144">
        <f>SUMIFS('январь 2026'!$G$2:$G$2684,'январь 2026'!$D$2:$D$2684,$B102,'январь 2026'!$J$2:$J$2684,W$1)</f>
        <v>0</v>
      </c>
      <c r="X102" s="144">
        <f>SUMIFS('январь 2026'!$G$2:$G$2684,'январь 2026'!$D$2:$D$2684,$B102,'январь 2026'!$J$2:$J$2684,X$1)</f>
        <v>0</v>
      </c>
      <c r="Y102" s="144">
        <f>SUMIFS('январь 2026'!$G$2:$G$2684,'январь 2026'!$D$2:$D$2684,$B102,'январь 2026'!$J$2:$J$2684,Y$1)</f>
        <v>0</v>
      </c>
      <c r="Z102" s="144">
        <f>SUMIFS('январь 2026'!$G$2:$G$2684,'январь 2026'!$D$2:$D$2684,$B102,'январь 2026'!$J$2:$J$2684,Z$1)</f>
        <v>0</v>
      </c>
      <c r="AA102" s="144">
        <f>SUMIFS('январь 2026'!$G$2:$G$2684,'январь 2026'!$D$2:$D$2684,$B102,'январь 2026'!$J$2:$J$2684,AA$1)</f>
        <v>0</v>
      </c>
      <c r="AB102" s="144">
        <f>SUMIFS('январь 2026'!$G$2:$G$2684,'январь 2026'!$D$2:$D$2684,$B102,'январь 2026'!$J$2:$J$2684,AB$1)</f>
        <v>0</v>
      </c>
      <c r="AC102" s="144">
        <f>SUMIFS('январь 2026'!$G$2:$G$2684,'январь 2026'!$D$2:$D$2684,$B102,'январь 2026'!$J$2:$J$2684,AC$1)</f>
        <v>0</v>
      </c>
      <c r="AD102" s="144">
        <f>SUMIFS('январь 2026'!$G$2:$G$2684,'январь 2026'!$D$2:$D$2684,$B102,'январь 2026'!$J$2:$J$2684,AD$1)</f>
        <v>0</v>
      </c>
      <c r="AE102" s="144">
        <f>SUMIFS('январь 2026'!$G$2:$G$2684,'январь 2026'!$D$2:$D$2684,$B102,'январь 2026'!$J$2:$J$2684,AE$1)</f>
        <v>0</v>
      </c>
      <c r="AF102" s="144">
        <f>SUMIFS('январь 2026'!$G$2:$G$2684,'январь 2026'!$D$2:$D$2684,$B102,'январь 2026'!$J$2:$J$2684,AF$1)</f>
        <v>0</v>
      </c>
      <c r="AG102" s="144">
        <f>SUMIFS('январь 2026'!$G$2:$G$2684,'январь 2026'!$D$2:$D$2684,$B102,'январь 2026'!$J$2:$J$2684,AG$1)</f>
        <v>0</v>
      </c>
      <c r="AH102" s="144">
        <f>SUMIFS('январь 2026'!$G$2:$G$2684,'январь 2026'!$D$2:$D$2684,$B102,'январь 2026'!$J$2:$J$2684,AH$1)</f>
        <v>0</v>
      </c>
      <c r="AI102" s="20">
        <f t="shared" si="1"/>
        <v>0</v>
      </c>
    </row>
    <row r="103" spans="2:35" ht="15" customHeight="1" x14ac:dyDescent="0.25">
      <c r="B103" s="85" t="s">
        <v>345</v>
      </c>
      <c r="C103" s="83">
        <v>200</v>
      </c>
      <c r="D103" s="144">
        <f>SUMIFS('январь 2026'!$G$2:$G$2684,'январь 2026'!$D$2:$D$2684,$B103,'январь 2026'!$J$2:$J$2684,D$1)</f>
        <v>0</v>
      </c>
      <c r="E103" s="144">
        <f>SUMIFS('январь 2026'!$G$2:$G$2684,'январь 2026'!$D$2:$D$2684,$B103,'январь 2026'!$J$2:$J$2684,E$1)</f>
        <v>0</v>
      </c>
      <c r="F103" s="144">
        <f>SUMIFS('январь 2026'!$G$2:$G$2684,'январь 2026'!$D$2:$D$2684,$B103,'январь 2026'!$J$2:$J$2684,F$1)</f>
        <v>0</v>
      </c>
      <c r="G103" s="144">
        <f>SUMIFS('январь 2026'!$G$2:$G$2684,'январь 2026'!$D$2:$D$2684,$B103,'январь 2026'!$J$2:$J$2684,G$1)</f>
        <v>0</v>
      </c>
      <c r="H103" s="144">
        <f>SUMIFS('январь 2026'!$G$2:$G$2684,'январь 2026'!$D$2:$D$2684,$B103,'январь 2026'!$J$2:$J$2684,H$1)</f>
        <v>0</v>
      </c>
      <c r="I103" s="144">
        <f>SUMIFS('январь 2026'!$G$2:$G$2684,'январь 2026'!$D$2:$D$2684,$B103,'январь 2026'!$J$2:$J$2684,I$1)</f>
        <v>0</v>
      </c>
      <c r="J103" s="144">
        <f>SUMIFS('январь 2026'!$G$2:$G$2684,'январь 2026'!$D$2:$D$2684,$B103,'январь 2026'!$J$2:$J$2684,J$1)</f>
        <v>0</v>
      </c>
      <c r="K103" s="144">
        <f>SUMIFS('январь 2026'!$G$2:$G$2684,'январь 2026'!$D$2:$D$2684,$B103,'январь 2026'!$J$2:$J$2684,K$1)</f>
        <v>0</v>
      </c>
      <c r="L103" s="144">
        <f>SUMIFS('январь 2026'!$G$2:$G$2684,'январь 2026'!$D$2:$D$2684,$B103,'январь 2026'!$J$2:$J$2684,L$1)</f>
        <v>0</v>
      </c>
      <c r="M103" s="144">
        <f>SUMIFS('январь 2026'!$G$2:$G$2684,'январь 2026'!$D$2:$D$2684,$B103,'январь 2026'!$J$2:$J$2684,M$1)</f>
        <v>0</v>
      </c>
      <c r="N103" s="144">
        <f>SUMIFS('январь 2026'!$G$2:$G$2684,'январь 2026'!$D$2:$D$2684,$B103,'январь 2026'!$J$2:$J$2684,N$1)</f>
        <v>0</v>
      </c>
      <c r="O103" s="144">
        <f>SUMIFS('январь 2026'!$G$2:$G$2684,'январь 2026'!$D$2:$D$2684,$B103,'январь 2026'!$J$2:$J$2684,O$1)</f>
        <v>0</v>
      </c>
      <c r="P103" s="144">
        <f>SUMIFS('январь 2026'!$G$2:$G$2684,'январь 2026'!$D$2:$D$2684,$B103,'январь 2026'!$J$2:$J$2684,P$1)</f>
        <v>0</v>
      </c>
      <c r="Q103" s="144">
        <f>SUMIFS('январь 2026'!$G$2:$G$2684,'январь 2026'!$D$2:$D$2684,$B103,'январь 2026'!$J$2:$J$2684,Q$1)</f>
        <v>0</v>
      </c>
      <c r="R103" s="144">
        <f>SUMIFS('январь 2026'!$G$2:$G$2684,'январь 2026'!$D$2:$D$2684,$B103,'январь 2026'!$J$2:$J$2684,R$1)</f>
        <v>0</v>
      </c>
      <c r="S103" s="144">
        <f>SUMIFS('январь 2026'!$G$2:$G$2684,'январь 2026'!$D$2:$D$2684,$B103,'январь 2026'!$J$2:$J$2684,S$1)</f>
        <v>0</v>
      </c>
      <c r="T103" s="144">
        <f>SUMIFS('январь 2026'!$G$2:$G$2684,'январь 2026'!$D$2:$D$2684,$B103,'январь 2026'!$J$2:$J$2684,T$1)</f>
        <v>0</v>
      </c>
      <c r="U103" s="144">
        <f>SUMIFS('январь 2026'!$G$2:$G$2684,'январь 2026'!$D$2:$D$2684,$B103,'январь 2026'!$J$2:$J$2684,U$1)</f>
        <v>0</v>
      </c>
      <c r="V103" s="144">
        <f>SUMIFS('январь 2026'!$G$2:$G$2684,'январь 2026'!$D$2:$D$2684,$B103,'январь 2026'!$J$2:$J$2684,V$1)</f>
        <v>0</v>
      </c>
      <c r="W103" s="144">
        <f>SUMIFS('январь 2026'!$G$2:$G$2684,'январь 2026'!$D$2:$D$2684,$B103,'январь 2026'!$J$2:$J$2684,W$1)</f>
        <v>0</v>
      </c>
      <c r="X103" s="144">
        <f>SUMIFS('январь 2026'!$G$2:$G$2684,'январь 2026'!$D$2:$D$2684,$B103,'январь 2026'!$J$2:$J$2684,X$1)</f>
        <v>0</v>
      </c>
      <c r="Y103" s="144">
        <f>SUMIFS('январь 2026'!$G$2:$G$2684,'январь 2026'!$D$2:$D$2684,$B103,'январь 2026'!$J$2:$J$2684,Y$1)</f>
        <v>0</v>
      </c>
      <c r="Z103" s="144">
        <f>SUMIFS('январь 2026'!$G$2:$G$2684,'январь 2026'!$D$2:$D$2684,$B103,'январь 2026'!$J$2:$J$2684,Z$1)</f>
        <v>0</v>
      </c>
      <c r="AA103" s="144">
        <f>SUMIFS('январь 2026'!$G$2:$G$2684,'январь 2026'!$D$2:$D$2684,$B103,'январь 2026'!$J$2:$J$2684,AA$1)</f>
        <v>0</v>
      </c>
      <c r="AB103" s="144">
        <f>SUMIFS('январь 2026'!$G$2:$G$2684,'январь 2026'!$D$2:$D$2684,$B103,'январь 2026'!$J$2:$J$2684,AB$1)</f>
        <v>0</v>
      </c>
      <c r="AC103" s="144">
        <f>SUMIFS('январь 2026'!$G$2:$G$2684,'январь 2026'!$D$2:$D$2684,$B103,'январь 2026'!$J$2:$J$2684,AC$1)</f>
        <v>0</v>
      </c>
      <c r="AD103" s="144">
        <f>SUMIFS('январь 2026'!$G$2:$G$2684,'январь 2026'!$D$2:$D$2684,$B103,'январь 2026'!$J$2:$J$2684,AD$1)</f>
        <v>0</v>
      </c>
      <c r="AE103" s="144">
        <f>SUMIFS('январь 2026'!$G$2:$G$2684,'январь 2026'!$D$2:$D$2684,$B103,'январь 2026'!$J$2:$J$2684,AE$1)</f>
        <v>0</v>
      </c>
      <c r="AF103" s="144">
        <f>SUMIFS('январь 2026'!$G$2:$G$2684,'январь 2026'!$D$2:$D$2684,$B103,'январь 2026'!$J$2:$J$2684,AF$1)</f>
        <v>0</v>
      </c>
      <c r="AG103" s="144">
        <f>SUMIFS('январь 2026'!$G$2:$G$2684,'январь 2026'!$D$2:$D$2684,$B103,'январь 2026'!$J$2:$J$2684,AG$1)</f>
        <v>0</v>
      </c>
      <c r="AH103" s="144">
        <f>SUMIFS('январь 2026'!$G$2:$G$2684,'январь 2026'!$D$2:$D$2684,$B103,'январь 2026'!$J$2:$J$2684,AH$1)</f>
        <v>0</v>
      </c>
      <c r="AI103" s="20">
        <f t="shared" si="1"/>
        <v>0</v>
      </c>
    </row>
    <row r="104" spans="2:35" ht="15" customHeight="1" x14ac:dyDescent="0.25">
      <c r="B104" s="85" t="s">
        <v>347</v>
      </c>
      <c r="C104" s="83">
        <v>190</v>
      </c>
      <c r="D104" s="144">
        <f>SUMIFS('январь 2026'!$G$2:$G$2684,'январь 2026'!$D$2:$D$2684,$B104,'январь 2026'!$J$2:$J$2684,D$1)</f>
        <v>0</v>
      </c>
      <c r="E104" s="144">
        <f>SUMIFS('январь 2026'!$G$2:$G$2684,'январь 2026'!$D$2:$D$2684,$B104,'январь 2026'!$J$2:$J$2684,E$1)</f>
        <v>0</v>
      </c>
      <c r="F104" s="144">
        <f>SUMIFS('январь 2026'!$G$2:$G$2684,'январь 2026'!$D$2:$D$2684,$B104,'январь 2026'!$J$2:$J$2684,F$1)</f>
        <v>0</v>
      </c>
      <c r="G104" s="144">
        <f>SUMIFS('январь 2026'!$G$2:$G$2684,'январь 2026'!$D$2:$D$2684,$B104,'январь 2026'!$J$2:$J$2684,G$1)</f>
        <v>0</v>
      </c>
      <c r="H104" s="144">
        <f>SUMIFS('январь 2026'!$G$2:$G$2684,'январь 2026'!$D$2:$D$2684,$B104,'январь 2026'!$J$2:$J$2684,H$1)</f>
        <v>0</v>
      </c>
      <c r="I104" s="144">
        <f>SUMIFS('январь 2026'!$G$2:$G$2684,'январь 2026'!$D$2:$D$2684,$B104,'январь 2026'!$J$2:$J$2684,I$1)</f>
        <v>0</v>
      </c>
      <c r="J104" s="144">
        <f>SUMIFS('январь 2026'!$G$2:$G$2684,'январь 2026'!$D$2:$D$2684,$B104,'январь 2026'!$J$2:$J$2684,J$1)</f>
        <v>0</v>
      </c>
      <c r="K104" s="144">
        <f>SUMIFS('январь 2026'!$G$2:$G$2684,'январь 2026'!$D$2:$D$2684,$B104,'январь 2026'!$J$2:$J$2684,K$1)</f>
        <v>0</v>
      </c>
      <c r="L104" s="144">
        <f>SUMIFS('январь 2026'!$G$2:$G$2684,'январь 2026'!$D$2:$D$2684,$B104,'январь 2026'!$J$2:$J$2684,L$1)</f>
        <v>0</v>
      </c>
      <c r="M104" s="144">
        <f>SUMIFS('январь 2026'!$G$2:$G$2684,'январь 2026'!$D$2:$D$2684,$B104,'январь 2026'!$J$2:$J$2684,M$1)</f>
        <v>0</v>
      </c>
      <c r="N104" s="144">
        <f>SUMIFS('январь 2026'!$G$2:$G$2684,'январь 2026'!$D$2:$D$2684,$B104,'январь 2026'!$J$2:$J$2684,N$1)</f>
        <v>0</v>
      </c>
      <c r="O104" s="144">
        <f>SUMIFS('январь 2026'!$G$2:$G$2684,'январь 2026'!$D$2:$D$2684,$B104,'январь 2026'!$J$2:$J$2684,O$1)</f>
        <v>0</v>
      </c>
      <c r="P104" s="144">
        <f>SUMIFS('январь 2026'!$G$2:$G$2684,'январь 2026'!$D$2:$D$2684,$B104,'январь 2026'!$J$2:$J$2684,P$1)</f>
        <v>0</v>
      </c>
      <c r="Q104" s="144">
        <f>SUMIFS('январь 2026'!$G$2:$G$2684,'январь 2026'!$D$2:$D$2684,$B104,'январь 2026'!$J$2:$J$2684,Q$1)</f>
        <v>0</v>
      </c>
      <c r="R104" s="144">
        <f>SUMIFS('январь 2026'!$G$2:$G$2684,'январь 2026'!$D$2:$D$2684,$B104,'январь 2026'!$J$2:$J$2684,R$1)</f>
        <v>0</v>
      </c>
      <c r="S104" s="144">
        <f>SUMIFS('январь 2026'!$G$2:$G$2684,'январь 2026'!$D$2:$D$2684,$B104,'январь 2026'!$J$2:$J$2684,S$1)</f>
        <v>0</v>
      </c>
      <c r="T104" s="144">
        <f>SUMIFS('январь 2026'!$G$2:$G$2684,'январь 2026'!$D$2:$D$2684,$B104,'январь 2026'!$J$2:$J$2684,T$1)</f>
        <v>0</v>
      </c>
      <c r="U104" s="144">
        <f>SUMIFS('январь 2026'!$G$2:$G$2684,'январь 2026'!$D$2:$D$2684,$B104,'январь 2026'!$J$2:$J$2684,U$1)</f>
        <v>0</v>
      </c>
      <c r="V104" s="144">
        <f>SUMIFS('январь 2026'!$G$2:$G$2684,'январь 2026'!$D$2:$D$2684,$B104,'январь 2026'!$J$2:$J$2684,V$1)</f>
        <v>0</v>
      </c>
      <c r="W104" s="144">
        <f>SUMIFS('январь 2026'!$G$2:$G$2684,'январь 2026'!$D$2:$D$2684,$B104,'январь 2026'!$J$2:$J$2684,W$1)</f>
        <v>0</v>
      </c>
      <c r="X104" s="144">
        <f>SUMIFS('январь 2026'!$G$2:$G$2684,'январь 2026'!$D$2:$D$2684,$B104,'январь 2026'!$J$2:$J$2684,X$1)</f>
        <v>0</v>
      </c>
      <c r="Y104" s="144">
        <f>SUMIFS('январь 2026'!$G$2:$G$2684,'январь 2026'!$D$2:$D$2684,$B104,'январь 2026'!$J$2:$J$2684,Y$1)</f>
        <v>0</v>
      </c>
      <c r="Z104" s="144">
        <f>SUMIFS('январь 2026'!$G$2:$G$2684,'январь 2026'!$D$2:$D$2684,$B104,'январь 2026'!$J$2:$J$2684,Z$1)</f>
        <v>0</v>
      </c>
      <c r="AA104" s="144">
        <f>SUMIFS('январь 2026'!$G$2:$G$2684,'январь 2026'!$D$2:$D$2684,$B104,'январь 2026'!$J$2:$J$2684,AA$1)</f>
        <v>0</v>
      </c>
      <c r="AB104" s="144">
        <f>SUMIFS('январь 2026'!$G$2:$G$2684,'январь 2026'!$D$2:$D$2684,$B104,'январь 2026'!$J$2:$J$2684,AB$1)</f>
        <v>0</v>
      </c>
      <c r="AC104" s="144">
        <f>SUMIFS('январь 2026'!$G$2:$G$2684,'январь 2026'!$D$2:$D$2684,$B104,'январь 2026'!$J$2:$J$2684,AC$1)</f>
        <v>0</v>
      </c>
      <c r="AD104" s="144">
        <f>SUMIFS('январь 2026'!$G$2:$G$2684,'январь 2026'!$D$2:$D$2684,$B104,'январь 2026'!$J$2:$J$2684,AD$1)</f>
        <v>0</v>
      </c>
      <c r="AE104" s="144">
        <f>SUMIFS('январь 2026'!$G$2:$G$2684,'январь 2026'!$D$2:$D$2684,$B104,'январь 2026'!$J$2:$J$2684,AE$1)</f>
        <v>0</v>
      </c>
      <c r="AF104" s="144">
        <f>SUMIFS('январь 2026'!$G$2:$G$2684,'январь 2026'!$D$2:$D$2684,$B104,'январь 2026'!$J$2:$J$2684,AF$1)</f>
        <v>0</v>
      </c>
      <c r="AG104" s="144">
        <f>SUMIFS('январь 2026'!$G$2:$G$2684,'январь 2026'!$D$2:$D$2684,$B104,'январь 2026'!$J$2:$J$2684,AG$1)</f>
        <v>0</v>
      </c>
      <c r="AH104" s="144">
        <f>SUMIFS('январь 2026'!$G$2:$G$2684,'январь 2026'!$D$2:$D$2684,$B104,'январь 2026'!$J$2:$J$2684,AH$1)</f>
        <v>0</v>
      </c>
      <c r="AI104" s="20">
        <f t="shared" si="1"/>
        <v>0</v>
      </c>
    </row>
    <row r="105" spans="2:35" ht="15" customHeight="1" x14ac:dyDescent="0.25">
      <c r="B105" s="85" t="s">
        <v>277</v>
      </c>
      <c r="C105" s="83">
        <v>190</v>
      </c>
      <c r="D105" s="144">
        <f>SUMIFS('январь 2026'!$G$2:$G$2684,'январь 2026'!$D$2:$D$2684,$B105,'январь 2026'!$J$2:$J$2684,D$1)</f>
        <v>0</v>
      </c>
      <c r="E105" s="144">
        <f>SUMIFS('январь 2026'!$G$2:$G$2684,'январь 2026'!$D$2:$D$2684,$B105,'январь 2026'!$J$2:$J$2684,E$1)</f>
        <v>0</v>
      </c>
      <c r="F105" s="144">
        <f>SUMIFS('январь 2026'!$G$2:$G$2684,'январь 2026'!$D$2:$D$2684,$B105,'январь 2026'!$J$2:$J$2684,F$1)</f>
        <v>0</v>
      </c>
      <c r="G105" s="144">
        <f>SUMIFS('январь 2026'!$G$2:$G$2684,'январь 2026'!$D$2:$D$2684,$B105,'январь 2026'!$J$2:$J$2684,G$1)</f>
        <v>0</v>
      </c>
      <c r="H105" s="144">
        <f>SUMIFS('январь 2026'!$G$2:$G$2684,'январь 2026'!$D$2:$D$2684,$B105,'январь 2026'!$J$2:$J$2684,H$1)</f>
        <v>0</v>
      </c>
      <c r="I105" s="144">
        <f>SUMIFS('январь 2026'!$G$2:$G$2684,'январь 2026'!$D$2:$D$2684,$B105,'январь 2026'!$J$2:$J$2684,I$1)</f>
        <v>0</v>
      </c>
      <c r="J105" s="144">
        <f>SUMIFS('январь 2026'!$G$2:$G$2684,'январь 2026'!$D$2:$D$2684,$B105,'январь 2026'!$J$2:$J$2684,J$1)</f>
        <v>0</v>
      </c>
      <c r="K105" s="144">
        <f>SUMIFS('январь 2026'!$G$2:$G$2684,'январь 2026'!$D$2:$D$2684,$B105,'январь 2026'!$J$2:$J$2684,K$1)</f>
        <v>0</v>
      </c>
      <c r="L105" s="144">
        <f>SUMIFS('январь 2026'!$G$2:$G$2684,'январь 2026'!$D$2:$D$2684,$B105,'январь 2026'!$J$2:$J$2684,L$1)</f>
        <v>0</v>
      </c>
      <c r="M105" s="144">
        <f>SUMIFS('январь 2026'!$G$2:$G$2684,'январь 2026'!$D$2:$D$2684,$B105,'январь 2026'!$J$2:$J$2684,M$1)</f>
        <v>0</v>
      </c>
      <c r="N105" s="144">
        <f>SUMIFS('январь 2026'!$G$2:$G$2684,'январь 2026'!$D$2:$D$2684,$B105,'январь 2026'!$J$2:$J$2684,N$1)</f>
        <v>0</v>
      </c>
      <c r="O105" s="144">
        <f>SUMIFS('январь 2026'!$G$2:$G$2684,'январь 2026'!$D$2:$D$2684,$B105,'январь 2026'!$J$2:$J$2684,O$1)</f>
        <v>0</v>
      </c>
      <c r="P105" s="144">
        <f>SUMIFS('январь 2026'!$G$2:$G$2684,'январь 2026'!$D$2:$D$2684,$B105,'январь 2026'!$J$2:$J$2684,P$1)</f>
        <v>0</v>
      </c>
      <c r="Q105" s="144">
        <f>SUMIFS('январь 2026'!$G$2:$G$2684,'январь 2026'!$D$2:$D$2684,$B105,'январь 2026'!$J$2:$J$2684,Q$1)</f>
        <v>0</v>
      </c>
      <c r="R105" s="144">
        <f>SUMIFS('январь 2026'!$G$2:$G$2684,'январь 2026'!$D$2:$D$2684,$B105,'январь 2026'!$J$2:$J$2684,R$1)</f>
        <v>0</v>
      </c>
      <c r="S105" s="144">
        <f>SUMIFS('январь 2026'!$G$2:$G$2684,'январь 2026'!$D$2:$D$2684,$B105,'январь 2026'!$J$2:$J$2684,S$1)</f>
        <v>0</v>
      </c>
      <c r="T105" s="144">
        <f>SUMIFS('январь 2026'!$G$2:$G$2684,'январь 2026'!$D$2:$D$2684,$B105,'январь 2026'!$J$2:$J$2684,T$1)</f>
        <v>0</v>
      </c>
      <c r="U105" s="144">
        <f>SUMIFS('январь 2026'!$G$2:$G$2684,'январь 2026'!$D$2:$D$2684,$B105,'январь 2026'!$J$2:$J$2684,U$1)</f>
        <v>0</v>
      </c>
      <c r="V105" s="144">
        <f>SUMIFS('январь 2026'!$G$2:$G$2684,'январь 2026'!$D$2:$D$2684,$B105,'январь 2026'!$J$2:$J$2684,V$1)</f>
        <v>0</v>
      </c>
      <c r="W105" s="144">
        <f>SUMIFS('январь 2026'!$G$2:$G$2684,'январь 2026'!$D$2:$D$2684,$B105,'январь 2026'!$J$2:$J$2684,W$1)</f>
        <v>0</v>
      </c>
      <c r="X105" s="144">
        <f>SUMIFS('январь 2026'!$G$2:$G$2684,'январь 2026'!$D$2:$D$2684,$B105,'январь 2026'!$J$2:$J$2684,X$1)</f>
        <v>0</v>
      </c>
      <c r="Y105" s="144">
        <f>SUMIFS('январь 2026'!$G$2:$G$2684,'январь 2026'!$D$2:$D$2684,$B105,'январь 2026'!$J$2:$J$2684,Y$1)</f>
        <v>0</v>
      </c>
      <c r="Z105" s="144">
        <f>SUMIFS('январь 2026'!$G$2:$G$2684,'январь 2026'!$D$2:$D$2684,$B105,'январь 2026'!$J$2:$J$2684,Z$1)</f>
        <v>0</v>
      </c>
      <c r="AA105" s="144">
        <f>SUMIFS('январь 2026'!$G$2:$G$2684,'январь 2026'!$D$2:$D$2684,$B105,'январь 2026'!$J$2:$J$2684,AA$1)</f>
        <v>0</v>
      </c>
      <c r="AB105" s="144">
        <f>SUMIFS('январь 2026'!$G$2:$G$2684,'январь 2026'!$D$2:$D$2684,$B105,'январь 2026'!$J$2:$J$2684,AB$1)</f>
        <v>0</v>
      </c>
      <c r="AC105" s="144">
        <f>SUMIFS('январь 2026'!$G$2:$G$2684,'январь 2026'!$D$2:$D$2684,$B105,'январь 2026'!$J$2:$J$2684,AC$1)</f>
        <v>0</v>
      </c>
      <c r="AD105" s="144">
        <f>SUMIFS('январь 2026'!$G$2:$G$2684,'январь 2026'!$D$2:$D$2684,$B105,'январь 2026'!$J$2:$J$2684,AD$1)</f>
        <v>0</v>
      </c>
      <c r="AE105" s="144">
        <f>SUMIFS('январь 2026'!$G$2:$G$2684,'январь 2026'!$D$2:$D$2684,$B105,'январь 2026'!$J$2:$J$2684,AE$1)</f>
        <v>0</v>
      </c>
      <c r="AF105" s="144">
        <f>SUMIFS('январь 2026'!$G$2:$G$2684,'январь 2026'!$D$2:$D$2684,$B105,'январь 2026'!$J$2:$J$2684,AF$1)</f>
        <v>0</v>
      </c>
      <c r="AG105" s="144">
        <f>SUMIFS('январь 2026'!$G$2:$G$2684,'январь 2026'!$D$2:$D$2684,$B105,'январь 2026'!$J$2:$J$2684,AG$1)</f>
        <v>0</v>
      </c>
      <c r="AH105" s="144">
        <f>SUMIFS('январь 2026'!$G$2:$G$2684,'январь 2026'!$D$2:$D$2684,$B105,'январь 2026'!$J$2:$J$2684,AH$1)</f>
        <v>0</v>
      </c>
      <c r="AI105" s="20">
        <f t="shared" si="1"/>
        <v>0</v>
      </c>
    </row>
    <row r="106" spans="2:35" ht="15" customHeight="1" x14ac:dyDescent="0.25">
      <c r="B106" s="85" t="s">
        <v>254</v>
      </c>
      <c r="C106" s="83">
        <v>180</v>
      </c>
      <c r="D106" s="144">
        <f>SUMIFS('январь 2026'!$G$2:$G$2684,'январь 2026'!$D$2:$D$2684,$B106,'январь 2026'!$J$2:$J$2684,D$1)</f>
        <v>0</v>
      </c>
      <c r="E106" s="144">
        <f>SUMIFS('январь 2026'!$G$2:$G$2684,'январь 2026'!$D$2:$D$2684,$B106,'январь 2026'!$J$2:$J$2684,E$1)</f>
        <v>0</v>
      </c>
      <c r="F106" s="144">
        <f>SUMIFS('январь 2026'!$G$2:$G$2684,'январь 2026'!$D$2:$D$2684,$B106,'январь 2026'!$J$2:$J$2684,F$1)</f>
        <v>0</v>
      </c>
      <c r="G106" s="144">
        <f>SUMIFS('январь 2026'!$G$2:$G$2684,'январь 2026'!$D$2:$D$2684,$B106,'январь 2026'!$J$2:$J$2684,G$1)</f>
        <v>0</v>
      </c>
      <c r="H106" s="144">
        <f>SUMIFS('январь 2026'!$G$2:$G$2684,'январь 2026'!$D$2:$D$2684,$B106,'январь 2026'!$J$2:$J$2684,H$1)</f>
        <v>0</v>
      </c>
      <c r="I106" s="144">
        <f>SUMIFS('январь 2026'!$G$2:$G$2684,'январь 2026'!$D$2:$D$2684,$B106,'январь 2026'!$J$2:$J$2684,I$1)</f>
        <v>0</v>
      </c>
      <c r="J106" s="144">
        <f>SUMIFS('январь 2026'!$G$2:$G$2684,'январь 2026'!$D$2:$D$2684,$B106,'январь 2026'!$J$2:$J$2684,J$1)</f>
        <v>0</v>
      </c>
      <c r="K106" s="144">
        <f>SUMIFS('январь 2026'!$G$2:$G$2684,'январь 2026'!$D$2:$D$2684,$B106,'январь 2026'!$J$2:$J$2684,K$1)</f>
        <v>0</v>
      </c>
      <c r="L106" s="144">
        <f>SUMIFS('январь 2026'!$G$2:$G$2684,'январь 2026'!$D$2:$D$2684,$B106,'январь 2026'!$J$2:$J$2684,L$1)</f>
        <v>0</v>
      </c>
      <c r="M106" s="144">
        <f>SUMIFS('январь 2026'!$G$2:$G$2684,'январь 2026'!$D$2:$D$2684,$B106,'январь 2026'!$J$2:$J$2684,M$1)</f>
        <v>0</v>
      </c>
      <c r="N106" s="144">
        <f>SUMIFS('январь 2026'!$G$2:$G$2684,'январь 2026'!$D$2:$D$2684,$B106,'январь 2026'!$J$2:$J$2684,N$1)</f>
        <v>0</v>
      </c>
      <c r="O106" s="144">
        <f>SUMIFS('январь 2026'!$G$2:$G$2684,'январь 2026'!$D$2:$D$2684,$B106,'январь 2026'!$J$2:$J$2684,O$1)</f>
        <v>0</v>
      </c>
      <c r="P106" s="144">
        <f>SUMIFS('январь 2026'!$G$2:$G$2684,'январь 2026'!$D$2:$D$2684,$B106,'январь 2026'!$J$2:$J$2684,P$1)</f>
        <v>0</v>
      </c>
      <c r="Q106" s="144">
        <f>SUMIFS('январь 2026'!$G$2:$G$2684,'январь 2026'!$D$2:$D$2684,$B106,'январь 2026'!$J$2:$J$2684,Q$1)</f>
        <v>0</v>
      </c>
      <c r="R106" s="144">
        <f>SUMIFS('январь 2026'!$G$2:$G$2684,'январь 2026'!$D$2:$D$2684,$B106,'январь 2026'!$J$2:$J$2684,R$1)</f>
        <v>0</v>
      </c>
      <c r="S106" s="144">
        <f>SUMIFS('январь 2026'!$G$2:$G$2684,'январь 2026'!$D$2:$D$2684,$B106,'январь 2026'!$J$2:$J$2684,S$1)</f>
        <v>0</v>
      </c>
      <c r="T106" s="144">
        <f>SUMIFS('январь 2026'!$G$2:$G$2684,'январь 2026'!$D$2:$D$2684,$B106,'январь 2026'!$J$2:$J$2684,T$1)</f>
        <v>0</v>
      </c>
      <c r="U106" s="144">
        <f>SUMIFS('январь 2026'!$G$2:$G$2684,'январь 2026'!$D$2:$D$2684,$B106,'январь 2026'!$J$2:$J$2684,U$1)</f>
        <v>0</v>
      </c>
      <c r="V106" s="144">
        <f>SUMIFS('январь 2026'!$G$2:$G$2684,'январь 2026'!$D$2:$D$2684,$B106,'январь 2026'!$J$2:$J$2684,V$1)</f>
        <v>0</v>
      </c>
      <c r="W106" s="144">
        <f>SUMIFS('январь 2026'!$G$2:$G$2684,'январь 2026'!$D$2:$D$2684,$B106,'январь 2026'!$J$2:$J$2684,W$1)</f>
        <v>0</v>
      </c>
      <c r="X106" s="144">
        <f>SUMIFS('январь 2026'!$G$2:$G$2684,'январь 2026'!$D$2:$D$2684,$B106,'январь 2026'!$J$2:$J$2684,X$1)</f>
        <v>0</v>
      </c>
      <c r="Y106" s="144">
        <f>SUMIFS('январь 2026'!$G$2:$G$2684,'январь 2026'!$D$2:$D$2684,$B106,'январь 2026'!$J$2:$J$2684,Y$1)</f>
        <v>0</v>
      </c>
      <c r="Z106" s="144">
        <f>SUMIFS('январь 2026'!$G$2:$G$2684,'январь 2026'!$D$2:$D$2684,$B106,'январь 2026'!$J$2:$J$2684,Z$1)</f>
        <v>0</v>
      </c>
      <c r="AA106" s="144">
        <f>SUMIFS('январь 2026'!$G$2:$G$2684,'январь 2026'!$D$2:$D$2684,$B106,'январь 2026'!$J$2:$J$2684,AA$1)</f>
        <v>0</v>
      </c>
      <c r="AB106" s="144">
        <f>SUMIFS('январь 2026'!$G$2:$G$2684,'январь 2026'!$D$2:$D$2684,$B106,'январь 2026'!$J$2:$J$2684,AB$1)</f>
        <v>0</v>
      </c>
      <c r="AC106" s="144">
        <f>SUMIFS('январь 2026'!$G$2:$G$2684,'январь 2026'!$D$2:$D$2684,$B106,'январь 2026'!$J$2:$J$2684,AC$1)</f>
        <v>0</v>
      </c>
      <c r="AD106" s="144">
        <f>SUMIFS('январь 2026'!$G$2:$G$2684,'январь 2026'!$D$2:$D$2684,$B106,'январь 2026'!$J$2:$J$2684,AD$1)</f>
        <v>0</v>
      </c>
      <c r="AE106" s="144">
        <f>SUMIFS('январь 2026'!$G$2:$G$2684,'январь 2026'!$D$2:$D$2684,$B106,'январь 2026'!$J$2:$J$2684,AE$1)</f>
        <v>0</v>
      </c>
      <c r="AF106" s="144">
        <f>SUMIFS('январь 2026'!$G$2:$G$2684,'январь 2026'!$D$2:$D$2684,$B106,'январь 2026'!$J$2:$J$2684,AF$1)</f>
        <v>0</v>
      </c>
      <c r="AG106" s="144">
        <f>SUMIFS('январь 2026'!$G$2:$G$2684,'январь 2026'!$D$2:$D$2684,$B106,'январь 2026'!$J$2:$J$2684,AG$1)</f>
        <v>0</v>
      </c>
      <c r="AH106" s="144">
        <f>SUMIFS('январь 2026'!$G$2:$G$2684,'январь 2026'!$D$2:$D$2684,$B106,'январь 2026'!$J$2:$J$2684,AH$1)</f>
        <v>0</v>
      </c>
      <c r="AI106" s="20">
        <f t="shared" si="1"/>
        <v>0</v>
      </c>
    </row>
    <row r="107" spans="2:35" ht="15" customHeight="1" x14ac:dyDescent="0.25">
      <c r="B107" s="85" t="s">
        <v>255</v>
      </c>
      <c r="C107" s="83">
        <v>180</v>
      </c>
      <c r="D107" s="144">
        <f>SUMIFS('январь 2026'!$G$2:$G$2684,'январь 2026'!$D$2:$D$2684,$B107,'январь 2026'!$J$2:$J$2684,D$1)</f>
        <v>0</v>
      </c>
      <c r="E107" s="144">
        <f>SUMIFS('январь 2026'!$G$2:$G$2684,'январь 2026'!$D$2:$D$2684,$B107,'январь 2026'!$J$2:$J$2684,E$1)</f>
        <v>0</v>
      </c>
      <c r="F107" s="144">
        <f>SUMIFS('январь 2026'!$G$2:$G$2684,'январь 2026'!$D$2:$D$2684,$B107,'январь 2026'!$J$2:$J$2684,F$1)</f>
        <v>0</v>
      </c>
      <c r="G107" s="144">
        <f>SUMIFS('январь 2026'!$G$2:$G$2684,'январь 2026'!$D$2:$D$2684,$B107,'январь 2026'!$J$2:$J$2684,G$1)</f>
        <v>0</v>
      </c>
      <c r="H107" s="144">
        <f>SUMIFS('январь 2026'!$G$2:$G$2684,'январь 2026'!$D$2:$D$2684,$B107,'январь 2026'!$J$2:$J$2684,H$1)</f>
        <v>0</v>
      </c>
      <c r="I107" s="144">
        <f>SUMIFS('январь 2026'!$G$2:$G$2684,'январь 2026'!$D$2:$D$2684,$B107,'январь 2026'!$J$2:$J$2684,I$1)</f>
        <v>0</v>
      </c>
      <c r="J107" s="144">
        <f>SUMIFS('январь 2026'!$G$2:$G$2684,'январь 2026'!$D$2:$D$2684,$B107,'январь 2026'!$J$2:$J$2684,J$1)</f>
        <v>0</v>
      </c>
      <c r="K107" s="144">
        <f>SUMIFS('январь 2026'!$G$2:$G$2684,'январь 2026'!$D$2:$D$2684,$B107,'январь 2026'!$J$2:$J$2684,K$1)</f>
        <v>0</v>
      </c>
      <c r="L107" s="144">
        <f>SUMIFS('январь 2026'!$G$2:$G$2684,'январь 2026'!$D$2:$D$2684,$B107,'январь 2026'!$J$2:$J$2684,L$1)</f>
        <v>0</v>
      </c>
      <c r="M107" s="144">
        <f>SUMIFS('январь 2026'!$G$2:$G$2684,'январь 2026'!$D$2:$D$2684,$B107,'январь 2026'!$J$2:$J$2684,M$1)</f>
        <v>0</v>
      </c>
      <c r="N107" s="144">
        <f>SUMIFS('январь 2026'!$G$2:$G$2684,'январь 2026'!$D$2:$D$2684,$B107,'январь 2026'!$J$2:$J$2684,N$1)</f>
        <v>0</v>
      </c>
      <c r="O107" s="144">
        <f>SUMIFS('январь 2026'!$G$2:$G$2684,'январь 2026'!$D$2:$D$2684,$B107,'январь 2026'!$J$2:$J$2684,O$1)</f>
        <v>0</v>
      </c>
      <c r="P107" s="144">
        <f>SUMIFS('январь 2026'!$G$2:$G$2684,'январь 2026'!$D$2:$D$2684,$B107,'январь 2026'!$J$2:$J$2684,P$1)</f>
        <v>0</v>
      </c>
      <c r="Q107" s="144">
        <f>SUMIFS('январь 2026'!$G$2:$G$2684,'январь 2026'!$D$2:$D$2684,$B107,'январь 2026'!$J$2:$J$2684,Q$1)</f>
        <v>0</v>
      </c>
      <c r="R107" s="144">
        <f>SUMIFS('январь 2026'!$G$2:$G$2684,'январь 2026'!$D$2:$D$2684,$B107,'январь 2026'!$J$2:$J$2684,R$1)</f>
        <v>0</v>
      </c>
      <c r="S107" s="144">
        <f>SUMIFS('январь 2026'!$G$2:$G$2684,'январь 2026'!$D$2:$D$2684,$B107,'январь 2026'!$J$2:$J$2684,S$1)</f>
        <v>0</v>
      </c>
      <c r="T107" s="144">
        <f>SUMIFS('январь 2026'!$G$2:$G$2684,'январь 2026'!$D$2:$D$2684,$B107,'январь 2026'!$J$2:$J$2684,T$1)</f>
        <v>0</v>
      </c>
      <c r="U107" s="144">
        <f>SUMIFS('январь 2026'!$G$2:$G$2684,'январь 2026'!$D$2:$D$2684,$B107,'январь 2026'!$J$2:$J$2684,U$1)</f>
        <v>0</v>
      </c>
      <c r="V107" s="144">
        <f>SUMIFS('январь 2026'!$G$2:$G$2684,'январь 2026'!$D$2:$D$2684,$B107,'январь 2026'!$J$2:$J$2684,V$1)</f>
        <v>0</v>
      </c>
      <c r="W107" s="144">
        <f>SUMIFS('январь 2026'!$G$2:$G$2684,'январь 2026'!$D$2:$D$2684,$B107,'январь 2026'!$J$2:$J$2684,W$1)</f>
        <v>0</v>
      </c>
      <c r="X107" s="144">
        <f>SUMIFS('январь 2026'!$G$2:$G$2684,'январь 2026'!$D$2:$D$2684,$B107,'январь 2026'!$J$2:$J$2684,X$1)</f>
        <v>0</v>
      </c>
      <c r="Y107" s="144">
        <f>SUMIFS('январь 2026'!$G$2:$G$2684,'январь 2026'!$D$2:$D$2684,$B107,'январь 2026'!$J$2:$J$2684,Y$1)</f>
        <v>0</v>
      </c>
      <c r="Z107" s="144">
        <f>SUMIFS('январь 2026'!$G$2:$G$2684,'январь 2026'!$D$2:$D$2684,$B107,'январь 2026'!$J$2:$J$2684,Z$1)</f>
        <v>0</v>
      </c>
      <c r="AA107" s="144">
        <f>SUMIFS('январь 2026'!$G$2:$G$2684,'январь 2026'!$D$2:$D$2684,$B107,'январь 2026'!$J$2:$J$2684,AA$1)</f>
        <v>0</v>
      </c>
      <c r="AB107" s="144">
        <f>SUMIFS('январь 2026'!$G$2:$G$2684,'январь 2026'!$D$2:$D$2684,$B107,'январь 2026'!$J$2:$J$2684,AB$1)</f>
        <v>0</v>
      </c>
      <c r="AC107" s="144">
        <f>SUMIFS('январь 2026'!$G$2:$G$2684,'январь 2026'!$D$2:$D$2684,$B107,'январь 2026'!$J$2:$J$2684,AC$1)</f>
        <v>0</v>
      </c>
      <c r="AD107" s="144">
        <f>SUMIFS('январь 2026'!$G$2:$G$2684,'январь 2026'!$D$2:$D$2684,$B107,'январь 2026'!$J$2:$J$2684,AD$1)</f>
        <v>0</v>
      </c>
      <c r="AE107" s="144">
        <f>SUMIFS('январь 2026'!$G$2:$G$2684,'январь 2026'!$D$2:$D$2684,$B107,'январь 2026'!$J$2:$J$2684,AE$1)</f>
        <v>0</v>
      </c>
      <c r="AF107" s="144">
        <f>SUMIFS('январь 2026'!$G$2:$G$2684,'январь 2026'!$D$2:$D$2684,$B107,'январь 2026'!$J$2:$J$2684,AF$1)</f>
        <v>0</v>
      </c>
      <c r="AG107" s="144">
        <f>SUMIFS('январь 2026'!$G$2:$G$2684,'январь 2026'!$D$2:$D$2684,$B107,'январь 2026'!$J$2:$J$2684,AG$1)</f>
        <v>0</v>
      </c>
      <c r="AH107" s="144">
        <f>SUMIFS('январь 2026'!$G$2:$G$2684,'январь 2026'!$D$2:$D$2684,$B107,'январь 2026'!$J$2:$J$2684,AH$1)</f>
        <v>0</v>
      </c>
      <c r="AI107" s="20">
        <f t="shared" si="1"/>
        <v>0</v>
      </c>
    </row>
    <row r="108" spans="2:35" ht="15" customHeight="1" x14ac:dyDescent="0.25">
      <c r="B108" s="85" t="s">
        <v>280</v>
      </c>
      <c r="C108" s="83">
        <v>20</v>
      </c>
      <c r="D108" s="144">
        <f>SUMIFS('январь 2026'!$G$2:$G$2684,'январь 2026'!$D$2:$D$2684,$B108,'январь 2026'!$J$2:$J$2684,D$1)</f>
        <v>0</v>
      </c>
      <c r="E108" s="144">
        <f>SUMIFS('январь 2026'!$G$2:$G$2684,'январь 2026'!$D$2:$D$2684,$B108,'январь 2026'!$J$2:$J$2684,E$1)</f>
        <v>0</v>
      </c>
      <c r="F108" s="144">
        <f>SUMIFS('январь 2026'!$G$2:$G$2684,'январь 2026'!$D$2:$D$2684,$B108,'январь 2026'!$J$2:$J$2684,F$1)</f>
        <v>0</v>
      </c>
      <c r="G108" s="144">
        <f>SUMIFS('январь 2026'!$G$2:$G$2684,'январь 2026'!$D$2:$D$2684,$B108,'январь 2026'!$J$2:$J$2684,G$1)</f>
        <v>0</v>
      </c>
      <c r="H108" s="144">
        <f>SUMIFS('январь 2026'!$G$2:$G$2684,'январь 2026'!$D$2:$D$2684,$B108,'январь 2026'!$J$2:$J$2684,H$1)</f>
        <v>0</v>
      </c>
      <c r="I108" s="144">
        <f>SUMIFS('январь 2026'!$G$2:$G$2684,'январь 2026'!$D$2:$D$2684,$B108,'январь 2026'!$J$2:$J$2684,I$1)</f>
        <v>0</v>
      </c>
      <c r="J108" s="144">
        <f>SUMIFS('январь 2026'!$G$2:$G$2684,'январь 2026'!$D$2:$D$2684,$B108,'январь 2026'!$J$2:$J$2684,J$1)</f>
        <v>0</v>
      </c>
      <c r="K108" s="144">
        <f>SUMIFS('январь 2026'!$G$2:$G$2684,'январь 2026'!$D$2:$D$2684,$B108,'январь 2026'!$J$2:$J$2684,K$1)</f>
        <v>0</v>
      </c>
      <c r="L108" s="144">
        <f>SUMIFS('январь 2026'!$G$2:$G$2684,'январь 2026'!$D$2:$D$2684,$B108,'январь 2026'!$J$2:$J$2684,L$1)</f>
        <v>0</v>
      </c>
      <c r="M108" s="144">
        <f>SUMIFS('январь 2026'!$G$2:$G$2684,'январь 2026'!$D$2:$D$2684,$B108,'январь 2026'!$J$2:$J$2684,M$1)</f>
        <v>0</v>
      </c>
      <c r="N108" s="144">
        <f>SUMIFS('январь 2026'!$G$2:$G$2684,'январь 2026'!$D$2:$D$2684,$B108,'январь 2026'!$J$2:$J$2684,N$1)</f>
        <v>0</v>
      </c>
      <c r="O108" s="144">
        <f>SUMIFS('январь 2026'!$G$2:$G$2684,'январь 2026'!$D$2:$D$2684,$B108,'январь 2026'!$J$2:$J$2684,O$1)</f>
        <v>0</v>
      </c>
      <c r="P108" s="144">
        <f>SUMIFS('январь 2026'!$G$2:$G$2684,'январь 2026'!$D$2:$D$2684,$B108,'январь 2026'!$J$2:$J$2684,P$1)</f>
        <v>0</v>
      </c>
      <c r="Q108" s="144">
        <f>SUMIFS('январь 2026'!$G$2:$G$2684,'январь 2026'!$D$2:$D$2684,$B108,'январь 2026'!$J$2:$J$2684,Q$1)</f>
        <v>0</v>
      </c>
      <c r="R108" s="144">
        <f>SUMIFS('январь 2026'!$G$2:$G$2684,'январь 2026'!$D$2:$D$2684,$B108,'январь 2026'!$J$2:$J$2684,R$1)</f>
        <v>0</v>
      </c>
      <c r="S108" s="144">
        <f>SUMIFS('январь 2026'!$G$2:$G$2684,'январь 2026'!$D$2:$D$2684,$B108,'январь 2026'!$J$2:$J$2684,S$1)</f>
        <v>0</v>
      </c>
      <c r="T108" s="144">
        <f>SUMIFS('январь 2026'!$G$2:$G$2684,'январь 2026'!$D$2:$D$2684,$B108,'январь 2026'!$J$2:$J$2684,T$1)</f>
        <v>0</v>
      </c>
      <c r="U108" s="144">
        <f>SUMIFS('январь 2026'!$G$2:$G$2684,'январь 2026'!$D$2:$D$2684,$B108,'январь 2026'!$J$2:$J$2684,U$1)</f>
        <v>0</v>
      </c>
      <c r="V108" s="144">
        <f>SUMIFS('январь 2026'!$G$2:$G$2684,'январь 2026'!$D$2:$D$2684,$B108,'январь 2026'!$J$2:$J$2684,V$1)</f>
        <v>0</v>
      </c>
      <c r="W108" s="144">
        <f>SUMIFS('январь 2026'!$G$2:$G$2684,'январь 2026'!$D$2:$D$2684,$B108,'январь 2026'!$J$2:$J$2684,W$1)</f>
        <v>0</v>
      </c>
      <c r="X108" s="144">
        <f>SUMIFS('январь 2026'!$G$2:$G$2684,'январь 2026'!$D$2:$D$2684,$B108,'январь 2026'!$J$2:$J$2684,X$1)</f>
        <v>0</v>
      </c>
      <c r="Y108" s="144">
        <f>SUMIFS('январь 2026'!$G$2:$G$2684,'январь 2026'!$D$2:$D$2684,$B108,'январь 2026'!$J$2:$J$2684,Y$1)</f>
        <v>0</v>
      </c>
      <c r="Z108" s="144">
        <f>SUMIFS('январь 2026'!$G$2:$G$2684,'январь 2026'!$D$2:$D$2684,$B108,'январь 2026'!$J$2:$J$2684,Z$1)</f>
        <v>0</v>
      </c>
      <c r="AA108" s="144">
        <f>SUMIFS('январь 2026'!$G$2:$G$2684,'январь 2026'!$D$2:$D$2684,$B108,'январь 2026'!$J$2:$J$2684,AA$1)</f>
        <v>0</v>
      </c>
      <c r="AB108" s="144">
        <f>SUMIFS('январь 2026'!$G$2:$G$2684,'январь 2026'!$D$2:$D$2684,$B108,'январь 2026'!$J$2:$J$2684,AB$1)</f>
        <v>0</v>
      </c>
      <c r="AC108" s="144">
        <f>SUMIFS('январь 2026'!$G$2:$G$2684,'январь 2026'!$D$2:$D$2684,$B108,'январь 2026'!$J$2:$J$2684,AC$1)</f>
        <v>0</v>
      </c>
      <c r="AD108" s="144">
        <f>SUMIFS('январь 2026'!$G$2:$G$2684,'январь 2026'!$D$2:$D$2684,$B108,'январь 2026'!$J$2:$J$2684,AD$1)</f>
        <v>0</v>
      </c>
      <c r="AE108" s="144">
        <f>SUMIFS('январь 2026'!$G$2:$G$2684,'январь 2026'!$D$2:$D$2684,$B108,'январь 2026'!$J$2:$J$2684,AE$1)</f>
        <v>0</v>
      </c>
      <c r="AF108" s="144">
        <f>SUMIFS('январь 2026'!$G$2:$G$2684,'январь 2026'!$D$2:$D$2684,$B108,'январь 2026'!$J$2:$J$2684,AF$1)</f>
        <v>0</v>
      </c>
      <c r="AG108" s="144">
        <f>SUMIFS('январь 2026'!$G$2:$G$2684,'январь 2026'!$D$2:$D$2684,$B108,'январь 2026'!$J$2:$J$2684,AG$1)</f>
        <v>0</v>
      </c>
      <c r="AH108" s="144">
        <f>SUMIFS('январь 2026'!$G$2:$G$2684,'январь 2026'!$D$2:$D$2684,$B108,'январь 2026'!$J$2:$J$2684,AH$1)</f>
        <v>0</v>
      </c>
      <c r="AI108" s="20">
        <f t="shared" si="1"/>
        <v>0</v>
      </c>
    </row>
    <row r="109" spans="2:35" ht="15" customHeight="1" x14ac:dyDescent="0.25">
      <c r="B109" s="85" t="s">
        <v>301</v>
      </c>
      <c r="C109" s="83">
        <v>25</v>
      </c>
      <c r="D109" s="144">
        <f>SUMIFS('январь 2026'!$G$2:$G$2684,'январь 2026'!$D$2:$D$2684,$B109,'январь 2026'!$J$2:$J$2684,D$1)</f>
        <v>0</v>
      </c>
      <c r="E109" s="144">
        <f>SUMIFS('январь 2026'!$G$2:$G$2684,'январь 2026'!$D$2:$D$2684,$B109,'январь 2026'!$J$2:$J$2684,E$1)</f>
        <v>0</v>
      </c>
      <c r="F109" s="144">
        <f>SUMIFS('январь 2026'!$G$2:$G$2684,'январь 2026'!$D$2:$D$2684,$B109,'январь 2026'!$J$2:$J$2684,F$1)</f>
        <v>0</v>
      </c>
      <c r="G109" s="144">
        <f>SUMIFS('январь 2026'!$G$2:$G$2684,'январь 2026'!$D$2:$D$2684,$B109,'январь 2026'!$J$2:$J$2684,G$1)</f>
        <v>0</v>
      </c>
      <c r="H109" s="144">
        <f>SUMIFS('январь 2026'!$G$2:$G$2684,'январь 2026'!$D$2:$D$2684,$B109,'январь 2026'!$J$2:$J$2684,H$1)</f>
        <v>0</v>
      </c>
      <c r="I109" s="144">
        <f>SUMIFS('январь 2026'!$G$2:$G$2684,'январь 2026'!$D$2:$D$2684,$B109,'январь 2026'!$J$2:$J$2684,I$1)</f>
        <v>0</v>
      </c>
      <c r="J109" s="144">
        <f>SUMIFS('январь 2026'!$G$2:$G$2684,'январь 2026'!$D$2:$D$2684,$B109,'январь 2026'!$J$2:$J$2684,J$1)</f>
        <v>0</v>
      </c>
      <c r="K109" s="144">
        <f>SUMIFS('январь 2026'!$G$2:$G$2684,'январь 2026'!$D$2:$D$2684,$B109,'январь 2026'!$J$2:$J$2684,K$1)</f>
        <v>0</v>
      </c>
      <c r="L109" s="144">
        <f>SUMIFS('январь 2026'!$G$2:$G$2684,'январь 2026'!$D$2:$D$2684,$B109,'январь 2026'!$J$2:$J$2684,L$1)</f>
        <v>0</v>
      </c>
      <c r="M109" s="144">
        <f>SUMIFS('январь 2026'!$G$2:$G$2684,'январь 2026'!$D$2:$D$2684,$B109,'январь 2026'!$J$2:$J$2684,M$1)</f>
        <v>0</v>
      </c>
      <c r="N109" s="144">
        <f>SUMIFS('январь 2026'!$G$2:$G$2684,'январь 2026'!$D$2:$D$2684,$B109,'январь 2026'!$J$2:$J$2684,N$1)</f>
        <v>0</v>
      </c>
      <c r="O109" s="144">
        <f>SUMIFS('январь 2026'!$G$2:$G$2684,'январь 2026'!$D$2:$D$2684,$B109,'январь 2026'!$J$2:$J$2684,O$1)</f>
        <v>0</v>
      </c>
      <c r="P109" s="144">
        <f>SUMIFS('январь 2026'!$G$2:$G$2684,'январь 2026'!$D$2:$D$2684,$B109,'январь 2026'!$J$2:$J$2684,P$1)</f>
        <v>0</v>
      </c>
      <c r="Q109" s="144">
        <f>SUMIFS('январь 2026'!$G$2:$G$2684,'январь 2026'!$D$2:$D$2684,$B109,'январь 2026'!$J$2:$J$2684,Q$1)</f>
        <v>0</v>
      </c>
      <c r="R109" s="144">
        <f>SUMIFS('январь 2026'!$G$2:$G$2684,'январь 2026'!$D$2:$D$2684,$B109,'январь 2026'!$J$2:$J$2684,R$1)</f>
        <v>0</v>
      </c>
      <c r="S109" s="144">
        <f>SUMIFS('январь 2026'!$G$2:$G$2684,'январь 2026'!$D$2:$D$2684,$B109,'январь 2026'!$J$2:$J$2684,S$1)</f>
        <v>0</v>
      </c>
      <c r="T109" s="144">
        <f>SUMIFS('январь 2026'!$G$2:$G$2684,'январь 2026'!$D$2:$D$2684,$B109,'январь 2026'!$J$2:$J$2684,T$1)</f>
        <v>0</v>
      </c>
      <c r="U109" s="144">
        <f>SUMIFS('январь 2026'!$G$2:$G$2684,'январь 2026'!$D$2:$D$2684,$B109,'январь 2026'!$J$2:$J$2684,U$1)</f>
        <v>0</v>
      </c>
      <c r="V109" s="144">
        <f>SUMIFS('январь 2026'!$G$2:$G$2684,'январь 2026'!$D$2:$D$2684,$B109,'январь 2026'!$J$2:$J$2684,V$1)</f>
        <v>0</v>
      </c>
      <c r="W109" s="144">
        <f>SUMIFS('январь 2026'!$G$2:$G$2684,'январь 2026'!$D$2:$D$2684,$B109,'январь 2026'!$J$2:$J$2684,W$1)</f>
        <v>0</v>
      </c>
      <c r="X109" s="144">
        <f>SUMIFS('январь 2026'!$G$2:$G$2684,'январь 2026'!$D$2:$D$2684,$B109,'январь 2026'!$J$2:$J$2684,X$1)</f>
        <v>0</v>
      </c>
      <c r="Y109" s="144">
        <f>SUMIFS('январь 2026'!$G$2:$G$2684,'январь 2026'!$D$2:$D$2684,$B109,'январь 2026'!$J$2:$J$2684,Y$1)</f>
        <v>0</v>
      </c>
      <c r="Z109" s="144">
        <f>SUMIFS('январь 2026'!$G$2:$G$2684,'январь 2026'!$D$2:$D$2684,$B109,'январь 2026'!$J$2:$J$2684,Z$1)</f>
        <v>0</v>
      </c>
      <c r="AA109" s="144">
        <f>SUMIFS('январь 2026'!$G$2:$G$2684,'январь 2026'!$D$2:$D$2684,$B109,'январь 2026'!$J$2:$J$2684,AA$1)</f>
        <v>0</v>
      </c>
      <c r="AB109" s="144">
        <f>SUMIFS('январь 2026'!$G$2:$G$2684,'январь 2026'!$D$2:$D$2684,$B109,'январь 2026'!$J$2:$J$2684,AB$1)</f>
        <v>0</v>
      </c>
      <c r="AC109" s="144">
        <f>SUMIFS('январь 2026'!$G$2:$G$2684,'январь 2026'!$D$2:$D$2684,$B109,'январь 2026'!$J$2:$J$2684,AC$1)</f>
        <v>0</v>
      </c>
      <c r="AD109" s="144">
        <f>SUMIFS('январь 2026'!$G$2:$G$2684,'январь 2026'!$D$2:$D$2684,$B109,'январь 2026'!$J$2:$J$2684,AD$1)</f>
        <v>0</v>
      </c>
      <c r="AE109" s="144">
        <f>SUMIFS('январь 2026'!$G$2:$G$2684,'январь 2026'!$D$2:$D$2684,$B109,'январь 2026'!$J$2:$J$2684,AE$1)</f>
        <v>0</v>
      </c>
      <c r="AF109" s="144">
        <f>SUMIFS('январь 2026'!$G$2:$G$2684,'январь 2026'!$D$2:$D$2684,$B109,'январь 2026'!$J$2:$J$2684,AF$1)</f>
        <v>0</v>
      </c>
      <c r="AG109" s="144">
        <f>SUMIFS('январь 2026'!$G$2:$G$2684,'январь 2026'!$D$2:$D$2684,$B109,'январь 2026'!$J$2:$J$2684,AG$1)</f>
        <v>0</v>
      </c>
      <c r="AH109" s="144">
        <f>SUMIFS('январь 2026'!$G$2:$G$2684,'январь 2026'!$D$2:$D$2684,$B109,'январь 2026'!$J$2:$J$2684,AH$1)</f>
        <v>0</v>
      </c>
      <c r="AI109" s="20">
        <f t="shared" si="1"/>
        <v>0</v>
      </c>
    </row>
    <row r="110" spans="2:35" ht="15" customHeight="1" x14ac:dyDescent="0.25">
      <c r="B110" s="85" t="s">
        <v>314</v>
      </c>
      <c r="C110" s="83">
        <v>28</v>
      </c>
      <c r="D110" s="144">
        <f>SUMIFS('январь 2026'!$G$2:$G$2684,'январь 2026'!$D$2:$D$2684,$B110,'январь 2026'!$J$2:$J$2684,D$1)</f>
        <v>0</v>
      </c>
      <c r="E110" s="144">
        <f>SUMIFS('январь 2026'!$G$2:$G$2684,'январь 2026'!$D$2:$D$2684,$B110,'январь 2026'!$J$2:$J$2684,E$1)</f>
        <v>0</v>
      </c>
      <c r="F110" s="144">
        <f>SUMIFS('январь 2026'!$G$2:$G$2684,'январь 2026'!$D$2:$D$2684,$B110,'январь 2026'!$J$2:$J$2684,F$1)</f>
        <v>0</v>
      </c>
      <c r="G110" s="144">
        <f>SUMIFS('январь 2026'!$G$2:$G$2684,'январь 2026'!$D$2:$D$2684,$B110,'январь 2026'!$J$2:$J$2684,G$1)</f>
        <v>0</v>
      </c>
      <c r="H110" s="144">
        <f>SUMIFS('январь 2026'!$G$2:$G$2684,'январь 2026'!$D$2:$D$2684,$B110,'январь 2026'!$J$2:$J$2684,H$1)</f>
        <v>0</v>
      </c>
      <c r="I110" s="144">
        <f>SUMIFS('январь 2026'!$G$2:$G$2684,'январь 2026'!$D$2:$D$2684,$B110,'январь 2026'!$J$2:$J$2684,I$1)</f>
        <v>0</v>
      </c>
      <c r="J110" s="144">
        <f>SUMIFS('январь 2026'!$G$2:$G$2684,'январь 2026'!$D$2:$D$2684,$B110,'январь 2026'!$J$2:$J$2684,J$1)</f>
        <v>0</v>
      </c>
      <c r="K110" s="144">
        <f>SUMIFS('январь 2026'!$G$2:$G$2684,'январь 2026'!$D$2:$D$2684,$B110,'январь 2026'!$J$2:$J$2684,K$1)</f>
        <v>0</v>
      </c>
      <c r="L110" s="144">
        <f>SUMIFS('январь 2026'!$G$2:$G$2684,'январь 2026'!$D$2:$D$2684,$B110,'январь 2026'!$J$2:$J$2684,L$1)</f>
        <v>0</v>
      </c>
      <c r="M110" s="144">
        <f>SUMIFS('январь 2026'!$G$2:$G$2684,'январь 2026'!$D$2:$D$2684,$B110,'январь 2026'!$J$2:$J$2684,M$1)</f>
        <v>0</v>
      </c>
      <c r="N110" s="144">
        <f>SUMIFS('январь 2026'!$G$2:$G$2684,'январь 2026'!$D$2:$D$2684,$B110,'январь 2026'!$J$2:$J$2684,N$1)</f>
        <v>0</v>
      </c>
      <c r="O110" s="144">
        <f>SUMIFS('январь 2026'!$G$2:$G$2684,'январь 2026'!$D$2:$D$2684,$B110,'январь 2026'!$J$2:$J$2684,O$1)</f>
        <v>0</v>
      </c>
      <c r="P110" s="144">
        <f>SUMIFS('январь 2026'!$G$2:$G$2684,'январь 2026'!$D$2:$D$2684,$B110,'январь 2026'!$J$2:$J$2684,P$1)</f>
        <v>0</v>
      </c>
      <c r="Q110" s="144">
        <f>SUMIFS('январь 2026'!$G$2:$G$2684,'январь 2026'!$D$2:$D$2684,$B110,'январь 2026'!$J$2:$J$2684,Q$1)</f>
        <v>0</v>
      </c>
      <c r="R110" s="144">
        <f>SUMIFS('январь 2026'!$G$2:$G$2684,'январь 2026'!$D$2:$D$2684,$B110,'январь 2026'!$J$2:$J$2684,R$1)</f>
        <v>0</v>
      </c>
      <c r="S110" s="144">
        <f>SUMIFS('январь 2026'!$G$2:$G$2684,'январь 2026'!$D$2:$D$2684,$B110,'январь 2026'!$J$2:$J$2684,S$1)</f>
        <v>0</v>
      </c>
      <c r="T110" s="144">
        <f>SUMIFS('январь 2026'!$G$2:$G$2684,'январь 2026'!$D$2:$D$2684,$B110,'январь 2026'!$J$2:$J$2684,T$1)</f>
        <v>0</v>
      </c>
      <c r="U110" s="144">
        <f>SUMIFS('январь 2026'!$G$2:$G$2684,'январь 2026'!$D$2:$D$2684,$B110,'январь 2026'!$J$2:$J$2684,U$1)</f>
        <v>0</v>
      </c>
      <c r="V110" s="144">
        <f>SUMIFS('январь 2026'!$G$2:$G$2684,'январь 2026'!$D$2:$D$2684,$B110,'январь 2026'!$J$2:$J$2684,V$1)</f>
        <v>0</v>
      </c>
      <c r="W110" s="144">
        <f>SUMIFS('январь 2026'!$G$2:$G$2684,'январь 2026'!$D$2:$D$2684,$B110,'январь 2026'!$J$2:$J$2684,W$1)</f>
        <v>0</v>
      </c>
      <c r="X110" s="144">
        <f>SUMIFS('январь 2026'!$G$2:$G$2684,'январь 2026'!$D$2:$D$2684,$B110,'январь 2026'!$J$2:$J$2684,X$1)</f>
        <v>0</v>
      </c>
      <c r="Y110" s="144">
        <f>SUMIFS('январь 2026'!$G$2:$G$2684,'январь 2026'!$D$2:$D$2684,$B110,'январь 2026'!$J$2:$J$2684,Y$1)</f>
        <v>0</v>
      </c>
      <c r="Z110" s="144">
        <f>SUMIFS('январь 2026'!$G$2:$G$2684,'январь 2026'!$D$2:$D$2684,$B110,'январь 2026'!$J$2:$J$2684,Z$1)</f>
        <v>0</v>
      </c>
      <c r="AA110" s="144">
        <f>SUMIFS('январь 2026'!$G$2:$G$2684,'январь 2026'!$D$2:$D$2684,$B110,'январь 2026'!$J$2:$J$2684,AA$1)</f>
        <v>0</v>
      </c>
      <c r="AB110" s="144">
        <f>SUMIFS('январь 2026'!$G$2:$G$2684,'январь 2026'!$D$2:$D$2684,$B110,'январь 2026'!$J$2:$J$2684,AB$1)</f>
        <v>0</v>
      </c>
      <c r="AC110" s="144">
        <f>SUMIFS('январь 2026'!$G$2:$G$2684,'январь 2026'!$D$2:$D$2684,$B110,'январь 2026'!$J$2:$J$2684,AC$1)</f>
        <v>0</v>
      </c>
      <c r="AD110" s="144">
        <f>SUMIFS('январь 2026'!$G$2:$G$2684,'январь 2026'!$D$2:$D$2684,$B110,'январь 2026'!$J$2:$J$2684,AD$1)</f>
        <v>0</v>
      </c>
      <c r="AE110" s="144">
        <f>SUMIFS('январь 2026'!$G$2:$G$2684,'январь 2026'!$D$2:$D$2684,$B110,'январь 2026'!$J$2:$J$2684,AE$1)</f>
        <v>0</v>
      </c>
      <c r="AF110" s="144">
        <f>SUMIFS('январь 2026'!$G$2:$G$2684,'январь 2026'!$D$2:$D$2684,$B110,'январь 2026'!$J$2:$J$2684,AF$1)</f>
        <v>0</v>
      </c>
      <c r="AG110" s="144">
        <f>SUMIFS('январь 2026'!$G$2:$G$2684,'январь 2026'!$D$2:$D$2684,$B110,'январь 2026'!$J$2:$J$2684,AG$1)</f>
        <v>0</v>
      </c>
      <c r="AH110" s="144">
        <f>SUMIFS('январь 2026'!$G$2:$G$2684,'январь 2026'!$D$2:$D$2684,$B110,'январь 2026'!$J$2:$J$2684,AH$1)</f>
        <v>0</v>
      </c>
      <c r="AI110" s="20">
        <f t="shared" si="1"/>
        <v>0</v>
      </c>
    </row>
    <row r="111" spans="2:35" ht="15" customHeight="1" x14ac:dyDescent="0.25">
      <c r="B111" s="85" t="s">
        <v>191</v>
      </c>
      <c r="C111" s="83">
        <v>180</v>
      </c>
      <c r="D111" s="144">
        <f>SUMIFS('январь 2026'!$G$2:$G$2684,'январь 2026'!$D$2:$D$2684,$B111,'январь 2026'!$J$2:$J$2684,D$1)</f>
        <v>0</v>
      </c>
      <c r="E111" s="144">
        <f>SUMIFS('январь 2026'!$G$2:$G$2684,'январь 2026'!$D$2:$D$2684,$B111,'январь 2026'!$J$2:$J$2684,E$1)</f>
        <v>0</v>
      </c>
      <c r="F111" s="144">
        <f>SUMIFS('январь 2026'!$G$2:$G$2684,'январь 2026'!$D$2:$D$2684,$B111,'январь 2026'!$J$2:$J$2684,F$1)</f>
        <v>0</v>
      </c>
      <c r="G111" s="144">
        <f>SUMIFS('январь 2026'!$G$2:$G$2684,'январь 2026'!$D$2:$D$2684,$B111,'январь 2026'!$J$2:$J$2684,G$1)</f>
        <v>0</v>
      </c>
      <c r="H111" s="144">
        <f>SUMIFS('январь 2026'!$G$2:$G$2684,'январь 2026'!$D$2:$D$2684,$B111,'январь 2026'!$J$2:$J$2684,H$1)</f>
        <v>0</v>
      </c>
      <c r="I111" s="144">
        <f>SUMIFS('январь 2026'!$G$2:$G$2684,'январь 2026'!$D$2:$D$2684,$B111,'январь 2026'!$J$2:$J$2684,I$1)</f>
        <v>0</v>
      </c>
      <c r="J111" s="144">
        <f>SUMIFS('январь 2026'!$G$2:$G$2684,'январь 2026'!$D$2:$D$2684,$B111,'январь 2026'!$J$2:$J$2684,J$1)</f>
        <v>0</v>
      </c>
      <c r="K111" s="144">
        <f>SUMIFS('январь 2026'!$G$2:$G$2684,'январь 2026'!$D$2:$D$2684,$B111,'январь 2026'!$J$2:$J$2684,K$1)</f>
        <v>0</v>
      </c>
      <c r="L111" s="144">
        <f>SUMIFS('январь 2026'!$G$2:$G$2684,'январь 2026'!$D$2:$D$2684,$B111,'январь 2026'!$J$2:$J$2684,L$1)</f>
        <v>0</v>
      </c>
      <c r="M111" s="144">
        <f>SUMIFS('январь 2026'!$G$2:$G$2684,'январь 2026'!$D$2:$D$2684,$B111,'январь 2026'!$J$2:$J$2684,M$1)</f>
        <v>0</v>
      </c>
      <c r="N111" s="144">
        <f>SUMIFS('январь 2026'!$G$2:$G$2684,'январь 2026'!$D$2:$D$2684,$B111,'январь 2026'!$J$2:$J$2684,N$1)</f>
        <v>0</v>
      </c>
      <c r="O111" s="144">
        <f>SUMIFS('январь 2026'!$G$2:$G$2684,'январь 2026'!$D$2:$D$2684,$B111,'январь 2026'!$J$2:$J$2684,O$1)</f>
        <v>0</v>
      </c>
      <c r="P111" s="144">
        <f>SUMIFS('январь 2026'!$G$2:$G$2684,'январь 2026'!$D$2:$D$2684,$B111,'январь 2026'!$J$2:$J$2684,P$1)</f>
        <v>0</v>
      </c>
      <c r="Q111" s="144">
        <f>SUMIFS('январь 2026'!$G$2:$G$2684,'январь 2026'!$D$2:$D$2684,$B111,'январь 2026'!$J$2:$J$2684,Q$1)</f>
        <v>0</v>
      </c>
      <c r="R111" s="144">
        <f>SUMIFS('январь 2026'!$G$2:$G$2684,'январь 2026'!$D$2:$D$2684,$B111,'январь 2026'!$J$2:$J$2684,R$1)</f>
        <v>0</v>
      </c>
      <c r="S111" s="144">
        <f>SUMIFS('январь 2026'!$G$2:$G$2684,'январь 2026'!$D$2:$D$2684,$B111,'январь 2026'!$J$2:$J$2684,S$1)</f>
        <v>0</v>
      </c>
      <c r="T111" s="144">
        <f>SUMIFS('январь 2026'!$G$2:$G$2684,'январь 2026'!$D$2:$D$2684,$B111,'январь 2026'!$J$2:$J$2684,T$1)</f>
        <v>0</v>
      </c>
      <c r="U111" s="144">
        <f>SUMIFS('январь 2026'!$G$2:$G$2684,'январь 2026'!$D$2:$D$2684,$B111,'январь 2026'!$J$2:$J$2684,U$1)</f>
        <v>0</v>
      </c>
      <c r="V111" s="144">
        <f>SUMIFS('январь 2026'!$G$2:$G$2684,'январь 2026'!$D$2:$D$2684,$B111,'январь 2026'!$J$2:$J$2684,V$1)</f>
        <v>0</v>
      </c>
      <c r="W111" s="144">
        <f>SUMIFS('январь 2026'!$G$2:$G$2684,'январь 2026'!$D$2:$D$2684,$B111,'январь 2026'!$J$2:$J$2684,W$1)</f>
        <v>0</v>
      </c>
      <c r="X111" s="144">
        <f>SUMIFS('январь 2026'!$G$2:$G$2684,'январь 2026'!$D$2:$D$2684,$B111,'январь 2026'!$J$2:$J$2684,X$1)</f>
        <v>0</v>
      </c>
      <c r="Y111" s="144">
        <f>SUMIFS('январь 2026'!$G$2:$G$2684,'январь 2026'!$D$2:$D$2684,$B111,'январь 2026'!$J$2:$J$2684,Y$1)</f>
        <v>0</v>
      </c>
      <c r="Z111" s="144">
        <f>SUMIFS('январь 2026'!$G$2:$G$2684,'январь 2026'!$D$2:$D$2684,$B111,'январь 2026'!$J$2:$J$2684,Z$1)</f>
        <v>0</v>
      </c>
      <c r="AA111" s="144">
        <f>SUMIFS('январь 2026'!$G$2:$G$2684,'январь 2026'!$D$2:$D$2684,$B111,'январь 2026'!$J$2:$J$2684,AA$1)</f>
        <v>0</v>
      </c>
      <c r="AB111" s="144">
        <f>SUMIFS('январь 2026'!$G$2:$G$2684,'январь 2026'!$D$2:$D$2684,$B111,'январь 2026'!$J$2:$J$2684,AB$1)</f>
        <v>0</v>
      </c>
      <c r="AC111" s="144">
        <f>SUMIFS('январь 2026'!$G$2:$G$2684,'январь 2026'!$D$2:$D$2684,$B111,'январь 2026'!$J$2:$J$2684,AC$1)</f>
        <v>0</v>
      </c>
      <c r="AD111" s="144">
        <f>SUMIFS('январь 2026'!$G$2:$G$2684,'январь 2026'!$D$2:$D$2684,$B111,'январь 2026'!$J$2:$J$2684,AD$1)</f>
        <v>0</v>
      </c>
      <c r="AE111" s="144">
        <f>SUMIFS('январь 2026'!$G$2:$G$2684,'январь 2026'!$D$2:$D$2684,$B111,'январь 2026'!$J$2:$J$2684,AE$1)</f>
        <v>0</v>
      </c>
      <c r="AF111" s="144">
        <f>SUMIFS('январь 2026'!$G$2:$G$2684,'январь 2026'!$D$2:$D$2684,$B111,'январь 2026'!$J$2:$J$2684,AF$1)</f>
        <v>0</v>
      </c>
      <c r="AG111" s="144">
        <f>SUMIFS('январь 2026'!$G$2:$G$2684,'январь 2026'!$D$2:$D$2684,$B111,'январь 2026'!$J$2:$J$2684,AG$1)</f>
        <v>0</v>
      </c>
      <c r="AH111" s="144">
        <f>SUMIFS('январь 2026'!$G$2:$G$2684,'январь 2026'!$D$2:$D$2684,$B111,'январь 2026'!$J$2:$J$2684,AH$1)</f>
        <v>0</v>
      </c>
      <c r="AI111" s="20">
        <f t="shared" si="1"/>
        <v>0</v>
      </c>
    </row>
    <row r="112" spans="2:35" ht="15" customHeight="1" x14ac:dyDescent="0.25">
      <c r="B112" s="82" t="s">
        <v>192</v>
      </c>
      <c r="C112" s="81">
        <v>200</v>
      </c>
      <c r="D112" s="144">
        <f>SUMIFS('январь 2026'!$G$2:$G$2684,'январь 2026'!$D$2:$D$2684,$B112,'январь 2026'!$J$2:$J$2684,D$1)</f>
        <v>0</v>
      </c>
      <c r="E112" s="144">
        <f>SUMIFS('январь 2026'!$G$2:$G$2684,'январь 2026'!$D$2:$D$2684,$B112,'январь 2026'!$J$2:$J$2684,E$1)</f>
        <v>0</v>
      </c>
      <c r="F112" s="144">
        <f>SUMIFS('январь 2026'!$G$2:$G$2684,'январь 2026'!$D$2:$D$2684,$B112,'январь 2026'!$J$2:$J$2684,F$1)</f>
        <v>0</v>
      </c>
      <c r="G112" s="144">
        <f>SUMIFS('январь 2026'!$G$2:$G$2684,'январь 2026'!$D$2:$D$2684,$B112,'январь 2026'!$J$2:$J$2684,G$1)</f>
        <v>0</v>
      </c>
      <c r="H112" s="144">
        <f>SUMIFS('январь 2026'!$G$2:$G$2684,'январь 2026'!$D$2:$D$2684,$B112,'январь 2026'!$J$2:$J$2684,H$1)</f>
        <v>0</v>
      </c>
      <c r="I112" s="144">
        <f>SUMIFS('январь 2026'!$G$2:$G$2684,'январь 2026'!$D$2:$D$2684,$B112,'январь 2026'!$J$2:$J$2684,I$1)</f>
        <v>0</v>
      </c>
      <c r="J112" s="144">
        <f>SUMIFS('январь 2026'!$G$2:$G$2684,'январь 2026'!$D$2:$D$2684,$B112,'январь 2026'!$J$2:$J$2684,J$1)</f>
        <v>0</v>
      </c>
      <c r="K112" s="144">
        <f>SUMIFS('январь 2026'!$G$2:$G$2684,'январь 2026'!$D$2:$D$2684,$B112,'январь 2026'!$J$2:$J$2684,K$1)</f>
        <v>0</v>
      </c>
      <c r="L112" s="144">
        <f>SUMIFS('январь 2026'!$G$2:$G$2684,'январь 2026'!$D$2:$D$2684,$B112,'январь 2026'!$J$2:$J$2684,L$1)</f>
        <v>0</v>
      </c>
      <c r="M112" s="144">
        <f>SUMIFS('январь 2026'!$G$2:$G$2684,'январь 2026'!$D$2:$D$2684,$B112,'январь 2026'!$J$2:$J$2684,M$1)</f>
        <v>0</v>
      </c>
      <c r="N112" s="144">
        <f>SUMIFS('январь 2026'!$G$2:$G$2684,'январь 2026'!$D$2:$D$2684,$B112,'январь 2026'!$J$2:$J$2684,N$1)</f>
        <v>0</v>
      </c>
      <c r="O112" s="144">
        <f>SUMIFS('январь 2026'!$G$2:$G$2684,'январь 2026'!$D$2:$D$2684,$B112,'январь 2026'!$J$2:$J$2684,O$1)</f>
        <v>0</v>
      </c>
      <c r="P112" s="144">
        <f>SUMIFS('январь 2026'!$G$2:$G$2684,'январь 2026'!$D$2:$D$2684,$B112,'январь 2026'!$J$2:$J$2684,P$1)</f>
        <v>0</v>
      </c>
      <c r="Q112" s="144">
        <f>SUMIFS('январь 2026'!$G$2:$G$2684,'январь 2026'!$D$2:$D$2684,$B112,'январь 2026'!$J$2:$J$2684,Q$1)</f>
        <v>0</v>
      </c>
      <c r="R112" s="144">
        <f>SUMIFS('январь 2026'!$G$2:$G$2684,'январь 2026'!$D$2:$D$2684,$B112,'январь 2026'!$J$2:$J$2684,R$1)</f>
        <v>0</v>
      </c>
      <c r="S112" s="144">
        <f>SUMIFS('январь 2026'!$G$2:$G$2684,'январь 2026'!$D$2:$D$2684,$B112,'январь 2026'!$J$2:$J$2684,S$1)</f>
        <v>0</v>
      </c>
      <c r="T112" s="144">
        <f>SUMIFS('январь 2026'!$G$2:$G$2684,'январь 2026'!$D$2:$D$2684,$B112,'январь 2026'!$J$2:$J$2684,T$1)</f>
        <v>0</v>
      </c>
      <c r="U112" s="144">
        <f>SUMIFS('январь 2026'!$G$2:$G$2684,'январь 2026'!$D$2:$D$2684,$B112,'январь 2026'!$J$2:$J$2684,U$1)</f>
        <v>0</v>
      </c>
      <c r="V112" s="144">
        <f>SUMIFS('январь 2026'!$G$2:$G$2684,'январь 2026'!$D$2:$D$2684,$B112,'январь 2026'!$J$2:$J$2684,V$1)</f>
        <v>0</v>
      </c>
      <c r="W112" s="144">
        <f>SUMIFS('январь 2026'!$G$2:$G$2684,'январь 2026'!$D$2:$D$2684,$B112,'январь 2026'!$J$2:$J$2684,W$1)</f>
        <v>0</v>
      </c>
      <c r="X112" s="144">
        <f>SUMIFS('январь 2026'!$G$2:$G$2684,'январь 2026'!$D$2:$D$2684,$B112,'январь 2026'!$J$2:$J$2684,X$1)</f>
        <v>0</v>
      </c>
      <c r="Y112" s="144">
        <f>SUMIFS('январь 2026'!$G$2:$G$2684,'январь 2026'!$D$2:$D$2684,$B112,'январь 2026'!$J$2:$J$2684,Y$1)</f>
        <v>0</v>
      </c>
      <c r="Z112" s="144">
        <f>SUMIFS('январь 2026'!$G$2:$G$2684,'январь 2026'!$D$2:$D$2684,$B112,'январь 2026'!$J$2:$J$2684,Z$1)</f>
        <v>0</v>
      </c>
      <c r="AA112" s="144">
        <f>SUMIFS('январь 2026'!$G$2:$G$2684,'январь 2026'!$D$2:$D$2684,$B112,'январь 2026'!$J$2:$J$2684,AA$1)</f>
        <v>0</v>
      </c>
      <c r="AB112" s="144">
        <f>SUMIFS('январь 2026'!$G$2:$G$2684,'январь 2026'!$D$2:$D$2684,$B112,'январь 2026'!$J$2:$J$2684,AB$1)</f>
        <v>0</v>
      </c>
      <c r="AC112" s="144">
        <f>SUMIFS('январь 2026'!$G$2:$G$2684,'январь 2026'!$D$2:$D$2684,$B112,'январь 2026'!$J$2:$J$2684,AC$1)</f>
        <v>0</v>
      </c>
      <c r="AD112" s="144">
        <f>SUMIFS('январь 2026'!$G$2:$G$2684,'январь 2026'!$D$2:$D$2684,$B112,'январь 2026'!$J$2:$J$2684,AD$1)</f>
        <v>0</v>
      </c>
      <c r="AE112" s="144">
        <f>SUMIFS('январь 2026'!$G$2:$G$2684,'январь 2026'!$D$2:$D$2684,$B112,'январь 2026'!$J$2:$J$2684,AE$1)</f>
        <v>0</v>
      </c>
      <c r="AF112" s="144">
        <f>SUMIFS('январь 2026'!$G$2:$G$2684,'январь 2026'!$D$2:$D$2684,$B112,'январь 2026'!$J$2:$J$2684,AF$1)</f>
        <v>0</v>
      </c>
      <c r="AG112" s="144">
        <f>SUMIFS('январь 2026'!$G$2:$G$2684,'январь 2026'!$D$2:$D$2684,$B112,'январь 2026'!$J$2:$J$2684,AG$1)</f>
        <v>0</v>
      </c>
      <c r="AH112" s="144">
        <f>SUMIFS('январь 2026'!$G$2:$G$2684,'январь 2026'!$D$2:$D$2684,$B112,'январь 2026'!$J$2:$J$2684,AH$1)</f>
        <v>0</v>
      </c>
      <c r="AI112" s="20">
        <f t="shared" si="1"/>
        <v>0</v>
      </c>
    </row>
    <row r="113" spans="2:35" ht="15" customHeight="1" x14ac:dyDescent="0.25">
      <c r="B113" s="84" t="s">
        <v>167</v>
      </c>
      <c r="C113" s="83">
        <v>180</v>
      </c>
      <c r="D113" s="144">
        <f>SUMIFS('январь 2026'!$G$2:$G$2684,'январь 2026'!$D$2:$D$2684,$B113,'январь 2026'!$J$2:$J$2684,D$1)</f>
        <v>0</v>
      </c>
      <c r="E113" s="144">
        <f>SUMIFS('январь 2026'!$G$2:$G$2684,'январь 2026'!$D$2:$D$2684,$B113,'январь 2026'!$J$2:$J$2684,E$1)</f>
        <v>0</v>
      </c>
      <c r="F113" s="144">
        <f>SUMIFS('январь 2026'!$G$2:$G$2684,'январь 2026'!$D$2:$D$2684,$B113,'январь 2026'!$J$2:$J$2684,F$1)</f>
        <v>0</v>
      </c>
      <c r="G113" s="144">
        <f>SUMIFS('январь 2026'!$G$2:$G$2684,'январь 2026'!$D$2:$D$2684,$B113,'январь 2026'!$J$2:$J$2684,G$1)</f>
        <v>0</v>
      </c>
      <c r="H113" s="144">
        <f>SUMIFS('январь 2026'!$G$2:$G$2684,'январь 2026'!$D$2:$D$2684,$B113,'январь 2026'!$J$2:$J$2684,H$1)</f>
        <v>0</v>
      </c>
      <c r="I113" s="144">
        <f>SUMIFS('январь 2026'!$G$2:$G$2684,'январь 2026'!$D$2:$D$2684,$B113,'январь 2026'!$J$2:$J$2684,I$1)</f>
        <v>0</v>
      </c>
      <c r="J113" s="144">
        <f>SUMIFS('январь 2026'!$G$2:$G$2684,'январь 2026'!$D$2:$D$2684,$B113,'январь 2026'!$J$2:$J$2684,J$1)</f>
        <v>0</v>
      </c>
      <c r="K113" s="144">
        <f>SUMIFS('январь 2026'!$G$2:$G$2684,'январь 2026'!$D$2:$D$2684,$B113,'январь 2026'!$J$2:$J$2684,K$1)</f>
        <v>0</v>
      </c>
      <c r="L113" s="144">
        <f>SUMIFS('январь 2026'!$G$2:$G$2684,'январь 2026'!$D$2:$D$2684,$B113,'январь 2026'!$J$2:$J$2684,L$1)</f>
        <v>0</v>
      </c>
      <c r="M113" s="144">
        <f>SUMIFS('январь 2026'!$G$2:$G$2684,'январь 2026'!$D$2:$D$2684,$B113,'январь 2026'!$J$2:$J$2684,M$1)</f>
        <v>0</v>
      </c>
      <c r="N113" s="144">
        <f>SUMIFS('январь 2026'!$G$2:$G$2684,'январь 2026'!$D$2:$D$2684,$B113,'январь 2026'!$J$2:$J$2684,N$1)</f>
        <v>0</v>
      </c>
      <c r="O113" s="144">
        <f>SUMIFS('январь 2026'!$G$2:$G$2684,'январь 2026'!$D$2:$D$2684,$B113,'январь 2026'!$J$2:$J$2684,O$1)</f>
        <v>0</v>
      </c>
      <c r="P113" s="144">
        <f>SUMIFS('январь 2026'!$G$2:$G$2684,'январь 2026'!$D$2:$D$2684,$B113,'январь 2026'!$J$2:$J$2684,P$1)</f>
        <v>0</v>
      </c>
      <c r="Q113" s="144">
        <f>SUMIFS('январь 2026'!$G$2:$G$2684,'январь 2026'!$D$2:$D$2684,$B113,'январь 2026'!$J$2:$J$2684,Q$1)</f>
        <v>0</v>
      </c>
      <c r="R113" s="144">
        <f>SUMIFS('январь 2026'!$G$2:$G$2684,'январь 2026'!$D$2:$D$2684,$B113,'январь 2026'!$J$2:$J$2684,R$1)</f>
        <v>0</v>
      </c>
      <c r="S113" s="144">
        <f>SUMIFS('январь 2026'!$G$2:$G$2684,'январь 2026'!$D$2:$D$2684,$B113,'январь 2026'!$J$2:$J$2684,S$1)</f>
        <v>0</v>
      </c>
      <c r="T113" s="144">
        <f>SUMIFS('январь 2026'!$G$2:$G$2684,'январь 2026'!$D$2:$D$2684,$B113,'январь 2026'!$J$2:$J$2684,T$1)</f>
        <v>0</v>
      </c>
      <c r="U113" s="144">
        <f>SUMIFS('январь 2026'!$G$2:$G$2684,'январь 2026'!$D$2:$D$2684,$B113,'январь 2026'!$J$2:$J$2684,U$1)</f>
        <v>0</v>
      </c>
      <c r="V113" s="144">
        <f>SUMIFS('январь 2026'!$G$2:$G$2684,'январь 2026'!$D$2:$D$2684,$B113,'январь 2026'!$J$2:$J$2684,V$1)</f>
        <v>0</v>
      </c>
      <c r="W113" s="144">
        <f>SUMIFS('январь 2026'!$G$2:$G$2684,'январь 2026'!$D$2:$D$2684,$B113,'январь 2026'!$J$2:$J$2684,W$1)</f>
        <v>0</v>
      </c>
      <c r="X113" s="144">
        <f>SUMIFS('январь 2026'!$G$2:$G$2684,'январь 2026'!$D$2:$D$2684,$B113,'январь 2026'!$J$2:$J$2684,X$1)</f>
        <v>0</v>
      </c>
      <c r="Y113" s="144">
        <f>SUMIFS('январь 2026'!$G$2:$G$2684,'январь 2026'!$D$2:$D$2684,$B113,'январь 2026'!$J$2:$J$2684,Y$1)</f>
        <v>0</v>
      </c>
      <c r="Z113" s="144">
        <f>SUMIFS('январь 2026'!$G$2:$G$2684,'январь 2026'!$D$2:$D$2684,$B113,'январь 2026'!$J$2:$J$2684,Z$1)</f>
        <v>0</v>
      </c>
      <c r="AA113" s="144">
        <f>SUMIFS('январь 2026'!$G$2:$G$2684,'январь 2026'!$D$2:$D$2684,$B113,'январь 2026'!$J$2:$J$2684,AA$1)</f>
        <v>0</v>
      </c>
      <c r="AB113" s="144">
        <f>SUMIFS('январь 2026'!$G$2:$G$2684,'январь 2026'!$D$2:$D$2684,$B113,'январь 2026'!$J$2:$J$2684,AB$1)</f>
        <v>0</v>
      </c>
      <c r="AC113" s="144">
        <f>SUMIFS('январь 2026'!$G$2:$G$2684,'январь 2026'!$D$2:$D$2684,$B113,'январь 2026'!$J$2:$J$2684,AC$1)</f>
        <v>0</v>
      </c>
      <c r="AD113" s="144">
        <f>SUMIFS('январь 2026'!$G$2:$G$2684,'январь 2026'!$D$2:$D$2684,$B113,'январь 2026'!$J$2:$J$2684,AD$1)</f>
        <v>0</v>
      </c>
      <c r="AE113" s="144">
        <f>SUMIFS('январь 2026'!$G$2:$G$2684,'январь 2026'!$D$2:$D$2684,$B113,'январь 2026'!$J$2:$J$2684,AE$1)</f>
        <v>0</v>
      </c>
      <c r="AF113" s="144">
        <f>SUMIFS('январь 2026'!$G$2:$G$2684,'январь 2026'!$D$2:$D$2684,$B113,'январь 2026'!$J$2:$J$2684,AF$1)</f>
        <v>0</v>
      </c>
      <c r="AG113" s="144">
        <f>SUMIFS('январь 2026'!$G$2:$G$2684,'январь 2026'!$D$2:$D$2684,$B113,'январь 2026'!$J$2:$J$2684,AG$1)</f>
        <v>0</v>
      </c>
      <c r="AH113" s="144">
        <f>SUMIFS('январь 2026'!$G$2:$G$2684,'январь 2026'!$D$2:$D$2684,$B113,'январь 2026'!$J$2:$J$2684,AH$1)</f>
        <v>0</v>
      </c>
      <c r="AI113" s="20">
        <f t="shared" si="1"/>
        <v>0</v>
      </c>
    </row>
    <row r="114" spans="2:35" ht="15" customHeight="1" x14ac:dyDescent="0.25">
      <c r="B114" s="82" t="s">
        <v>168</v>
      </c>
      <c r="C114" s="83">
        <v>200</v>
      </c>
      <c r="D114" s="144">
        <f>SUMIFS('январь 2026'!$G$2:$G$2684,'январь 2026'!$D$2:$D$2684,$B114,'январь 2026'!$J$2:$J$2684,D$1)</f>
        <v>0</v>
      </c>
      <c r="E114" s="144">
        <f>SUMIFS('январь 2026'!$G$2:$G$2684,'январь 2026'!$D$2:$D$2684,$B114,'январь 2026'!$J$2:$J$2684,E$1)</f>
        <v>0</v>
      </c>
      <c r="F114" s="144">
        <f>SUMIFS('январь 2026'!$G$2:$G$2684,'январь 2026'!$D$2:$D$2684,$B114,'январь 2026'!$J$2:$J$2684,F$1)</f>
        <v>0</v>
      </c>
      <c r="G114" s="144">
        <f>SUMIFS('январь 2026'!$G$2:$G$2684,'январь 2026'!$D$2:$D$2684,$B114,'январь 2026'!$J$2:$J$2684,G$1)</f>
        <v>0</v>
      </c>
      <c r="H114" s="144">
        <f>SUMIFS('январь 2026'!$G$2:$G$2684,'январь 2026'!$D$2:$D$2684,$B114,'январь 2026'!$J$2:$J$2684,H$1)</f>
        <v>0</v>
      </c>
      <c r="I114" s="144">
        <f>SUMIFS('январь 2026'!$G$2:$G$2684,'январь 2026'!$D$2:$D$2684,$B114,'январь 2026'!$J$2:$J$2684,I$1)</f>
        <v>0</v>
      </c>
      <c r="J114" s="144">
        <f>SUMIFS('январь 2026'!$G$2:$G$2684,'январь 2026'!$D$2:$D$2684,$B114,'январь 2026'!$J$2:$J$2684,J$1)</f>
        <v>0</v>
      </c>
      <c r="K114" s="144">
        <f>SUMIFS('январь 2026'!$G$2:$G$2684,'январь 2026'!$D$2:$D$2684,$B114,'январь 2026'!$J$2:$J$2684,K$1)</f>
        <v>0</v>
      </c>
      <c r="L114" s="144">
        <f>SUMIFS('январь 2026'!$G$2:$G$2684,'январь 2026'!$D$2:$D$2684,$B114,'январь 2026'!$J$2:$J$2684,L$1)</f>
        <v>0</v>
      </c>
      <c r="M114" s="144">
        <f>SUMIFS('январь 2026'!$G$2:$G$2684,'январь 2026'!$D$2:$D$2684,$B114,'январь 2026'!$J$2:$J$2684,M$1)</f>
        <v>0</v>
      </c>
      <c r="N114" s="144">
        <f>SUMIFS('январь 2026'!$G$2:$G$2684,'январь 2026'!$D$2:$D$2684,$B114,'январь 2026'!$J$2:$J$2684,N$1)</f>
        <v>0</v>
      </c>
      <c r="O114" s="144">
        <f>SUMIFS('январь 2026'!$G$2:$G$2684,'январь 2026'!$D$2:$D$2684,$B114,'январь 2026'!$J$2:$J$2684,O$1)</f>
        <v>0</v>
      </c>
      <c r="P114" s="144">
        <f>SUMIFS('январь 2026'!$G$2:$G$2684,'январь 2026'!$D$2:$D$2684,$B114,'январь 2026'!$J$2:$J$2684,P$1)</f>
        <v>0</v>
      </c>
      <c r="Q114" s="144">
        <f>SUMIFS('январь 2026'!$G$2:$G$2684,'январь 2026'!$D$2:$D$2684,$B114,'январь 2026'!$J$2:$J$2684,Q$1)</f>
        <v>0</v>
      </c>
      <c r="R114" s="144">
        <f>SUMIFS('январь 2026'!$G$2:$G$2684,'январь 2026'!$D$2:$D$2684,$B114,'январь 2026'!$J$2:$J$2684,R$1)</f>
        <v>0</v>
      </c>
      <c r="S114" s="144">
        <f>SUMIFS('январь 2026'!$G$2:$G$2684,'январь 2026'!$D$2:$D$2684,$B114,'январь 2026'!$J$2:$J$2684,S$1)</f>
        <v>0</v>
      </c>
      <c r="T114" s="144">
        <f>SUMIFS('январь 2026'!$G$2:$G$2684,'январь 2026'!$D$2:$D$2684,$B114,'январь 2026'!$J$2:$J$2684,T$1)</f>
        <v>0</v>
      </c>
      <c r="U114" s="144">
        <f>SUMIFS('январь 2026'!$G$2:$G$2684,'январь 2026'!$D$2:$D$2684,$B114,'январь 2026'!$J$2:$J$2684,U$1)</f>
        <v>0</v>
      </c>
      <c r="V114" s="144">
        <f>SUMIFS('январь 2026'!$G$2:$G$2684,'январь 2026'!$D$2:$D$2684,$B114,'январь 2026'!$J$2:$J$2684,V$1)</f>
        <v>0</v>
      </c>
      <c r="W114" s="144">
        <f>SUMIFS('январь 2026'!$G$2:$G$2684,'январь 2026'!$D$2:$D$2684,$B114,'январь 2026'!$J$2:$J$2684,W$1)</f>
        <v>0</v>
      </c>
      <c r="X114" s="144">
        <f>SUMIFS('январь 2026'!$G$2:$G$2684,'январь 2026'!$D$2:$D$2684,$B114,'январь 2026'!$J$2:$J$2684,X$1)</f>
        <v>0</v>
      </c>
      <c r="Y114" s="144">
        <f>SUMIFS('январь 2026'!$G$2:$G$2684,'январь 2026'!$D$2:$D$2684,$B114,'январь 2026'!$J$2:$J$2684,Y$1)</f>
        <v>0</v>
      </c>
      <c r="Z114" s="144">
        <f>SUMIFS('январь 2026'!$G$2:$G$2684,'январь 2026'!$D$2:$D$2684,$B114,'январь 2026'!$J$2:$J$2684,Z$1)</f>
        <v>0</v>
      </c>
      <c r="AA114" s="144">
        <f>SUMIFS('январь 2026'!$G$2:$G$2684,'январь 2026'!$D$2:$D$2684,$B114,'январь 2026'!$J$2:$J$2684,AA$1)</f>
        <v>0</v>
      </c>
      <c r="AB114" s="144">
        <f>SUMIFS('январь 2026'!$G$2:$G$2684,'январь 2026'!$D$2:$D$2684,$B114,'январь 2026'!$J$2:$J$2684,AB$1)</f>
        <v>0</v>
      </c>
      <c r="AC114" s="144">
        <f>SUMIFS('январь 2026'!$G$2:$G$2684,'январь 2026'!$D$2:$D$2684,$B114,'январь 2026'!$J$2:$J$2684,AC$1)</f>
        <v>0</v>
      </c>
      <c r="AD114" s="144">
        <f>SUMIFS('январь 2026'!$G$2:$G$2684,'январь 2026'!$D$2:$D$2684,$B114,'январь 2026'!$J$2:$J$2684,AD$1)</f>
        <v>0</v>
      </c>
      <c r="AE114" s="144">
        <f>SUMIFS('январь 2026'!$G$2:$G$2684,'январь 2026'!$D$2:$D$2684,$B114,'январь 2026'!$J$2:$J$2684,AE$1)</f>
        <v>0</v>
      </c>
      <c r="AF114" s="144">
        <f>SUMIFS('январь 2026'!$G$2:$G$2684,'январь 2026'!$D$2:$D$2684,$B114,'январь 2026'!$J$2:$J$2684,AF$1)</f>
        <v>0</v>
      </c>
      <c r="AG114" s="144">
        <f>SUMIFS('январь 2026'!$G$2:$G$2684,'январь 2026'!$D$2:$D$2684,$B114,'январь 2026'!$J$2:$J$2684,AG$1)</f>
        <v>0</v>
      </c>
      <c r="AH114" s="144">
        <f>SUMIFS('январь 2026'!$G$2:$G$2684,'январь 2026'!$D$2:$D$2684,$B114,'январь 2026'!$J$2:$J$2684,AH$1)</f>
        <v>0</v>
      </c>
      <c r="AI114" s="20">
        <f t="shared" si="1"/>
        <v>0</v>
      </c>
    </row>
    <row r="115" spans="2:35" ht="15" customHeight="1" x14ac:dyDescent="0.25">
      <c r="B115" s="82" t="s">
        <v>193</v>
      </c>
      <c r="C115" s="81">
        <v>185</v>
      </c>
      <c r="D115" s="144">
        <f>SUMIFS('январь 2026'!$G$2:$G$2684,'январь 2026'!$D$2:$D$2684,$B115,'январь 2026'!$J$2:$J$2684,D$1)</f>
        <v>0</v>
      </c>
      <c r="E115" s="144">
        <f>SUMIFS('январь 2026'!$G$2:$G$2684,'январь 2026'!$D$2:$D$2684,$B115,'январь 2026'!$J$2:$J$2684,E$1)</f>
        <v>0</v>
      </c>
      <c r="F115" s="144">
        <f>SUMIFS('январь 2026'!$G$2:$G$2684,'январь 2026'!$D$2:$D$2684,$B115,'январь 2026'!$J$2:$J$2684,F$1)</f>
        <v>0</v>
      </c>
      <c r="G115" s="144">
        <f>SUMIFS('январь 2026'!$G$2:$G$2684,'январь 2026'!$D$2:$D$2684,$B115,'январь 2026'!$J$2:$J$2684,G$1)</f>
        <v>0</v>
      </c>
      <c r="H115" s="144">
        <f>SUMIFS('январь 2026'!$G$2:$G$2684,'январь 2026'!$D$2:$D$2684,$B115,'январь 2026'!$J$2:$J$2684,H$1)</f>
        <v>0</v>
      </c>
      <c r="I115" s="144">
        <f>SUMIFS('январь 2026'!$G$2:$G$2684,'январь 2026'!$D$2:$D$2684,$B115,'январь 2026'!$J$2:$J$2684,I$1)</f>
        <v>0</v>
      </c>
      <c r="J115" s="144">
        <f>SUMIFS('январь 2026'!$G$2:$G$2684,'январь 2026'!$D$2:$D$2684,$B115,'январь 2026'!$J$2:$J$2684,J$1)</f>
        <v>0</v>
      </c>
      <c r="K115" s="144">
        <f>SUMIFS('январь 2026'!$G$2:$G$2684,'январь 2026'!$D$2:$D$2684,$B115,'январь 2026'!$J$2:$J$2684,K$1)</f>
        <v>0</v>
      </c>
      <c r="L115" s="144">
        <f>SUMIFS('январь 2026'!$G$2:$G$2684,'январь 2026'!$D$2:$D$2684,$B115,'январь 2026'!$J$2:$J$2684,L$1)</f>
        <v>0</v>
      </c>
      <c r="M115" s="144">
        <f>SUMIFS('январь 2026'!$G$2:$G$2684,'январь 2026'!$D$2:$D$2684,$B115,'январь 2026'!$J$2:$J$2684,M$1)</f>
        <v>0</v>
      </c>
      <c r="N115" s="144">
        <f>SUMIFS('январь 2026'!$G$2:$G$2684,'январь 2026'!$D$2:$D$2684,$B115,'январь 2026'!$J$2:$J$2684,N$1)</f>
        <v>0</v>
      </c>
      <c r="O115" s="144">
        <f>SUMIFS('январь 2026'!$G$2:$G$2684,'январь 2026'!$D$2:$D$2684,$B115,'январь 2026'!$J$2:$J$2684,O$1)</f>
        <v>0</v>
      </c>
      <c r="P115" s="144">
        <f>SUMIFS('январь 2026'!$G$2:$G$2684,'январь 2026'!$D$2:$D$2684,$B115,'январь 2026'!$J$2:$J$2684,P$1)</f>
        <v>0</v>
      </c>
      <c r="Q115" s="144">
        <f>SUMIFS('январь 2026'!$G$2:$G$2684,'январь 2026'!$D$2:$D$2684,$B115,'январь 2026'!$J$2:$J$2684,Q$1)</f>
        <v>0</v>
      </c>
      <c r="R115" s="144">
        <f>SUMIFS('январь 2026'!$G$2:$G$2684,'январь 2026'!$D$2:$D$2684,$B115,'январь 2026'!$J$2:$J$2684,R$1)</f>
        <v>0</v>
      </c>
      <c r="S115" s="144">
        <f>SUMIFS('январь 2026'!$G$2:$G$2684,'январь 2026'!$D$2:$D$2684,$B115,'январь 2026'!$J$2:$J$2684,S$1)</f>
        <v>0</v>
      </c>
      <c r="T115" s="144">
        <f>SUMIFS('январь 2026'!$G$2:$G$2684,'январь 2026'!$D$2:$D$2684,$B115,'январь 2026'!$J$2:$J$2684,T$1)</f>
        <v>0</v>
      </c>
      <c r="U115" s="144">
        <f>SUMIFS('январь 2026'!$G$2:$G$2684,'январь 2026'!$D$2:$D$2684,$B115,'январь 2026'!$J$2:$J$2684,U$1)</f>
        <v>0</v>
      </c>
      <c r="V115" s="144">
        <f>SUMIFS('январь 2026'!$G$2:$G$2684,'январь 2026'!$D$2:$D$2684,$B115,'январь 2026'!$J$2:$J$2684,V$1)</f>
        <v>0</v>
      </c>
      <c r="W115" s="144">
        <f>SUMIFS('январь 2026'!$G$2:$G$2684,'январь 2026'!$D$2:$D$2684,$B115,'январь 2026'!$J$2:$J$2684,W$1)</f>
        <v>0</v>
      </c>
      <c r="X115" s="144">
        <f>SUMIFS('январь 2026'!$G$2:$G$2684,'январь 2026'!$D$2:$D$2684,$B115,'январь 2026'!$J$2:$J$2684,X$1)</f>
        <v>0</v>
      </c>
      <c r="Y115" s="144">
        <f>SUMIFS('январь 2026'!$G$2:$G$2684,'январь 2026'!$D$2:$D$2684,$B115,'январь 2026'!$J$2:$J$2684,Y$1)</f>
        <v>0</v>
      </c>
      <c r="Z115" s="144">
        <f>SUMIFS('январь 2026'!$G$2:$G$2684,'январь 2026'!$D$2:$D$2684,$B115,'январь 2026'!$J$2:$J$2684,Z$1)</f>
        <v>0</v>
      </c>
      <c r="AA115" s="144">
        <f>SUMIFS('январь 2026'!$G$2:$G$2684,'январь 2026'!$D$2:$D$2684,$B115,'январь 2026'!$J$2:$J$2684,AA$1)</f>
        <v>0</v>
      </c>
      <c r="AB115" s="144">
        <f>SUMIFS('январь 2026'!$G$2:$G$2684,'январь 2026'!$D$2:$D$2684,$B115,'январь 2026'!$J$2:$J$2684,AB$1)</f>
        <v>0</v>
      </c>
      <c r="AC115" s="144">
        <f>SUMIFS('январь 2026'!$G$2:$G$2684,'январь 2026'!$D$2:$D$2684,$B115,'январь 2026'!$J$2:$J$2684,AC$1)</f>
        <v>0</v>
      </c>
      <c r="AD115" s="144">
        <f>SUMIFS('январь 2026'!$G$2:$G$2684,'январь 2026'!$D$2:$D$2684,$B115,'январь 2026'!$J$2:$J$2684,AD$1)</f>
        <v>0</v>
      </c>
      <c r="AE115" s="144">
        <f>SUMIFS('январь 2026'!$G$2:$G$2684,'январь 2026'!$D$2:$D$2684,$B115,'январь 2026'!$J$2:$J$2684,AE$1)</f>
        <v>0</v>
      </c>
      <c r="AF115" s="144">
        <f>SUMIFS('январь 2026'!$G$2:$G$2684,'январь 2026'!$D$2:$D$2684,$B115,'январь 2026'!$J$2:$J$2684,AF$1)</f>
        <v>0</v>
      </c>
      <c r="AG115" s="144">
        <f>SUMIFS('январь 2026'!$G$2:$G$2684,'январь 2026'!$D$2:$D$2684,$B115,'январь 2026'!$J$2:$J$2684,AG$1)</f>
        <v>0</v>
      </c>
      <c r="AH115" s="144">
        <f>SUMIFS('январь 2026'!$G$2:$G$2684,'январь 2026'!$D$2:$D$2684,$B115,'январь 2026'!$J$2:$J$2684,AH$1)</f>
        <v>0</v>
      </c>
      <c r="AI115" s="20">
        <f t="shared" si="1"/>
        <v>0</v>
      </c>
    </row>
    <row r="116" spans="2:35" ht="15" customHeight="1" x14ac:dyDescent="0.25">
      <c r="B116" s="82" t="s">
        <v>194</v>
      </c>
      <c r="C116" s="81">
        <v>185</v>
      </c>
      <c r="D116" s="144">
        <f>SUMIFS('январь 2026'!$G$2:$G$2684,'январь 2026'!$D$2:$D$2684,$B116,'январь 2026'!$J$2:$J$2684,D$1)</f>
        <v>0</v>
      </c>
      <c r="E116" s="144">
        <f>SUMIFS('январь 2026'!$G$2:$G$2684,'январь 2026'!$D$2:$D$2684,$B116,'январь 2026'!$J$2:$J$2684,E$1)</f>
        <v>0</v>
      </c>
      <c r="F116" s="144">
        <f>SUMIFS('январь 2026'!$G$2:$G$2684,'январь 2026'!$D$2:$D$2684,$B116,'январь 2026'!$J$2:$J$2684,F$1)</f>
        <v>0</v>
      </c>
      <c r="G116" s="144">
        <f>SUMIFS('январь 2026'!$G$2:$G$2684,'январь 2026'!$D$2:$D$2684,$B116,'январь 2026'!$J$2:$J$2684,G$1)</f>
        <v>0</v>
      </c>
      <c r="H116" s="144">
        <f>SUMIFS('январь 2026'!$G$2:$G$2684,'январь 2026'!$D$2:$D$2684,$B116,'январь 2026'!$J$2:$J$2684,H$1)</f>
        <v>0</v>
      </c>
      <c r="I116" s="144">
        <f>SUMIFS('январь 2026'!$G$2:$G$2684,'январь 2026'!$D$2:$D$2684,$B116,'январь 2026'!$J$2:$J$2684,I$1)</f>
        <v>0</v>
      </c>
      <c r="J116" s="144">
        <f>SUMIFS('январь 2026'!$G$2:$G$2684,'январь 2026'!$D$2:$D$2684,$B116,'январь 2026'!$J$2:$J$2684,J$1)</f>
        <v>0</v>
      </c>
      <c r="K116" s="144">
        <f>SUMIFS('январь 2026'!$G$2:$G$2684,'январь 2026'!$D$2:$D$2684,$B116,'январь 2026'!$J$2:$J$2684,K$1)</f>
        <v>0</v>
      </c>
      <c r="L116" s="144">
        <f>SUMIFS('январь 2026'!$G$2:$G$2684,'январь 2026'!$D$2:$D$2684,$B116,'январь 2026'!$J$2:$J$2684,L$1)</f>
        <v>0</v>
      </c>
      <c r="M116" s="144">
        <f>SUMIFS('январь 2026'!$G$2:$G$2684,'январь 2026'!$D$2:$D$2684,$B116,'январь 2026'!$J$2:$J$2684,M$1)</f>
        <v>0</v>
      </c>
      <c r="N116" s="144">
        <f>SUMIFS('январь 2026'!$G$2:$G$2684,'январь 2026'!$D$2:$D$2684,$B116,'январь 2026'!$J$2:$J$2684,N$1)</f>
        <v>0</v>
      </c>
      <c r="O116" s="144">
        <f>SUMIFS('январь 2026'!$G$2:$G$2684,'январь 2026'!$D$2:$D$2684,$B116,'январь 2026'!$J$2:$J$2684,O$1)</f>
        <v>0</v>
      </c>
      <c r="P116" s="144">
        <f>SUMIFS('январь 2026'!$G$2:$G$2684,'январь 2026'!$D$2:$D$2684,$B116,'январь 2026'!$J$2:$J$2684,P$1)</f>
        <v>0</v>
      </c>
      <c r="Q116" s="144">
        <f>SUMIFS('январь 2026'!$G$2:$G$2684,'январь 2026'!$D$2:$D$2684,$B116,'январь 2026'!$J$2:$J$2684,Q$1)</f>
        <v>0</v>
      </c>
      <c r="R116" s="144">
        <f>SUMIFS('январь 2026'!$G$2:$G$2684,'январь 2026'!$D$2:$D$2684,$B116,'январь 2026'!$J$2:$J$2684,R$1)</f>
        <v>0</v>
      </c>
      <c r="S116" s="144">
        <f>SUMIFS('январь 2026'!$G$2:$G$2684,'январь 2026'!$D$2:$D$2684,$B116,'январь 2026'!$J$2:$J$2684,S$1)</f>
        <v>0</v>
      </c>
      <c r="T116" s="144">
        <f>SUMIFS('январь 2026'!$G$2:$G$2684,'январь 2026'!$D$2:$D$2684,$B116,'январь 2026'!$J$2:$J$2684,T$1)</f>
        <v>0</v>
      </c>
      <c r="U116" s="144">
        <f>SUMIFS('январь 2026'!$G$2:$G$2684,'январь 2026'!$D$2:$D$2684,$B116,'январь 2026'!$J$2:$J$2684,U$1)</f>
        <v>0</v>
      </c>
      <c r="V116" s="144">
        <f>SUMIFS('январь 2026'!$G$2:$G$2684,'январь 2026'!$D$2:$D$2684,$B116,'январь 2026'!$J$2:$J$2684,V$1)</f>
        <v>0</v>
      </c>
      <c r="W116" s="144">
        <f>SUMIFS('январь 2026'!$G$2:$G$2684,'январь 2026'!$D$2:$D$2684,$B116,'январь 2026'!$J$2:$J$2684,W$1)</f>
        <v>0</v>
      </c>
      <c r="X116" s="144">
        <f>SUMIFS('январь 2026'!$G$2:$G$2684,'январь 2026'!$D$2:$D$2684,$B116,'январь 2026'!$J$2:$J$2684,X$1)</f>
        <v>0</v>
      </c>
      <c r="Y116" s="144">
        <f>SUMIFS('январь 2026'!$G$2:$G$2684,'январь 2026'!$D$2:$D$2684,$B116,'январь 2026'!$J$2:$J$2684,Y$1)</f>
        <v>0</v>
      </c>
      <c r="Z116" s="144">
        <f>SUMIFS('январь 2026'!$G$2:$G$2684,'январь 2026'!$D$2:$D$2684,$B116,'январь 2026'!$J$2:$J$2684,Z$1)</f>
        <v>0</v>
      </c>
      <c r="AA116" s="144">
        <f>SUMIFS('январь 2026'!$G$2:$G$2684,'январь 2026'!$D$2:$D$2684,$B116,'январь 2026'!$J$2:$J$2684,AA$1)</f>
        <v>0</v>
      </c>
      <c r="AB116" s="144">
        <f>SUMIFS('январь 2026'!$G$2:$G$2684,'январь 2026'!$D$2:$D$2684,$B116,'январь 2026'!$J$2:$J$2684,AB$1)</f>
        <v>0</v>
      </c>
      <c r="AC116" s="144">
        <f>SUMIFS('январь 2026'!$G$2:$G$2684,'январь 2026'!$D$2:$D$2684,$B116,'январь 2026'!$J$2:$J$2684,AC$1)</f>
        <v>0</v>
      </c>
      <c r="AD116" s="144">
        <f>SUMIFS('январь 2026'!$G$2:$G$2684,'январь 2026'!$D$2:$D$2684,$B116,'январь 2026'!$J$2:$J$2684,AD$1)</f>
        <v>0</v>
      </c>
      <c r="AE116" s="144">
        <f>SUMIFS('январь 2026'!$G$2:$G$2684,'январь 2026'!$D$2:$D$2684,$B116,'январь 2026'!$J$2:$J$2684,AE$1)</f>
        <v>0</v>
      </c>
      <c r="AF116" s="144">
        <f>SUMIFS('январь 2026'!$G$2:$G$2684,'январь 2026'!$D$2:$D$2684,$B116,'январь 2026'!$J$2:$J$2684,AF$1)</f>
        <v>0</v>
      </c>
      <c r="AG116" s="144">
        <f>SUMIFS('январь 2026'!$G$2:$G$2684,'январь 2026'!$D$2:$D$2684,$B116,'январь 2026'!$J$2:$J$2684,AG$1)</f>
        <v>0</v>
      </c>
      <c r="AH116" s="144">
        <f>SUMIFS('январь 2026'!$G$2:$G$2684,'январь 2026'!$D$2:$D$2684,$B116,'январь 2026'!$J$2:$J$2684,AH$1)</f>
        <v>0</v>
      </c>
      <c r="AI116" s="20">
        <f t="shared" si="1"/>
        <v>0</v>
      </c>
    </row>
    <row r="117" spans="2:35" ht="15" customHeight="1" x14ac:dyDescent="0.25">
      <c r="B117" s="82" t="s">
        <v>256</v>
      </c>
      <c r="C117" s="81">
        <v>180</v>
      </c>
      <c r="D117" s="144">
        <f>SUMIFS('январь 2026'!$G$2:$G$2684,'январь 2026'!$D$2:$D$2684,$B117,'январь 2026'!$J$2:$J$2684,D$1)</f>
        <v>0</v>
      </c>
      <c r="E117" s="144">
        <f>SUMIFS('январь 2026'!$G$2:$G$2684,'январь 2026'!$D$2:$D$2684,$B117,'январь 2026'!$J$2:$J$2684,E$1)</f>
        <v>0</v>
      </c>
      <c r="F117" s="144">
        <f>SUMIFS('январь 2026'!$G$2:$G$2684,'январь 2026'!$D$2:$D$2684,$B117,'январь 2026'!$J$2:$J$2684,F$1)</f>
        <v>0</v>
      </c>
      <c r="G117" s="144">
        <f>SUMIFS('январь 2026'!$G$2:$G$2684,'январь 2026'!$D$2:$D$2684,$B117,'январь 2026'!$J$2:$J$2684,G$1)</f>
        <v>0</v>
      </c>
      <c r="H117" s="144">
        <f>SUMIFS('январь 2026'!$G$2:$G$2684,'январь 2026'!$D$2:$D$2684,$B117,'январь 2026'!$J$2:$J$2684,H$1)</f>
        <v>0</v>
      </c>
      <c r="I117" s="144">
        <f>SUMIFS('январь 2026'!$G$2:$G$2684,'январь 2026'!$D$2:$D$2684,$B117,'январь 2026'!$J$2:$J$2684,I$1)</f>
        <v>0</v>
      </c>
      <c r="J117" s="144">
        <f>SUMIFS('январь 2026'!$G$2:$G$2684,'январь 2026'!$D$2:$D$2684,$B117,'январь 2026'!$J$2:$J$2684,J$1)</f>
        <v>0</v>
      </c>
      <c r="K117" s="144">
        <f>SUMIFS('январь 2026'!$G$2:$G$2684,'январь 2026'!$D$2:$D$2684,$B117,'январь 2026'!$J$2:$J$2684,K$1)</f>
        <v>0</v>
      </c>
      <c r="L117" s="144">
        <f>SUMIFS('январь 2026'!$G$2:$G$2684,'январь 2026'!$D$2:$D$2684,$B117,'январь 2026'!$J$2:$J$2684,L$1)</f>
        <v>0</v>
      </c>
      <c r="M117" s="144">
        <f>SUMIFS('январь 2026'!$G$2:$G$2684,'январь 2026'!$D$2:$D$2684,$B117,'январь 2026'!$J$2:$J$2684,M$1)</f>
        <v>0</v>
      </c>
      <c r="N117" s="144">
        <f>SUMIFS('январь 2026'!$G$2:$G$2684,'январь 2026'!$D$2:$D$2684,$B117,'январь 2026'!$J$2:$J$2684,N$1)</f>
        <v>0</v>
      </c>
      <c r="O117" s="144">
        <f>SUMIFS('январь 2026'!$G$2:$G$2684,'январь 2026'!$D$2:$D$2684,$B117,'январь 2026'!$J$2:$J$2684,O$1)</f>
        <v>0</v>
      </c>
      <c r="P117" s="144">
        <f>SUMIFS('январь 2026'!$G$2:$G$2684,'январь 2026'!$D$2:$D$2684,$B117,'январь 2026'!$J$2:$J$2684,P$1)</f>
        <v>0</v>
      </c>
      <c r="Q117" s="144">
        <f>SUMIFS('январь 2026'!$G$2:$G$2684,'январь 2026'!$D$2:$D$2684,$B117,'январь 2026'!$J$2:$J$2684,Q$1)</f>
        <v>0</v>
      </c>
      <c r="R117" s="144">
        <f>SUMIFS('январь 2026'!$G$2:$G$2684,'январь 2026'!$D$2:$D$2684,$B117,'январь 2026'!$J$2:$J$2684,R$1)</f>
        <v>0</v>
      </c>
      <c r="S117" s="144">
        <f>SUMIFS('январь 2026'!$G$2:$G$2684,'январь 2026'!$D$2:$D$2684,$B117,'январь 2026'!$J$2:$J$2684,S$1)</f>
        <v>0</v>
      </c>
      <c r="T117" s="144">
        <f>SUMIFS('январь 2026'!$G$2:$G$2684,'январь 2026'!$D$2:$D$2684,$B117,'январь 2026'!$J$2:$J$2684,T$1)</f>
        <v>0</v>
      </c>
      <c r="U117" s="144">
        <f>SUMIFS('январь 2026'!$G$2:$G$2684,'январь 2026'!$D$2:$D$2684,$B117,'январь 2026'!$J$2:$J$2684,U$1)</f>
        <v>0</v>
      </c>
      <c r="V117" s="144">
        <f>SUMIFS('январь 2026'!$G$2:$G$2684,'январь 2026'!$D$2:$D$2684,$B117,'январь 2026'!$J$2:$J$2684,V$1)</f>
        <v>0</v>
      </c>
      <c r="W117" s="144">
        <f>SUMIFS('январь 2026'!$G$2:$G$2684,'январь 2026'!$D$2:$D$2684,$B117,'январь 2026'!$J$2:$J$2684,W$1)</f>
        <v>0</v>
      </c>
      <c r="X117" s="144">
        <f>SUMIFS('январь 2026'!$G$2:$G$2684,'январь 2026'!$D$2:$D$2684,$B117,'январь 2026'!$J$2:$J$2684,X$1)</f>
        <v>0</v>
      </c>
      <c r="Y117" s="144">
        <f>SUMIFS('январь 2026'!$G$2:$G$2684,'январь 2026'!$D$2:$D$2684,$B117,'январь 2026'!$J$2:$J$2684,Y$1)</f>
        <v>0</v>
      </c>
      <c r="Z117" s="144">
        <f>SUMIFS('январь 2026'!$G$2:$G$2684,'январь 2026'!$D$2:$D$2684,$B117,'январь 2026'!$J$2:$J$2684,Z$1)</f>
        <v>0</v>
      </c>
      <c r="AA117" s="144">
        <f>SUMIFS('январь 2026'!$G$2:$G$2684,'январь 2026'!$D$2:$D$2684,$B117,'январь 2026'!$J$2:$J$2684,AA$1)</f>
        <v>0</v>
      </c>
      <c r="AB117" s="144">
        <f>SUMIFS('январь 2026'!$G$2:$G$2684,'январь 2026'!$D$2:$D$2684,$B117,'январь 2026'!$J$2:$J$2684,AB$1)</f>
        <v>0</v>
      </c>
      <c r="AC117" s="144">
        <f>SUMIFS('январь 2026'!$G$2:$G$2684,'январь 2026'!$D$2:$D$2684,$B117,'январь 2026'!$J$2:$J$2684,AC$1)</f>
        <v>0</v>
      </c>
      <c r="AD117" s="144">
        <f>SUMIFS('январь 2026'!$G$2:$G$2684,'январь 2026'!$D$2:$D$2684,$B117,'январь 2026'!$J$2:$J$2684,AD$1)</f>
        <v>0</v>
      </c>
      <c r="AE117" s="144">
        <f>SUMIFS('январь 2026'!$G$2:$G$2684,'январь 2026'!$D$2:$D$2684,$B117,'январь 2026'!$J$2:$J$2684,AE$1)</f>
        <v>0</v>
      </c>
      <c r="AF117" s="144">
        <f>SUMIFS('январь 2026'!$G$2:$G$2684,'январь 2026'!$D$2:$D$2684,$B117,'январь 2026'!$J$2:$J$2684,AF$1)</f>
        <v>0</v>
      </c>
      <c r="AG117" s="144">
        <f>SUMIFS('январь 2026'!$G$2:$G$2684,'январь 2026'!$D$2:$D$2684,$B117,'январь 2026'!$J$2:$J$2684,AG$1)</f>
        <v>0</v>
      </c>
      <c r="AH117" s="144">
        <f>SUMIFS('январь 2026'!$G$2:$G$2684,'январь 2026'!$D$2:$D$2684,$B117,'январь 2026'!$J$2:$J$2684,AH$1)</f>
        <v>0</v>
      </c>
      <c r="AI117" s="20">
        <f t="shared" si="1"/>
        <v>0</v>
      </c>
    </row>
    <row r="118" spans="2:35" ht="15" customHeight="1" x14ac:dyDescent="0.25">
      <c r="B118" s="85" t="s">
        <v>257</v>
      </c>
      <c r="C118" s="83">
        <v>200</v>
      </c>
      <c r="D118" s="144">
        <f>SUMIFS('январь 2026'!$G$2:$G$2684,'январь 2026'!$D$2:$D$2684,$B118,'январь 2026'!$J$2:$J$2684,D$1)</f>
        <v>0</v>
      </c>
      <c r="E118" s="144">
        <f>SUMIFS('январь 2026'!$G$2:$G$2684,'январь 2026'!$D$2:$D$2684,$B118,'январь 2026'!$J$2:$J$2684,E$1)</f>
        <v>0</v>
      </c>
      <c r="F118" s="144">
        <f>SUMIFS('январь 2026'!$G$2:$G$2684,'январь 2026'!$D$2:$D$2684,$B118,'январь 2026'!$J$2:$J$2684,F$1)</f>
        <v>0</v>
      </c>
      <c r="G118" s="144">
        <f>SUMIFS('январь 2026'!$G$2:$G$2684,'январь 2026'!$D$2:$D$2684,$B118,'январь 2026'!$J$2:$J$2684,G$1)</f>
        <v>0</v>
      </c>
      <c r="H118" s="144">
        <f>SUMIFS('январь 2026'!$G$2:$G$2684,'январь 2026'!$D$2:$D$2684,$B118,'январь 2026'!$J$2:$J$2684,H$1)</f>
        <v>0</v>
      </c>
      <c r="I118" s="144">
        <f>SUMIFS('январь 2026'!$G$2:$G$2684,'январь 2026'!$D$2:$D$2684,$B118,'январь 2026'!$J$2:$J$2684,I$1)</f>
        <v>0</v>
      </c>
      <c r="J118" s="144">
        <f>SUMIFS('январь 2026'!$G$2:$G$2684,'январь 2026'!$D$2:$D$2684,$B118,'январь 2026'!$J$2:$J$2684,J$1)</f>
        <v>0</v>
      </c>
      <c r="K118" s="144">
        <f>SUMIFS('январь 2026'!$G$2:$G$2684,'январь 2026'!$D$2:$D$2684,$B118,'январь 2026'!$J$2:$J$2684,K$1)</f>
        <v>0</v>
      </c>
      <c r="L118" s="144">
        <f>SUMIFS('январь 2026'!$G$2:$G$2684,'январь 2026'!$D$2:$D$2684,$B118,'январь 2026'!$J$2:$J$2684,L$1)</f>
        <v>0</v>
      </c>
      <c r="M118" s="144">
        <f>SUMIFS('январь 2026'!$G$2:$G$2684,'январь 2026'!$D$2:$D$2684,$B118,'январь 2026'!$J$2:$J$2684,M$1)</f>
        <v>0</v>
      </c>
      <c r="N118" s="144">
        <f>SUMIFS('январь 2026'!$G$2:$G$2684,'январь 2026'!$D$2:$D$2684,$B118,'январь 2026'!$J$2:$J$2684,N$1)</f>
        <v>0</v>
      </c>
      <c r="O118" s="144">
        <f>SUMIFS('январь 2026'!$G$2:$G$2684,'январь 2026'!$D$2:$D$2684,$B118,'январь 2026'!$J$2:$J$2684,O$1)</f>
        <v>0</v>
      </c>
      <c r="P118" s="144">
        <f>SUMIFS('январь 2026'!$G$2:$G$2684,'январь 2026'!$D$2:$D$2684,$B118,'январь 2026'!$J$2:$J$2684,P$1)</f>
        <v>0</v>
      </c>
      <c r="Q118" s="144">
        <f>SUMIFS('январь 2026'!$G$2:$G$2684,'январь 2026'!$D$2:$D$2684,$B118,'январь 2026'!$J$2:$J$2684,Q$1)</f>
        <v>0</v>
      </c>
      <c r="R118" s="144">
        <f>SUMIFS('январь 2026'!$G$2:$G$2684,'январь 2026'!$D$2:$D$2684,$B118,'январь 2026'!$J$2:$J$2684,R$1)</f>
        <v>0</v>
      </c>
      <c r="S118" s="144">
        <f>SUMIFS('январь 2026'!$G$2:$G$2684,'январь 2026'!$D$2:$D$2684,$B118,'январь 2026'!$J$2:$J$2684,S$1)</f>
        <v>0</v>
      </c>
      <c r="T118" s="144">
        <f>SUMIFS('январь 2026'!$G$2:$G$2684,'январь 2026'!$D$2:$D$2684,$B118,'январь 2026'!$J$2:$J$2684,T$1)</f>
        <v>0</v>
      </c>
      <c r="U118" s="144">
        <f>SUMIFS('январь 2026'!$G$2:$G$2684,'январь 2026'!$D$2:$D$2684,$B118,'январь 2026'!$J$2:$J$2684,U$1)</f>
        <v>0</v>
      </c>
      <c r="V118" s="144">
        <f>SUMIFS('январь 2026'!$G$2:$G$2684,'январь 2026'!$D$2:$D$2684,$B118,'январь 2026'!$J$2:$J$2684,V$1)</f>
        <v>0</v>
      </c>
      <c r="W118" s="144">
        <f>SUMIFS('январь 2026'!$G$2:$G$2684,'январь 2026'!$D$2:$D$2684,$B118,'январь 2026'!$J$2:$J$2684,W$1)</f>
        <v>0</v>
      </c>
      <c r="X118" s="144">
        <f>SUMIFS('январь 2026'!$G$2:$G$2684,'январь 2026'!$D$2:$D$2684,$B118,'январь 2026'!$J$2:$J$2684,X$1)</f>
        <v>0</v>
      </c>
      <c r="Y118" s="144">
        <f>SUMIFS('январь 2026'!$G$2:$G$2684,'январь 2026'!$D$2:$D$2684,$B118,'январь 2026'!$J$2:$J$2684,Y$1)</f>
        <v>0</v>
      </c>
      <c r="Z118" s="144">
        <f>SUMIFS('январь 2026'!$G$2:$G$2684,'январь 2026'!$D$2:$D$2684,$B118,'январь 2026'!$J$2:$J$2684,Z$1)</f>
        <v>0</v>
      </c>
      <c r="AA118" s="144">
        <f>SUMIFS('январь 2026'!$G$2:$G$2684,'январь 2026'!$D$2:$D$2684,$B118,'январь 2026'!$J$2:$J$2684,AA$1)</f>
        <v>0</v>
      </c>
      <c r="AB118" s="144">
        <f>SUMIFS('январь 2026'!$G$2:$G$2684,'январь 2026'!$D$2:$D$2684,$B118,'январь 2026'!$J$2:$J$2684,AB$1)</f>
        <v>0</v>
      </c>
      <c r="AC118" s="144">
        <f>SUMIFS('январь 2026'!$G$2:$G$2684,'январь 2026'!$D$2:$D$2684,$B118,'январь 2026'!$J$2:$J$2684,AC$1)</f>
        <v>0</v>
      </c>
      <c r="AD118" s="144">
        <f>SUMIFS('январь 2026'!$G$2:$G$2684,'январь 2026'!$D$2:$D$2684,$B118,'январь 2026'!$J$2:$J$2684,AD$1)</f>
        <v>0</v>
      </c>
      <c r="AE118" s="144">
        <f>SUMIFS('январь 2026'!$G$2:$G$2684,'январь 2026'!$D$2:$D$2684,$B118,'январь 2026'!$J$2:$J$2684,AE$1)</f>
        <v>0</v>
      </c>
      <c r="AF118" s="144">
        <f>SUMIFS('январь 2026'!$G$2:$G$2684,'январь 2026'!$D$2:$D$2684,$B118,'январь 2026'!$J$2:$J$2684,AF$1)</f>
        <v>0</v>
      </c>
      <c r="AG118" s="144">
        <f>SUMIFS('январь 2026'!$G$2:$G$2684,'январь 2026'!$D$2:$D$2684,$B118,'январь 2026'!$J$2:$J$2684,AG$1)</f>
        <v>0</v>
      </c>
      <c r="AH118" s="144">
        <f>SUMIFS('январь 2026'!$G$2:$G$2684,'январь 2026'!$D$2:$D$2684,$B118,'январь 2026'!$J$2:$J$2684,AH$1)</f>
        <v>0</v>
      </c>
      <c r="AI118" s="20">
        <f t="shared" si="1"/>
        <v>0</v>
      </c>
    </row>
    <row r="119" spans="2:35" ht="15" customHeight="1" x14ac:dyDescent="0.25">
      <c r="B119" s="85" t="s">
        <v>178</v>
      </c>
      <c r="C119" s="83">
        <v>200</v>
      </c>
      <c r="D119" s="144">
        <f>SUMIFS('январь 2026'!$G$2:$G$2684,'январь 2026'!$D$2:$D$2684,$B119,'январь 2026'!$J$2:$J$2684,D$1)</f>
        <v>0</v>
      </c>
      <c r="E119" s="144">
        <f>SUMIFS('январь 2026'!$G$2:$G$2684,'январь 2026'!$D$2:$D$2684,$B119,'январь 2026'!$J$2:$J$2684,E$1)</f>
        <v>0</v>
      </c>
      <c r="F119" s="144">
        <f>SUMIFS('январь 2026'!$G$2:$G$2684,'январь 2026'!$D$2:$D$2684,$B119,'январь 2026'!$J$2:$J$2684,F$1)</f>
        <v>0</v>
      </c>
      <c r="G119" s="144">
        <f>SUMIFS('январь 2026'!$G$2:$G$2684,'январь 2026'!$D$2:$D$2684,$B119,'январь 2026'!$J$2:$J$2684,G$1)</f>
        <v>0</v>
      </c>
      <c r="H119" s="144">
        <f>SUMIFS('январь 2026'!$G$2:$G$2684,'январь 2026'!$D$2:$D$2684,$B119,'январь 2026'!$J$2:$J$2684,H$1)</f>
        <v>0</v>
      </c>
      <c r="I119" s="144">
        <f>SUMIFS('январь 2026'!$G$2:$G$2684,'январь 2026'!$D$2:$D$2684,$B119,'январь 2026'!$J$2:$J$2684,I$1)</f>
        <v>0</v>
      </c>
      <c r="J119" s="144">
        <f>SUMIFS('январь 2026'!$G$2:$G$2684,'январь 2026'!$D$2:$D$2684,$B119,'январь 2026'!$J$2:$J$2684,J$1)</f>
        <v>0</v>
      </c>
      <c r="K119" s="144">
        <f>SUMIFS('январь 2026'!$G$2:$G$2684,'январь 2026'!$D$2:$D$2684,$B119,'январь 2026'!$J$2:$J$2684,K$1)</f>
        <v>0</v>
      </c>
      <c r="L119" s="144">
        <f>SUMIFS('январь 2026'!$G$2:$G$2684,'январь 2026'!$D$2:$D$2684,$B119,'январь 2026'!$J$2:$J$2684,L$1)</f>
        <v>0</v>
      </c>
      <c r="M119" s="144">
        <f>SUMIFS('январь 2026'!$G$2:$G$2684,'январь 2026'!$D$2:$D$2684,$B119,'январь 2026'!$J$2:$J$2684,M$1)</f>
        <v>0</v>
      </c>
      <c r="N119" s="144">
        <f>SUMIFS('январь 2026'!$G$2:$G$2684,'январь 2026'!$D$2:$D$2684,$B119,'январь 2026'!$J$2:$J$2684,N$1)</f>
        <v>0</v>
      </c>
      <c r="O119" s="144">
        <f>SUMIFS('январь 2026'!$G$2:$G$2684,'январь 2026'!$D$2:$D$2684,$B119,'январь 2026'!$J$2:$J$2684,O$1)</f>
        <v>0</v>
      </c>
      <c r="P119" s="144">
        <f>SUMIFS('январь 2026'!$G$2:$G$2684,'январь 2026'!$D$2:$D$2684,$B119,'январь 2026'!$J$2:$J$2684,P$1)</f>
        <v>0</v>
      </c>
      <c r="Q119" s="144">
        <f>SUMIFS('январь 2026'!$G$2:$G$2684,'январь 2026'!$D$2:$D$2684,$B119,'январь 2026'!$J$2:$J$2684,Q$1)</f>
        <v>0</v>
      </c>
      <c r="R119" s="144">
        <f>SUMIFS('январь 2026'!$G$2:$G$2684,'январь 2026'!$D$2:$D$2684,$B119,'январь 2026'!$J$2:$J$2684,R$1)</f>
        <v>0</v>
      </c>
      <c r="S119" s="144">
        <f>SUMIFS('январь 2026'!$G$2:$G$2684,'январь 2026'!$D$2:$D$2684,$B119,'январь 2026'!$J$2:$J$2684,S$1)</f>
        <v>0</v>
      </c>
      <c r="T119" s="144">
        <f>SUMIFS('январь 2026'!$G$2:$G$2684,'январь 2026'!$D$2:$D$2684,$B119,'январь 2026'!$J$2:$J$2684,T$1)</f>
        <v>0</v>
      </c>
      <c r="U119" s="144">
        <f>SUMIFS('январь 2026'!$G$2:$G$2684,'январь 2026'!$D$2:$D$2684,$B119,'январь 2026'!$J$2:$J$2684,U$1)</f>
        <v>0</v>
      </c>
      <c r="V119" s="144">
        <f>SUMIFS('январь 2026'!$G$2:$G$2684,'январь 2026'!$D$2:$D$2684,$B119,'январь 2026'!$J$2:$J$2684,V$1)</f>
        <v>0</v>
      </c>
      <c r="W119" s="144">
        <f>SUMIFS('январь 2026'!$G$2:$G$2684,'январь 2026'!$D$2:$D$2684,$B119,'январь 2026'!$J$2:$J$2684,W$1)</f>
        <v>0</v>
      </c>
      <c r="X119" s="144">
        <f>SUMIFS('январь 2026'!$G$2:$G$2684,'январь 2026'!$D$2:$D$2684,$B119,'январь 2026'!$J$2:$J$2684,X$1)</f>
        <v>0</v>
      </c>
      <c r="Y119" s="144">
        <f>SUMIFS('январь 2026'!$G$2:$G$2684,'январь 2026'!$D$2:$D$2684,$B119,'январь 2026'!$J$2:$J$2684,Y$1)</f>
        <v>0</v>
      </c>
      <c r="Z119" s="144">
        <f>SUMIFS('январь 2026'!$G$2:$G$2684,'январь 2026'!$D$2:$D$2684,$B119,'январь 2026'!$J$2:$J$2684,Z$1)</f>
        <v>0</v>
      </c>
      <c r="AA119" s="144">
        <f>SUMIFS('январь 2026'!$G$2:$G$2684,'январь 2026'!$D$2:$D$2684,$B119,'январь 2026'!$J$2:$J$2684,AA$1)</f>
        <v>0</v>
      </c>
      <c r="AB119" s="144">
        <f>SUMIFS('январь 2026'!$G$2:$G$2684,'январь 2026'!$D$2:$D$2684,$B119,'январь 2026'!$J$2:$J$2684,AB$1)</f>
        <v>0</v>
      </c>
      <c r="AC119" s="144">
        <f>SUMIFS('январь 2026'!$G$2:$G$2684,'январь 2026'!$D$2:$D$2684,$B119,'январь 2026'!$J$2:$J$2684,AC$1)</f>
        <v>0</v>
      </c>
      <c r="AD119" s="144">
        <f>SUMIFS('январь 2026'!$G$2:$G$2684,'январь 2026'!$D$2:$D$2684,$B119,'январь 2026'!$J$2:$J$2684,AD$1)</f>
        <v>0</v>
      </c>
      <c r="AE119" s="144">
        <f>SUMIFS('январь 2026'!$G$2:$G$2684,'январь 2026'!$D$2:$D$2684,$B119,'январь 2026'!$J$2:$J$2684,AE$1)</f>
        <v>0</v>
      </c>
      <c r="AF119" s="144">
        <f>SUMIFS('январь 2026'!$G$2:$G$2684,'январь 2026'!$D$2:$D$2684,$B119,'январь 2026'!$J$2:$J$2684,AF$1)</f>
        <v>0</v>
      </c>
      <c r="AG119" s="144">
        <f>SUMIFS('январь 2026'!$G$2:$G$2684,'январь 2026'!$D$2:$D$2684,$B119,'январь 2026'!$J$2:$J$2684,AG$1)</f>
        <v>0</v>
      </c>
      <c r="AH119" s="144">
        <f>SUMIFS('январь 2026'!$G$2:$G$2684,'январь 2026'!$D$2:$D$2684,$B119,'январь 2026'!$J$2:$J$2684,AH$1)</f>
        <v>0</v>
      </c>
      <c r="AI119" s="20">
        <f t="shared" si="1"/>
        <v>0</v>
      </c>
    </row>
    <row r="120" spans="2:35" ht="15" customHeight="1" x14ac:dyDescent="0.25">
      <c r="B120" s="85" t="s">
        <v>258</v>
      </c>
      <c r="C120" s="83">
        <v>200</v>
      </c>
      <c r="D120" s="144">
        <f>SUMIFS('январь 2026'!$G$2:$G$2684,'январь 2026'!$D$2:$D$2684,$B120,'январь 2026'!$J$2:$J$2684,D$1)</f>
        <v>0</v>
      </c>
      <c r="E120" s="144">
        <f>SUMIFS('январь 2026'!$G$2:$G$2684,'январь 2026'!$D$2:$D$2684,$B120,'январь 2026'!$J$2:$J$2684,E$1)</f>
        <v>0</v>
      </c>
      <c r="F120" s="144">
        <f>SUMIFS('январь 2026'!$G$2:$G$2684,'январь 2026'!$D$2:$D$2684,$B120,'январь 2026'!$J$2:$J$2684,F$1)</f>
        <v>0</v>
      </c>
      <c r="G120" s="144">
        <f>SUMIFS('январь 2026'!$G$2:$G$2684,'январь 2026'!$D$2:$D$2684,$B120,'январь 2026'!$J$2:$J$2684,G$1)</f>
        <v>0</v>
      </c>
      <c r="H120" s="144">
        <f>SUMIFS('январь 2026'!$G$2:$G$2684,'январь 2026'!$D$2:$D$2684,$B120,'январь 2026'!$J$2:$J$2684,H$1)</f>
        <v>0</v>
      </c>
      <c r="I120" s="144">
        <f>SUMIFS('январь 2026'!$G$2:$G$2684,'январь 2026'!$D$2:$D$2684,$B120,'январь 2026'!$J$2:$J$2684,I$1)</f>
        <v>0</v>
      </c>
      <c r="J120" s="144">
        <f>SUMIFS('январь 2026'!$G$2:$G$2684,'январь 2026'!$D$2:$D$2684,$B120,'январь 2026'!$J$2:$J$2684,J$1)</f>
        <v>0</v>
      </c>
      <c r="K120" s="144">
        <f>SUMIFS('январь 2026'!$G$2:$G$2684,'январь 2026'!$D$2:$D$2684,$B120,'январь 2026'!$J$2:$J$2684,K$1)</f>
        <v>0</v>
      </c>
      <c r="L120" s="144">
        <f>SUMIFS('январь 2026'!$G$2:$G$2684,'январь 2026'!$D$2:$D$2684,$B120,'январь 2026'!$J$2:$J$2684,L$1)</f>
        <v>0</v>
      </c>
      <c r="M120" s="144">
        <f>SUMIFS('январь 2026'!$G$2:$G$2684,'январь 2026'!$D$2:$D$2684,$B120,'январь 2026'!$J$2:$J$2684,M$1)</f>
        <v>0</v>
      </c>
      <c r="N120" s="144">
        <f>SUMIFS('январь 2026'!$G$2:$G$2684,'январь 2026'!$D$2:$D$2684,$B120,'январь 2026'!$J$2:$J$2684,N$1)</f>
        <v>0</v>
      </c>
      <c r="O120" s="144">
        <f>SUMIFS('январь 2026'!$G$2:$G$2684,'январь 2026'!$D$2:$D$2684,$B120,'январь 2026'!$J$2:$J$2684,O$1)</f>
        <v>0</v>
      </c>
      <c r="P120" s="144">
        <f>SUMIFS('январь 2026'!$G$2:$G$2684,'январь 2026'!$D$2:$D$2684,$B120,'январь 2026'!$J$2:$J$2684,P$1)</f>
        <v>0</v>
      </c>
      <c r="Q120" s="144">
        <f>SUMIFS('январь 2026'!$G$2:$G$2684,'январь 2026'!$D$2:$D$2684,$B120,'январь 2026'!$J$2:$J$2684,Q$1)</f>
        <v>0</v>
      </c>
      <c r="R120" s="144">
        <f>SUMIFS('январь 2026'!$G$2:$G$2684,'январь 2026'!$D$2:$D$2684,$B120,'январь 2026'!$J$2:$J$2684,R$1)</f>
        <v>0</v>
      </c>
      <c r="S120" s="144">
        <f>SUMIFS('январь 2026'!$G$2:$G$2684,'январь 2026'!$D$2:$D$2684,$B120,'январь 2026'!$J$2:$J$2684,S$1)</f>
        <v>0</v>
      </c>
      <c r="T120" s="144">
        <f>SUMIFS('январь 2026'!$G$2:$G$2684,'январь 2026'!$D$2:$D$2684,$B120,'январь 2026'!$J$2:$J$2684,T$1)</f>
        <v>0</v>
      </c>
      <c r="U120" s="144">
        <f>SUMIFS('январь 2026'!$G$2:$G$2684,'январь 2026'!$D$2:$D$2684,$B120,'январь 2026'!$J$2:$J$2684,U$1)</f>
        <v>0</v>
      </c>
      <c r="V120" s="144">
        <f>SUMIFS('январь 2026'!$G$2:$G$2684,'январь 2026'!$D$2:$D$2684,$B120,'январь 2026'!$J$2:$J$2684,V$1)</f>
        <v>0</v>
      </c>
      <c r="W120" s="144">
        <f>SUMIFS('январь 2026'!$G$2:$G$2684,'январь 2026'!$D$2:$D$2684,$B120,'январь 2026'!$J$2:$J$2684,W$1)</f>
        <v>0</v>
      </c>
      <c r="X120" s="144">
        <f>SUMIFS('январь 2026'!$G$2:$G$2684,'январь 2026'!$D$2:$D$2684,$B120,'январь 2026'!$J$2:$J$2684,X$1)</f>
        <v>0</v>
      </c>
      <c r="Y120" s="144">
        <f>SUMIFS('январь 2026'!$G$2:$G$2684,'январь 2026'!$D$2:$D$2684,$B120,'январь 2026'!$J$2:$J$2684,Y$1)</f>
        <v>0</v>
      </c>
      <c r="Z120" s="144">
        <f>SUMIFS('январь 2026'!$G$2:$G$2684,'январь 2026'!$D$2:$D$2684,$B120,'январь 2026'!$J$2:$J$2684,Z$1)</f>
        <v>0</v>
      </c>
      <c r="AA120" s="144">
        <f>SUMIFS('январь 2026'!$G$2:$G$2684,'январь 2026'!$D$2:$D$2684,$B120,'январь 2026'!$J$2:$J$2684,AA$1)</f>
        <v>0</v>
      </c>
      <c r="AB120" s="144">
        <f>SUMIFS('январь 2026'!$G$2:$G$2684,'январь 2026'!$D$2:$D$2684,$B120,'январь 2026'!$J$2:$J$2684,AB$1)</f>
        <v>0</v>
      </c>
      <c r="AC120" s="144">
        <f>SUMIFS('январь 2026'!$G$2:$G$2684,'январь 2026'!$D$2:$D$2684,$B120,'январь 2026'!$J$2:$J$2684,AC$1)</f>
        <v>0</v>
      </c>
      <c r="AD120" s="144">
        <f>SUMIFS('январь 2026'!$G$2:$G$2684,'январь 2026'!$D$2:$D$2684,$B120,'январь 2026'!$J$2:$J$2684,AD$1)</f>
        <v>0</v>
      </c>
      <c r="AE120" s="144">
        <f>SUMIFS('январь 2026'!$G$2:$G$2684,'январь 2026'!$D$2:$D$2684,$B120,'январь 2026'!$J$2:$J$2684,AE$1)</f>
        <v>0</v>
      </c>
      <c r="AF120" s="144">
        <f>SUMIFS('январь 2026'!$G$2:$G$2684,'январь 2026'!$D$2:$D$2684,$B120,'январь 2026'!$J$2:$J$2684,AF$1)</f>
        <v>0</v>
      </c>
      <c r="AG120" s="144">
        <f>SUMIFS('январь 2026'!$G$2:$G$2684,'январь 2026'!$D$2:$D$2684,$B120,'январь 2026'!$J$2:$J$2684,AG$1)</f>
        <v>0</v>
      </c>
      <c r="AH120" s="144">
        <f>SUMIFS('январь 2026'!$G$2:$G$2684,'январь 2026'!$D$2:$D$2684,$B120,'январь 2026'!$J$2:$J$2684,AH$1)</f>
        <v>0</v>
      </c>
      <c r="AI120" s="20">
        <f t="shared" si="1"/>
        <v>0</v>
      </c>
    </row>
    <row r="121" spans="2:35" ht="15" customHeight="1" x14ac:dyDescent="0.25">
      <c r="B121" s="85" t="s">
        <v>259</v>
      </c>
      <c r="C121" s="83">
        <v>200</v>
      </c>
      <c r="D121" s="144">
        <f>SUMIFS('январь 2026'!$G$2:$G$2684,'январь 2026'!$D$2:$D$2684,$B121,'январь 2026'!$J$2:$J$2684,D$1)</f>
        <v>0</v>
      </c>
      <c r="E121" s="144">
        <f>SUMIFS('январь 2026'!$G$2:$G$2684,'январь 2026'!$D$2:$D$2684,$B121,'январь 2026'!$J$2:$J$2684,E$1)</f>
        <v>0</v>
      </c>
      <c r="F121" s="144">
        <f>SUMIFS('январь 2026'!$G$2:$G$2684,'январь 2026'!$D$2:$D$2684,$B121,'январь 2026'!$J$2:$J$2684,F$1)</f>
        <v>0</v>
      </c>
      <c r="G121" s="144">
        <f>SUMIFS('январь 2026'!$G$2:$G$2684,'январь 2026'!$D$2:$D$2684,$B121,'январь 2026'!$J$2:$J$2684,G$1)</f>
        <v>0</v>
      </c>
      <c r="H121" s="144">
        <f>SUMIFS('январь 2026'!$G$2:$G$2684,'январь 2026'!$D$2:$D$2684,$B121,'январь 2026'!$J$2:$J$2684,H$1)</f>
        <v>0</v>
      </c>
      <c r="I121" s="144">
        <f>SUMIFS('январь 2026'!$G$2:$G$2684,'январь 2026'!$D$2:$D$2684,$B121,'январь 2026'!$J$2:$J$2684,I$1)</f>
        <v>0</v>
      </c>
      <c r="J121" s="144">
        <f>SUMIFS('январь 2026'!$G$2:$G$2684,'январь 2026'!$D$2:$D$2684,$B121,'январь 2026'!$J$2:$J$2684,J$1)</f>
        <v>0</v>
      </c>
      <c r="K121" s="144">
        <f>SUMIFS('январь 2026'!$G$2:$G$2684,'январь 2026'!$D$2:$D$2684,$B121,'январь 2026'!$J$2:$J$2684,K$1)</f>
        <v>0</v>
      </c>
      <c r="L121" s="144">
        <f>SUMIFS('январь 2026'!$G$2:$G$2684,'январь 2026'!$D$2:$D$2684,$B121,'январь 2026'!$J$2:$J$2684,L$1)</f>
        <v>0</v>
      </c>
      <c r="M121" s="144">
        <f>SUMIFS('январь 2026'!$G$2:$G$2684,'январь 2026'!$D$2:$D$2684,$B121,'январь 2026'!$J$2:$J$2684,M$1)</f>
        <v>0</v>
      </c>
      <c r="N121" s="144">
        <f>SUMIFS('январь 2026'!$G$2:$G$2684,'январь 2026'!$D$2:$D$2684,$B121,'январь 2026'!$J$2:$J$2684,N$1)</f>
        <v>0</v>
      </c>
      <c r="O121" s="144">
        <f>SUMIFS('январь 2026'!$G$2:$G$2684,'январь 2026'!$D$2:$D$2684,$B121,'январь 2026'!$J$2:$J$2684,O$1)</f>
        <v>0</v>
      </c>
      <c r="P121" s="144">
        <f>SUMIFS('январь 2026'!$G$2:$G$2684,'январь 2026'!$D$2:$D$2684,$B121,'январь 2026'!$J$2:$J$2684,P$1)</f>
        <v>0</v>
      </c>
      <c r="Q121" s="144">
        <f>SUMIFS('январь 2026'!$G$2:$G$2684,'январь 2026'!$D$2:$D$2684,$B121,'январь 2026'!$J$2:$J$2684,Q$1)</f>
        <v>0</v>
      </c>
      <c r="R121" s="144">
        <f>SUMIFS('январь 2026'!$G$2:$G$2684,'январь 2026'!$D$2:$D$2684,$B121,'январь 2026'!$J$2:$J$2684,R$1)</f>
        <v>0</v>
      </c>
      <c r="S121" s="144">
        <f>SUMIFS('январь 2026'!$G$2:$G$2684,'январь 2026'!$D$2:$D$2684,$B121,'январь 2026'!$J$2:$J$2684,S$1)</f>
        <v>0</v>
      </c>
      <c r="T121" s="144">
        <f>SUMIFS('январь 2026'!$G$2:$G$2684,'январь 2026'!$D$2:$D$2684,$B121,'январь 2026'!$J$2:$J$2684,T$1)</f>
        <v>0</v>
      </c>
      <c r="U121" s="144">
        <f>SUMIFS('январь 2026'!$G$2:$G$2684,'январь 2026'!$D$2:$D$2684,$B121,'январь 2026'!$J$2:$J$2684,U$1)</f>
        <v>0</v>
      </c>
      <c r="V121" s="144">
        <f>SUMIFS('январь 2026'!$G$2:$G$2684,'январь 2026'!$D$2:$D$2684,$B121,'январь 2026'!$J$2:$J$2684,V$1)</f>
        <v>0</v>
      </c>
      <c r="W121" s="144">
        <f>SUMIFS('январь 2026'!$G$2:$G$2684,'январь 2026'!$D$2:$D$2684,$B121,'январь 2026'!$J$2:$J$2684,W$1)</f>
        <v>0</v>
      </c>
      <c r="X121" s="144">
        <f>SUMIFS('январь 2026'!$G$2:$G$2684,'январь 2026'!$D$2:$D$2684,$B121,'январь 2026'!$J$2:$J$2684,X$1)</f>
        <v>0</v>
      </c>
      <c r="Y121" s="144">
        <f>SUMIFS('январь 2026'!$G$2:$G$2684,'январь 2026'!$D$2:$D$2684,$B121,'январь 2026'!$J$2:$J$2684,Y$1)</f>
        <v>0</v>
      </c>
      <c r="Z121" s="144">
        <f>SUMIFS('январь 2026'!$G$2:$G$2684,'январь 2026'!$D$2:$D$2684,$B121,'январь 2026'!$J$2:$J$2684,Z$1)</f>
        <v>0</v>
      </c>
      <c r="AA121" s="144">
        <f>SUMIFS('январь 2026'!$G$2:$G$2684,'январь 2026'!$D$2:$D$2684,$B121,'январь 2026'!$J$2:$J$2684,AA$1)</f>
        <v>0</v>
      </c>
      <c r="AB121" s="144">
        <f>SUMIFS('январь 2026'!$G$2:$G$2684,'январь 2026'!$D$2:$D$2684,$B121,'январь 2026'!$J$2:$J$2684,AB$1)</f>
        <v>0</v>
      </c>
      <c r="AC121" s="144">
        <f>SUMIFS('январь 2026'!$G$2:$G$2684,'январь 2026'!$D$2:$D$2684,$B121,'январь 2026'!$J$2:$J$2684,AC$1)</f>
        <v>0</v>
      </c>
      <c r="AD121" s="144">
        <f>SUMIFS('январь 2026'!$G$2:$G$2684,'январь 2026'!$D$2:$D$2684,$B121,'январь 2026'!$J$2:$J$2684,AD$1)</f>
        <v>0</v>
      </c>
      <c r="AE121" s="144">
        <f>SUMIFS('январь 2026'!$G$2:$G$2684,'январь 2026'!$D$2:$D$2684,$B121,'январь 2026'!$J$2:$J$2684,AE$1)</f>
        <v>0</v>
      </c>
      <c r="AF121" s="144">
        <f>SUMIFS('январь 2026'!$G$2:$G$2684,'январь 2026'!$D$2:$D$2684,$B121,'январь 2026'!$J$2:$J$2684,AF$1)</f>
        <v>0</v>
      </c>
      <c r="AG121" s="144">
        <f>SUMIFS('январь 2026'!$G$2:$G$2684,'январь 2026'!$D$2:$D$2684,$B121,'январь 2026'!$J$2:$J$2684,AG$1)</f>
        <v>0</v>
      </c>
      <c r="AH121" s="144">
        <f>SUMIFS('январь 2026'!$G$2:$G$2684,'январь 2026'!$D$2:$D$2684,$B121,'январь 2026'!$J$2:$J$2684,AH$1)</f>
        <v>0</v>
      </c>
      <c r="AI121" s="20">
        <f t="shared" si="1"/>
        <v>0</v>
      </c>
    </row>
    <row r="122" spans="2:35" ht="15" customHeight="1" x14ac:dyDescent="0.25">
      <c r="B122" s="82" t="s">
        <v>206</v>
      </c>
      <c r="C122" s="81">
        <v>25</v>
      </c>
      <c r="D122" s="144">
        <f>SUMIFS('январь 2026'!$G$2:$G$2684,'январь 2026'!$D$2:$D$2684,$B122,'январь 2026'!$J$2:$J$2684,D$1)</f>
        <v>0</v>
      </c>
      <c r="E122" s="144">
        <f>SUMIFS('январь 2026'!$G$2:$G$2684,'январь 2026'!$D$2:$D$2684,$B122,'январь 2026'!$J$2:$J$2684,E$1)</f>
        <v>0</v>
      </c>
      <c r="F122" s="144">
        <f>SUMIFS('январь 2026'!$G$2:$G$2684,'январь 2026'!$D$2:$D$2684,$B122,'январь 2026'!$J$2:$J$2684,F$1)</f>
        <v>0</v>
      </c>
      <c r="G122" s="144">
        <f>SUMIFS('январь 2026'!$G$2:$G$2684,'январь 2026'!$D$2:$D$2684,$B122,'январь 2026'!$J$2:$J$2684,G$1)</f>
        <v>0</v>
      </c>
      <c r="H122" s="144">
        <f>SUMIFS('январь 2026'!$G$2:$G$2684,'январь 2026'!$D$2:$D$2684,$B122,'январь 2026'!$J$2:$J$2684,H$1)</f>
        <v>0</v>
      </c>
      <c r="I122" s="144">
        <f>SUMIFS('январь 2026'!$G$2:$G$2684,'январь 2026'!$D$2:$D$2684,$B122,'январь 2026'!$J$2:$J$2684,I$1)</f>
        <v>0</v>
      </c>
      <c r="J122" s="144">
        <f>SUMIFS('январь 2026'!$G$2:$G$2684,'январь 2026'!$D$2:$D$2684,$B122,'январь 2026'!$J$2:$J$2684,J$1)</f>
        <v>0</v>
      </c>
      <c r="K122" s="144">
        <f>SUMIFS('январь 2026'!$G$2:$G$2684,'январь 2026'!$D$2:$D$2684,$B122,'январь 2026'!$J$2:$J$2684,K$1)</f>
        <v>0</v>
      </c>
      <c r="L122" s="144">
        <f>SUMIFS('январь 2026'!$G$2:$G$2684,'январь 2026'!$D$2:$D$2684,$B122,'январь 2026'!$J$2:$J$2684,L$1)</f>
        <v>0</v>
      </c>
      <c r="M122" s="144">
        <f>SUMIFS('январь 2026'!$G$2:$G$2684,'январь 2026'!$D$2:$D$2684,$B122,'январь 2026'!$J$2:$J$2684,M$1)</f>
        <v>0</v>
      </c>
      <c r="N122" s="144">
        <f>SUMIFS('январь 2026'!$G$2:$G$2684,'январь 2026'!$D$2:$D$2684,$B122,'январь 2026'!$J$2:$J$2684,N$1)</f>
        <v>0</v>
      </c>
      <c r="O122" s="144">
        <f>SUMIFS('январь 2026'!$G$2:$G$2684,'январь 2026'!$D$2:$D$2684,$B122,'январь 2026'!$J$2:$J$2684,O$1)</f>
        <v>0</v>
      </c>
      <c r="P122" s="144">
        <f>SUMIFS('январь 2026'!$G$2:$G$2684,'январь 2026'!$D$2:$D$2684,$B122,'январь 2026'!$J$2:$J$2684,P$1)</f>
        <v>0</v>
      </c>
      <c r="Q122" s="144">
        <f>SUMIFS('январь 2026'!$G$2:$G$2684,'январь 2026'!$D$2:$D$2684,$B122,'январь 2026'!$J$2:$J$2684,Q$1)</f>
        <v>0</v>
      </c>
      <c r="R122" s="144">
        <f>SUMIFS('январь 2026'!$G$2:$G$2684,'январь 2026'!$D$2:$D$2684,$B122,'январь 2026'!$J$2:$J$2684,R$1)</f>
        <v>0</v>
      </c>
      <c r="S122" s="144">
        <f>SUMIFS('январь 2026'!$G$2:$G$2684,'январь 2026'!$D$2:$D$2684,$B122,'январь 2026'!$J$2:$J$2684,S$1)</f>
        <v>0</v>
      </c>
      <c r="T122" s="144">
        <f>SUMIFS('январь 2026'!$G$2:$G$2684,'январь 2026'!$D$2:$D$2684,$B122,'январь 2026'!$J$2:$J$2684,T$1)</f>
        <v>0</v>
      </c>
      <c r="U122" s="144">
        <f>SUMIFS('январь 2026'!$G$2:$G$2684,'январь 2026'!$D$2:$D$2684,$B122,'январь 2026'!$J$2:$J$2684,U$1)</f>
        <v>0</v>
      </c>
      <c r="V122" s="144">
        <f>SUMIFS('январь 2026'!$G$2:$G$2684,'январь 2026'!$D$2:$D$2684,$B122,'январь 2026'!$J$2:$J$2684,V$1)</f>
        <v>0</v>
      </c>
      <c r="W122" s="144">
        <f>SUMIFS('январь 2026'!$G$2:$G$2684,'январь 2026'!$D$2:$D$2684,$B122,'январь 2026'!$J$2:$J$2684,W$1)</f>
        <v>0</v>
      </c>
      <c r="X122" s="144">
        <f>SUMIFS('январь 2026'!$G$2:$G$2684,'январь 2026'!$D$2:$D$2684,$B122,'январь 2026'!$J$2:$J$2684,X$1)</f>
        <v>0</v>
      </c>
      <c r="Y122" s="144">
        <f>SUMIFS('январь 2026'!$G$2:$G$2684,'январь 2026'!$D$2:$D$2684,$B122,'январь 2026'!$J$2:$J$2684,Y$1)</f>
        <v>0</v>
      </c>
      <c r="Z122" s="144">
        <f>SUMIFS('январь 2026'!$G$2:$G$2684,'январь 2026'!$D$2:$D$2684,$B122,'январь 2026'!$J$2:$J$2684,Z$1)</f>
        <v>0</v>
      </c>
      <c r="AA122" s="144">
        <f>SUMIFS('январь 2026'!$G$2:$G$2684,'январь 2026'!$D$2:$D$2684,$B122,'январь 2026'!$J$2:$J$2684,AA$1)</f>
        <v>0</v>
      </c>
      <c r="AB122" s="144">
        <f>SUMIFS('январь 2026'!$G$2:$G$2684,'январь 2026'!$D$2:$D$2684,$B122,'январь 2026'!$J$2:$J$2684,AB$1)</f>
        <v>0</v>
      </c>
      <c r="AC122" s="144">
        <f>SUMIFS('январь 2026'!$G$2:$G$2684,'январь 2026'!$D$2:$D$2684,$B122,'январь 2026'!$J$2:$J$2684,AC$1)</f>
        <v>0</v>
      </c>
      <c r="AD122" s="144">
        <f>SUMIFS('январь 2026'!$G$2:$G$2684,'январь 2026'!$D$2:$D$2684,$B122,'январь 2026'!$J$2:$J$2684,AD$1)</f>
        <v>0</v>
      </c>
      <c r="AE122" s="144">
        <f>SUMIFS('январь 2026'!$G$2:$G$2684,'январь 2026'!$D$2:$D$2684,$B122,'январь 2026'!$J$2:$J$2684,AE$1)</f>
        <v>0</v>
      </c>
      <c r="AF122" s="144">
        <f>SUMIFS('январь 2026'!$G$2:$G$2684,'январь 2026'!$D$2:$D$2684,$B122,'январь 2026'!$J$2:$J$2684,AF$1)</f>
        <v>0</v>
      </c>
      <c r="AG122" s="144">
        <f>SUMIFS('январь 2026'!$G$2:$G$2684,'январь 2026'!$D$2:$D$2684,$B122,'январь 2026'!$J$2:$J$2684,AG$1)</f>
        <v>0</v>
      </c>
      <c r="AH122" s="144">
        <f>SUMIFS('январь 2026'!$G$2:$G$2684,'январь 2026'!$D$2:$D$2684,$B122,'январь 2026'!$J$2:$J$2684,AH$1)</f>
        <v>0</v>
      </c>
      <c r="AI122" s="20">
        <f t="shared" si="1"/>
        <v>0</v>
      </c>
    </row>
    <row r="123" spans="2:35" ht="15" customHeight="1" x14ac:dyDescent="0.25">
      <c r="B123" s="85" t="s">
        <v>260</v>
      </c>
      <c r="C123" s="83">
        <v>50</v>
      </c>
      <c r="D123" s="144">
        <f>SUMIFS('январь 2026'!$G$2:$G$2684,'январь 2026'!$D$2:$D$2684,$B123,'январь 2026'!$J$2:$J$2684,D$1)</f>
        <v>0</v>
      </c>
      <c r="E123" s="144">
        <f>SUMIFS('январь 2026'!$G$2:$G$2684,'январь 2026'!$D$2:$D$2684,$B123,'январь 2026'!$J$2:$J$2684,E$1)</f>
        <v>0</v>
      </c>
      <c r="F123" s="144">
        <f>SUMIFS('январь 2026'!$G$2:$G$2684,'январь 2026'!$D$2:$D$2684,$B123,'январь 2026'!$J$2:$J$2684,F$1)</f>
        <v>0</v>
      </c>
      <c r="G123" s="144">
        <f>SUMIFS('январь 2026'!$G$2:$G$2684,'январь 2026'!$D$2:$D$2684,$B123,'январь 2026'!$J$2:$J$2684,G$1)</f>
        <v>0</v>
      </c>
      <c r="H123" s="144">
        <f>SUMIFS('январь 2026'!$G$2:$G$2684,'январь 2026'!$D$2:$D$2684,$B123,'январь 2026'!$J$2:$J$2684,H$1)</f>
        <v>0</v>
      </c>
      <c r="I123" s="144">
        <f>SUMIFS('январь 2026'!$G$2:$G$2684,'январь 2026'!$D$2:$D$2684,$B123,'январь 2026'!$J$2:$J$2684,I$1)</f>
        <v>0</v>
      </c>
      <c r="J123" s="144">
        <f>SUMIFS('январь 2026'!$G$2:$G$2684,'январь 2026'!$D$2:$D$2684,$B123,'январь 2026'!$J$2:$J$2684,J$1)</f>
        <v>0</v>
      </c>
      <c r="K123" s="144">
        <f>SUMIFS('январь 2026'!$G$2:$G$2684,'январь 2026'!$D$2:$D$2684,$B123,'январь 2026'!$J$2:$J$2684,K$1)</f>
        <v>0</v>
      </c>
      <c r="L123" s="144">
        <f>SUMIFS('январь 2026'!$G$2:$G$2684,'январь 2026'!$D$2:$D$2684,$B123,'январь 2026'!$J$2:$J$2684,L$1)</f>
        <v>0</v>
      </c>
      <c r="M123" s="144">
        <f>SUMIFS('январь 2026'!$G$2:$G$2684,'январь 2026'!$D$2:$D$2684,$B123,'январь 2026'!$J$2:$J$2684,M$1)</f>
        <v>0</v>
      </c>
      <c r="N123" s="144">
        <f>SUMIFS('январь 2026'!$G$2:$G$2684,'январь 2026'!$D$2:$D$2684,$B123,'январь 2026'!$J$2:$J$2684,N$1)</f>
        <v>0</v>
      </c>
      <c r="O123" s="144">
        <f>SUMIFS('январь 2026'!$G$2:$G$2684,'январь 2026'!$D$2:$D$2684,$B123,'январь 2026'!$J$2:$J$2684,O$1)</f>
        <v>0</v>
      </c>
      <c r="P123" s="144">
        <f>SUMIFS('январь 2026'!$G$2:$G$2684,'январь 2026'!$D$2:$D$2684,$B123,'январь 2026'!$J$2:$J$2684,P$1)</f>
        <v>0</v>
      </c>
      <c r="Q123" s="144">
        <f>SUMIFS('январь 2026'!$G$2:$G$2684,'январь 2026'!$D$2:$D$2684,$B123,'январь 2026'!$J$2:$J$2684,Q$1)</f>
        <v>0</v>
      </c>
      <c r="R123" s="144">
        <f>SUMIFS('январь 2026'!$G$2:$G$2684,'январь 2026'!$D$2:$D$2684,$B123,'январь 2026'!$J$2:$J$2684,R$1)</f>
        <v>0</v>
      </c>
      <c r="S123" s="144">
        <f>SUMIFS('январь 2026'!$G$2:$G$2684,'январь 2026'!$D$2:$D$2684,$B123,'январь 2026'!$J$2:$J$2684,S$1)</f>
        <v>0</v>
      </c>
      <c r="T123" s="144">
        <f>SUMIFS('январь 2026'!$G$2:$G$2684,'январь 2026'!$D$2:$D$2684,$B123,'январь 2026'!$J$2:$J$2684,T$1)</f>
        <v>0</v>
      </c>
      <c r="U123" s="144">
        <f>SUMIFS('январь 2026'!$G$2:$G$2684,'январь 2026'!$D$2:$D$2684,$B123,'январь 2026'!$J$2:$J$2684,U$1)</f>
        <v>0</v>
      </c>
      <c r="V123" s="144">
        <f>SUMIFS('январь 2026'!$G$2:$G$2684,'январь 2026'!$D$2:$D$2684,$B123,'январь 2026'!$J$2:$J$2684,V$1)</f>
        <v>0</v>
      </c>
      <c r="W123" s="144">
        <f>SUMIFS('январь 2026'!$G$2:$G$2684,'январь 2026'!$D$2:$D$2684,$B123,'январь 2026'!$J$2:$J$2684,W$1)</f>
        <v>0</v>
      </c>
      <c r="X123" s="144">
        <f>SUMIFS('январь 2026'!$G$2:$G$2684,'январь 2026'!$D$2:$D$2684,$B123,'январь 2026'!$J$2:$J$2684,X$1)</f>
        <v>0</v>
      </c>
      <c r="Y123" s="144">
        <f>SUMIFS('январь 2026'!$G$2:$G$2684,'январь 2026'!$D$2:$D$2684,$B123,'январь 2026'!$J$2:$J$2684,Y$1)</f>
        <v>0</v>
      </c>
      <c r="Z123" s="144">
        <f>SUMIFS('январь 2026'!$G$2:$G$2684,'январь 2026'!$D$2:$D$2684,$B123,'январь 2026'!$J$2:$J$2684,Z$1)</f>
        <v>0</v>
      </c>
      <c r="AA123" s="144">
        <f>SUMIFS('январь 2026'!$G$2:$G$2684,'январь 2026'!$D$2:$D$2684,$B123,'январь 2026'!$J$2:$J$2684,AA$1)</f>
        <v>0</v>
      </c>
      <c r="AB123" s="144">
        <f>SUMIFS('январь 2026'!$G$2:$G$2684,'январь 2026'!$D$2:$D$2684,$B123,'январь 2026'!$J$2:$J$2684,AB$1)</f>
        <v>0</v>
      </c>
      <c r="AC123" s="144">
        <f>SUMIFS('январь 2026'!$G$2:$G$2684,'январь 2026'!$D$2:$D$2684,$B123,'январь 2026'!$J$2:$J$2684,AC$1)</f>
        <v>0</v>
      </c>
      <c r="AD123" s="144">
        <f>SUMIFS('январь 2026'!$G$2:$G$2684,'январь 2026'!$D$2:$D$2684,$B123,'январь 2026'!$J$2:$J$2684,AD$1)</f>
        <v>0</v>
      </c>
      <c r="AE123" s="144">
        <f>SUMIFS('январь 2026'!$G$2:$G$2684,'январь 2026'!$D$2:$D$2684,$B123,'январь 2026'!$J$2:$J$2684,AE$1)</f>
        <v>0</v>
      </c>
      <c r="AF123" s="144">
        <f>SUMIFS('январь 2026'!$G$2:$G$2684,'январь 2026'!$D$2:$D$2684,$B123,'январь 2026'!$J$2:$J$2684,AF$1)</f>
        <v>0</v>
      </c>
      <c r="AG123" s="144">
        <f>SUMIFS('январь 2026'!$G$2:$G$2684,'январь 2026'!$D$2:$D$2684,$B123,'январь 2026'!$J$2:$J$2684,AG$1)</f>
        <v>0</v>
      </c>
      <c r="AH123" s="144">
        <f>SUMIFS('январь 2026'!$G$2:$G$2684,'январь 2026'!$D$2:$D$2684,$B123,'январь 2026'!$J$2:$J$2684,AH$1)</f>
        <v>0</v>
      </c>
      <c r="AI123" s="20">
        <f t="shared" si="1"/>
        <v>0</v>
      </c>
    </row>
    <row r="124" spans="2:35" ht="15" customHeight="1" x14ac:dyDescent="0.25">
      <c r="B124" s="85" t="s">
        <v>183</v>
      </c>
      <c r="C124" s="83">
        <v>180</v>
      </c>
      <c r="D124" s="144">
        <f>SUMIFS('январь 2026'!$G$2:$G$2684,'январь 2026'!$D$2:$D$2684,$B124,'январь 2026'!$J$2:$J$2684,D$1)</f>
        <v>0</v>
      </c>
      <c r="E124" s="144">
        <f>SUMIFS('январь 2026'!$G$2:$G$2684,'январь 2026'!$D$2:$D$2684,$B124,'январь 2026'!$J$2:$J$2684,E$1)</f>
        <v>0</v>
      </c>
      <c r="F124" s="144">
        <f>SUMIFS('январь 2026'!$G$2:$G$2684,'январь 2026'!$D$2:$D$2684,$B124,'январь 2026'!$J$2:$J$2684,F$1)</f>
        <v>0</v>
      </c>
      <c r="G124" s="144">
        <f>SUMIFS('январь 2026'!$G$2:$G$2684,'январь 2026'!$D$2:$D$2684,$B124,'январь 2026'!$J$2:$J$2684,G$1)</f>
        <v>0</v>
      </c>
      <c r="H124" s="144">
        <f>SUMIFS('январь 2026'!$G$2:$G$2684,'январь 2026'!$D$2:$D$2684,$B124,'январь 2026'!$J$2:$J$2684,H$1)</f>
        <v>0</v>
      </c>
      <c r="I124" s="144">
        <f>SUMIFS('январь 2026'!$G$2:$G$2684,'январь 2026'!$D$2:$D$2684,$B124,'январь 2026'!$J$2:$J$2684,I$1)</f>
        <v>0</v>
      </c>
      <c r="J124" s="144">
        <f>SUMIFS('январь 2026'!$G$2:$G$2684,'январь 2026'!$D$2:$D$2684,$B124,'январь 2026'!$J$2:$J$2684,J$1)</f>
        <v>0</v>
      </c>
      <c r="K124" s="144">
        <f>SUMIFS('январь 2026'!$G$2:$G$2684,'январь 2026'!$D$2:$D$2684,$B124,'январь 2026'!$J$2:$J$2684,K$1)</f>
        <v>0</v>
      </c>
      <c r="L124" s="144">
        <f>SUMIFS('январь 2026'!$G$2:$G$2684,'январь 2026'!$D$2:$D$2684,$B124,'январь 2026'!$J$2:$J$2684,L$1)</f>
        <v>0</v>
      </c>
      <c r="M124" s="144">
        <f>SUMIFS('январь 2026'!$G$2:$G$2684,'январь 2026'!$D$2:$D$2684,$B124,'январь 2026'!$J$2:$J$2684,M$1)</f>
        <v>0</v>
      </c>
      <c r="N124" s="144">
        <f>SUMIFS('январь 2026'!$G$2:$G$2684,'январь 2026'!$D$2:$D$2684,$B124,'январь 2026'!$J$2:$J$2684,N$1)</f>
        <v>0</v>
      </c>
      <c r="O124" s="144">
        <f>SUMIFS('январь 2026'!$G$2:$G$2684,'январь 2026'!$D$2:$D$2684,$B124,'январь 2026'!$J$2:$J$2684,O$1)</f>
        <v>0</v>
      </c>
      <c r="P124" s="144">
        <f>SUMIFS('январь 2026'!$G$2:$G$2684,'январь 2026'!$D$2:$D$2684,$B124,'январь 2026'!$J$2:$J$2684,P$1)</f>
        <v>0</v>
      </c>
      <c r="Q124" s="144">
        <f>SUMIFS('январь 2026'!$G$2:$G$2684,'январь 2026'!$D$2:$D$2684,$B124,'январь 2026'!$J$2:$J$2684,Q$1)</f>
        <v>0</v>
      </c>
      <c r="R124" s="144">
        <f>SUMIFS('январь 2026'!$G$2:$G$2684,'январь 2026'!$D$2:$D$2684,$B124,'январь 2026'!$J$2:$J$2684,R$1)</f>
        <v>0</v>
      </c>
      <c r="S124" s="144">
        <f>SUMIFS('январь 2026'!$G$2:$G$2684,'январь 2026'!$D$2:$D$2684,$B124,'январь 2026'!$J$2:$J$2684,S$1)</f>
        <v>0</v>
      </c>
      <c r="T124" s="144">
        <f>SUMIFS('январь 2026'!$G$2:$G$2684,'январь 2026'!$D$2:$D$2684,$B124,'январь 2026'!$J$2:$J$2684,T$1)</f>
        <v>0</v>
      </c>
      <c r="U124" s="144">
        <f>SUMIFS('январь 2026'!$G$2:$G$2684,'январь 2026'!$D$2:$D$2684,$B124,'январь 2026'!$J$2:$J$2684,U$1)</f>
        <v>0</v>
      </c>
      <c r="V124" s="144">
        <f>SUMIFS('январь 2026'!$G$2:$G$2684,'январь 2026'!$D$2:$D$2684,$B124,'январь 2026'!$J$2:$J$2684,V$1)</f>
        <v>0</v>
      </c>
      <c r="W124" s="144">
        <f>SUMIFS('январь 2026'!$G$2:$G$2684,'январь 2026'!$D$2:$D$2684,$B124,'январь 2026'!$J$2:$J$2684,W$1)</f>
        <v>0</v>
      </c>
      <c r="X124" s="144">
        <f>SUMIFS('январь 2026'!$G$2:$G$2684,'январь 2026'!$D$2:$D$2684,$B124,'январь 2026'!$J$2:$J$2684,X$1)</f>
        <v>0</v>
      </c>
      <c r="Y124" s="144">
        <f>SUMIFS('январь 2026'!$G$2:$G$2684,'январь 2026'!$D$2:$D$2684,$B124,'январь 2026'!$J$2:$J$2684,Y$1)</f>
        <v>0</v>
      </c>
      <c r="Z124" s="144">
        <f>SUMIFS('январь 2026'!$G$2:$G$2684,'январь 2026'!$D$2:$D$2684,$B124,'январь 2026'!$J$2:$J$2684,Z$1)</f>
        <v>0</v>
      </c>
      <c r="AA124" s="144">
        <f>SUMIFS('январь 2026'!$G$2:$G$2684,'январь 2026'!$D$2:$D$2684,$B124,'январь 2026'!$J$2:$J$2684,AA$1)</f>
        <v>0</v>
      </c>
      <c r="AB124" s="144">
        <f>SUMIFS('январь 2026'!$G$2:$G$2684,'январь 2026'!$D$2:$D$2684,$B124,'январь 2026'!$J$2:$J$2684,AB$1)</f>
        <v>0</v>
      </c>
      <c r="AC124" s="144">
        <f>SUMIFS('январь 2026'!$G$2:$G$2684,'январь 2026'!$D$2:$D$2684,$B124,'январь 2026'!$J$2:$J$2684,AC$1)</f>
        <v>0</v>
      </c>
      <c r="AD124" s="144">
        <f>SUMIFS('январь 2026'!$G$2:$G$2684,'январь 2026'!$D$2:$D$2684,$B124,'январь 2026'!$J$2:$J$2684,AD$1)</f>
        <v>0</v>
      </c>
      <c r="AE124" s="144">
        <f>SUMIFS('январь 2026'!$G$2:$G$2684,'январь 2026'!$D$2:$D$2684,$B124,'январь 2026'!$J$2:$J$2684,AE$1)</f>
        <v>0</v>
      </c>
      <c r="AF124" s="144">
        <f>SUMIFS('январь 2026'!$G$2:$G$2684,'январь 2026'!$D$2:$D$2684,$B124,'январь 2026'!$J$2:$J$2684,AF$1)</f>
        <v>0</v>
      </c>
      <c r="AG124" s="144">
        <f>SUMIFS('январь 2026'!$G$2:$G$2684,'январь 2026'!$D$2:$D$2684,$B124,'январь 2026'!$J$2:$J$2684,AG$1)</f>
        <v>0</v>
      </c>
      <c r="AH124" s="144">
        <f>SUMIFS('январь 2026'!$G$2:$G$2684,'январь 2026'!$D$2:$D$2684,$B124,'январь 2026'!$J$2:$J$2684,AH$1)</f>
        <v>0</v>
      </c>
      <c r="AI124" s="20">
        <f t="shared" si="1"/>
        <v>0</v>
      </c>
    </row>
    <row r="125" spans="2:35" ht="15" customHeight="1" x14ac:dyDescent="0.25">
      <c r="B125" s="85" t="s">
        <v>201</v>
      </c>
      <c r="C125" s="83">
        <v>185</v>
      </c>
      <c r="D125" s="144">
        <f>SUMIFS('январь 2026'!$G$2:$G$2684,'январь 2026'!$D$2:$D$2684,$B125,'январь 2026'!$J$2:$J$2684,D$1)</f>
        <v>0</v>
      </c>
      <c r="E125" s="144">
        <f>SUMIFS('январь 2026'!$G$2:$G$2684,'январь 2026'!$D$2:$D$2684,$B125,'январь 2026'!$J$2:$J$2684,E$1)</f>
        <v>0</v>
      </c>
      <c r="F125" s="144">
        <f>SUMIFS('январь 2026'!$G$2:$G$2684,'январь 2026'!$D$2:$D$2684,$B125,'январь 2026'!$J$2:$J$2684,F$1)</f>
        <v>0</v>
      </c>
      <c r="G125" s="144">
        <f>SUMIFS('январь 2026'!$G$2:$G$2684,'январь 2026'!$D$2:$D$2684,$B125,'январь 2026'!$J$2:$J$2684,G$1)</f>
        <v>0</v>
      </c>
      <c r="H125" s="144">
        <f>SUMIFS('январь 2026'!$G$2:$G$2684,'январь 2026'!$D$2:$D$2684,$B125,'январь 2026'!$J$2:$J$2684,H$1)</f>
        <v>0</v>
      </c>
      <c r="I125" s="144">
        <f>SUMIFS('январь 2026'!$G$2:$G$2684,'январь 2026'!$D$2:$D$2684,$B125,'январь 2026'!$J$2:$J$2684,I$1)</f>
        <v>0</v>
      </c>
      <c r="J125" s="144">
        <f>SUMIFS('январь 2026'!$G$2:$G$2684,'январь 2026'!$D$2:$D$2684,$B125,'январь 2026'!$J$2:$J$2684,J$1)</f>
        <v>0</v>
      </c>
      <c r="K125" s="144">
        <f>SUMIFS('январь 2026'!$G$2:$G$2684,'январь 2026'!$D$2:$D$2684,$B125,'январь 2026'!$J$2:$J$2684,K$1)</f>
        <v>0</v>
      </c>
      <c r="L125" s="144">
        <f>SUMIFS('январь 2026'!$G$2:$G$2684,'январь 2026'!$D$2:$D$2684,$B125,'январь 2026'!$J$2:$J$2684,L$1)</f>
        <v>0</v>
      </c>
      <c r="M125" s="144">
        <f>SUMIFS('январь 2026'!$G$2:$G$2684,'январь 2026'!$D$2:$D$2684,$B125,'январь 2026'!$J$2:$J$2684,M$1)</f>
        <v>0</v>
      </c>
      <c r="N125" s="144">
        <f>SUMIFS('январь 2026'!$G$2:$G$2684,'январь 2026'!$D$2:$D$2684,$B125,'январь 2026'!$J$2:$J$2684,N$1)</f>
        <v>0</v>
      </c>
      <c r="O125" s="144">
        <f>SUMIFS('январь 2026'!$G$2:$G$2684,'январь 2026'!$D$2:$D$2684,$B125,'январь 2026'!$J$2:$J$2684,O$1)</f>
        <v>0</v>
      </c>
      <c r="P125" s="144">
        <f>SUMIFS('январь 2026'!$G$2:$G$2684,'январь 2026'!$D$2:$D$2684,$B125,'январь 2026'!$J$2:$J$2684,P$1)</f>
        <v>0</v>
      </c>
      <c r="Q125" s="144">
        <f>SUMIFS('январь 2026'!$G$2:$G$2684,'январь 2026'!$D$2:$D$2684,$B125,'январь 2026'!$J$2:$J$2684,Q$1)</f>
        <v>0</v>
      </c>
      <c r="R125" s="144">
        <f>SUMIFS('январь 2026'!$G$2:$G$2684,'январь 2026'!$D$2:$D$2684,$B125,'январь 2026'!$J$2:$J$2684,R$1)</f>
        <v>0</v>
      </c>
      <c r="S125" s="144">
        <f>SUMIFS('январь 2026'!$G$2:$G$2684,'январь 2026'!$D$2:$D$2684,$B125,'январь 2026'!$J$2:$J$2684,S$1)</f>
        <v>0</v>
      </c>
      <c r="T125" s="144">
        <f>SUMIFS('январь 2026'!$G$2:$G$2684,'январь 2026'!$D$2:$D$2684,$B125,'январь 2026'!$J$2:$J$2684,T$1)</f>
        <v>0</v>
      </c>
      <c r="U125" s="144">
        <f>SUMIFS('январь 2026'!$G$2:$G$2684,'январь 2026'!$D$2:$D$2684,$B125,'январь 2026'!$J$2:$J$2684,U$1)</f>
        <v>0</v>
      </c>
      <c r="V125" s="144">
        <f>SUMIFS('январь 2026'!$G$2:$G$2684,'январь 2026'!$D$2:$D$2684,$B125,'январь 2026'!$J$2:$J$2684,V$1)</f>
        <v>0</v>
      </c>
      <c r="W125" s="144">
        <f>SUMIFS('январь 2026'!$G$2:$G$2684,'январь 2026'!$D$2:$D$2684,$B125,'январь 2026'!$J$2:$J$2684,W$1)</f>
        <v>0</v>
      </c>
      <c r="X125" s="144">
        <f>SUMIFS('январь 2026'!$G$2:$G$2684,'январь 2026'!$D$2:$D$2684,$B125,'январь 2026'!$J$2:$J$2684,X$1)</f>
        <v>0</v>
      </c>
      <c r="Y125" s="144">
        <f>SUMIFS('январь 2026'!$G$2:$G$2684,'январь 2026'!$D$2:$D$2684,$B125,'январь 2026'!$J$2:$J$2684,Y$1)</f>
        <v>0</v>
      </c>
      <c r="Z125" s="144">
        <f>SUMIFS('январь 2026'!$G$2:$G$2684,'январь 2026'!$D$2:$D$2684,$B125,'январь 2026'!$J$2:$J$2684,Z$1)</f>
        <v>0</v>
      </c>
      <c r="AA125" s="144">
        <f>SUMIFS('январь 2026'!$G$2:$G$2684,'январь 2026'!$D$2:$D$2684,$B125,'январь 2026'!$J$2:$J$2684,AA$1)</f>
        <v>0</v>
      </c>
      <c r="AB125" s="144">
        <f>SUMIFS('январь 2026'!$G$2:$G$2684,'январь 2026'!$D$2:$D$2684,$B125,'январь 2026'!$J$2:$J$2684,AB$1)</f>
        <v>0</v>
      </c>
      <c r="AC125" s="144">
        <f>SUMIFS('январь 2026'!$G$2:$G$2684,'январь 2026'!$D$2:$D$2684,$B125,'январь 2026'!$J$2:$J$2684,AC$1)</f>
        <v>0</v>
      </c>
      <c r="AD125" s="144">
        <f>SUMIFS('январь 2026'!$G$2:$G$2684,'январь 2026'!$D$2:$D$2684,$B125,'январь 2026'!$J$2:$J$2684,AD$1)</f>
        <v>0</v>
      </c>
      <c r="AE125" s="144">
        <f>SUMIFS('январь 2026'!$G$2:$G$2684,'январь 2026'!$D$2:$D$2684,$B125,'январь 2026'!$J$2:$J$2684,AE$1)</f>
        <v>0</v>
      </c>
      <c r="AF125" s="144">
        <f>SUMIFS('январь 2026'!$G$2:$G$2684,'январь 2026'!$D$2:$D$2684,$B125,'январь 2026'!$J$2:$J$2684,AF$1)</f>
        <v>0</v>
      </c>
      <c r="AG125" s="144">
        <f>SUMIFS('январь 2026'!$G$2:$G$2684,'январь 2026'!$D$2:$D$2684,$B125,'январь 2026'!$J$2:$J$2684,AG$1)</f>
        <v>0</v>
      </c>
      <c r="AH125" s="144">
        <f>SUMIFS('январь 2026'!$G$2:$G$2684,'январь 2026'!$D$2:$D$2684,$B125,'январь 2026'!$J$2:$J$2684,AH$1)</f>
        <v>0</v>
      </c>
      <c r="AI125" s="20">
        <f t="shared" si="1"/>
        <v>0</v>
      </c>
    </row>
    <row r="126" spans="2:35" ht="15" customHeight="1" x14ac:dyDescent="0.25">
      <c r="B126" s="85" t="s">
        <v>291</v>
      </c>
      <c r="C126" s="83">
        <v>175</v>
      </c>
      <c r="D126" s="144">
        <f>SUMIFS('январь 2026'!$G$2:$G$2684,'январь 2026'!$D$2:$D$2684,$B126,'январь 2026'!$J$2:$J$2684,D$1)</f>
        <v>0</v>
      </c>
      <c r="E126" s="144">
        <f>SUMIFS('январь 2026'!$G$2:$G$2684,'январь 2026'!$D$2:$D$2684,$B126,'январь 2026'!$J$2:$J$2684,E$1)</f>
        <v>0</v>
      </c>
      <c r="F126" s="144">
        <f>SUMIFS('январь 2026'!$G$2:$G$2684,'январь 2026'!$D$2:$D$2684,$B126,'январь 2026'!$J$2:$J$2684,F$1)</f>
        <v>0</v>
      </c>
      <c r="G126" s="144">
        <f>SUMIFS('январь 2026'!$G$2:$G$2684,'январь 2026'!$D$2:$D$2684,$B126,'январь 2026'!$J$2:$J$2684,G$1)</f>
        <v>0</v>
      </c>
      <c r="H126" s="144">
        <f>SUMIFS('январь 2026'!$G$2:$G$2684,'январь 2026'!$D$2:$D$2684,$B126,'январь 2026'!$J$2:$J$2684,H$1)</f>
        <v>0</v>
      </c>
      <c r="I126" s="144">
        <f>SUMIFS('январь 2026'!$G$2:$G$2684,'январь 2026'!$D$2:$D$2684,$B126,'январь 2026'!$J$2:$J$2684,I$1)</f>
        <v>0</v>
      </c>
      <c r="J126" s="144">
        <f>SUMIFS('январь 2026'!$G$2:$G$2684,'январь 2026'!$D$2:$D$2684,$B126,'январь 2026'!$J$2:$J$2684,J$1)</f>
        <v>0</v>
      </c>
      <c r="K126" s="144">
        <f>SUMIFS('январь 2026'!$G$2:$G$2684,'январь 2026'!$D$2:$D$2684,$B126,'январь 2026'!$J$2:$J$2684,K$1)</f>
        <v>0</v>
      </c>
      <c r="L126" s="144">
        <f>SUMIFS('январь 2026'!$G$2:$G$2684,'январь 2026'!$D$2:$D$2684,$B126,'январь 2026'!$J$2:$J$2684,L$1)</f>
        <v>0</v>
      </c>
      <c r="M126" s="144">
        <f>SUMIFS('январь 2026'!$G$2:$G$2684,'январь 2026'!$D$2:$D$2684,$B126,'январь 2026'!$J$2:$J$2684,M$1)</f>
        <v>0</v>
      </c>
      <c r="N126" s="144">
        <f>SUMIFS('январь 2026'!$G$2:$G$2684,'январь 2026'!$D$2:$D$2684,$B126,'январь 2026'!$J$2:$J$2684,N$1)</f>
        <v>0</v>
      </c>
      <c r="O126" s="144">
        <f>SUMIFS('январь 2026'!$G$2:$G$2684,'январь 2026'!$D$2:$D$2684,$B126,'январь 2026'!$J$2:$J$2684,O$1)</f>
        <v>0</v>
      </c>
      <c r="P126" s="144">
        <f>SUMIFS('январь 2026'!$G$2:$G$2684,'январь 2026'!$D$2:$D$2684,$B126,'январь 2026'!$J$2:$J$2684,P$1)</f>
        <v>0</v>
      </c>
      <c r="Q126" s="144">
        <f>SUMIFS('январь 2026'!$G$2:$G$2684,'январь 2026'!$D$2:$D$2684,$B126,'январь 2026'!$J$2:$J$2684,Q$1)</f>
        <v>0</v>
      </c>
      <c r="R126" s="144">
        <f>SUMIFS('январь 2026'!$G$2:$G$2684,'январь 2026'!$D$2:$D$2684,$B126,'январь 2026'!$J$2:$J$2684,R$1)</f>
        <v>0</v>
      </c>
      <c r="S126" s="144">
        <f>SUMIFS('январь 2026'!$G$2:$G$2684,'январь 2026'!$D$2:$D$2684,$B126,'январь 2026'!$J$2:$J$2684,S$1)</f>
        <v>0</v>
      </c>
      <c r="T126" s="144">
        <f>SUMIFS('январь 2026'!$G$2:$G$2684,'январь 2026'!$D$2:$D$2684,$B126,'январь 2026'!$J$2:$J$2684,T$1)</f>
        <v>0</v>
      </c>
      <c r="U126" s="144">
        <f>SUMIFS('январь 2026'!$G$2:$G$2684,'январь 2026'!$D$2:$D$2684,$B126,'январь 2026'!$J$2:$J$2684,U$1)</f>
        <v>0</v>
      </c>
      <c r="V126" s="144">
        <f>SUMIFS('январь 2026'!$G$2:$G$2684,'январь 2026'!$D$2:$D$2684,$B126,'январь 2026'!$J$2:$J$2684,V$1)</f>
        <v>0</v>
      </c>
      <c r="W126" s="144">
        <f>SUMIFS('январь 2026'!$G$2:$G$2684,'январь 2026'!$D$2:$D$2684,$B126,'январь 2026'!$J$2:$J$2684,W$1)</f>
        <v>0</v>
      </c>
      <c r="X126" s="144">
        <f>SUMIFS('январь 2026'!$G$2:$G$2684,'январь 2026'!$D$2:$D$2684,$B126,'январь 2026'!$J$2:$J$2684,X$1)</f>
        <v>0</v>
      </c>
      <c r="Y126" s="144">
        <f>SUMIFS('январь 2026'!$G$2:$G$2684,'январь 2026'!$D$2:$D$2684,$B126,'январь 2026'!$J$2:$J$2684,Y$1)</f>
        <v>0</v>
      </c>
      <c r="Z126" s="144">
        <f>SUMIFS('январь 2026'!$G$2:$G$2684,'январь 2026'!$D$2:$D$2684,$B126,'январь 2026'!$J$2:$J$2684,Z$1)</f>
        <v>0</v>
      </c>
      <c r="AA126" s="144">
        <f>SUMIFS('январь 2026'!$G$2:$G$2684,'январь 2026'!$D$2:$D$2684,$B126,'январь 2026'!$J$2:$J$2684,AA$1)</f>
        <v>0</v>
      </c>
      <c r="AB126" s="144">
        <f>SUMIFS('январь 2026'!$G$2:$G$2684,'январь 2026'!$D$2:$D$2684,$B126,'январь 2026'!$J$2:$J$2684,AB$1)</f>
        <v>0</v>
      </c>
      <c r="AC126" s="144">
        <f>SUMIFS('январь 2026'!$G$2:$G$2684,'январь 2026'!$D$2:$D$2684,$B126,'январь 2026'!$J$2:$J$2684,AC$1)</f>
        <v>0</v>
      </c>
      <c r="AD126" s="144">
        <f>SUMIFS('январь 2026'!$G$2:$G$2684,'январь 2026'!$D$2:$D$2684,$B126,'январь 2026'!$J$2:$J$2684,AD$1)</f>
        <v>0</v>
      </c>
      <c r="AE126" s="144">
        <f>SUMIFS('январь 2026'!$G$2:$G$2684,'январь 2026'!$D$2:$D$2684,$B126,'январь 2026'!$J$2:$J$2684,AE$1)</f>
        <v>0</v>
      </c>
      <c r="AF126" s="144">
        <f>SUMIFS('январь 2026'!$G$2:$G$2684,'январь 2026'!$D$2:$D$2684,$B126,'январь 2026'!$J$2:$J$2684,AF$1)</f>
        <v>0</v>
      </c>
      <c r="AG126" s="144">
        <f>SUMIFS('январь 2026'!$G$2:$G$2684,'январь 2026'!$D$2:$D$2684,$B126,'январь 2026'!$J$2:$J$2684,AG$1)</f>
        <v>0</v>
      </c>
      <c r="AH126" s="144">
        <f>SUMIFS('январь 2026'!$G$2:$G$2684,'январь 2026'!$D$2:$D$2684,$B126,'январь 2026'!$J$2:$J$2684,AH$1)</f>
        <v>0</v>
      </c>
      <c r="AI126" s="20">
        <f t="shared" si="1"/>
        <v>0</v>
      </c>
    </row>
    <row r="127" spans="2:35" ht="15" customHeight="1" x14ac:dyDescent="0.25">
      <c r="B127" s="85" t="s">
        <v>297</v>
      </c>
      <c r="C127" s="83">
        <v>200</v>
      </c>
      <c r="D127" s="144">
        <f>SUMIFS('январь 2026'!$G$2:$G$2684,'январь 2026'!$D$2:$D$2684,$B127,'январь 2026'!$J$2:$J$2684,D$1)</f>
        <v>0</v>
      </c>
      <c r="E127" s="144">
        <f>SUMIFS('январь 2026'!$G$2:$G$2684,'январь 2026'!$D$2:$D$2684,$B127,'январь 2026'!$J$2:$J$2684,E$1)</f>
        <v>0</v>
      </c>
      <c r="F127" s="144">
        <f>SUMIFS('январь 2026'!$G$2:$G$2684,'январь 2026'!$D$2:$D$2684,$B127,'январь 2026'!$J$2:$J$2684,F$1)</f>
        <v>0</v>
      </c>
      <c r="G127" s="144">
        <f>SUMIFS('январь 2026'!$G$2:$G$2684,'январь 2026'!$D$2:$D$2684,$B127,'январь 2026'!$J$2:$J$2684,G$1)</f>
        <v>0</v>
      </c>
      <c r="H127" s="144">
        <f>SUMIFS('январь 2026'!$G$2:$G$2684,'январь 2026'!$D$2:$D$2684,$B127,'январь 2026'!$J$2:$J$2684,H$1)</f>
        <v>0</v>
      </c>
      <c r="I127" s="144">
        <f>SUMIFS('январь 2026'!$G$2:$G$2684,'январь 2026'!$D$2:$D$2684,$B127,'январь 2026'!$J$2:$J$2684,I$1)</f>
        <v>0</v>
      </c>
      <c r="J127" s="144">
        <f>SUMIFS('январь 2026'!$G$2:$G$2684,'январь 2026'!$D$2:$D$2684,$B127,'январь 2026'!$J$2:$J$2684,J$1)</f>
        <v>0</v>
      </c>
      <c r="K127" s="144">
        <f>SUMIFS('январь 2026'!$G$2:$G$2684,'январь 2026'!$D$2:$D$2684,$B127,'январь 2026'!$J$2:$J$2684,K$1)</f>
        <v>0</v>
      </c>
      <c r="L127" s="144">
        <f>SUMIFS('январь 2026'!$G$2:$G$2684,'январь 2026'!$D$2:$D$2684,$B127,'январь 2026'!$J$2:$J$2684,L$1)</f>
        <v>0</v>
      </c>
      <c r="M127" s="144">
        <f>SUMIFS('январь 2026'!$G$2:$G$2684,'январь 2026'!$D$2:$D$2684,$B127,'январь 2026'!$J$2:$J$2684,M$1)</f>
        <v>0</v>
      </c>
      <c r="N127" s="144">
        <f>SUMIFS('январь 2026'!$G$2:$G$2684,'январь 2026'!$D$2:$D$2684,$B127,'январь 2026'!$J$2:$J$2684,N$1)</f>
        <v>0</v>
      </c>
      <c r="O127" s="144">
        <f>SUMIFS('январь 2026'!$G$2:$G$2684,'январь 2026'!$D$2:$D$2684,$B127,'январь 2026'!$J$2:$J$2684,O$1)</f>
        <v>0</v>
      </c>
      <c r="P127" s="144">
        <f>SUMIFS('январь 2026'!$G$2:$G$2684,'январь 2026'!$D$2:$D$2684,$B127,'январь 2026'!$J$2:$J$2684,P$1)</f>
        <v>0</v>
      </c>
      <c r="Q127" s="144">
        <f>SUMIFS('январь 2026'!$G$2:$G$2684,'январь 2026'!$D$2:$D$2684,$B127,'январь 2026'!$J$2:$J$2684,Q$1)</f>
        <v>0</v>
      </c>
      <c r="R127" s="144">
        <f>SUMIFS('январь 2026'!$G$2:$G$2684,'январь 2026'!$D$2:$D$2684,$B127,'январь 2026'!$J$2:$J$2684,R$1)</f>
        <v>0</v>
      </c>
      <c r="S127" s="144">
        <f>SUMIFS('январь 2026'!$G$2:$G$2684,'январь 2026'!$D$2:$D$2684,$B127,'январь 2026'!$J$2:$J$2684,S$1)</f>
        <v>0</v>
      </c>
      <c r="T127" s="144">
        <f>SUMIFS('январь 2026'!$G$2:$G$2684,'январь 2026'!$D$2:$D$2684,$B127,'январь 2026'!$J$2:$J$2684,T$1)</f>
        <v>0</v>
      </c>
      <c r="U127" s="144">
        <f>SUMIFS('январь 2026'!$G$2:$G$2684,'январь 2026'!$D$2:$D$2684,$B127,'январь 2026'!$J$2:$J$2684,U$1)</f>
        <v>0</v>
      </c>
      <c r="V127" s="144">
        <f>SUMIFS('январь 2026'!$G$2:$G$2684,'январь 2026'!$D$2:$D$2684,$B127,'январь 2026'!$J$2:$J$2684,V$1)</f>
        <v>0</v>
      </c>
      <c r="W127" s="144">
        <f>SUMIFS('январь 2026'!$G$2:$G$2684,'январь 2026'!$D$2:$D$2684,$B127,'январь 2026'!$J$2:$J$2684,W$1)</f>
        <v>0</v>
      </c>
      <c r="X127" s="144">
        <f>SUMIFS('январь 2026'!$G$2:$G$2684,'январь 2026'!$D$2:$D$2684,$B127,'январь 2026'!$J$2:$J$2684,X$1)</f>
        <v>0</v>
      </c>
      <c r="Y127" s="144">
        <f>SUMIFS('январь 2026'!$G$2:$G$2684,'январь 2026'!$D$2:$D$2684,$B127,'январь 2026'!$J$2:$J$2684,Y$1)</f>
        <v>0</v>
      </c>
      <c r="Z127" s="144">
        <f>SUMIFS('январь 2026'!$G$2:$G$2684,'январь 2026'!$D$2:$D$2684,$B127,'январь 2026'!$J$2:$J$2684,Z$1)</f>
        <v>0</v>
      </c>
      <c r="AA127" s="144">
        <f>SUMIFS('январь 2026'!$G$2:$G$2684,'январь 2026'!$D$2:$D$2684,$B127,'январь 2026'!$J$2:$J$2684,AA$1)</f>
        <v>0</v>
      </c>
      <c r="AB127" s="144">
        <f>SUMIFS('январь 2026'!$G$2:$G$2684,'январь 2026'!$D$2:$D$2684,$B127,'январь 2026'!$J$2:$J$2684,AB$1)</f>
        <v>0</v>
      </c>
      <c r="AC127" s="144">
        <f>SUMIFS('январь 2026'!$G$2:$G$2684,'январь 2026'!$D$2:$D$2684,$B127,'январь 2026'!$J$2:$J$2684,AC$1)</f>
        <v>0</v>
      </c>
      <c r="AD127" s="144">
        <f>SUMIFS('январь 2026'!$G$2:$G$2684,'январь 2026'!$D$2:$D$2684,$B127,'январь 2026'!$J$2:$J$2684,AD$1)</f>
        <v>0</v>
      </c>
      <c r="AE127" s="144">
        <f>SUMIFS('январь 2026'!$G$2:$G$2684,'январь 2026'!$D$2:$D$2684,$B127,'январь 2026'!$J$2:$J$2684,AE$1)</f>
        <v>0</v>
      </c>
      <c r="AF127" s="144">
        <f>SUMIFS('январь 2026'!$G$2:$G$2684,'январь 2026'!$D$2:$D$2684,$B127,'январь 2026'!$J$2:$J$2684,AF$1)</f>
        <v>0</v>
      </c>
      <c r="AG127" s="144">
        <f>SUMIFS('январь 2026'!$G$2:$G$2684,'январь 2026'!$D$2:$D$2684,$B127,'январь 2026'!$J$2:$J$2684,AG$1)</f>
        <v>0</v>
      </c>
      <c r="AH127" s="144">
        <f>SUMIFS('январь 2026'!$G$2:$G$2684,'январь 2026'!$D$2:$D$2684,$B127,'январь 2026'!$J$2:$J$2684,AH$1)</f>
        <v>0</v>
      </c>
      <c r="AI127" s="20">
        <f t="shared" si="1"/>
        <v>0</v>
      </c>
    </row>
    <row r="128" spans="2:35" ht="15" customHeight="1" x14ac:dyDescent="0.25">
      <c r="B128" s="85" t="s">
        <v>338</v>
      </c>
      <c r="C128" s="83">
        <v>200</v>
      </c>
      <c r="D128" s="144">
        <f>SUMIFS('январь 2026'!$G$2:$G$2684,'январь 2026'!$D$2:$D$2684,$B128,'январь 2026'!$J$2:$J$2684,D$1)</f>
        <v>0</v>
      </c>
      <c r="E128" s="144">
        <f>SUMIFS('январь 2026'!$G$2:$G$2684,'январь 2026'!$D$2:$D$2684,$B128,'январь 2026'!$J$2:$J$2684,E$1)</f>
        <v>0</v>
      </c>
      <c r="F128" s="144">
        <f>SUMIFS('январь 2026'!$G$2:$G$2684,'январь 2026'!$D$2:$D$2684,$B128,'январь 2026'!$J$2:$J$2684,F$1)</f>
        <v>0</v>
      </c>
      <c r="G128" s="144">
        <f>SUMIFS('январь 2026'!$G$2:$G$2684,'январь 2026'!$D$2:$D$2684,$B128,'январь 2026'!$J$2:$J$2684,G$1)</f>
        <v>0</v>
      </c>
      <c r="H128" s="144">
        <f>SUMIFS('январь 2026'!$G$2:$G$2684,'январь 2026'!$D$2:$D$2684,$B128,'январь 2026'!$J$2:$J$2684,H$1)</f>
        <v>0</v>
      </c>
      <c r="I128" s="144">
        <f>SUMIFS('январь 2026'!$G$2:$G$2684,'январь 2026'!$D$2:$D$2684,$B128,'январь 2026'!$J$2:$J$2684,I$1)</f>
        <v>0</v>
      </c>
      <c r="J128" s="144">
        <f>SUMIFS('январь 2026'!$G$2:$G$2684,'январь 2026'!$D$2:$D$2684,$B128,'январь 2026'!$J$2:$J$2684,J$1)</f>
        <v>0</v>
      </c>
      <c r="K128" s="144">
        <f>SUMIFS('январь 2026'!$G$2:$G$2684,'январь 2026'!$D$2:$D$2684,$B128,'январь 2026'!$J$2:$J$2684,K$1)</f>
        <v>0</v>
      </c>
      <c r="L128" s="144">
        <f>SUMIFS('январь 2026'!$G$2:$G$2684,'январь 2026'!$D$2:$D$2684,$B128,'январь 2026'!$J$2:$J$2684,L$1)</f>
        <v>0</v>
      </c>
      <c r="M128" s="144">
        <f>SUMIFS('январь 2026'!$G$2:$G$2684,'январь 2026'!$D$2:$D$2684,$B128,'январь 2026'!$J$2:$J$2684,M$1)</f>
        <v>0</v>
      </c>
      <c r="N128" s="144">
        <f>SUMIFS('январь 2026'!$G$2:$G$2684,'январь 2026'!$D$2:$D$2684,$B128,'январь 2026'!$J$2:$J$2684,N$1)</f>
        <v>0</v>
      </c>
      <c r="O128" s="144">
        <f>SUMIFS('январь 2026'!$G$2:$G$2684,'январь 2026'!$D$2:$D$2684,$B128,'январь 2026'!$J$2:$J$2684,O$1)</f>
        <v>0</v>
      </c>
      <c r="P128" s="144">
        <f>SUMIFS('январь 2026'!$G$2:$G$2684,'январь 2026'!$D$2:$D$2684,$B128,'январь 2026'!$J$2:$J$2684,P$1)</f>
        <v>0</v>
      </c>
      <c r="Q128" s="144">
        <f>SUMIFS('январь 2026'!$G$2:$G$2684,'январь 2026'!$D$2:$D$2684,$B128,'январь 2026'!$J$2:$J$2684,Q$1)</f>
        <v>0</v>
      </c>
      <c r="R128" s="144">
        <f>SUMIFS('январь 2026'!$G$2:$G$2684,'январь 2026'!$D$2:$D$2684,$B128,'январь 2026'!$J$2:$J$2684,R$1)</f>
        <v>0</v>
      </c>
      <c r="S128" s="144">
        <f>SUMIFS('январь 2026'!$G$2:$G$2684,'январь 2026'!$D$2:$D$2684,$B128,'январь 2026'!$J$2:$J$2684,S$1)</f>
        <v>0</v>
      </c>
      <c r="T128" s="144">
        <f>SUMIFS('январь 2026'!$G$2:$G$2684,'январь 2026'!$D$2:$D$2684,$B128,'январь 2026'!$J$2:$J$2684,T$1)</f>
        <v>0</v>
      </c>
      <c r="U128" s="144">
        <f>SUMIFS('январь 2026'!$G$2:$G$2684,'январь 2026'!$D$2:$D$2684,$B128,'январь 2026'!$J$2:$J$2684,U$1)</f>
        <v>0</v>
      </c>
      <c r="V128" s="144">
        <f>SUMIFS('январь 2026'!$G$2:$G$2684,'январь 2026'!$D$2:$D$2684,$B128,'январь 2026'!$J$2:$J$2684,V$1)</f>
        <v>0</v>
      </c>
      <c r="W128" s="144">
        <f>SUMIFS('январь 2026'!$G$2:$G$2684,'январь 2026'!$D$2:$D$2684,$B128,'январь 2026'!$J$2:$J$2684,W$1)</f>
        <v>0</v>
      </c>
      <c r="X128" s="144">
        <f>SUMIFS('январь 2026'!$G$2:$G$2684,'январь 2026'!$D$2:$D$2684,$B128,'январь 2026'!$J$2:$J$2684,X$1)</f>
        <v>0</v>
      </c>
      <c r="Y128" s="144">
        <f>SUMIFS('январь 2026'!$G$2:$G$2684,'январь 2026'!$D$2:$D$2684,$B128,'январь 2026'!$J$2:$J$2684,Y$1)</f>
        <v>0</v>
      </c>
      <c r="Z128" s="144">
        <f>SUMIFS('январь 2026'!$G$2:$G$2684,'январь 2026'!$D$2:$D$2684,$B128,'январь 2026'!$J$2:$J$2684,Z$1)</f>
        <v>0</v>
      </c>
      <c r="AA128" s="144">
        <f>SUMIFS('январь 2026'!$G$2:$G$2684,'январь 2026'!$D$2:$D$2684,$B128,'январь 2026'!$J$2:$J$2684,AA$1)</f>
        <v>0</v>
      </c>
      <c r="AB128" s="144">
        <f>SUMIFS('январь 2026'!$G$2:$G$2684,'январь 2026'!$D$2:$D$2684,$B128,'январь 2026'!$J$2:$J$2684,AB$1)</f>
        <v>0</v>
      </c>
      <c r="AC128" s="144">
        <f>SUMIFS('январь 2026'!$G$2:$G$2684,'январь 2026'!$D$2:$D$2684,$B128,'январь 2026'!$J$2:$J$2684,AC$1)</f>
        <v>0</v>
      </c>
      <c r="AD128" s="144">
        <f>SUMIFS('январь 2026'!$G$2:$G$2684,'январь 2026'!$D$2:$D$2684,$B128,'январь 2026'!$J$2:$J$2684,AD$1)</f>
        <v>0</v>
      </c>
      <c r="AE128" s="144">
        <f>SUMIFS('январь 2026'!$G$2:$G$2684,'январь 2026'!$D$2:$D$2684,$B128,'январь 2026'!$J$2:$J$2684,AE$1)</f>
        <v>0</v>
      </c>
      <c r="AF128" s="144">
        <f>SUMIFS('январь 2026'!$G$2:$G$2684,'январь 2026'!$D$2:$D$2684,$B128,'январь 2026'!$J$2:$J$2684,AF$1)</f>
        <v>0</v>
      </c>
      <c r="AG128" s="144">
        <f>SUMIFS('январь 2026'!$G$2:$G$2684,'январь 2026'!$D$2:$D$2684,$B128,'январь 2026'!$J$2:$J$2684,AG$1)</f>
        <v>0</v>
      </c>
      <c r="AH128" s="144">
        <f>SUMIFS('январь 2026'!$G$2:$G$2684,'январь 2026'!$D$2:$D$2684,$B128,'январь 2026'!$J$2:$J$2684,AH$1)</f>
        <v>0</v>
      </c>
      <c r="AI128" s="20">
        <f t="shared" si="1"/>
        <v>0</v>
      </c>
    </row>
    <row r="129" spans="2:35" ht="15" customHeight="1" x14ac:dyDescent="0.25">
      <c r="B129" s="85" t="s">
        <v>261</v>
      </c>
      <c r="C129" s="83">
        <v>180</v>
      </c>
      <c r="D129" s="144">
        <f>SUMIFS('январь 2026'!$G$2:$G$2684,'январь 2026'!$D$2:$D$2684,$B129,'январь 2026'!$J$2:$J$2684,D$1)</f>
        <v>0</v>
      </c>
      <c r="E129" s="144">
        <f>SUMIFS('январь 2026'!$G$2:$G$2684,'январь 2026'!$D$2:$D$2684,$B129,'январь 2026'!$J$2:$J$2684,E$1)</f>
        <v>0</v>
      </c>
      <c r="F129" s="144">
        <f>SUMIFS('январь 2026'!$G$2:$G$2684,'январь 2026'!$D$2:$D$2684,$B129,'январь 2026'!$J$2:$J$2684,F$1)</f>
        <v>0</v>
      </c>
      <c r="G129" s="144">
        <f>SUMIFS('январь 2026'!$G$2:$G$2684,'январь 2026'!$D$2:$D$2684,$B129,'январь 2026'!$J$2:$J$2684,G$1)</f>
        <v>0</v>
      </c>
      <c r="H129" s="144">
        <f>SUMIFS('январь 2026'!$G$2:$G$2684,'январь 2026'!$D$2:$D$2684,$B129,'январь 2026'!$J$2:$J$2684,H$1)</f>
        <v>0</v>
      </c>
      <c r="I129" s="144">
        <f>SUMIFS('январь 2026'!$G$2:$G$2684,'январь 2026'!$D$2:$D$2684,$B129,'январь 2026'!$J$2:$J$2684,I$1)</f>
        <v>0</v>
      </c>
      <c r="J129" s="144">
        <f>SUMIFS('январь 2026'!$G$2:$G$2684,'январь 2026'!$D$2:$D$2684,$B129,'январь 2026'!$J$2:$J$2684,J$1)</f>
        <v>0</v>
      </c>
      <c r="K129" s="144">
        <f>SUMIFS('январь 2026'!$G$2:$G$2684,'январь 2026'!$D$2:$D$2684,$B129,'январь 2026'!$J$2:$J$2684,K$1)</f>
        <v>0</v>
      </c>
      <c r="L129" s="144">
        <f>SUMIFS('январь 2026'!$G$2:$G$2684,'январь 2026'!$D$2:$D$2684,$B129,'январь 2026'!$J$2:$J$2684,L$1)</f>
        <v>0</v>
      </c>
      <c r="M129" s="144">
        <f>SUMIFS('январь 2026'!$G$2:$G$2684,'январь 2026'!$D$2:$D$2684,$B129,'январь 2026'!$J$2:$J$2684,M$1)</f>
        <v>0</v>
      </c>
      <c r="N129" s="144">
        <f>SUMIFS('январь 2026'!$G$2:$G$2684,'январь 2026'!$D$2:$D$2684,$B129,'январь 2026'!$J$2:$J$2684,N$1)</f>
        <v>0</v>
      </c>
      <c r="O129" s="144">
        <f>SUMIFS('январь 2026'!$G$2:$G$2684,'январь 2026'!$D$2:$D$2684,$B129,'январь 2026'!$J$2:$J$2684,O$1)</f>
        <v>0</v>
      </c>
      <c r="P129" s="144">
        <f>SUMIFS('январь 2026'!$G$2:$G$2684,'январь 2026'!$D$2:$D$2684,$B129,'январь 2026'!$J$2:$J$2684,P$1)</f>
        <v>0</v>
      </c>
      <c r="Q129" s="144">
        <f>SUMIFS('январь 2026'!$G$2:$G$2684,'январь 2026'!$D$2:$D$2684,$B129,'январь 2026'!$J$2:$J$2684,Q$1)</f>
        <v>0</v>
      </c>
      <c r="R129" s="144">
        <f>SUMIFS('январь 2026'!$G$2:$G$2684,'январь 2026'!$D$2:$D$2684,$B129,'январь 2026'!$J$2:$J$2684,R$1)</f>
        <v>0</v>
      </c>
      <c r="S129" s="144">
        <f>SUMIFS('январь 2026'!$G$2:$G$2684,'январь 2026'!$D$2:$D$2684,$B129,'январь 2026'!$J$2:$J$2684,S$1)</f>
        <v>0</v>
      </c>
      <c r="T129" s="144">
        <f>SUMIFS('январь 2026'!$G$2:$G$2684,'январь 2026'!$D$2:$D$2684,$B129,'январь 2026'!$J$2:$J$2684,T$1)</f>
        <v>0</v>
      </c>
      <c r="U129" s="144">
        <f>SUMIFS('январь 2026'!$G$2:$G$2684,'январь 2026'!$D$2:$D$2684,$B129,'январь 2026'!$J$2:$J$2684,U$1)</f>
        <v>0</v>
      </c>
      <c r="V129" s="144">
        <f>SUMIFS('январь 2026'!$G$2:$G$2684,'январь 2026'!$D$2:$D$2684,$B129,'январь 2026'!$J$2:$J$2684,V$1)</f>
        <v>0</v>
      </c>
      <c r="W129" s="144">
        <f>SUMIFS('январь 2026'!$G$2:$G$2684,'январь 2026'!$D$2:$D$2684,$B129,'январь 2026'!$J$2:$J$2684,W$1)</f>
        <v>0</v>
      </c>
      <c r="X129" s="144">
        <f>SUMIFS('январь 2026'!$G$2:$G$2684,'январь 2026'!$D$2:$D$2684,$B129,'январь 2026'!$J$2:$J$2684,X$1)</f>
        <v>0</v>
      </c>
      <c r="Y129" s="144">
        <f>SUMIFS('январь 2026'!$G$2:$G$2684,'январь 2026'!$D$2:$D$2684,$B129,'январь 2026'!$J$2:$J$2684,Y$1)</f>
        <v>0</v>
      </c>
      <c r="Z129" s="144">
        <f>SUMIFS('январь 2026'!$G$2:$G$2684,'январь 2026'!$D$2:$D$2684,$B129,'январь 2026'!$J$2:$J$2684,Z$1)</f>
        <v>0</v>
      </c>
      <c r="AA129" s="144">
        <f>SUMIFS('январь 2026'!$G$2:$G$2684,'январь 2026'!$D$2:$D$2684,$B129,'январь 2026'!$J$2:$J$2684,AA$1)</f>
        <v>0</v>
      </c>
      <c r="AB129" s="144">
        <f>SUMIFS('январь 2026'!$G$2:$G$2684,'январь 2026'!$D$2:$D$2684,$B129,'январь 2026'!$J$2:$J$2684,AB$1)</f>
        <v>0</v>
      </c>
      <c r="AC129" s="144">
        <f>SUMIFS('январь 2026'!$G$2:$G$2684,'январь 2026'!$D$2:$D$2684,$B129,'январь 2026'!$J$2:$J$2684,AC$1)</f>
        <v>0</v>
      </c>
      <c r="AD129" s="144">
        <f>SUMIFS('январь 2026'!$G$2:$G$2684,'январь 2026'!$D$2:$D$2684,$B129,'январь 2026'!$J$2:$J$2684,AD$1)</f>
        <v>0</v>
      </c>
      <c r="AE129" s="144">
        <f>SUMIFS('январь 2026'!$G$2:$G$2684,'январь 2026'!$D$2:$D$2684,$B129,'январь 2026'!$J$2:$J$2684,AE$1)</f>
        <v>0</v>
      </c>
      <c r="AF129" s="144">
        <f>SUMIFS('январь 2026'!$G$2:$G$2684,'январь 2026'!$D$2:$D$2684,$B129,'январь 2026'!$J$2:$J$2684,AF$1)</f>
        <v>0</v>
      </c>
      <c r="AG129" s="144">
        <f>SUMIFS('январь 2026'!$G$2:$G$2684,'январь 2026'!$D$2:$D$2684,$B129,'январь 2026'!$J$2:$J$2684,AG$1)</f>
        <v>0</v>
      </c>
      <c r="AH129" s="144">
        <f>SUMIFS('январь 2026'!$G$2:$G$2684,'январь 2026'!$D$2:$D$2684,$B129,'январь 2026'!$J$2:$J$2684,AH$1)</f>
        <v>0</v>
      </c>
      <c r="AI129" s="20">
        <f t="shared" si="1"/>
        <v>0</v>
      </c>
    </row>
    <row r="130" spans="2:35" ht="15" customHeight="1" x14ac:dyDescent="0.25">
      <c r="B130" s="85" t="s">
        <v>308</v>
      </c>
      <c r="C130" s="83">
        <v>200</v>
      </c>
      <c r="D130" s="144">
        <f>SUMIFS('январь 2026'!$G$2:$G$2684,'январь 2026'!$D$2:$D$2684,$B130,'январь 2026'!$J$2:$J$2684,D$1)</f>
        <v>0</v>
      </c>
      <c r="E130" s="144">
        <f>SUMIFS('январь 2026'!$G$2:$G$2684,'январь 2026'!$D$2:$D$2684,$B130,'январь 2026'!$J$2:$J$2684,E$1)</f>
        <v>0</v>
      </c>
      <c r="F130" s="144">
        <f>SUMIFS('январь 2026'!$G$2:$G$2684,'январь 2026'!$D$2:$D$2684,$B130,'январь 2026'!$J$2:$J$2684,F$1)</f>
        <v>0</v>
      </c>
      <c r="G130" s="144">
        <f>SUMIFS('январь 2026'!$G$2:$G$2684,'январь 2026'!$D$2:$D$2684,$B130,'январь 2026'!$J$2:$J$2684,G$1)</f>
        <v>0</v>
      </c>
      <c r="H130" s="144">
        <f>SUMIFS('январь 2026'!$G$2:$G$2684,'январь 2026'!$D$2:$D$2684,$B130,'январь 2026'!$J$2:$J$2684,H$1)</f>
        <v>0</v>
      </c>
      <c r="I130" s="144">
        <f>SUMIFS('январь 2026'!$G$2:$G$2684,'январь 2026'!$D$2:$D$2684,$B130,'январь 2026'!$J$2:$J$2684,I$1)</f>
        <v>0</v>
      </c>
      <c r="J130" s="144">
        <f>SUMIFS('январь 2026'!$G$2:$G$2684,'январь 2026'!$D$2:$D$2684,$B130,'январь 2026'!$J$2:$J$2684,J$1)</f>
        <v>0</v>
      </c>
      <c r="K130" s="144">
        <f>SUMIFS('январь 2026'!$G$2:$G$2684,'январь 2026'!$D$2:$D$2684,$B130,'январь 2026'!$J$2:$J$2684,K$1)</f>
        <v>0</v>
      </c>
      <c r="L130" s="144">
        <f>SUMIFS('январь 2026'!$G$2:$G$2684,'январь 2026'!$D$2:$D$2684,$B130,'январь 2026'!$J$2:$J$2684,L$1)</f>
        <v>0</v>
      </c>
      <c r="M130" s="144">
        <f>SUMIFS('январь 2026'!$G$2:$G$2684,'январь 2026'!$D$2:$D$2684,$B130,'январь 2026'!$J$2:$J$2684,M$1)</f>
        <v>0</v>
      </c>
      <c r="N130" s="144">
        <f>SUMIFS('январь 2026'!$G$2:$G$2684,'январь 2026'!$D$2:$D$2684,$B130,'январь 2026'!$J$2:$J$2684,N$1)</f>
        <v>0</v>
      </c>
      <c r="O130" s="144">
        <f>SUMIFS('январь 2026'!$G$2:$G$2684,'январь 2026'!$D$2:$D$2684,$B130,'январь 2026'!$J$2:$J$2684,O$1)</f>
        <v>0</v>
      </c>
      <c r="P130" s="144">
        <f>SUMIFS('январь 2026'!$G$2:$G$2684,'январь 2026'!$D$2:$D$2684,$B130,'январь 2026'!$J$2:$J$2684,P$1)</f>
        <v>0</v>
      </c>
      <c r="Q130" s="144">
        <f>SUMIFS('январь 2026'!$G$2:$G$2684,'январь 2026'!$D$2:$D$2684,$B130,'январь 2026'!$J$2:$J$2684,Q$1)</f>
        <v>0</v>
      </c>
      <c r="R130" s="144">
        <f>SUMIFS('январь 2026'!$G$2:$G$2684,'январь 2026'!$D$2:$D$2684,$B130,'январь 2026'!$J$2:$J$2684,R$1)</f>
        <v>0</v>
      </c>
      <c r="S130" s="144">
        <f>SUMIFS('январь 2026'!$G$2:$G$2684,'январь 2026'!$D$2:$D$2684,$B130,'январь 2026'!$J$2:$J$2684,S$1)</f>
        <v>0</v>
      </c>
      <c r="T130" s="144">
        <f>SUMIFS('январь 2026'!$G$2:$G$2684,'январь 2026'!$D$2:$D$2684,$B130,'январь 2026'!$J$2:$J$2684,T$1)</f>
        <v>0</v>
      </c>
      <c r="U130" s="144">
        <f>SUMIFS('январь 2026'!$G$2:$G$2684,'январь 2026'!$D$2:$D$2684,$B130,'январь 2026'!$J$2:$J$2684,U$1)</f>
        <v>0</v>
      </c>
      <c r="V130" s="144">
        <f>SUMIFS('январь 2026'!$G$2:$G$2684,'январь 2026'!$D$2:$D$2684,$B130,'январь 2026'!$J$2:$J$2684,V$1)</f>
        <v>0</v>
      </c>
      <c r="W130" s="144">
        <f>SUMIFS('январь 2026'!$G$2:$G$2684,'январь 2026'!$D$2:$D$2684,$B130,'январь 2026'!$J$2:$J$2684,W$1)</f>
        <v>0</v>
      </c>
      <c r="X130" s="144">
        <f>SUMIFS('январь 2026'!$G$2:$G$2684,'январь 2026'!$D$2:$D$2684,$B130,'январь 2026'!$J$2:$J$2684,X$1)</f>
        <v>0</v>
      </c>
      <c r="Y130" s="144">
        <f>SUMIFS('январь 2026'!$G$2:$G$2684,'январь 2026'!$D$2:$D$2684,$B130,'январь 2026'!$J$2:$J$2684,Y$1)</f>
        <v>0</v>
      </c>
      <c r="Z130" s="144">
        <f>SUMIFS('январь 2026'!$G$2:$G$2684,'январь 2026'!$D$2:$D$2684,$B130,'январь 2026'!$J$2:$J$2684,Z$1)</f>
        <v>0</v>
      </c>
      <c r="AA130" s="144">
        <f>SUMIFS('январь 2026'!$G$2:$G$2684,'январь 2026'!$D$2:$D$2684,$B130,'январь 2026'!$J$2:$J$2684,AA$1)</f>
        <v>0</v>
      </c>
      <c r="AB130" s="144">
        <f>SUMIFS('январь 2026'!$G$2:$G$2684,'январь 2026'!$D$2:$D$2684,$B130,'январь 2026'!$J$2:$J$2684,AB$1)</f>
        <v>0</v>
      </c>
      <c r="AC130" s="144">
        <f>SUMIFS('январь 2026'!$G$2:$G$2684,'январь 2026'!$D$2:$D$2684,$B130,'январь 2026'!$J$2:$J$2684,AC$1)</f>
        <v>0</v>
      </c>
      <c r="AD130" s="144">
        <f>SUMIFS('январь 2026'!$G$2:$G$2684,'январь 2026'!$D$2:$D$2684,$B130,'январь 2026'!$J$2:$J$2684,AD$1)</f>
        <v>0</v>
      </c>
      <c r="AE130" s="144">
        <f>SUMIFS('январь 2026'!$G$2:$G$2684,'январь 2026'!$D$2:$D$2684,$B130,'январь 2026'!$J$2:$J$2684,AE$1)</f>
        <v>0</v>
      </c>
      <c r="AF130" s="144">
        <f>SUMIFS('январь 2026'!$G$2:$G$2684,'январь 2026'!$D$2:$D$2684,$B130,'январь 2026'!$J$2:$J$2684,AF$1)</f>
        <v>0</v>
      </c>
      <c r="AG130" s="144">
        <f>SUMIFS('январь 2026'!$G$2:$G$2684,'январь 2026'!$D$2:$D$2684,$B130,'январь 2026'!$J$2:$J$2684,AG$1)</f>
        <v>0</v>
      </c>
      <c r="AH130" s="144">
        <f>SUMIFS('январь 2026'!$G$2:$G$2684,'январь 2026'!$D$2:$D$2684,$B130,'январь 2026'!$J$2:$J$2684,AH$1)</f>
        <v>0</v>
      </c>
      <c r="AI130" s="20">
        <f t="shared" si="1"/>
        <v>0</v>
      </c>
    </row>
    <row r="131" spans="2:35" ht="15" customHeight="1" x14ac:dyDescent="0.25">
      <c r="B131" s="85" t="s">
        <v>276</v>
      </c>
      <c r="C131" s="83">
        <v>185</v>
      </c>
      <c r="D131" s="144">
        <f>SUMIFS('январь 2026'!$G$2:$G$2684,'январь 2026'!$D$2:$D$2684,$B131,'январь 2026'!$J$2:$J$2684,D$1)</f>
        <v>0</v>
      </c>
      <c r="E131" s="144">
        <f>SUMIFS('январь 2026'!$G$2:$G$2684,'январь 2026'!$D$2:$D$2684,$B131,'январь 2026'!$J$2:$J$2684,E$1)</f>
        <v>0</v>
      </c>
      <c r="F131" s="144">
        <f>SUMIFS('январь 2026'!$G$2:$G$2684,'январь 2026'!$D$2:$D$2684,$B131,'январь 2026'!$J$2:$J$2684,F$1)</f>
        <v>0</v>
      </c>
      <c r="G131" s="144">
        <f>SUMIFS('январь 2026'!$G$2:$G$2684,'январь 2026'!$D$2:$D$2684,$B131,'январь 2026'!$J$2:$J$2684,G$1)</f>
        <v>0</v>
      </c>
      <c r="H131" s="144">
        <f>SUMIFS('январь 2026'!$G$2:$G$2684,'январь 2026'!$D$2:$D$2684,$B131,'январь 2026'!$J$2:$J$2684,H$1)</f>
        <v>0</v>
      </c>
      <c r="I131" s="144">
        <f>SUMIFS('январь 2026'!$G$2:$G$2684,'январь 2026'!$D$2:$D$2684,$B131,'январь 2026'!$J$2:$J$2684,I$1)</f>
        <v>0</v>
      </c>
      <c r="J131" s="144">
        <f>SUMIFS('январь 2026'!$G$2:$G$2684,'январь 2026'!$D$2:$D$2684,$B131,'январь 2026'!$J$2:$J$2684,J$1)</f>
        <v>0</v>
      </c>
      <c r="K131" s="144">
        <f>SUMIFS('январь 2026'!$G$2:$G$2684,'январь 2026'!$D$2:$D$2684,$B131,'январь 2026'!$J$2:$J$2684,K$1)</f>
        <v>0</v>
      </c>
      <c r="L131" s="144">
        <f>SUMIFS('январь 2026'!$G$2:$G$2684,'январь 2026'!$D$2:$D$2684,$B131,'январь 2026'!$J$2:$J$2684,L$1)</f>
        <v>0</v>
      </c>
      <c r="M131" s="144">
        <f>SUMIFS('январь 2026'!$G$2:$G$2684,'январь 2026'!$D$2:$D$2684,$B131,'январь 2026'!$J$2:$J$2684,M$1)</f>
        <v>0</v>
      </c>
      <c r="N131" s="144">
        <f>SUMIFS('январь 2026'!$G$2:$G$2684,'январь 2026'!$D$2:$D$2684,$B131,'январь 2026'!$J$2:$J$2684,N$1)</f>
        <v>0</v>
      </c>
      <c r="O131" s="144">
        <f>SUMIFS('январь 2026'!$G$2:$G$2684,'январь 2026'!$D$2:$D$2684,$B131,'январь 2026'!$J$2:$J$2684,O$1)</f>
        <v>0</v>
      </c>
      <c r="P131" s="144">
        <f>SUMIFS('январь 2026'!$G$2:$G$2684,'январь 2026'!$D$2:$D$2684,$B131,'январь 2026'!$J$2:$J$2684,P$1)</f>
        <v>0</v>
      </c>
      <c r="Q131" s="144">
        <f>SUMIFS('январь 2026'!$G$2:$G$2684,'январь 2026'!$D$2:$D$2684,$B131,'январь 2026'!$J$2:$J$2684,Q$1)</f>
        <v>0</v>
      </c>
      <c r="R131" s="144">
        <f>SUMIFS('январь 2026'!$G$2:$G$2684,'январь 2026'!$D$2:$D$2684,$B131,'январь 2026'!$J$2:$J$2684,R$1)</f>
        <v>0</v>
      </c>
      <c r="S131" s="144">
        <f>SUMIFS('январь 2026'!$G$2:$G$2684,'январь 2026'!$D$2:$D$2684,$B131,'январь 2026'!$J$2:$J$2684,S$1)</f>
        <v>0</v>
      </c>
      <c r="T131" s="144">
        <f>SUMIFS('январь 2026'!$G$2:$G$2684,'январь 2026'!$D$2:$D$2684,$B131,'январь 2026'!$J$2:$J$2684,T$1)</f>
        <v>0</v>
      </c>
      <c r="U131" s="144">
        <f>SUMIFS('январь 2026'!$G$2:$G$2684,'январь 2026'!$D$2:$D$2684,$B131,'январь 2026'!$J$2:$J$2684,U$1)</f>
        <v>0</v>
      </c>
      <c r="V131" s="144">
        <f>SUMIFS('январь 2026'!$G$2:$G$2684,'январь 2026'!$D$2:$D$2684,$B131,'январь 2026'!$J$2:$J$2684,V$1)</f>
        <v>0</v>
      </c>
      <c r="W131" s="144">
        <f>SUMIFS('январь 2026'!$G$2:$G$2684,'январь 2026'!$D$2:$D$2684,$B131,'январь 2026'!$J$2:$J$2684,W$1)</f>
        <v>0</v>
      </c>
      <c r="X131" s="144">
        <f>SUMIFS('январь 2026'!$G$2:$G$2684,'январь 2026'!$D$2:$D$2684,$B131,'январь 2026'!$J$2:$J$2684,X$1)</f>
        <v>0</v>
      </c>
      <c r="Y131" s="144">
        <f>SUMIFS('январь 2026'!$G$2:$G$2684,'январь 2026'!$D$2:$D$2684,$B131,'январь 2026'!$J$2:$J$2684,Y$1)</f>
        <v>0</v>
      </c>
      <c r="Z131" s="144">
        <f>SUMIFS('январь 2026'!$G$2:$G$2684,'январь 2026'!$D$2:$D$2684,$B131,'январь 2026'!$J$2:$J$2684,Z$1)</f>
        <v>0</v>
      </c>
      <c r="AA131" s="144">
        <f>SUMIFS('январь 2026'!$G$2:$G$2684,'январь 2026'!$D$2:$D$2684,$B131,'январь 2026'!$J$2:$J$2684,AA$1)</f>
        <v>0</v>
      </c>
      <c r="AB131" s="144">
        <f>SUMIFS('январь 2026'!$G$2:$G$2684,'январь 2026'!$D$2:$D$2684,$B131,'январь 2026'!$J$2:$J$2684,AB$1)</f>
        <v>0</v>
      </c>
      <c r="AC131" s="144">
        <f>SUMIFS('январь 2026'!$G$2:$G$2684,'январь 2026'!$D$2:$D$2684,$B131,'январь 2026'!$J$2:$J$2684,AC$1)</f>
        <v>0</v>
      </c>
      <c r="AD131" s="144">
        <f>SUMIFS('январь 2026'!$G$2:$G$2684,'январь 2026'!$D$2:$D$2684,$B131,'январь 2026'!$J$2:$J$2684,AD$1)</f>
        <v>0</v>
      </c>
      <c r="AE131" s="144">
        <f>SUMIFS('январь 2026'!$G$2:$G$2684,'январь 2026'!$D$2:$D$2684,$B131,'январь 2026'!$J$2:$J$2684,AE$1)</f>
        <v>0</v>
      </c>
      <c r="AF131" s="144">
        <f>SUMIFS('январь 2026'!$G$2:$G$2684,'январь 2026'!$D$2:$D$2684,$B131,'январь 2026'!$J$2:$J$2684,AF$1)</f>
        <v>0</v>
      </c>
      <c r="AG131" s="144">
        <f>SUMIFS('январь 2026'!$G$2:$G$2684,'январь 2026'!$D$2:$D$2684,$B131,'январь 2026'!$J$2:$J$2684,AG$1)</f>
        <v>0</v>
      </c>
      <c r="AH131" s="144">
        <f>SUMIFS('январь 2026'!$G$2:$G$2684,'январь 2026'!$D$2:$D$2684,$B131,'январь 2026'!$J$2:$J$2684,AH$1)</f>
        <v>0</v>
      </c>
      <c r="AI131" s="20">
        <f t="shared" si="1"/>
        <v>0</v>
      </c>
    </row>
    <row r="132" spans="2:35" ht="15" customHeight="1" x14ac:dyDescent="0.25">
      <c r="B132" s="85" t="s">
        <v>278</v>
      </c>
      <c r="C132" s="83">
        <v>185</v>
      </c>
      <c r="D132" s="144">
        <f>SUMIFS('январь 2026'!$G$2:$G$2684,'январь 2026'!$D$2:$D$2684,$B132,'январь 2026'!$J$2:$J$2684,D$1)</f>
        <v>0</v>
      </c>
      <c r="E132" s="144">
        <f>SUMIFS('январь 2026'!$G$2:$G$2684,'январь 2026'!$D$2:$D$2684,$B132,'январь 2026'!$J$2:$J$2684,E$1)</f>
        <v>0</v>
      </c>
      <c r="F132" s="144">
        <f>SUMIFS('январь 2026'!$G$2:$G$2684,'январь 2026'!$D$2:$D$2684,$B132,'январь 2026'!$J$2:$J$2684,F$1)</f>
        <v>0</v>
      </c>
      <c r="G132" s="144">
        <f>SUMIFS('январь 2026'!$G$2:$G$2684,'январь 2026'!$D$2:$D$2684,$B132,'январь 2026'!$J$2:$J$2684,G$1)</f>
        <v>0</v>
      </c>
      <c r="H132" s="144">
        <f>SUMIFS('январь 2026'!$G$2:$G$2684,'январь 2026'!$D$2:$D$2684,$B132,'январь 2026'!$J$2:$J$2684,H$1)</f>
        <v>0</v>
      </c>
      <c r="I132" s="144">
        <f>SUMIFS('январь 2026'!$G$2:$G$2684,'январь 2026'!$D$2:$D$2684,$B132,'январь 2026'!$J$2:$J$2684,I$1)</f>
        <v>0</v>
      </c>
      <c r="J132" s="144">
        <f>SUMIFS('январь 2026'!$G$2:$G$2684,'январь 2026'!$D$2:$D$2684,$B132,'январь 2026'!$J$2:$J$2684,J$1)</f>
        <v>0</v>
      </c>
      <c r="K132" s="144">
        <f>SUMIFS('январь 2026'!$G$2:$G$2684,'январь 2026'!$D$2:$D$2684,$B132,'январь 2026'!$J$2:$J$2684,K$1)</f>
        <v>0</v>
      </c>
      <c r="L132" s="144">
        <f>SUMIFS('январь 2026'!$G$2:$G$2684,'январь 2026'!$D$2:$D$2684,$B132,'январь 2026'!$J$2:$J$2684,L$1)</f>
        <v>0</v>
      </c>
      <c r="M132" s="144">
        <f>SUMIFS('январь 2026'!$G$2:$G$2684,'январь 2026'!$D$2:$D$2684,$B132,'январь 2026'!$J$2:$J$2684,M$1)</f>
        <v>0</v>
      </c>
      <c r="N132" s="144">
        <f>SUMIFS('январь 2026'!$G$2:$G$2684,'январь 2026'!$D$2:$D$2684,$B132,'январь 2026'!$J$2:$J$2684,N$1)</f>
        <v>0</v>
      </c>
      <c r="O132" s="144">
        <f>SUMIFS('январь 2026'!$G$2:$G$2684,'январь 2026'!$D$2:$D$2684,$B132,'январь 2026'!$J$2:$J$2684,O$1)</f>
        <v>0</v>
      </c>
      <c r="P132" s="144">
        <f>SUMIFS('январь 2026'!$G$2:$G$2684,'январь 2026'!$D$2:$D$2684,$B132,'январь 2026'!$J$2:$J$2684,P$1)</f>
        <v>0</v>
      </c>
      <c r="Q132" s="144">
        <f>SUMIFS('январь 2026'!$G$2:$G$2684,'январь 2026'!$D$2:$D$2684,$B132,'январь 2026'!$J$2:$J$2684,Q$1)</f>
        <v>0</v>
      </c>
      <c r="R132" s="144">
        <f>SUMIFS('январь 2026'!$G$2:$G$2684,'январь 2026'!$D$2:$D$2684,$B132,'январь 2026'!$J$2:$J$2684,R$1)</f>
        <v>0</v>
      </c>
      <c r="S132" s="144">
        <f>SUMIFS('январь 2026'!$G$2:$G$2684,'январь 2026'!$D$2:$D$2684,$B132,'январь 2026'!$J$2:$J$2684,S$1)</f>
        <v>0</v>
      </c>
      <c r="T132" s="144">
        <f>SUMIFS('январь 2026'!$G$2:$G$2684,'январь 2026'!$D$2:$D$2684,$B132,'январь 2026'!$J$2:$J$2684,T$1)</f>
        <v>0</v>
      </c>
      <c r="U132" s="144">
        <f>SUMIFS('январь 2026'!$G$2:$G$2684,'январь 2026'!$D$2:$D$2684,$B132,'январь 2026'!$J$2:$J$2684,U$1)</f>
        <v>0</v>
      </c>
      <c r="V132" s="144">
        <f>SUMIFS('январь 2026'!$G$2:$G$2684,'январь 2026'!$D$2:$D$2684,$B132,'январь 2026'!$J$2:$J$2684,V$1)</f>
        <v>0</v>
      </c>
      <c r="W132" s="144">
        <f>SUMIFS('январь 2026'!$G$2:$G$2684,'январь 2026'!$D$2:$D$2684,$B132,'январь 2026'!$J$2:$J$2684,W$1)</f>
        <v>0</v>
      </c>
      <c r="X132" s="144">
        <f>SUMIFS('январь 2026'!$G$2:$G$2684,'январь 2026'!$D$2:$D$2684,$B132,'январь 2026'!$J$2:$J$2684,X$1)</f>
        <v>0</v>
      </c>
      <c r="Y132" s="144">
        <f>SUMIFS('январь 2026'!$G$2:$G$2684,'январь 2026'!$D$2:$D$2684,$B132,'январь 2026'!$J$2:$J$2684,Y$1)</f>
        <v>0</v>
      </c>
      <c r="Z132" s="144">
        <f>SUMIFS('январь 2026'!$G$2:$G$2684,'январь 2026'!$D$2:$D$2684,$B132,'январь 2026'!$J$2:$J$2684,Z$1)</f>
        <v>0</v>
      </c>
      <c r="AA132" s="144">
        <f>SUMIFS('январь 2026'!$G$2:$G$2684,'январь 2026'!$D$2:$D$2684,$B132,'январь 2026'!$J$2:$J$2684,AA$1)</f>
        <v>0</v>
      </c>
      <c r="AB132" s="144">
        <f>SUMIFS('январь 2026'!$G$2:$G$2684,'январь 2026'!$D$2:$D$2684,$B132,'январь 2026'!$J$2:$J$2684,AB$1)</f>
        <v>0</v>
      </c>
      <c r="AC132" s="144">
        <f>SUMIFS('январь 2026'!$G$2:$G$2684,'январь 2026'!$D$2:$D$2684,$B132,'январь 2026'!$J$2:$J$2684,AC$1)</f>
        <v>0</v>
      </c>
      <c r="AD132" s="144">
        <f>SUMIFS('январь 2026'!$G$2:$G$2684,'январь 2026'!$D$2:$D$2684,$B132,'январь 2026'!$J$2:$J$2684,AD$1)</f>
        <v>0</v>
      </c>
      <c r="AE132" s="144">
        <f>SUMIFS('январь 2026'!$G$2:$G$2684,'январь 2026'!$D$2:$D$2684,$B132,'январь 2026'!$J$2:$J$2684,AE$1)</f>
        <v>0</v>
      </c>
      <c r="AF132" s="144">
        <f>SUMIFS('январь 2026'!$G$2:$G$2684,'январь 2026'!$D$2:$D$2684,$B132,'январь 2026'!$J$2:$J$2684,AF$1)</f>
        <v>0</v>
      </c>
      <c r="AG132" s="144">
        <f>SUMIFS('январь 2026'!$G$2:$G$2684,'январь 2026'!$D$2:$D$2684,$B132,'январь 2026'!$J$2:$J$2684,AG$1)</f>
        <v>0</v>
      </c>
      <c r="AH132" s="144">
        <f>SUMIFS('январь 2026'!$G$2:$G$2684,'январь 2026'!$D$2:$D$2684,$B132,'январь 2026'!$J$2:$J$2684,AH$1)</f>
        <v>0</v>
      </c>
      <c r="AI132" s="20">
        <f t="shared" si="1"/>
        <v>0</v>
      </c>
    </row>
    <row r="133" spans="2:35" ht="15" customHeight="1" x14ac:dyDescent="0.25">
      <c r="B133" s="85" t="s">
        <v>327</v>
      </c>
      <c r="C133" s="83">
        <v>185</v>
      </c>
      <c r="D133" s="144">
        <f>SUMIFS('январь 2026'!$G$2:$G$2684,'январь 2026'!$D$2:$D$2684,$B133,'январь 2026'!$J$2:$J$2684,D$1)</f>
        <v>0</v>
      </c>
      <c r="E133" s="144">
        <f>SUMIFS('январь 2026'!$G$2:$G$2684,'январь 2026'!$D$2:$D$2684,$B133,'январь 2026'!$J$2:$J$2684,E$1)</f>
        <v>0</v>
      </c>
      <c r="F133" s="144">
        <f>SUMIFS('январь 2026'!$G$2:$G$2684,'январь 2026'!$D$2:$D$2684,$B133,'январь 2026'!$J$2:$J$2684,F$1)</f>
        <v>0</v>
      </c>
      <c r="G133" s="144">
        <f>SUMIFS('январь 2026'!$G$2:$G$2684,'январь 2026'!$D$2:$D$2684,$B133,'январь 2026'!$J$2:$J$2684,G$1)</f>
        <v>0</v>
      </c>
      <c r="H133" s="144">
        <f>SUMIFS('январь 2026'!$G$2:$G$2684,'январь 2026'!$D$2:$D$2684,$B133,'январь 2026'!$J$2:$J$2684,H$1)</f>
        <v>0</v>
      </c>
      <c r="I133" s="144">
        <f>SUMIFS('январь 2026'!$G$2:$G$2684,'январь 2026'!$D$2:$D$2684,$B133,'январь 2026'!$J$2:$J$2684,I$1)</f>
        <v>0</v>
      </c>
      <c r="J133" s="144">
        <f>SUMIFS('январь 2026'!$G$2:$G$2684,'январь 2026'!$D$2:$D$2684,$B133,'январь 2026'!$J$2:$J$2684,J$1)</f>
        <v>0</v>
      </c>
      <c r="K133" s="144">
        <f>SUMIFS('январь 2026'!$G$2:$G$2684,'январь 2026'!$D$2:$D$2684,$B133,'январь 2026'!$J$2:$J$2684,K$1)</f>
        <v>0</v>
      </c>
      <c r="L133" s="144">
        <f>SUMIFS('январь 2026'!$G$2:$G$2684,'январь 2026'!$D$2:$D$2684,$B133,'январь 2026'!$J$2:$J$2684,L$1)</f>
        <v>0</v>
      </c>
      <c r="M133" s="144">
        <f>SUMIFS('январь 2026'!$G$2:$G$2684,'январь 2026'!$D$2:$D$2684,$B133,'январь 2026'!$J$2:$J$2684,M$1)</f>
        <v>0</v>
      </c>
      <c r="N133" s="144">
        <f>SUMIFS('январь 2026'!$G$2:$G$2684,'январь 2026'!$D$2:$D$2684,$B133,'январь 2026'!$J$2:$J$2684,N$1)</f>
        <v>0</v>
      </c>
      <c r="O133" s="144">
        <f>SUMIFS('январь 2026'!$G$2:$G$2684,'январь 2026'!$D$2:$D$2684,$B133,'январь 2026'!$J$2:$J$2684,O$1)</f>
        <v>0</v>
      </c>
      <c r="P133" s="144">
        <f>SUMIFS('январь 2026'!$G$2:$G$2684,'январь 2026'!$D$2:$D$2684,$B133,'январь 2026'!$J$2:$J$2684,P$1)</f>
        <v>0</v>
      </c>
      <c r="Q133" s="144">
        <f>SUMIFS('январь 2026'!$G$2:$G$2684,'январь 2026'!$D$2:$D$2684,$B133,'январь 2026'!$J$2:$J$2684,Q$1)</f>
        <v>0</v>
      </c>
      <c r="R133" s="144">
        <f>SUMIFS('январь 2026'!$G$2:$G$2684,'январь 2026'!$D$2:$D$2684,$B133,'январь 2026'!$J$2:$J$2684,R$1)</f>
        <v>0</v>
      </c>
      <c r="S133" s="144">
        <f>SUMIFS('январь 2026'!$G$2:$G$2684,'январь 2026'!$D$2:$D$2684,$B133,'январь 2026'!$J$2:$J$2684,S$1)</f>
        <v>0</v>
      </c>
      <c r="T133" s="144">
        <f>SUMIFS('январь 2026'!$G$2:$G$2684,'январь 2026'!$D$2:$D$2684,$B133,'январь 2026'!$J$2:$J$2684,T$1)</f>
        <v>0</v>
      </c>
      <c r="U133" s="144">
        <f>SUMIFS('январь 2026'!$G$2:$G$2684,'январь 2026'!$D$2:$D$2684,$B133,'январь 2026'!$J$2:$J$2684,U$1)</f>
        <v>0</v>
      </c>
      <c r="V133" s="144">
        <f>SUMIFS('январь 2026'!$G$2:$G$2684,'январь 2026'!$D$2:$D$2684,$B133,'январь 2026'!$J$2:$J$2684,V$1)</f>
        <v>0</v>
      </c>
      <c r="W133" s="144">
        <f>SUMIFS('январь 2026'!$G$2:$G$2684,'январь 2026'!$D$2:$D$2684,$B133,'январь 2026'!$J$2:$J$2684,W$1)</f>
        <v>0</v>
      </c>
      <c r="X133" s="144">
        <f>SUMIFS('январь 2026'!$G$2:$G$2684,'январь 2026'!$D$2:$D$2684,$B133,'январь 2026'!$J$2:$J$2684,X$1)</f>
        <v>0</v>
      </c>
      <c r="Y133" s="144">
        <f>SUMIFS('январь 2026'!$G$2:$G$2684,'январь 2026'!$D$2:$D$2684,$B133,'январь 2026'!$J$2:$J$2684,Y$1)</f>
        <v>0</v>
      </c>
      <c r="Z133" s="144">
        <f>SUMIFS('январь 2026'!$G$2:$G$2684,'январь 2026'!$D$2:$D$2684,$B133,'январь 2026'!$J$2:$J$2684,Z$1)</f>
        <v>0</v>
      </c>
      <c r="AA133" s="144">
        <f>SUMIFS('январь 2026'!$G$2:$G$2684,'январь 2026'!$D$2:$D$2684,$B133,'январь 2026'!$J$2:$J$2684,AA$1)</f>
        <v>0</v>
      </c>
      <c r="AB133" s="144">
        <f>SUMIFS('январь 2026'!$G$2:$G$2684,'январь 2026'!$D$2:$D$2684,$B133,'январь 2026'!$J$2:$J$2684,AB$1)</f>
        <v>0</v>
      </c>
      <c r="AC133" s="144">
        <f>SUMIFS('январь 2026'!$G$2:$G$2684,'январь 2026'!$D$2:$D$2684,$B133,'январь 2026'!$J$2:$J$2684,AC$1)</f>
        <v>0</v>
      </c>
      <c r="AD133" s="144">
        <f>SUMIFS('январь 2026'!$G$2:$G$2684,'январь 2026'!$D$2:$D$2684,$B133,'январь 2026'!$J$2:$J$2684,AD$1)</f>
        <v>0</v>
      </c>
      <c r="AE133" s="144">
        <f>SUMIFS('январь 2026'!$G$2:$G$2684,'январь 2026'!$D$2:$D$2684,$B133,'январь 2026'!$J$2:$J$2684,AE$1)</f>
        <v>0</v>
      </c>
      <c r="AF133" s="144">
        <f>SUMIFS('январь 2026'!$G$2:$G$2684,'январь 2026'!$D$2:$D$2684,$B133,'январь 2026'!$J$2:$J$2684,AF$1)</f>
        <v>0</v>
      </c>
      <c r="AG133" s="144">
        <f>SUMIFS('январь 2026'!$G$2:$G$2684,'январь 2026'!$D$2:$D$2684,$B133,'январь 2026'!$J$2:$J$2684,AG$1)</f>
        <v>0</v>
      </c>
      <c r="AH133" s="144">
        <f>SUMIFS('январь 2026'!$G$2:$G$2684,'январь 2026'!$D$2:$D$2684,$B133,'январь 2026'!$J$2:$J$2684,AH$1)</f>
        <v>0</v>
      </c>
      <c r="AI133" s="20">
        <f t="shared" si="1"/>
        <v>0</v>
      </c>
    </row>
    <row r="134" spans="2:35" ht="15" customHeight="1" x14ac:dyDescent="0.25">
      <c r="B134" s="85" t="s">
        <v>262</v>
      </c>
      <c r="C134" s="83">
        <v>180</v>
      </c>
      <c r="D134" s="144">
        <f>SUMIFS('январь 2026'!$G$2:$G$2684,'январь 2026'!$D$2:$D$2684,$B134,'январь 2026'!$J$2:$J$2684,D$1)</f>
        <v>0</v>
      </c>
      <c r="E134" s="144">
        <f>SUMIFS('январь 2026'!$G$2:$G$2684,'январь 2026'!$D$2:$D$2684,$B134,'январь 2026'!$J$2:$J$2684,E$1)</f>
        <v>0</v>
      </c>
      <c r="F134" s="144">
        <f>SUMIFS('январь 2026'!$G$2:$G$2684,'январь 2026'!$D$2:$D$2684,$B134,'январь 2026'!$J$2:$J$2684,F$1)</f>
        <v>0</v>
      </c>
      <c r="G134" s="144">
        <f>SUMIFS('январь 2026'!$G$2:$G$2684,'январь 2026'!$D$2:$D$2684,$B134,'январь 2026'!$J$2:$J$2684,G$1)</f>
        <v>0</v>
      </c>
      <c r="H134" s="144">
        <f>SUMIFS('январь 2026'!$G$2:$G$2684,'январь 2026'!$D$2:$D$2684,$B134,'январь 2026'!$J$2:$J$2684,H$1)</f>
        <v>0</v>
      </c>
      <c r="I134" s="144">
        <f>SUMIFS('январь 2026'!$G$2:$G$2684,'январь 2026'!$D$2:$D$2684,$B134,'январь 2026'!$J$2:$J$2684,I$1)</f>
        <v>0</v>
      </c>
      <c r="J134" s="144">
        <f>SUMIFS('январь 2026'!$G$2:$G$2684,'январь 2026'!$D$2:$D$2684,$B134,'январь 2026'!$J$2:$J$2684,J$1)</f>
        <v>0</v>
      </c>
      <c r="K134" s="144">
        <f>SUMIFS('январь 2026'!$G$2:$G$2684,'январь 2026'!$D$2:$D$2684,$B134,'январь 2026'!$J$2:$J$2684,K$1)</f>
        <v>0</v>
      </c>
      <c r="L134" s="144">
        <f>SUMIFS('январь 2026'!$G$2:$G$2684,'январь 2026'!$D$2:$D$2684,$B134,'январь 2026'!$J$2:$J$2684,L$1)</f>
        <v>0</v>
      </c>
      <c r="M134" s="144">
        <f>SUMIFS('январь 2026'!$G$2:$G$2684,'январь 2026'!$D$2:$D$2684,$B134,'январь 2026'!$J$2:$J$2684,M$1)</f>
        <v>0</v>
      </c>
      <c r="N134" s="144">
        <f>SUMIFS('январь 2026'!$G$2:$G$2684,'январь 2026'!$D$2:$D$2684,$B134,'январь 2026'!$J$2:$J$2684,N$1)</f>
        <v>0</v>
      </c>
      <c r="O134" s="144">
        <f>SUMIFS('январь 2026'!$G$2:$G$2684,'январь 2026'!$D$2:$D$2684,$B134,'январь 2026'!$J$2:$J$2684,O$1)</f>
        <v>0</v>
      </c>
      <c r="P134" s="144">
        <f>SUMIFS('январь 2026'!$G$2:$G$2684,'январь 2026'!$D$2:$D$2684,$B134,'январь 2026'!$J$2:$J$2684,P$1)</f>
        <v>0</v>
      </c>
      <c r="Q134" s="144">
        <f>SUMIFS('январь 2026'!$G$2:$G$2684,'январь 2026'!$D$2:$D$2684,$B134,'январь 2026'!$J$2:$J$2684,Q$1)</f>
        <v>0</v>
      </c>
      <c r="R134" s="144">
        <f>SUMIFS('январь 2026'!$G$2:$G$2684,'январь 2026'!$D$2:$D$2684,$B134,'январь 2026'!$J$2:$J$2684,R$1)</f>
        <v>0</v>
      </c>
      <c r="S134" s="144">
        <f>SUMIFS('январь 2026'!$G$2:$G$2684,'январь 2026'!$D$2:$D$2684,$B134,'январь 2026'!$J$2:$J$2684,S$1)</f>
        <v>0</v>
      </c>
      <c r="T134" s="144">
        <f>SUMIFS('январь 2026'!$G$2:$G$2684,'январь 2026'!$D$2:$D$2684,$B134,'январь 2026'!$J$2:$J$2684,T$1)</f>
        <v>0</v>
      </c>
      <c r="U134" s="144">
        <f>SUMIFS('январь 2026'!$G$2:$G$2684,'январь 2026'!$D$2:$D$2684,$B134,'январь 2026'!$J$2:$J$2684,U$1)</f>
        <v>0</v>
      </c>
      <c r="V134" s="144">
        <f>SUMIFS('январь 2026'!$G$2:$G$2684,'январь 2026'!$D$2:$D$2684,$B134,'январь 2026'!$J$2:$J$2684,V$1)</f>
        <v>0</v>
      </c>
      <c r="W134" s="144">
        <f>SUMIFS('январь 2026'!$G$2:$G$2684,'январь 2026'!$D$2:$D$2684,$B134,'январь 2026'!$J$2:$J$2684,W$1)</f>
        <v>0</v>
      </c>
      <c r="X134" s="144">
        <f>SUMIFS('январь 2026'!$G$2:$G$2684,'январь 2026'!$D$2:$D$2684,$B134,'январь 2026'!$J$2:$J$2684,X$1)</f>
        <v>0</v>
      </c>
      <c r="Y134" s="144">
        <f>SUMIFS('январь 2026'!$G$2:$G$2684,'январь 2026'!$D$2:$D$2684,$B134,'январь 2026'!$J$2:$J$2684,Y$1)</f>
        <v>0</v>
      </c>
      <c r="Z134" s="144">
        <f>SUMIFS('январь 2026'!$G$2:$G$2684,'январь 2026'!$D$2:$D$2684,$B134,'январь 2026'!$J$2:$J$2684,Z$1)</f>
        <v>0</v>
      </c>
      <c r="AA134" s="144">
        <f>SUMIFS('январь 2026'!$G$2:$G$2684,'январь 2026'!$D$2:$D$2684,$B134,'январь 2026'!$J$2:$J$2684,AA$1)</f>
        <v>0</v>
      </c>
      <c r="AB134" s="144">
        <f>SUMIFS('январь 2026'!$G$2:$G$2684,'январь 2026'!$D$2:$D$2684,$B134,'январь 2026'!$J$2:$J$2684,AB$1)</f>
        <v>0</v>
      </c>
      <c r="AC134" s="144">
        <f>SUMIFS('январь 2026'!$G$2:$G$2684,'январь 2026'!$D$2:$D$2684,$B134,'январь 2026'!$J$2:$J$2684,AC$1)</f>
        <v>0</v>
      </c>
      <c r="AD134" s="144">
        <f>SUMIFS('январь 2026'!$G$2:$G$2684,'январь 2026'!$D$2:$D$2684,$B134,'январь 2026'!$J$2:$J$2684,AD$1)</f>
        <v>0</v>
      </c>
      <c r="AE134" s="144">
        <f>SUMIFS('январь 2026'!$G$2:$G$2684,'январь 2026'!$D$2:$D$2684,$B134,'январь 2026'!$J$2:$J$2684,AE$1)</f>
        <v>0</v>
      </c>
      <c r="AF134" s="144">
        <f>SUMIFS('январь 2026'!$G$2:$G$2684,'январь 2026'!$D$2:$D$2684,$B134,'январь 2026'!$J$2:$J$2684,AF$1)</f>
        <v>0</v>
      </c>
      <c r="AG134" s="144">
        <f>SUMIFS('январь 2026'!$G$2:$G$2684,'январь 2026'!$D$2:$D$2684,$B134,'январь 2026'!$J$2:$J$2684,AG$1)</f>
        <v>0</v>
      </c>
      <c r="AH134" s="144">
        <f>SUMIFS('январь 2026'!$G$2:$G$2684,'январь 2026'!$D$2:$D$2684,$B134,'январь 2026'!$J$2:$J$2684,AH$1)</f>
        <v>0</v>
      </c>
      <c r="AI134" s="20">
        <f t="shared" si="1"/>
        <v>0</v>
      </c>
    </row>
    <row r="135" spans="2:35" ht="15" customHeight="1" x14ac:dyDescent="0.25">
      <c r="B135" s="85" t="s">
        <v>263</v>
      </c>
      <c r="C135" s="83">
        <v>200</v>
      </c>
      <c r="D135" s="144">
        <f>SUMIFS('январь 2026'!$G$2:$G$2684,'январь 2026'!$D$2:$D$2684,$B135,'январь 2026'!$J$2:$J$2684,D$1)</f>
        <v>0</v>
      </c>
      <c r="E135" s="144">
        <f>SUMIFS('январь 2026'!$G$2:$G$2684,'январь 2026'!$D$2:$D$2684,$B135,'январь 2026'!$J$2:$J$2684,E$1)</f>
        <v>0</v>
      </c>
      <c r="F135" s="144">
        <f>SUMIFS('январь 2026'!$G$2:$G$2684,'январь 2026'!$D$2:$D$2684,$B135,'январь 2026'!$J$2:$J$2684,F$1)</f>
        <v>0</v>
      </c>
      <c r="G135" s="144">
        <f>SUMIFS('январь 2026'!$G$2:$G$2684,'январь 2026'!$D$2:$D$2684,$B135,'январь 2026'!$J$2:$J$2684,G$1)</f>
        <v>0</v>
      </c>
      <c r="H135" s="144">
        <f>SUMIFS('январь 2026'!$G$2:$G$2684,'январь 2026'!$D$2:$D$2684,$B135,'январь 2026'!$J$2:$J$2684,H$1)</f>
        <v>0</v>
      </c>
      <c r="I135" s="144">
        <f>SUMIFS('январь 2026'!$G$2:$G$2684,'январь 2026'!$D$2:$D$2684,$B135,'январь 2026'!$J$2:$J$2684,I$1)</f>
        <v>0</v>
      </c>
      <c r="J135" s="144">
        <f>SUMIFS('январь 2026'!$G$2:$G$2684,'январь 2026'!$D$2:$D$2684,$B135,'январь 2026'!$J$2:$J$2684,J$1)</f>
        <v>0</v>
      </c>
      <c r="K135" s="144">
        <f>SUMIFS('январь 2026'!$G$2:$G$2684,'январь 2026'!$D$2:$D$2684,$B135,'январь 2026'!$J$2:$J$2684,K$1)</f>
        <v>0</v>
      </c>
      <c r="L135" s="144">
        <f>SUMIFS('январь 2026'!$G$2:$G$2684,'январь 2026'!$D$2:$D$2684,$B135,'январь 2026'!$J$2:$J$2684,L$1)</f>
        <v>0</v>
      </c>
      <c r="M135" s="144">
        <f>SUMIFS('январь 2026'!$G$2:$G$2684,'январь 2026'!$D$2:$D$2684,$B135,'январь 2026'!$J$2:$J$2684,M$1)</f>
        <v>0</v>
      </c>
      <c r="N135" s="144">
        <f>SUMIFS('январь 2026'!$G$2:$G$2684,'январь 2026'!$D$2:$D$2684,$B135,'январь 2026'!$J$2:$J$2684,N$1)</f>
        <v>0</v>
      </c>
      <c r="O135" s="144">
        <f>SUMIFS('январь 2026'!$G$2:$G$2684,'январь 2026'!$D$2:$D$2684,$B135,'январь 2026'!$J$2:$J$2684,O$1)</f>
        <v>0</v>
      </c>
      <c r="P135" s="144">
        <f>SUMIFS('январь 2026'!$G$2:$G$2684,'январь 2026'!$D$2:$D$2684,$B135,'январь 2026'!$J$2:$J$2684,P$1)</f>
        <v>0</v>
      </c>
      <c r="Q135" s="144">
        <f>SUMIFS('январь 2026'!$G$2:$G$2684,'январь 2026'!$D$2:$D$2684,$B135,'январь 2026'!$J$2:$J$2684,Q$1)</f>
        <v>0</v>
      </c>
      <c r="R135" s="144">
        <f>SUMIFS('январь 2026'!$G$2:$G$2684,'январь 2026'!$D$2:$D$2684,$B135,'январь 2026'!$J$2:$J$2684,R$1)</f>
        <v>0</v>
      </c>
      <c r="S135" s="144">
        <f>SUMIFS('январь 2026'!$G$2:$G$2684,'январь 2026'!$D$2:$D$2684,$B135,'январь 2026'!$J$2:$J$2684,S$1)</f>
        <v>0</v>
      </c>
      <c r="T135" s="144">
        <f>SUMIFS('январь 2026'!$G$2:$G$2684,'январь 2026'!$D$2:$D$2684,$B135,'январь 2026'!$J$2:$J$2684,T$1)</f>
        <v>0</v>
      </c>
      <c r="U135" s="144">
        <f>SUMIFS('январь 2026'!$G$2:$G$2684,'январь 2026'!$D$2:$D$2684,$B135,'январь 2026'!$J$2:$J$2684,U$1)</f>
        <v>0</v>
      </c>
      <c r="V135" s="144">
        <f>SUMIFS('январь 2026'!$G$2:$G$2684,'январь 2026'!$D$2:$D$2684,$B135,'январь 2026'!$J$2:$J$2684,V$1)</f>
        <v>0</v>
      </c>
      <c r="W135" s="144">
        <f>SUMIFS('январь 2026'!$G$2:$G$2684,'январь 2026'!$D$2:$D$2684,$B135,'январь 2026'!$J$2:$J$2684,W$1)</f>
        <v>0</v>
      </c>
      <c r="X135" s="144">
        <f>SUMIFS('январь 2026'!$G$2:$G$2684,'январь 2026'!$D$2:$D$2684,$B135,'январь 2026'!$J$2:$J$2684,X$1)</f>
        <v>0</v>
      </c>
      <c r="Y135" s="144">
        <f>SUMIFS('январь 2026'!$G$2:$G$2684,'январь 2026'!$D$2:$D$2684,$B135,'январь 2026'!$J$2:$J$2684,Y$1)</f>
        <v>0</v>
      </c>
      <c r="Z135" s="144">
        <f>SUMIFS('январь 2026'!$G$2:$G$2684,'январь 2026'!$D$2:$D$2684,$B135,'январь 2026'!$J$2:$J$2684,Z$1)</f>
        <v>0</v>
      </c>
      <c r="AA135" s="144">
        <f>SUMIFS('январь 2026'!$G$2:$G$2684,'январь 2026'!$D$2:$D$2684,$B135,'январь 2026'!$J$2:$J$2684,AA$1)</f>
        <v>0</v>
      </c>
      <c r="AB135" s="144">
        <f>SUMIFS('январь 2026'!$G$2:$G$2684,'январь 2026'!$D$2:$D$2684,$B135,'январь 2026'!$J$2:$J$2684,AB$1)</f>
        <v>0</v>
      </c>
      <c r="AC135" s="144">
        <f>SUMIFS('январь 2026'!$G$2:$G$2684,'январь 2026'!$D$2:$D$2684,$B135,'январь 2026'!$J$2:$J$2684,AC$1)</f>
        <v>0</v>
      </c>
      <c r="AD135" s="144">
        <f>SUMIFS('январь 2026'!$G$2:$G$2684,'январь 2026'!$D$2:$D$2684,$B135,'январь 2026'!$J$2:$J$2684,AD$1)</f>
        <v>0</v>
      </c>
      <c r="AE135" s="144">
        <f>SUMIFS('январь 2026'!$G$2:$G$2684,'январь 2026'!$D$2:$D$2684,$B135,'январь 2026'!$J$2:$J$2684,AE$1)</f>
        <v>0</v>
      </c>
      <c r="AF135" s="144">
        <f>SUMIFS('январь 2026'!$G$2:$G$2684,'январь 2026'!$D$2:$D$2684,$B135,'январь 2026'!$J$2:$J$2684,AF$1)</f>
        <v>0</v>
      </c>
      <c r="AG135" s="144">
        <f>SUMIFS('январь 2026'!$G$2:$G$2684,'январь 2026'!$D$2:$D$2684,$B135,'январь 2026'!$J$2:$J$2684,AG$1)</f>
        <v>0</v>
      </c>
      <c r="AH135" s="144">
        <f>SUMIFS('январь 2026'!$G$2:$G$2684,'январь 2026'!$D$2:$D$2684,$B135,'январь 2026'!$J$2:$J$2684,AH$1)</f>
        <v>0</v>
      </c>
      <c r="AI135" s="20">
        <f t="shared" si="1"/>
        <v>0</v>
      </c>
    </row>
    <row r="136" spans="2:35" ht="15" customHeight="1" x14ac:dyDescent="0.25">
      <c r="B136" s="82" t="s">
        <v>162</v>
      </c>
      <c r="C136" s="81">
        <v>950</v>
      </c>
      <c r="D136" s="144">
        <f>SUMIFS('январь 2026'!$G$2:$G$2684,'январь 2026'!$D$2:$D$2684,$B136,'январь 2026'!$J$2:$J$2684,D$1)</f>
        <v>0</v>
      </c>
      <c r="E136" s="144">
        <f>SUMIFS('январь 2026'!$G$2:$G$2684,'январь 2026'!$D$2:$D$2684,$B136,'январь 2026'!$J$2:$J$2684,E$1)</f>
        <v>0</v>
      </c>
      <c r="F136" s="144">
        <f>SUMIFS('январь 2026'!$G$2:$G$2684,'январь 2026'!$D$2:$D$2684,$B136,'январь 2026'!$J$2:$J$2684,F$1)</f>
        <v>0</v>
      </c>
      <c r="G136" s="144">
        <f>SUMIFS('январь 2026'!$G$2:$G$2684,'январь 2026'!$D$2:$D$2684,$B136,'январь 2026'!$J$2:$J$2684,G$1)</f>
        <v>0</v>
      </c>
      <c r="H136" s="144">
        <f>SUMIFS('январь 2026'!$G$2:$G$2684,'январь 2026'!$D$2:$D$2684,$B136,'январь 2026'!$J$2:$J$2684,H$1)</f>
        <v>0</v>
      </c>
      <c r="I136" s="144">
        <f>SUMIFS('январь 2026'!$G$2:$G$2684,'январь 2026'!$D$2:$D$2684,$B136,'январь 2026'!$J$2:$J$2684,I$1)</f>
        <v>0</v>
      </c>
      <c r="J136" s="144">
        <f>SUMIFS('январь 2026'!$G$2:$G$2684,'январь 2026'!$D$2:$D$2684,$B136,'январь 2026'!$J$2:$J$2684,J$1)</f>
        <v>0</v>
      </c>
      <c r="K136" s="144">
        <f>SUMIFS('январь 2026'!$G$2:$G$2684,'январь 2026'!$D$2:$D$2684,$B136,'январь 2026'!$J$2:$J$2684,K$1)</f>
        <v>0</v>
      </c>
      <c r="L136" s="144">
        <f>SUMIFS('январь 2026'!$G$2:$G$2684,'январь 2026'!$D$2:$D$2684,$B136,'январь 2026'!$J$2:$J$2684,L$1)</f>
        <v>0</v>
      </c>
      <c r="M136" s="144">
        <f>SUMIFS('январь 2026'!$G$2:$G$2684,'январь 2026'!$D$2:$D$2684,$B136,'январь 2026'!$J$2:$J$2684,M$1)</f>
        <v>0</v>
      </c>
      <c r="N136" s="144">
        <f>SUMIFS('январь 2026'!$G$2:$G$2684,'январь 2026'!$D$2:$D$2684,$B136,'январь 2026'!$J$2:$J$2684,N$1)</f>
        <v>0</v>
      </c>
      <c r="O136" s="144">
        <f>SUMIFS('январь 2026'!$G$2:$G$2684,'январь 2026'!$D$2:$D$2684,$B136,'январь 2026'!$J$2:$J$2684,O$1)</f>
        <v>0</v>
      </c>
      <c r="P136" s="144">
        <f>SUMIFS('январь 2026'!$G$2:$G$2684,'январь 2026'!$D$2:$D$2684,$B136,'январь 2026'!$J$2:$J$2684,P$1)</f>
        <v>0</v>
      </c>
      <c r="Q136" s="144">
        <f>SUMIFS('январь 2026'!$G$2:$G$2684,'январь 2026'!$D$2:$D$2684,$B136,'январь 2026'!$J$2:$J$2684,Q$1)</f>
        <v>0</v>
      </c>
      <c r="R136" s="144">
        <f>SUMIFS('январь 2026'!$G$2:$G$2684,'январь 2026'!$D$2:$D$2684,$B136,'январь 2026'!$J$2:$J$2684,R$1)</f>
        <v>0</v>
      </c>
      <c r="S136" s="144">
        <f>SUMIFS('январь 2026'!$G$2:$G$2684,'январь 2026'!$D$2:$D$2684,$B136,'январь 2026'!$J$2:$J$2684,S$1)</f>
        <v>0</v>
      </c>
      <c r="T136" s="144">
        <f>SUMIFS('январь 2026'!$G$2:$G$2684,'январь 2026'!$D$2:$D$2684,$B136,'январь 2026'!$J$2:$J$2684,T$1)</f>
        <v>0</v>
      </c>
      <c r="U136" s="144">
        <f>SUMIFS('январь 2026'!$G$2:$G$2684,'январь 2026'!$D$2:$D$2684,$B136,'январь 2026'!$J$2:$J$2684,U$1)</f>
        <v>0</v>
      </c>
      <c r="V136" s="144">
        <f>SUMIFS('январь 2026'!$G$2:$G$2684,'январь 2026'!$D$2:$D$2684,$B136,'январь 2026'!$J$2:$J$2684,V$1)</f>
        <v>0</v>
      </c>
      <c r="W136" s="144">
        <f>SUMIFS('январь 2026'!$G$2:$G$2684,'январь 2026'!$D$2:$D$2684,$B136,'январь 2026'!$J$2:$J$2684,W$1)</f>
        <v>0</v>
      </c>
      <c r="X136" s="144">
        <f>SUMIFS('январь 2026'!$G$2:$G$2684,'январь 2026'!$D$2:$D$2684,$B136,'январь 2026'!$J$2:$J$2684,X$1)</f>
        <v>0</v>
      </c>
      <c r="Y136" s="144">
        <f>SUMIFS('январь 2026'!$G$2:$G$2684,'январь 2026'!$D$2:$D$2684,$B136,'январь 2026'!$J$2:$J$2684,Y$1)</f>
        <v>0</v>
      </c>
      <c r="Z136" s="144">
        <f>SUMIFS('январь 2026'!$G$2:$G$2684,'январь 2026'!$D$2:$D$2684,$B136,'январь 2026'!$J$2:$J$2684,Z$1)</f>
        <v>0</v>
      </c>
      <c r="AA136" s="144">
        <f>SUMIFS('январь 2026'!$G$2:$G$2684,'январь 2026'!$D$2:$D$2684,$B136,'январь 2026'!$J$2:$J$2684,AA$1)</f>
        <v>0</v>
      </c>
      <c r="AB136" s="144">
        <f>SUMIFS('январь 2026'!$G$2:$G$2684,'январь 2026'!$D$2:$D$2684,$B136,'январь 2026'!$J$2:$J$2684,AB$1)</f>
        <v>0</v>
      </c>
      <c r="AC136" s="144">
        <f>SUMIFS('январь 2026'!$G$2:$G$2684,'январь 2026'!$D$2:$D$2684,$B136,'январь 2026'!$J$2:$J$2684,AC$1)</f>
        <v>0</v>
      </c>
      <c r="AD136" s="144">
        <f>SUMIFS('январь 2026'!$G$2:$G$2684,'январь 2026'!$D$2:$D$2684,$B136,'январь 2026'!$J$2:$J$2684,AD$1)</f>
        <v>0</v>
      </c>
      <c r="AE136" s="144">
        <f>SUMIFS('январь 2026'!$G$2:$G$2684,'январь 2026'!$D$2:$D$2684,$B136,'январь 2026'!$J$2:$J$2684,AE$1)</f>
        <v>0</v>
      </c>
      <c r="AF136" s="144">
        <f>SUMIFS('январь 2026'!$G$2:$G$2684,'январь 2026'!$D$2:$D$2684,$B136,'январь 2026'!$J$2:$J$2684,AF$1)</f>
        <v>0</v>
      </c>
      <c r="AG136" s="144">
        <f>SUMIFS('январь 2026'!$G$2:$G$2684,'январь 2026'!$D$2:$D$2684,$B136,'январь 2026'!$J$2:$J$2684,AG$1)</f>
        <v>0</v>
      </c>
      <c r="AH136" s="144">
        <f>SUMIFS('январь 2026'!$G$2:$G$2684,'январь 2026'!$D$2:$D$2684,$B136,'январь 2026'!$J$2:$J$2684,AH$1)</f>
        <v>0</v>
      </c>
      <c r="AI136" s="20">
        <f t="shared" si="1"/>
        <v>0</v>
      </c>
    </row>
    <row r="137" spans="2:35" ht="15" customHeight="1" x14ac:dyDescent="0.25">
      <c r="B137" s="82" t="s">
        <v>181</v>
      </c>
      <c r="C137" s="81">
        <v>180</v>
      </c>
      <c r="D137" s="144">
        <f>SUMIFS('январь 2026'!$G$2:$G$2684,'январь 2026'!$D$2:$D$2684,$B137,'январь 2026'!$J$2:$J$2684,D$1)</f>
        <v>0</v>
      </c>
      <c r="E137" s="144">
        <f>SUMIFS('январь 2026'!$G$2:$G$2684,'январь 2026'!$D$2:$D$2684,$B137,'январь 2026'!$J$2:$J$2684,E$1)</f>
        <v>0</v>
      </c>
      <c r="F137" s="144">
        <f>SUMIFS('январь 2026'!$G$2:$G$2684,'январь 2026'!$D$2:$D$2684,$B137,'январь 2026'!$J$2:$J$2684,F$1)</f>
        <v>0</v>
      </c>
      <c r="G137" s="144">
        <f>SUMIFS('январь 2026'!$G$2:$G$2684,'январь 2026'!$D$2:$D$2684,$B137,'январь 2026'!$J$2:$J$2684,G$1)</f>
        <v>0</v>
      </c>
      <c r="H137" s="144">
        <f>SUMIFS('январь 2026'!$G$2:$G$2684,'январь 2026'!$D$2:$D$2684,$B137,'январь 2026'!$J$2:$J$2684,H$1)</f>
        <v>0</v>
      </c>
      <c r="I137" s="144">
        <f>SUMIFS('январь 2026'!$G$2:$G$2684,'январь 2026'!$D$2:$D$2684,$B137,'январь 2026'!$J$2:$J$2684,I$1)</f>
        <v>0</v>
      </c>
      <c r="J137" s="144">
        <f>SUMIFS('январь 2026'!$G$2:$G$2684,'январь 2026'!$D$2:$D$2684,$B137,'январь 2026'!$J$2:$J$2684,J$1)</f>
        <v>0</v>
      </c>
      <c r="K137" s="144">
        <f>SUMIFS('январь 2026'!$G$2:$G$2684,'январь 2026'!$D$2:$D$2684,$B137,'январь 2026'!$J$2:$J$2684,K$1)</f>
        <v>0</v>
      </c>
      <c r="L137" s="144">
        <f>SUMIFS('январь 2026'!$G$2:$G$2684,'январь 2026'!$D$2:$D$2684,$B137,'январь 2026'!$J$2:$J$2684,L$1)</f>
        <v>0</v>
      </c>
      <c r="M137" s="144">
        <f>SUMIFS('январь 2026'!$G$2:$G$2684,'январь 2026'!$D$2:$D$2684,$B137,'январь 2026'!$J$2:$J$2684,M$1)</f>
        <v>0</v>
      </c>
      <c r="N137" s="144">
        <f>SUMIFS('январь 2026'!$G$2:$G$2684,'январь 2026'!$D$2:$D$2684,$B137,'январь 2026'!$J$2:$J$2684,N$1)</f>
        <v>0</v>
      </c>
      <c r="O137" s="144">
        <f>SUMIFS('январь 2026'!$G$2:$G$2684,'январь 2026'!$D$2:$D$2684,$B137,'январь 2026'!$J$2:$J$2684,O$1)</f>
        <v>0</v>
      </c>
      <c r="P137" s="144">
        <f>SUMIFS('январь 2026'!$G$2:$G$2684,'январь 2026'!$D$2:$D$2684,$B137,'январь 2026'!$J$2:$J$2684,P$1)</f>
        <v>0</v>
      </c>
      <c r="Q137" s="144">
        <f>SUMIFS('январь 2026'!$G$2:$G$2684,'январь 2026'!$D$2:$D$2684,$B137,'январь 2026'!$J$2:$J$2684,Q$1)</f>
        <v>0</v>
      </c>
      <c r="R137" s="144">
        <f>SUMIFS('январь 2026'!$G$2:$G$2684,'январь 2026'!$D$2:$D$2684,$B137,'январь 2026'!$J$2:$J$2684,R$1)</f>
        <v>0</v>
      </c>
      <c r="S137" s="144">
        <f>SUMIFS('январь 2026'!$G$2:$G$2684,'январь 2026'!$D$2:$D$2684,$B137,'январь 2026'!$J$2:$J$2684,S$1)</f>
        <v>0</v>
      </c>
      <c r="T137" s="144">
        <f>SUMIFS('январь 2026'!$G$2:$G$2684,'январь 2026'!$D$2:$D$2684,$B137,'январь 2026'!$J$2:$J$2684,T$1)</f>
        <v>0</v>
      </c>
      <c r="U137" s="144">
        <f>SUMIFS('январь 2026'!$G$2:$G$2684,'январь 2026'!$D$2:$D$2684,$B137,'январь 2026'!$J$2:$J$2684,U$1)</f>
        <v>0</v>
      </c>
      <c r="V137" s="144">
        <f>SUMIFS('январь 2026'!$G$2:$G$2684,'январь 2026'!$D$2:$D$2684,$B137,'январь 2026'!$J$2:$J$2684,V$1)</f>
        <v>0</v>
      </c>
      <c r="W137" s="144">
        <f>SUMIFS('январь 2026'!$G$2:$G$2684,'январь 2026'!$D$2:$D$2684,$B137,'январь 2026'!$J$2:$J$2684,W$1)</f>
        <v>0</v>
      </c>
      <c r="X137" s="144">
        <f>SUMIFS('январь 2026'!$G$2:$G$2684,'январь 2026'!$D$2:$D$2684,$B137,'январь 2026'!$J$2:$J$2684,X$1)</f>
        <v>0</v>
      </c>
      <c r="Y137" s="144">
        <f>SUMIFS('январь 2026'!$G$2:$G$2684,'январь 2026'!$D$2:$D$2684,$B137,'январь 2026'!$J$2:$J$2684,Y$1)</f>
        <v>0</v>
      </c>
      <c r="Z137" s="144">
        <f>SUMIFS('январь 2026'!$G$2:$G$2684,'январь 2026'!$D$2:$D$2684,$B137,'январь 2026'!$J$2:$J$2684,Z$1)</f>
        <v>0</v>
      </c>
      <c r="AA137" s="144">
        <f>SUMIFS('январь 2026'!$G$2:$G$2684,'январь 2026'!$D$2:$D$2684,$B137,'январь 2026'!$J$2:$J$2684,AA$1)</f>
        <v>0</v>
      </c>
      <c r="AB137" s="144">
        <f>SUMIFS('январь 2026'!$G$2:$G$2684,'январь 2026'!$D$2:$D$2684,$B137,'январь 2026'!$J$2:$J$2684,AB$1)</f>
        <v>0</v>
      </c>
      <c r="AC137" s="144">
        <f>SUMIFS('январь 2026'!$G$2:$G$2684,'январь 2026'!$D$2:$D$2684,$B137,'январь 2026'!$J$2:$J$2684,AC$1)</f>
        <v>0</v>
      </c>
      <c r="AD137" s="144">
        <f>SUMIFS('январь 2026'!$G$2:$G$2684,'январь 2026'!$D$2:$D$2684,$B137,'январь 2026'!$J$2:$J$2684,AD$1)</f>
        <v>0</v>
      </c>
      <c r="AE137" s="144">
        <f>SUMIFS('январь 2026'!$G$2:$G$2684,'январь 2026'!$D$2:$D$2684,$B137,'январь 2026'!$J$2:$J$2684,AE$1)</f>
        <v>0</v>
      </c>
      <c r="AF137" s="144">
        <f>SUMIFS('январь 2026'!$G$2:$G$2684,'январь 2026'!$D$2:$D$2684,$B137,'январь 2026'!$J$2:$J$2684,AF$1)</f>
        <v>0</v>
      </c>
      <c r="AG137" s="144">
        <f>SUMIFS('январь 2026'!$G$2:$G$2684,'январь 2026'!$D$2:$D$2684,$B137,'январь 2026'!$J$2:$J$2684,AG$1)</f>
        <v>0</v>
      </c>
      <c r="AH137" s="144">
        <f>SUMIFS('январь 2026'!$G$2:$G$2684,'январь 2026'!$D$2:$D$2684,$B137,'январь 2026'!$J$2:$J$2684,AH$1)</f>
        <v>0</v>
      </c>
      <c r="AI137" s="20">
        <f t="shared" si="1"/>
        <v>0</v>
      </c>
    </row>
    <row r="138" spans="2:35" ht="15" customHeight="1" x14ac:dyDescent="0.25">
      <c r="B138" s="82" t="s">
        <v>292</v>
      </c>
      <c r="C138" s="81">
        <v>180</v>
      </c>
      <c r="D138" s="144">
        <f>SUMIFS('январь 2026'!$G$2:$G$2684,'январь 2026'!$D$2:$D$2684,$B138,'январь 2026'!$J$2:$J$2684,D$1)</f>
        <v>0</v>
      </c>
      <c r="E138" s="144">
        <f>SUMIFS('январь 2026'!$G$2:$G$2684,'январь 2026'!$D$2:$D$2684,$B138,'январь 2026'!$J$2:$J$2684,E$1)</f>
        <v>0</v>
      </c>
      <c r="F138" s="144">
        <f>SUMIFS('январь 2026'!$G$2:$G$2684,'январь 2026'!$D$2:$D$2684,$B138,'январь 2026'!$J$2:$J$2684,F$1)</f>
        <v>0</v>
      </c>
      <c r="G138" s="144">
        <f>SUMIFS('январь 2026'!$G$2:$G$2684,'январь 2026'!$D$2:$D$2684,$B138,'январь 2026'!$J$2:$J$2684,G$1)</f>
        <v>0</v>
      </c>
      <c r="H138" s="144">
        <f>SUMIFS('январь 2026'!$G$2:$G$2684,'январь 2026'!$D$2:$D$2684,$B138,'январь 2026'!$J$2:$J$2684,H$1)</f>
        <v>0</v>
      </c>
      <c r="I138" s="144">
        <f>SUMIFS('январь 2026'!$G$2:$G$2684,'январь 2026'!$D$2:$D$2684,$B138,'январь 2026'!$J$2:$J$2684,I$1)</f>
        <v>0</v>
      </c>
      <c r="J138" s="144">
        <f>SUMIFS('январь 2026'!$G$2:$G$2684,'январь 2026'!$D$2:$D$2684,$B138,'январь 2026'!$J$2:$J$2684,J$1)</f>
        <v>0</v>
      </c>
      <c r="K138" s="144">
        <f>SUMIFS('январь 2026'!$G$2:$G$2684,'январь 2026'!$D$2:$D$2684,$B138,'январь 2026'!$J$2:$J$2684,K$1)</f>
        <v>0</v>
      </c>
      <c r="L138" s="144">
        <f>SUMIFS('январь 2026'!$G$2:$G$2684,'январь 2026'!$D$2:$D$2684,$B138,'январь 2026'!$J$2:$J$2684,L$1)</f>
        <v>0</v>
      </c>
      <c r="M138" s="144">
        <f>SUMIFS('январь 2026'!$G$2:$G$2684,'январь 2026'!$D$2:$D$2684,$B138,'январь 2026'!$J$2:$J$2684,M$1)</f>
        <v>0</v>
      </c>
      <c r="N138" s="144">
        <f>SUMIFS('январь 2026'!$G$2:$G$2684,'январь 2026'!$D$2:$D$2684,$B138,'январь 2026'!$J$2:$J$2684,N$1)</f>
        <v>0</v>
      </c>
      <c r="O138" s="144">
        <f>SUMIFS('январь 2026'!$G$2:$G$2684,'январь 2026'!$D$2:$D$2684,$B138,'январь 2026'!$J$2:$J$2684,O$1)</f>
        <v>0</v>
      </c>
      <c r="P138" s="144">
        <f>SUMIFS('январь 2026'!$G$2:$G$2684,'январь 2026'!$D$2:$D$2684,$B138,'январь 2026'!$J$2:$J$2684,P$1)</f>
        <v>0</v>
      </c>
      <c r="Q138" s="144">
        <f>SUMIFS('январь 2026'!$G$2:$G$2684,'январь 2026'!$D$2:$D$2684,$B138,'январь 2026'!$J$2:$J$2684,Q$1)</f>
        <v>0</v>
      </c>
      <c r="R138" s="144">
        <f>SUMIFS('январь 2026'!$G$2:$G$2684,'январь 2026'!$D$2:$D$2684,$B138,'январь 2026'!$J$2:$J$2684,R$1)</f>
        <v>0</v>
      </c>
      <c r="S138" s="144">
        <f>SUMIFS('январь 2026'!$G$2:$G$2684,'январь 2026'!$D$2:$D$2684,$B138,'январь 2026'!$J$2:$J$2684,S$1)</f>
        <v>0</v>
      </c>
      <c r="T138" s="144">
        <f>SUMIFS('январь 2026'!$G$2:$G$2684,'январь 2026'!$D$2:$D$2684,$B138,'январь 2026'!$J$2:$J$2684,T$1)</f>
        <v>0</v>
      </c>
      <c r="U138" s="144">
        <f>SUMIFS('январь 2026'!$G$2:$G$2684,'январь 2026'!$D$2:$D$2684,$B138,'январь 2026'!$J$2:$J$2684,U$1)</f>
        <v>0</v>
      </c>
      <c r="V138" s="144">
        <f>SUMIFS('январь 2026'!$G$2:$G$2684,'январь 2026'!$D$2:$D$2684,$B138,'январь 2026'!$J$2:$J$2684,V$1)</f>
        <v>0</v>
      </c>
      <c r="W138" s="144">
        <f>SUMIFS('январь 2026'!$G$2:$G$2684,'январь 2026'!$D$2:$D$2684,$B138,'январь 2026'!$J$2:$J$2684,W$1)</f>
        <v>0</v>
      </c>
      <c r="X138" s="144">
        <f>SUMIFS('январь 2026'!$G$2:$G$2684,'январь 2026'!$D$2:$D$2684,$B138,'январь 2026'!$J$2:$J$2684,X$1)</f>
        <v>0</v>
      </c>
      <c r="Y138" s="144">
        <f>SUMIFS('январь 2026'!$G$2:$G$2684,'январь 2026'!$D$2:$D$2684,$B138,'январь 2026'!$J$2:$J$2684,Y$1)</f>
        <v>0</v>
      </c>
      <c r="Z138" s="144">
        <f>SUMIFS('январь 2026'!$G$2:$G$2684,'январь 2026'!$D$2:$D$2684,$B138,'январь 2026'!$J$2:$J$2684,Z$1)</f>
        <v>0</v>
      </c>
      <c r="AA138" s="144">
        <f>SUMIFS('январь 2026'!$G$2:$G$2684,'январь 2026'!$D$2:$D$2684,$B138,'январь 2026'!$J$2:$J$2684,AA$1)</f>
        <v>0</v>
      </c>
      <c r="AB138" s="144">
        <f>SUMIFS('январь 2026'!$G$2:$G$2684,'январь 2026'!$D$2:$D$2684,$B138,'январь 2026'!$J$2:$J$2684,AB$1)</f>
        <v>0</v>
      </c>
      <c r="AC138" s="144">
        <f>SUMIFS('январь 2026'!$G$2:$G$2684,'январь 2026'!$D$2:$D$2684,$B138,'январь 2026'!$J$2:$J$2684,AC$1)</f>
        <v>0</v>
      </c>
      <c r="AD138" s="144">
        <f>SUMIFS('январь 2026'!$G$2:$G$2684,'январь 2026'!$D$2:$D$2684,$B138,'январь 2026'!$J$2:$J$2684,AD$1)</f>
        <v>0</v>
      </c>
      <c r="AE138" s="144">
        <f>SUMIFS('январь 2026'!$G$2:$G$2684,'январь 2026'!$D$2:$D$2684,$B138,'январь 2026'!$J$2:$J$2684,AE$1)</f>
        <v>0</v>
      </c>
      <c r="AF138" s="144">
        <f>SUMIFS('январь 2026'!$G$2:$G$2684,'январь 2026'!$D$2:$D$2684,$B138,'январь 2026'!$J$2:$J$2684,AF$1)</f>
        <v>0</v>
      </c>
      <c r="AG138" s="144">
        <f>SUMIFS('январь 2026'!$G$2:$G$2684,'январь 2026'!$D$2:$D$2684,$B138,'январь 2026'!$J$2:$J$2684,AG$1)</f>
        <v>0</v>
      </c>
      <c r="AH138" s="144">
        <f>SUMIFS('январь 2026'!$G$2:$G$2684,'январь 2026'!$D$2:$D$2684,$B138,'январь 2026'!$J$2:$J$2684,AH$1)</f>
        <v>0</v>
      </c>
      <c r="AI138" s="20"/>
    </row>
    <row r="139" spans="2:35" ht="15" customHeight="1" x14ac:dyDescent="0.25">
      <c r="B139" s="82" t="s">
        <v>169</v>
      </c>
      <c r="C139" s="81">
        <v>200</v>
      </c>
      <c r="D139" s="144">
        <f>SUMIFS('январь 2026'!$G$2:$G$2684,'январь 2026'!$D$2:$D$2684,$B139,'январь 2026'!$J$2:$J$2684,D$1)</f>
        <v>0</v>
      </c>
      <c r="E139" s="144">
        <f>SUMIFS('январь 2026'!$G$2:$G$2684,'январь 2026'!$D$2:$D$2684,$B139,'январь 2026'!$J$2:$J$2684,E$1)</f>
        <v>0</v>
      </c>
      <c r="F139" s="144">
        <f>SUMIFS('январь 2026'!$G$2:$G$2684,'январь 2026'!$D$2:$D$2684,$B139,'январь 2026'!$J$2:$J$2684,F$1)</f>
        <v>0</v>
      </c>
      <c r="G139" s="144">
        <f>SUMIFS('январь 2026'!$G$2:$G$2684,'январь 2026'!$D$2:$D$2684,$B139,'январь 2026'!$J$2:$J$2684,G$1)</f>
        <v>0</v>
      </c>
      <c r="H139" s="144">
        <f>SUMIFS('январь 2026'!$G$2:$G$2684,'январь 2026'!$D$2:$D$2684,$B139,'январь 2026'!$J$2:$J$2684,H$1)</f>
        <v>0</v>
      </c>
      <c r="I139" s="144">
        <f>SUMIFS('январь 2026'!$G$2:$G$2684,'январь 2026'!$D$2:$D$2684,$B139,'январь 2026'!$J$2:$J$2684,I$1)</f>
        <v>0</v>
      </c>
      <c r="J139" s="144">
        <f>SUMIFS('январь 2026'!$G$2:$G$2684,'январь 2026'!$D$2:$D$2684,$B139,'январь 2026'!$J$2:$J$2684,J$1)</f>
        <v>0</v>
      </c>
      <c r="K139" s="144">
        <f>SUMIFS('январь 2026'!$G$2:$G$2684,'январь 2026'!$D$2:$D$2684,$B139,'январь 2026'!$J$2:$J$2684,K$1)</f>
        <v>0</v>
      </c>
      <c r="L139" s="144">
        <f>SUMIFS('январь 2026'!$G$2:$G$2684,'январь 2026'!$D$2:$D$2684,$B139,'январь 2026'!$J$2:$J$2684,L$1)</f>
        <v>0</v>
      </c>
      <c r="M139" s="144">
        <f>SUMIFS('январь 2026'!$G$2:$G$2684,'январь 2026'!$D$2:$D$2684,$B139,'январь 2026'!$J$2:$J$2684,M$1)</f>
        <v>0</v>
      </c>
      <c r="N139" s="144">
        <f>SUMIFS('январь 2026'!$G$2:$G$2684,'январь 2026'!$D$2:$D$2684,$B139,'январь 2026'!$J$2:$J$2684,N$1)</f>
        <v>0</v>
      </c>
      <c r="O139" s="144">
        <f>SUMIFS('январь 2026'!$G$2:$G$2684,'январь 2026'!$D$2:$D$2684,$B139,'январь 2026'!$J$2:$J$2684,O$1)</f>
        <v>0</v>
      </c>
      <c r="P139" s="144">
        <f>SUMIFS('январь 2026'!$G$2:$G$2684,'январь 2026'!$D$2:$D$2684,$B139,'январь 2026'!$J$2:$J$2684,P$1)</f>
        <v>0</v>
      </c>
      <c r="Q139" s="144">
        <f>SUMIFS('январь 2026'!$G$2:$G$2684,'январь 2026'!$D$2:$D$2684,$B139,'январь 2026'!$J$2:$J$2684,Q$1)</f>
        <v>0</v>
      </c>
      <c r="R139" s="144">
        <f>SUMIFS('январь 2026'!$G$2:$G$2684,'январь 2026'!$D$2:$D$2684,$B139,'январь 2026'!$J$2:$J$2684,R$1)</f>
        <v>0</v>
      </c>
      <c r="S139" s="144">
        <f>SUMIFS('январь 2026'!$G$2:$G$2684,'январь 2026'!$D$2:$D$2684,$B139,'январь 2026'!$J$2:$J$2684,S$1)</f>
        <v>0</v>
      </c>
      <c r="T139" s="144">
        <f>SUMIFS('январь 2026'!$G$2:$G$2684,'январь 2026'!$D$2:$D$2684,$B139,'январь 2026'!$J$2:$J$2684,T$1)</f>
        <v>0</v>
      </c>
      <c r="U139" s="144">
        <f>SUMIFS('январь 2026'!$G$2:$G$2684,'январь 2026'!$D$2:$D$2684,$B139,'январь 2026'!$J$2:$J$2684,U$1)</f>
        <v>0</v>
      </c>
      <c r="V139" s="144">
        <f>SUMIFS('январь 2026'!$G$2:$G$2684,'январь 2026'!$D$2:$D$2684,$B139,'январь 2026'!$J$2:$J$2684,V$1)</f>
        <v>0</v>
      </c>
      <c r="W139" s="144">
        <f>SUMIFS('январь 2026'!$G$2:$G$2684,'январь 2026'!$D$2:$D$2684,$B139,'январь 2026'!$J$2:$J$2684,W$1)</f>
        <v>0</v>
      </c>
      <c r="X139" s="144">
        <f>SUMIFS('январь 2026'!$G$2:$G$2684,'январь 2026'!$D$2:$D$2684,$B139,'январь 2026'!$J$2:$J$2684,X$1)</f>
        <v>0</v>
      </c>
      <c r="Y139" s="144">
        <f>SUMIFS('январь 2026'!$G$2:$G$2684,'январь 2026'!$D$2:$D$2684,$B139,'январь 2026'!$J$2:$J$2684,Y$1)</f>
        <v>0</v>
      </c>
      <c r="Z139" s="144">
        <f>SUMIFS('январь 2026'!$G$2:$G$2684,'январь 2026'!$D$2:$D$2684,$B139,'январь 2026'!$J$2:$J$2684,Z$1)</f>
        <v>0</v>
      </c>
      <c r="AA139" s="144">
        <f>SUMIFS('январь 2026'!$G$2:$G$2684,'январь 2026'!$D$2:$D$2684,$B139,'январь 2026'!$J$2:$J$2684,AA$1)</f>
        <v>0</v>
      </c>
      <c r="AB139" s="144">
        <f>SUMIFS('январь 2026'!$G$2:$G$2684,'январь 2026'!$D$2:$D$2684,$B139,'январь 2026'!$J$2:$J$2684,AB$1)</f>
        <v>0</v>
      </c>
      <c r="AC139" s="144">
        <f>SUMIFS('январь 2026'!$G$2:$G$2684,'январь 2026'!$D$2:$D$2684,$B139,'январь 2026'!$J$2:$J$2684,AC$1)</f>
        <v>0</v>
      </c>
      <c r="AD139" s="144">
        <f>SUMIFS('январь 2026'!$G$2:$G$2684,'январь 2026'!$D$2:$D$2684,$B139,'январь 2026'!$J$2:$J$2684,AD$1)</f>
        <v>0</v>
      </c>
      <c r="AE139" s="144">
        <f>SUMIFS('январь 2026'!$G$2:$G$2684,'январь 2026'!$D$2:$D$2684,$B139,'январь 2026'!$J$2:$J$2684,AE$1)</f>
        <v>0</v>
      </c>
      <c r="AF139" s="144">
        <f>SUMIFS('январь 2026'!$G$2:$G$2684,'январь 2026'!$D$2:$D$2684,$B139,'январь 2026'!$J$2:$J$2684,AF$1)</f>
        <v>0</v>
      </c>
      <c r="AG139" s="144">
        <f>SUMIFS('январь 2026'!$G$2:$G$2684,'январь 2026'!$D$2:$D$2684,$B139,'январь 2026'!$J$2:$J$2684,AG$1)</f>
        <v>0</v>
      </c>
      <c r="AH139" s="144">
        <f>SUMIFS('январь 2026'!$G$2:$G$2684,'январь 2026'!$D$2:$D$2684,$B139,'январь 2026'!$J$2:$J$2684,AH$1)</f>
        <v>0</v>
      </c>
      <c r="AI139" s="20">
        <f t="shared" si="1"/>
        <v>0</v>
      </c>
    </row>
    <row r="140" spans="2:35" ht="15" customHeight="1" x14ac:dyDescent="0.25">
      <c r="B140" s="82" t="s">
        <v>170</v>
      </c>
      <c r="C140" s="81">
        <v>200</v>
      </c>
      <c r="D140" s="144">
        <f>SUMIFS('январь 2026'!$G$2:$G$2684,'январь 2026'!$D$2:$D$2684,$B140,'январь 2026'!$J$2:$J$2684,D$1)</f>
        <v>0</v>
      </c>
      <c r="E140" s="144">
        <f>SUMIFS('январь 2026'!$G$2:$G$2684,'январь 2026'!$D$2:$D$2684,$B140,'январь 2026'!$J$2:$J$2684,E$1)</f>
        <v>0</v>
      </c>
      <c r="F140" s="144">
        <f>SUMIFS('январь 2026'!$G$2:$G$2684,'январь 2026'!$D$2:$D$2684,$B140,'январь 2026'!$J$2:$J$2684,F$1)</f>
        <v>0</v>
      </c>
      <c r="G140" s="144">
        <f>SUMIFS('январь 2026'!$G$2:$G$2684,'январь 2026'!$D$2:$D$2684,$B140,'январь 2026'!$J$2:$J$2684,G$1)</f>
        <v>0</v>
      </c>
      <c r="H140" s="144">
        <f>SUMIFS('январь 2026'!$G$2:$G$2684,'январь 2026'!$D$2:$D$2684,$B140,'январь 2026'!$J$2:$J$2684,H$1)</f>
        <v>0</v>
      </c>
      <c r="I140" s="144">
        <f>SUMIFS('январь 2026'!$G$2:$G$2684,'январь 2026'!$D$2:$D$2684,$B140,'январь 2026'!$J$2:$J$2684,I$1)</f>
        <v>0</v>
      </c>
      <c r="J140" s="144">
        <f>SUMIFS('январь 2026'!$G$2:$G$2684,'январь 2026'!$D$2:$D$2684,$B140,'январь 2026'!$J$2:$J$2684,J$1)</f>
        <v>0</v>
      </c>
      <c r="K140" s="144">
        <f>SUMIFS('январь 2026'!$G$2:$G$2684,'январь 2026'!$D$2:$D$2684,$B140,'январь 2026'!$J$2:$J$2684,K$1)</f>
        <v>0</v>
      </c>
      <c r="L140" s="144">
        <f>SUMIFS('январь 2026'!$G$2:$G$2684,'январь 2026'!$D$2:$D$2684,$B140,'январь 2026'!$J$2:$J$2684,L$1)</f>
        <v>0</v>
      </c>
      <c r="M140" s="144">
        <f>SUMIFS('январь 2026'!$G$2:$G$2684,'январь 2026'!$D$2:$D$2684,$B140,'январь 2026'!$J$2:$J$2684,M$1)</f>
        <v>0</v>
      </c>
      <c r="N140" s="144">
        <f>SUMIFS('январь 2026'!$G$2:$G$2684,'январь 2026'!$D$2:$D$2684,$B140,'январь 2026'!$J$2:$J$2684,N$1)</f>
        <v>0</v>
      </c>
      <c r="O140" s="144">
        <f>SUMIFS('январь 2026'!$G$2:$G$2684,'январь 2026'!$D$2:$D$2684,$B140,'январь 2026'!$J$2:$J$2684,O$1)</f>
        <v>0</v>
      </c>
      <c r="P140" s="144">
        <f>SUMIFS('январь 2026'!$G$2:$G$2684,'январь 2026'!$D$2:$D$2684,$B140,'январь 2026'!$J$2:$J$2684,P$1)</f>
        <v>0</v>
      </c>
      <c r="Q140" s="144">
        <f>SUMIFS('январь 2026'!$G$2:$G$2684,'январь 2026'!$D$2:$D$2684,$B140,'январь 2026'!$J$2:$J$2684,Q$1)</f>
        <v>0</v>
      </c>
      <c r="R140" s="144">
        <f>SUMIFS('январь 2026'!$G$2:$G$2684,'январь 2026'!$D$2:$D$2684,$B140,'январь 2026'!$J$2:$J$2684,R$1)</f>
        <v>0</v>
      </c>
      <c r="S140" s="144">
        <f>SUMIFS('январь 2026'!$G$2:$G$2684,'январь 2026'!$D$2:$D$2684,$B140,'январь 2026'!$J$2:$J$2684,S$1)</f>
        <v>0</v>
      </c>
      <c r="T140" s="144">
        <f>SUMIFS('январь 2026'!$G$2:$G$2684,'январь 2026'!$D$2:$D$2684,$B140,'январь 2026'!$J$2:$J$2684,T$1)</f>
        <v>0</v>
      </c>
      <c r="U140" s="144">
        <f>SUMIFS('январь 2026'!$G$2:$G$2684,'январь 2026'!$D$2:$D$2684,$B140,'январь 2026'!$J$2:$J$2684,U$1)</f>
        <v>0</v>
      </c>
      <c r="V140" s="144">
        <f>SUMIFS('январь 2026'!$G$2:$G$2684,'январь 2026'!$D$2:$D$2684,$B140,'январь 2026'!$J$2:$J$2684,V$1)</f>
        <v>0</v>
      </c>
      <c r="W140" s="144">
        <f>SUMIFS('январь 2026'!$G$2:$G$2684,'январь 2026'!$D$2:$D$2684,$B140,'январь 2026'!$J$2:$J$2684,W$1)</f>
        <v>0</v>
      </c>
      <c r="X140" s="144">
        <f>SUMIFS('январь 2026'!$G$2:$G$2684,'январь 2026'!$D$2:$D$2684,$B140,'январь 2026'!$J$2:$J$2684,X$1)</f>
        <v>0</v>
      </c>
      <c r="Y140" s="144">
        <f>SUMIFS('январь 2026'!$G$2:$G$2684,'январь 2026'!$D$2:$D$2684,$B140,'январь 2026'!$J$2:$J$2684,Y$1)</f>
        <v>0</v>
      </c>
      <c r="Z140" s="144">
        <f>SUMIFS('январь 2026'!$G$2:$G$2684,'январь 2026'!$D$2:$D$2684,$B140,'январь 2026'!$J$2:$J$2684,Z$1)</f>
        <v>0</v>
      </c>
      <c r="AA140" s="144">
        <f>SUMIFS('январь 2026'!$G$2:$G$2684,'январь 2026'!$D$2:$D$2684,$B140,'январь 2026'!$J$2:$J$2684,AA$1)</f>
        <v>0</v>
      </c>
      <c r="AB140" s="144">
        <f>SUMIFS('январь 2026'!$G$2:$G$2684,'январь 2026'!$D$2:$D$2684,$B140,'январь 2026'!$J$2:$J$2684,AB$1)</f>
        <v>0</v>
      </c>
      <c r="AC140" s="144">
        <f>SUMIFS('январь 2026'!$G$2:$G$2684,'январь 2026'!$D$2:$D$2684,$B140,'январь 2026'!$J$2:$J$2684,AC$1)</f>
        <v>0</v>
      </c>
      <c r="AD140" s="144">
        <f>SUMIFS('январь 2026'!$G$2:$G$2684,'январь 2026'!$D$2:$D$2684,$B140,'январь 2026'!$J$2:$J$2684,AD$1)</f>
        <v>0</v>
      </c>
      <c r="AE140" s="144">
        <f>SUMIFS('январь 2026'!$G$2:$G$2684,'январь 2026'!$D$2:$D$2684,$B140,'январь 2026'!$J$2:$J$2684,AE$1)</f>
        <v>0</v>
      </c>
      <c r="AF140" s="144">
        <f>SUMIFS('январь 2026'!$G$2:$G$2684,'январь 2026'!$D$2:$D$2684,$B140,'январь 2026'!$J$2:$J$2684,AF$1)</f>
        <v>0</v>
      </c>
      <c r="AG140" s="144">
        <f>SUMIFS('январь 2026'!$G$2:$G$2684,'январь 2026'!$D$2:$D$2684,$B140,'январь 2026'!$J$2:$J$2684,AG$1)</f>
        <v>0</v>
      </c>
      <c r="AH140" s="144">
        <f>SUMIFS('январь 2026'!$G$2:$G$2684,'январь 2026'!$D$2:$D$2684,$B140,'январь 2026'!$J$2:$J$2684,AH$1)</f>
        <v>0</v>
      </c>
      <c r="AI140" s="20">
        <f t="shared" si="1"/>
        <v>0</v>
      </c>
    </row>
    <row r="141" spans="2:35" ht="15" customHeight="1" x14ac:dyDescent="0.25">
      <c r="B141" s="82" t="s">
        <v>172</v>
      </c>
      <c r="C141" s="81">
        <v>200</v>
      </c>
      <c r="D141" s="144">
        <f>SUMIFS('январь 2026'!$G$2:$G$2684,'январь 2026'!$D$2:$D$2684,$B141,'январь 2026'!$J$2:$J$2684,D$1)</f>
        <v>0</v>
      </c>
      <c r="E141" s="144">
        <f>SUMIFS('январь 2026'!$G$2:$G$2684,'январь 2026'!$D$2:$D$2684,$B141,'январь 2026'!$J$2:$J$2684,E$1)</f>
        <v>0</v>
      </c>
      <c r="F141" s="144">
        <f>SUMIFS('январь 2026'!$G$2:$G$2684,'январь 2026'!$D$2:$D$2684,$B141,'январь 2026'!$J$2:$J$2684,F$1)</f>
        <v>0</v>
      </c>
      <c r="G141" s="144">
        <f>SUMIFS('январь 2026'!$G$2:$G$2684,'январь 2026'!$D$2:$D$2684,$B141,'январь 2026'!$J$2:$J$2684,G$1)</f>
        <v>0</v>
      </c>
      <c r="H141" s="144">
        <f>SUMIFS('январь 2026'!$G$2:$G$2684,'январь 2026'!$D$2:$D$2684,$B141,'январь 2026'!$J$2:$J$2684,H$1)</f>
        <v>0</v>
      </c>
      <c r="I141" s="144">
        <f>SUMIFS('январь 2026'!$G$2:$G$2684,'январь 2026'!$D$2:$D$2684,$B141,'январь 2026'!$J$2:$J$2684,I$1)</f>
        <v>0</v>
      </c>
      <c r="J141" s="144">
        <f>SUMIFS('январь 2026'!$G$2:$G$2684,'январь 2026'!$D$2:$D$2684,$B141,'январь 2026'!$J$2:$J$2684,J$1)</f>
        <v>0</v>
      </c>
      <c r="K141" s="144">
        <f>SUMIFS('январь 2026'!$G$2:$G$2684,'январь 2026'!$D$2:$D$2684,$B141,'январь 2026'!$J$2:$J$2684,K$1)</f>
        <v>0</v>
      </c>
      <c r="L141" s="144">
        <f>SUMIFS('январь 2026'!$G$2:$G$2684,'январь 2026'!$D$2:$D$2684,$B141,'январь 2026'!$J$2:$J$2684,L$1)</f>
        <v>0</v>
      </c>
      <c r="M141" s="144">
        <f>SUMIFS('январь 2026'!$G$2:$G$2684,'январь 2026'!$D$2:$D$2684,$B141,'январь 2026'!$J$2:$J$2684,M$1)</f>
        <v>0</v>
      </c>
      <c r="N141" s="144">
        <f>SUMIFS('январь 2026'!$G$2:$G$2684,'январь 2026'!$D$2:$D$2684,$B141,'январь 2026'!$J$2:$J$2684,N$1)</f>
        <v>0</v>
      </c>
      <c r="O141" s="144">
        <f>SUMIFS('январь 2026'!$G$2:$G$2684,'январь 2026'!$D$2:$D$2684,$B141,'январь 2026'!$J$2:$J$2684,O$1)</f>
        <v>0</v>
      </c>
      <c r="P141" s="144">
        <f>SUMIFS('январь 2026'!$G$2:$G$2684,'январь 2026'!$D$2:$D$2684,$B141,'январь 2026'!$J$2:$J$2684,P$1)</f>
        <v>0</v>
      </c>
      <c r="Q141" s="144">
        <f>SUMIFS('январь 2026'!$G$2:$G$2684,'январь 2026'!$D$2:$D$2684,$B141,'январь 2026'!$J$2:$J$2684,Q$1)</f>
        <v>0</v>
      </c>
      <c r="R141" s="144">
        <f>SUMIFS('январь 2026'!$G$2:$G$2684,'январь 2026'!$D$2:$D$2684,$B141,'январь 2026'!$J$2:$J$2684,R$1)</f>
        <v>0</v>
      </c>
      <c r="S141" s="144">
        <f>SUMIFS('январь 2026'!$G$2:$G$2684,'январь 2026'!$D$2:$D$2684,$B141,'январь 2026'!$J$2:$J$2684,S$1)</f>
        <v>0</v>
      </c>
      <c r="T141" s="144">
        <f>SUMIFS('январь 2026'!$G$2:$G$2684,'январь 2026'!$D$2:$D$2684,$B141,'январь 2026'!$J$2:$J$2684,T$1)</f>
        <v>0</v>
      </c>
      <c r="U141" s="144">
        <f>SUMIFS('январь 2026'!$G$2:$G$2684,'январь 2026'!$D$2:$D$2684,$B141,'январь 2026'!$J$2:$J$2684,U$1)</f>
        <v>0</v>
      </c>
      <c r="V141" s="144">
        <f>SUMIFS('январь 2026'!$G$2:$G$2684,'январь 2026'!$D$2:$D$2684,$B141,'январь 2026'!$J$2:$J$2684,V$1)</f>
        <v>0</v>
      </c>
      <c r="W141" s="144">
        <f>SUMIFS('январь 2026'!$G$2:$G$2684,'январь 2026'!$D$2:$D$2684,$B141,'январь 2026'!$J$2:$J$2684,W$1)</f>
        <v>0</v>
      </c>
      <c r="X141" s="144">
        <f>SUMIFS('январь 2026'!$G$2:$G$2684,'январь 2026'!$D$2:$D$2684,$B141,'январь 2026'!$J$2:$J$2684,X$1)</f>
        <v>0</v>
      </c>
      <c r="Y141" s="144">
        <f>SUMIFS('январь 2026'!$G$2:$G$2684,'январь 2026'!$D$2:$D$2684,$B141,'январь 2026'!$J$2:$J$2684,Y$1)</f>
        <v>0</v>
      </c>
      <c r="Z141" s="144">
        <f>SUMIFS('январь 2026'!$G$2:$G$2684,'январь 2026'!$D$2:$D$2684,$B141,'январь 2026'!$J$2:$J$2684,Z$1)</f>
        <v>0</v>
      </c>
      <c r="AA141" s="144">
        <f>SUMIFS('январь 2026'!$G$2:$G$2684,'январь 2026'!$D$2:$D$2684,$B141,'январь 2026'!$J$2:$J$2684,AA$1)</f>
        <v>0</v>
      </c>
      <c r="AB141" s="144">
        <f>SUMIFS('январь 2026'!$G$2:$G$2684,'январь 2026'!$D$2:$D$2684,$B141,'январь 2026'!$J$2:$J$2684,AB$1)</f>
        <v>0</v>
      </c>
      <c r="AC141" s="144">
        <f>SUMIFS('январь 2026'!$G$2:$G$2684,'январь 2026'!$D$2:$D$2684,$B141,'январь 2026'!$J$2:$J$2684,AC$1)</f>
        <v>0</v>
      </c>
      <c r="AD141" s="144">
        <f>SUMIFS('январь 2026'!$G$2:$G$2684,'январь 2026'!$D$2:$D$2684,$B141,'январь 2026'!$J$2:$J$2684,AD$1)</f>
        <v>0</v>
      </c>
      <c r="AE141" s="144">
        <f>SUMIFS('январь 2026'!$G$2:$G$2684,'январь 2026'!$D$2:$D$2684,$B141,'январь 2026'!$J$2:$J$2684,AE$1)</f>
        <v>0</v>
      </c>
      <c r="AF141" s="144">
        <f>SUMIFS('январь 2026'!$G$2:$G$2684,'январь 2026'!$D$2:$D$2684,$B141,'январь 2026'!$J$2:$J$2684,AF$1)</f>
        <v>0</v>
      </c>
      <c r="AG141" s="144">
        <f>SUMIFS('январь 2026'!$G$2:$G$2684,'январь 2026'!$D$2:$D$2684,$B141,'январь 2026'!$J$2:$J$2684,AG$1)</f>
        <v>0</v>
      </c>
      <c r="AH141" s="144">
        <f>SUMIFS('январь 2026'!$G$2:$G$2684,'январь 2026'!$D$2:$D$2684,$B141,'январь 2026'!$J$2:$J$2684,AH$1)</f>
        <v>0</v>
      </c>
      <c r="AI141" s="20">
        <f t="shared" si="1"/>
        <v>0</v>
      </c>
    </row>
    <row r="142" spans="2:35" ht="15" customHeight="1" x14ac:dyDescent="0.25">
      <c r="B142" s="86" t="s">
        <v>182</v>
      </c>
      <c r="C142" s="87">
        <v>180</v>
      </c>
      <c r="D142" s="144">
        <f>SUMIFS('январь 2026'!$G$2:$G$2684,'январь 2026'!$D$2:$D$2684,$B142,'январь 2026'!$J$2:$J$2684,D$1)</f>
        <v>0</v>
      </c>
      <c r="E142" s="144">
        <f>SUMIFS('январь 2026'!$G$2:$G$2684,'январь 2026'!$D$2:$D$2684,$B142,'январь 2026'!$J$2:$J$2684,E$1)</f>
        <v>0</v>
      </c>
      <c r="F142" s="144">
        <f>SUMIFS('январь 2026'!$G$2:$G$2684,'январь 2026'!$D$2:$D$2684,$B142,'январь 2026'!$J$2:$J$2684,F$1)</f>
        <v>0</v>
      </c>
      <c r="G142" s="144">
        <f>SUMIFS('январь 2026'!$G$2:$G$2684,'январь 2026'!$D$2:$D$2684,$B142,'январь 2026'!$J$2:$J$2684,G$1)</f>
        <v>0</v>
      </c>
      <c r="H142" s="144">
        <f>SUMIFS('январь 2026'!$G$2:$G$2684,'январь 2026'!$D$2:$D$2684,$B142,'январь 2026'!$J$2:$J$2684,H$1)</f>
        <v>0</v>
      </c>
      <c r="I142" s="144">
        <f>SUMIFS('январь 2026'!$G$2:$G$2684,'январь 2026'!$D$2:$D$2684,$B142,'январь 2026'!$J$2:$J$2684,I$1)</f>
        <v>0</v>
      </c>
      <c r="J142" s="144">
        <f>SUMIFS('январь 2026'!$G$2:$G$2684,'январь 2026'!$D$2:$D$2684,$B142,'январь 2026'!$J$2:$J$2684,J$1)</f>
        <v>0</v>
      </c>
      <c r="K142" s="144">
        <f>SUMIFS('январь 2026'!$G$2:$G$2684,'январь 2026'!$D$2:$D$2684,$B142,'январь 2026'!$J$2:$J$2684,K$1)</f>
        <v>0</v>
      </c>
      <c r="L142" s="144">
        <f>SUMIFS('январь 2026'!$G$2:$G$2684,'январь 2026'!$D$2:$D$2684,$B142,'январь 2026'!$J$2:$J$2684,L$1)</f>
        <v>0</v>
      </c>
      <c r="M142" s="144">
        <f>SUMIFS('январь 2026'!$G$2:$G$2684,'январь 2026'!$D$2:$D$2684,$B142,'январь 2026'!$J$2:$J$2684,M$1)</f>
        <v>0</v>
      </c>
      <c r="N142" s="144">
        <f>SUMIFS('январь 2026'!$G$2:$G$2684,'январь 2026'!$D$2:$D$2684,$B142,'январь 2026'!$J$2:$J$2684,N$1)</f>
        <v>0</v>
      </c>
      <c r="O142" s="144">
        <f>SUMIFS('январь 2026'!$G$2:$G$2684,'январь 2026'!$D$2:$D$2684,$B142,'январь 2026'!$J$2:$J$2684,O$1)</f>
        <v>0</v>
      </c>
      <c r="P142" s="144">
        <f>SUMIFS('январь 2026'!$G$2:$G$2684,'январь 2026'!$D$2:$D$2684,$B142,'январь 2026'!$J$2:$J$2684,P$1)</f>
        <v>0</v>
      </c>
      <c r="Q142" s="144">
        <f>SUMIFS('январь 2026'!$G$2:$G$2684,'январь 2026'!$D$2:$D$2684,$B142,'январь 2026'!$J$2:$J$2684,Q$1)</f>
        <v>0</v>
      </c>
      <c r="R142" s="144">
        <f>SUMIFS('январь 2026'!$G$2:$G$2684,'январь 2026'!$D$2:$D$2684,$B142,'январь 2026'!$J$2:$J$2684,R$1)</f>
        <v>0</v>
      </c>
      <c r="S142" s="144">
        <f>SUMIFS('январь 2026'!$G$2:$G$2684,'январь 2026'!$D$2:$D$2684,$B142,'январь 2026'!$J$2:$J$2684,S$1)</f>
        <v>0</v>
      </c>
      <c r="T142" s="144">
        <f>SUMIFS('январь 2026'!$G$2:$G$2684,'январь 2026'!$D$2:$D$2684,$B142,'январь 2026'!$J$2:$J$2684,T$1)</f>
        <v>0</v>
      </c>
      <c r="U142" s="144">
        <f>SUMIFS('январь 2026'!$G$2:$G$2684,'январь 2026'!$D$2:$D$2684,$B142,'январь 2026'!$J$2:$J$2684,U$1)</f>
        <v>0</v>
      </c>
      <c r="V142" s="144">
        <f>SUMIFS('январь 2026'!$G$2:$G$2684,'январь 2026'!$D$2:$D$2684,$B142,'январь 2026'!$J$2:$J$2684,V$1)</f>
        <v>0</v>
      </c>
      <c r="W142" s="144">
        <f>SUMIFS('январь 2026'!$G$2:$G$2684,'январь 2026'!$D$2:$D$2684,$B142,'январь 2026'!$J$2:$J$2684,W$1)</f>
        <v>0</v>
      </c>
      <c r="X142" s="144">
        <f>SUMIFS('январь 2026'!$G$2:$G$2684,'январь 2026'!$D$2:$D$2684,$B142,'январь 2026'!$J$2:$J$2684,X$1)</f>
        <v>0</v>
      </c>
      <c r="Y142" s="144">
        <f>SUMIFS('январь 2026'!$G$2:$G$2684,'январь 2026'!$D$2:$D$2684,$B142,'январь 2026'!$J$2:$J$2684,Y$1)</f>
        <v>0</v>
      </c>
      <c r="Z142" s="144">
        <f>SUMIFS('январь 2026'!$G$2:$G$2684,'январь 2026'!$D$2:$D$2684,$B142,'январь 2026'!$J$2:$J$2684,Z$1)</f>
        <v>0</v>
      </c>
      <c r="AA142" s="144">
        <f>SUMIFS('январь 2026'!$G$2:$G$2684,'январь 2026'!$D$2:$D$2684,$B142,'январь 2026'!$J$2:$J$2684,AA$1)</f>
        <v>0</v>
      </c>
      <c r="AB142" s="144">
        <f>SUMIFS('январь 2026'!$G$2:$G$2684,'январь 2026'!$D$2:$D$2684,$B142,'январь 2026'!$J$2:$J$2684,AB$1)</f>
        <v>0</v>
      </c>
      <c r="AC142" s="144">
        <f>SUMIFS('январь 2026'!$G$2:$G$2684,'январь 2026'!$D$2:$D$2684,$B142,'январь 2026'!$J$2:$J$2684,AC$1)</f>
        <v>0</v>
      </c>
      <c r="AD142" s="144">
        <f>SUMIFS('январь 2026'!$G$2:$G$2684,'январь 2026'!$D$2:$D$2684,$B142,'январь 2026'!$J$2:$J$2684,AD$1)</f>
        <v>0</v>
      </c>
      <c r="AE142" s="144">
        <f>SUMIFS('январь 2026'!$G$2:$G$2684,'январь 2026'!$D$2:$D$2684,$B142,'январь 2026'!$J$2:$J$2684,AE$1)</f>
        <v>0</v>
      </c>
      <c r="AF142" s="144">
        <f>SUMIFS('январь 2026'!$G$2:$G$2684,'январь 2026'!$D$2:$D$2684,$B142,'январь 2026'!$J$2:$J$2684,AF$1)</f>
        <v>0</v>
      </c>
      <c r="AG142" s="144">
        <f>SUMIFS('январь 2026'!$G$2:$G$2684,'январь 2026'!$D$2:$D$2684,$B142,'январь 2026'!$J$2:$J$2684,AG$1)</f>
        <v>0</v>
      </c>
      <c r="AH142" s="144">
        <f>SUMIFS('январь 2026'!$G$2:$G$2684,'январь 2026'!$D$2:$D$2684,$B142,'январь 2026'!$J$2:$J$2684,AH$1)</f>
        <v>0</v>
      </c>
      <c r="AI142" s="20">
        <f t="shared" si="1"/>
        <v>0</v>
      </c>
    </row>
    <row r="143" spans="2:35" ht="15" customHeight="1" x14ac:dyDescent="0.25">
      <c r="B143" s="82" t="s">
        <v>264</v>
      </c>
      <c r="C143" s="83">
        <v>180</v>
      </c>
      <c r="D143" s="144">
        <f>SUMIFS('январь 2026'!$G$2:$G$2684,'январь 2026'!$D$2:$D$2684,$B143,'январь 2026'!$J$2:$J$2684,D$1)</f>
        <v>0</v>
      </c>
      <c r="E143" s="144">
        <f>SUMIFS('январь 2026'!$G$2:$G$2684,'январь 2026'!$D$2:$D$2684,$B143,'январь 2026'!$J$2:$J$2684,E$1)</f>
        <v>0</v>
      </c>
      <c r="F143" s="144">
        <f>SUMIFS('январь 2026'!$G$2:$G$2684,'январь 2026'!$D$2:$D$2684,$B143,'январь 2026'!$J$2:$J$2684,F$1)</f>
        <v>0</v>
      </c>
      <c r="G143" s="144">
        <f>SUMIFS('январь 2026'!$G$2:$G$2684,'январь 2026'!$D$2:$D$2684,$B143,'январь 2026'!$J$2:$J$2684,G$1)</f>
        <v>0</v>
      </c>
      <c r="H143" s="144">
        <f>SUMIFS('январь 2026'!$G$2:$G$2684,'январь 2026'!$D$2:$D$2684,$B143,'январь 2026'!$J$2:$J$2684,H$1)</f>
        <v>0</v>
      </c>
      <c r="I143" s="144">
        <f>SUMIFS('январь 2026'!$G$2:$G$2684,'январь 2026'!$D$2:$D$2684,$B143,'январь 2026'!$J$2:$J$2684,I$1)</f>
        <v>0</v>
      </c>
      <c r="J143" s="144">
        <f>SUMIFS('январь 2026'!$G$2:$G$2684,'январь 2026'!$D$2:$D$2684,$B143,'январь 2026'!$J$2:$J$2684,J$1)</f>
        <v>0</v>
      </c>
      <c r="K143" s="144">
        <f>SUMIFS('январь 2026'!$G$2:$G$2684,'январь 2026'!$D$2:$D$2684,$B143,'январь 2026'!$J$2:$J$2684,K$1)</f>
        <v>0</v>
      </c>
      <c r="L143" s="144">
        <f>SUMIFS('январь 2026'!$G$2:$G$2684,'январь 2026'!$D$2:$D$2684,$B143,'январь 2026'!$J$2:$J$2684,L$1)</f>
        <v>0</v>
      </c>
      <c r="M143" s="144">
        <f>SUMIFS('январь 2026'!$G$2:$G$2684,'январь 2026'!$D$2:$D$2684,$B143,'январь 2026'!$J$2:$J$2684,M$1)</f>
        <v>0</v>
      </c>
      <c r="N143" s="144">
        <f>SUMIFS('январь 2026'!$G$2:$G$2684,'январь 2026'!$D$2:$D$2684,$B143,'январь 2026'!$J$2:$J$2684,N$1)</f>
        <v>0</v>
      </c>
      <c r="O143" s="144">
        <f>SUMIFS('январь 2026'!$G$2:$G$2684,'январь 2026'!$D$2:$D$2684,$B143,'январь 2026'!$J$2:$J$2684,O$1)</f>
        <v>0</v>
      </c>
      <c r="P143" s="144">
        <f>SUMIFS('январь 2026'!$G$2:$G$2684,'январь 2026'!$D$2:$D$2684,$B143,'январь 2026'!$J$2:$J$2684,P$1)</f>
        <v>0</v>
      </c>
      <c r="Q143" s="144">
        <f>SUMIFS('январь 2026'!$G$2:$G$2684,'январь 2026'!$D$2:$D$2684,$B143,'январь 2026'!$J$2:$J$2684,Q$1)</f>
        <v>0</v>
      </c>
      <c r="R143" s="144">
        <f>SUMIFS('январь 2026'!$G$2:$G$2684,'январь 2026'!$D$2:$D$2684,$B143,'январь 2026'!$J$2:$J$2684,R$1)</f>
        <v>0</v>
      </c>
      <c r="S143" s="144">
        <f>SUMIFS('январь 2026'!$G$2:$G$2684,'январь 2026'!$D$2:$D$2684,$B143,'январь 2026'!$J$2:$J$2684,S$1)</f>
        <v>0</v>
      </c>
      <c r="T143" s="144">
        <f>SUMIFS('январь 2026'!$G$2:$G$2684,'январь 2026'!$D$2:$D$2684,$B143,'январь 2026'!$J$2:$J$2684,T$1)</f>
        <v>0</v>
      </c>
      <c r="U143" s="144">
        <f>SUMIFS('январь 2026'!$G$2:$G$2684,'январь 2026'!$D$2:$D$2684,$B143,'январь 2026'!$J$2:$J$2684,U$1)</f>
        <v>0</v>
      </c>
      <c r="V143" s="144">
        <f>SUMIFS('январь 2026'!$G$2:$G$2684,'январь 2026'!$D$2:$D$2684,$B143,'январь 2026'!$J$2:$J$2684,V$1)</f>
        <v>0</v>
      </c>
      <c r="W143" s="144">
        <f>SUMIFS('январь 2026'!$G$2:$G$2684,'январь 2026'!$D$2:$D$2684,$B143,'январь 2026'!$J$2:$J$2684,W$1)</f>
        <v>0</v>
      </c>
      <c r="X143" s="144">
        <f>SUMIFS('январь 2026'!$G$2:$G$2684,'январь 2026'!$D$2:$D$2684,$B143,'январь 2026'!$J$2:$J$2684,X$1)</f>
        <v>0</v>
      </c>
      <c r="Y143" s="144">
        <f>SUMIFS('январь 2026'!$G$2:$G$2684,'январь 2026'!$D$2:$D$2684,$B143,'январь 2026'!$J$2:$J$2684,Y$1)</f>
        <v>0</v>
      </c>
      <c r="Z143" s="144">
        <f>SUMIFS('январь 2026'!$G$2:$G$2684,'январь 2026'!$D$2:$D$2684,$B143,'январь 2026'!$J$2:$J$2684,Z$1)</f>
        <v>0</v>
      </c>
      <c r="AA143" s="144">
        <f>SUMIFS('январь 2026'!$G$2:$G$2684,'январь 2026'!$D$2:$D$2684,$B143,'январь 2026'!$J$2:$J$2684,AA$1)</f>
        <v>0</v>
      </c>
      <c r="AB143" s="144">
        <f>SUMIFS('январь 2026'!$G$2:$G$2684,'январь 2026'!$D$2:$D$2684,$B143,'январь 2026'!$J$2:$J$2684,AB$1)</f>
        <v>0</v>
      </c>
      <c r="AC143" s="144">
        <f>SUMIFS('январь 2026'!$G$2:$G$2684,'январь 2026'!$D$2:$D$2684,$B143,'январь 2026'!$J$2:$J$2684,AC$1)</f>
        <v>0</v>
      </c>
      <c r="AD143" s="144">
        <f>SUMIFS('январь 2026'!$G$2:$G$2684,'январь 2026'!$D$2:$D$2684,$B143,'январь 2026'!$J$2:$J$2684,AD$1)</f>
        <v>0</v>
      </c>
      <c r="AE143" s="144">
        <f>SUMIFS('январь 2026'!$G$2:$G$2684,'январь 2026'!$D$2:$D$2684,$B143,'январь 2026'!$J$2:$J$2684,AE$1)</f>
        <v>0</v>
      </c>
      <c r="AF143" s="144">
        <f>SUMIFS('январь 2026'!$G$2:$G$2684,'январь 2026'!$D$2:$D$2684,$B143,'январь 2026'!$J$2:$J$2684,AF$1)</f>
        <v>0</v>
      </c>
      <c r="AG143" s="144">
        <f>SUMIFS('январь 2026'!$G$2:$G$2684,'январь 2026'!$D$2:$D$2684,$B143,'январь 2026'!$J$2:$J$2684,AG$1)</f>
        <v>12</v>
      </c>
      <c r="AH143" s="144">
        <f>SUMIFS('январь 2026'!$G$2:$G$2684,'январь 2026'!$D$2:$D$2684,$B143,'январь 2026'!$J$2:$J$2684,AH$1)</f>
        <v>0</v>
      </c>
      <c r="AI143" s="20">
        <f t="shared" si="1"/>
        <v>12</v>
      </c>
    </row>
    <row r="144" spans="2:35" ht="15" customHeight="1" x14ac:dyDescent="0.25">
      <c r="B144" s="82" t="s">
        <v>274</v>
      </c>
      <c r="C144" s="83">
        <v>180</v>
      </c>
      <c r="D144" s="144">
        <f>SUMIFS('январь 2026'!$G$2:$G$2684,'январь 2026'!$D$2:$D$2684,$B144,'январь 2026'!$J$2:$J$2684,D$1)</f>
        <v>0</v>
      </c>
      <c r="E144" s="144">
        <f>SUMIFS('январь 2026'!$G$2:$G$2684,'январь 2026'!$D$2:$D$2684,$B144,'январь 2026'!$J$2:$J$2684,E$1)</f>
        <v>0</v>
      </c>
      <c r="F144" s="144">
        <f>SUMIFS('январь 2026'!$G$2:$G$2684,'январь 2026'!$D$2:$D$2684,$B144,'январь 2026'!$J$2:$J$2684,F$1)</f>
        <v>0</v>
      </c>
      <c r="G144" s="144">
        <f>SUMIFS('январь 2026'!$G$2:$G$2684,'январь 2026'!$D$2:$D$2684,$B144,'январь 2026'!$J$2:$J$2684,G$1)</f>
        <v>0</v>
      </c>
      <c r="H144" s="144">
        <f>SUMIFS('январь 2026'!$G$2:$G$2684,'январь 2026'!$D$2:$D$2684,$B144,'январь 2026'!$J$2:$J$2684,H$1)</f>
        <v>0</v>
      </c>
      <c r="I144" s="144">
        <f>SUMIFS('январь 2026'!$G$2:$G$2684,'январь 2026'!$D$2:$D$2684,$B144,'январь 2026'!$J$2:$J$2684,I$1)</f>
        <v>0</v>
      </c>
      <c r="J144" s="144">
        <f>SUMIFS('январь 2026'!$G$2:$G$2684,'январь 2026'!$D$2:$D$2684,$B144,'январь 2026'!$J$2:$J$2684,J$1)</f>
        <v>0</v>
      </c>
      <c r="K144" s="144">
        <f>SUMIFS('январь 2026'!$G$2:$G$2684,'январь 2026'!$D$2:$D$2684,$B144,'январь 2026'!$J$2:$J$2684,K$1)</f>
        <v>0</v>
      </c>
      <c r="L144" s="144">
        <f>SUMIFS('январь 2026'!$G$2:$G$2684,'январь 2026'!$D$2:$D$2684,$B144,'январь 2026'!$J$2:$J$2684,L$1)</f>
        <v>0</v>
      </c>
      <c r="M144" s="144">
        <f>SUMIFS('январь 2026'!$G$2:$G$2684,'январь 2026'!$D$2:$D$2684,$B144,'январь 2026'!$J$2:$J$2684,M$1)</f>
        <v>0</v>
      </c>
      <c r="N144" s="144">
        <f>SUMIFS('январь 2026'!$G$2:$G$2684,'январь 2026'!$D$2:$D$2684,$B144,'январь 2026'!$J$2:$J$2684,N$1)</f>
        <v>0</v>
      </c>
      <c r="O144" s="144">
        <f>SUMIFS('январь 2026'!$G$2:$G$2684,'январь 2026'!$D$2:$D$2684,$B144,'январь 2026'!$J$2:$J$2684,O$1)</f>
        <v>0</v>
      </c>
      <c r="P144" s="144">
        <f>SUMIFS('январь 2026'!$G$2:$G$2684,'январь 2026'!$D$2:$D$2684,$B144,'январь 2026'!$J$2:$J$2684,P$1)</f>
        <v>0</v>
      </c>
      <c r="Q144" s="144">
        <f>SUMIFS('январь 2026'!$G$2:$G$2684,'январь 2026'!$D$2:$D$2684,$B144,'январь 2026'!$J$2:$J$2684,Q$1)</f>
        <v>0</v>
      </c>
      <c r="R144" s="144">
        <f>SUMIFS('январь 2026'!$G$2:$G$2684,'январь 2026'!$D$2:$D$2684,$B144,'январь 2026'!$J$2:$J$2684,R$1)</f>
        <v>0</v>
      </c>
      <c r="S144" s="144">
        <f>SUMIFS('январь 2026'!$G$2:$G$2684,'январь 2026'!$D$2:$D$2684,$B144,'январь 2026'!$J$2:$J$2684,S$1)</f>
        <v>0</v>
      </c>
      <c r="T144" s="144">
        <f>SUMIFS('январь 2026'!$G$2:$G$2684,'январь 2026'!$D$2:$D$2684,$B144,'январь 2026'!$J$2:$J$2684,T$1)</f>
        <v>0</v>
      </c>
      <c r="U144" s="144">
        <f>SUMIFS('январь 2026'!$G$2:$G$2684,'январь 2026'!$D$2:$D$2684,$B144,'январь 2026'!$J$2:$J$2684,U$1)</f>
        <v>0</v>
      </c>
      <c r="V144" s="144">
        <f>SUMIFS('январь 2026'!$G$2:$G$2684,'январь 2026'!$D$2:$D$2684,$B144,'январь 2026'!$J$2:$J$2684,V$1)</f>
        <v>0</v>
      </c>
      <c r="W144" s="144">
        <f>SUMIFS('январь 2026'!$G$2:$G$2684,'январь 2026'!$D$2:$D$2684,$B144,'январь 2026'!$J$2:$J$2684,W$1)</f>
        <v>0</v>
      </c>
      <c r="X144" s="144">
        <f>SUMIFS('январь 2026'!$G$2:$G$2684,'январь 2026'!$D$2:$D$2684,$B144,'январь 2026'!$J$2:$J$2684,X$1)</f>
        <v>0</v>
      </c>
      <c r="Y144" s="144">
        <f>SUMIFS('январь 2026'!$G$2:$G$2684,'январь 2026'!$D$2:$D$2684,$B144,'январь 2026'!$J$2:$J$2684,Y$1)</f>
        <v>0</v>
      </c>
      <c r="Z144" s="144">
        <f>SUMIFS('январь 2026'!$G$2:$G$2684,'январь 2026'!$D$2:$D$2684,$B144,'январь 2026'!$J$2:$J$2684,Z$1)</f>
        <v>0</v>
      </c>
      <c r="AA144" s="144">
        <f>SUMIFS('январь 2026'!$G$2:$G$2684,'январь 2026'!$D$2:$D$2684,$B144,'январь 2026'!$J$2:$J$2684,AA$1)</f>
        <v>0</v>
      </c>
      <c r="AB144" s="144">
        <f>SUMIFS('январь 2026'!$G$2:$G$2684,'январь 2026'!$D$2:$D$2684,$B144,'январь 2026'!$J$2:$J$2684,AB$1)</f>
        <v>0</v>
      </c>
      <c r="AC144" s="144">
        <f>SUMIFS('январь 2026'!$G$2:$G$2684,'январь 2026'!$D$2:$D$2684,$B144,'январь 2026'!$J$2:$J$2684,AC$1)</f>
        <v>0</v>
      </c>
      <c r="AD144" s="144">
        <f>SUMIFS('январь 2026'!$G$2:$G$2684,'январь 2026'!$D$2:$D$2684,$B144,'январь 2026'!$J$2:$J$2684,AD$1)</f>
        <v>0</v>
      </c>
      <c r="AE144" s="144">
        <f>SUMIFS('январь 2026'!$G$2:$G$2684,'январь 2026'!$D$2:$D$2684,$B144,'январь 2026'!$J$2:$J$2684,AE$1)</f>
        <v>0</v>
      </c>
      <c r="AF144" s="144">
        <f>SUMIFS('январь 2026'!$G$2:$G$2684,'январь 2026'!$D$2:$D$2684,$B144,'январь 2026'!$J$2:$J$2684,AF$1)</f>
        <v>0</v>
      </c>
      <c r="AG144" s="144">
        <f>SUMIFS('январь 2026'!$G$2:$G$2684,'январь 2026'!$D$2:$D$2684,$B144,'январь 2026'!$J$2:$J$2684,AG$1)</f>
        <v>0</v>
      </c>
      <c r="AH144" s="144">
        <f>SUMIFS('январь 2026'!$G$2:$G$2684,'январь 2026'!$D$2:$D$2684,$B144,'январь 2026'!$J$2:$J$2684,AH$1)</f>
        <v>0</v>
      </c>
      <c r="AI144" s="20">
        <f t="shared" si="1"/>
        <v>0</v>
      </c>
    </row>
    <row r="145" spans="2:35" ht="15" customHeight="1" x14ac:dyDescent="0.25">
      <c r="B145" s="82" t="s">
        <v>285</v>
      </c>
      <c r="C145" s="83">
        <v>190</v>
      </c>
      <c r="D145" s="144">
        <f>SUMIFS('январь 2026'!$G$2:$G$2684,'январь 2026'!$D$2:$D$2684,$B145,'январь 2026'!$J$2:$J$2684,D$1)</f>
        <v>0</v>
      </c>
      <c r="E145" s="144">
        <f>SUMIFS('январь 2026'!$G$2:$G$2684,'январь 2026'!$D$2:$D$2684,$B145,'январь 2026'!$J$2:$J$2684,E$1)</f>
        <v>0</v>
      </c>
      <c r="F145" s="144">
        <f>SUMIFS('январь 2026'!$G$2:$G$2684,'январь 2026'!$D$2:$D$2684,$B145,'январь 2026'!$J$2:$J$2684,F$1)</f>
        <v>0</v>
      </c>
      <c r="G145" s="144">
        <f>SUMIFS('январь 2026'!$G$2:$G$2684,'январь 2026'!$D$2:$D$2684,$B145,'январь 2026'!$J$2:$J$2684,G$1)</f>
        <v>0</v>
      </c>
      <c r="H145" s="144">
        <f>SUMIFS('январь 2026'!$G$2:$G$2684,'январь 2026'!$D$2:$D$2684,$B145,'январь 2026'!$J$2:$J$2684,H$1)</f>
        <v>0</v>
      </c>
      <c r="I145" s="144">
        <f>SUMIFS('январь 2026'!$G$2:$G$2684,'январь 2026'!$D$2:$D$2684,$B145,'январь 2026'!$J$2:$J$2684,I$1)</f>
        <v>0</v>
      </c>
      <c r="J145" s="144">
        <f>SUMIFS('январь 2026'!$G$2:$G$2684,'январь 2026'!$D$2:$D$2684,$B145,'январь 2026'!$J$2:$J$2684,J$1)</f>
        <v>0</v>
      </c>
      <c r="K145" s="144">
        <f>SUMIFS('январь 2026'!$G$2:$G$2684,'январь 2026'!$D$2:$D$2684,$B145,'январь 2026'!$J$2:$J$2684,K$1)</f>
        <v>0</v>
      </c>
      <c r="L145" s="144">
        <f>SUMIFS('январь 2026'!$G$2:$G$2684,'январь 2026'!$D$2:$D$2684,$B145,'январь 2026'!$J$2:$J$2684,L$1)</f>
        <v>0</v>
      </c>
      <c r="M145" s="144">
        <f>SUMIFS('январь 2026'!$G$2:$G$2684,'январь 2026'!$D$2:$D$2684,$B145,'январь 2026'!$J$2:$J$2684,M$1)</f>
        <v>0</v>
      </c>
      <c r="N145" s="144">
        <f>SUMIFS('январь 2026'!$G$2:$G$2684,'январь 2026'!$D$2:$D$2684,$B145,'январь 2026'!$J$2:$J$2684,N$1)</f>
        <v>0</v>
      </c>
      <c r="O145" s="144">
        <f>SUMIFS('январь 2026'!$G$2:$G$2684,'январь 2026'!$D$2:$D$2684,$B145,'январь 2026'!$J$2:$J$2684,O$1)</f>
        <v>0</v>
      </c>
      <c r="P145" s="144">
        <f>SUMIFS('январь 2026'!$G$2:$G$2684,'январь 2026'!$D$2:$D$2684,$B145,'январь 2026'!$J$2:$J$2684,P$1)</f>
        <v>0</v>
      </c>
      <c r="Q145" s="144">
        <f>SUMIFS('январь 2026'!$G$2:$G$2684,'январь 2026'!$D$2:$D$2684,$B145,'январь 2026'!$J$2:$J$2684,Q$1)</f>
        <v>0</v>
      </c>
      <c r="R145" s="144">
        <f>SUMIFS('январь 2026'!$G$2:$G$2684,'январь 2026'!$D$2:$D$2684,$B145,'январь 2026'!$J$2:$J$2684,R$1)</f>
        <v>0</v>
      </c>
      <c r="S145" s="144">
        <f>SUMIFS('январь 2026'!$G$2:$G$2684,'январь 2026'!$D$2:$D$2684,$B145,'январь 2026'!$J$2:$J$2684,S$1)</f>
        <v>0</v>
      </c>
      <c r="T145" s="144">
        <f>SUMIFS('январь 2026'!$G$2:$G$2684,'январь 2026'!$D$2:$D$2684,$B145,'январь 2026'!$J$2:$J$2684,T$1)</f>
        <v>0</v>
      </c>
      <c r="U145" s="144">
        <f>SUMIFS('январь 2026'!$G$2:$G$2684,'январь 2026'!$D$2:$D$2684,$B145,'январь 2026'!$J$2:$J$2684,U$1)</f>
        <v>0</v>
      </c>
      <c r="V145" s="144">
        <f>SUMIFS('январь 2026'!$G$2:$G$2684,'январь 2026'!$D$2:$D$2684,$B145,'январь 2026'!$J$2:$J$2684,V$1)</f>
        <v>0</v>
      </c>
      <c r="W145" s="144">
        <f>SUMIFS('январь 2026'!$G$2:$G$2684,'январь 2026'!$D$2:$D$2684,$B145,'январь 2026'!$J$2:$J$2684,W$1)</f>
        <v>0</v>
      </c>
      <c r="X145" s="144">
        <f>SUMIFS('январь 2026'!$G$2:$G$2684,'январь 2026'!$D$2:$D$2684,$B145,'январь 2026'!$J$2:$J$2684,X$1)</f>
        <v>0</v>
      </c>
      <c r="Y145" s="144">
        <f>SUMIFS('январь 2026'!$G$2:$G$2684,'январь 2026'!$D$2:$D$2684,$B145,'январь 2026'!$J$2:$J$2684,Y$1)</f>
        <v>0</v>
      </c>
      <c r="Z145" s="144">
        <f>SUMIFS('январь 2026'!$G$2:$G$2684,'январь 2026'!$D$2:$D$2684,$B145,'январь 2026'!$J$2:$J$2684,Z$1)</f>
        <v>0</v>
      </c>
      <c r="AA145" s="144">
        <f>SUMIFS('январь 2026'!$G$2:$G$2684,'январь 2026'!$D$2:$D$2684,$B145,'январь 2026'!$J$2:$J$2684,AA$1)</f>
        <v>0</v>
      </c>
      <c r="AB145" s="144">
        <f>SUMIFS('январь 2026'!$G$2:$G$2684,'январь 2026'!$D$2:$D$2684,$B145,'январь 2026'!$J$2:$J$2684,AB$1)</f>
        <v>0</v>
      </c>
      <c r="AC145" s="144">
        <f>SUMIFS('январь 2026'!$G$2:$G$2684,'январь 2026'!$D$2:$D$2684,$B145,'январь 2026'!$J$2:$J$2684,AC$1)</f>
        <v>0</v>
      </c>
      <c r="AD145" s="144">
        <f>SUMIFS('январь 2026'!$G$2:$G$2684,'январь 2026'!$D$2:$D$2684,$B145,'январь 2026'!$J$2:$J$2684,AD$1)</f>
        <v>0</v>
      </c>
      <c r="AE145" s="144">
        <f>SUMIFS('январь 2026'!$G$2:$G$2684,'январь 2026'!$D$2:$D$2684,$B145,'январь 2026'!$J$2:$J$2684,AE$1)</f>
        <v>0</v>
      </c>
      <c r="AF145" s="144">
        <f>SUMIFS('январь 2026'!$G$2:$G$2684,'январь 2026'!$D$2:$D$2684,$B145,'январь 2026'!$J$2:$J$2684,AF$1)</f>
        <v>0</v>
      </c>
      <c r="AG145" s="144">
        <f>SUMIFS('январь 2026'!$G$2:$G$2684,'январь 2026'!$D$2:$D$2684,$B145,'январь 2026'!$J$2:$J$2684,AG$1)</f>
        <v>0</v>
      </c>
      <c r="AH145" s="144">
        <f>SUMIFS('январь 2026'!$G$2:$G$2684,'январь 2026'!$D$2:$D$2684,$B145,'январь 2026'!$J$2:$J$2684,AH$1)</f>
        <v>0</v>
      </c>
      <c r="AI145" s="20">
        <f t="shared" si="1"/>
        <v>0</v>
      </c>
    </row>
    <row r="146" spans="2:35" ht="15" customHeight="1" x14ac:dyDescent="0.25">
      <c r="B146" s="82" t="s">
        <v>265</v>
      </c>
      <c r="C146" s="83">
        <v>200</v>
      </c>
      <c r="D146" s="144">
        <f>SUMIFS('январь 2026'!$G$2:$G$2684,'январь 2026'!$D$2:$D$2684,$B146,'январь 2026'!$J$2:$J$2684,D$1)</f>
        <v>0</v>
      </c>
      <c r="E146" s="144">
        <f>SUMIFS('январь 2026'!$G$2:$G$2684,'январь 2026'!$D$2:$D$2684,$B146,'январь 2026'!$J$2:$J$2684,E$1)</f>
        <v>0</v>
      </c>
      <c r="F146" s="144">
        <f>SUMIFS('январь 2026'!$G$2:$G$2684,'январь 2026'!$D$2:$D$2684,$B146,'январь 2026'!$J$2:$J$2684,F$1)</f>
        <v>0</v>
      </c>
      <c r="G146" s="144">
        <f>SUMIFS('январь 2026'!$G$2:$G$2684,'январь 2026'!$D$2:$D$2684,$B146,'январь 2026'!$J$2:$J$2684,G$1)</f>
        <v>0</v>
      </c>
      <c r="H146" s="144">
        <f>SUMIFS('январь 2026'!$G$2:$G$2684,'январь 2026'!$D$2:$D$2684,$B146,'январь 2026'!$J$2:$J$2684,H$1)</f>
        <v>0</v>
      </c>
      <c r="I146" s="144">
        <f>SUMIFS('январь 2026'!$G$2:$G$2684,'январь 2026'!$D$2:$D$2684,$B146,'январь 2026'!$J$2:$J$2684,I$1)</f>
        <v>0</v>
      </c>
      <c r="J146" s="144">
        <f>SUMIFS('январь 2026'!$G$2:$G$2684,'январь 2026'!$D$2:$D$2684,$B146,'январь 2026'!$J$2:$J$2684,J$1)</f>
        <v>0</v>
      </c>
      <c r="K146" s="144">
        <f>SUMIFS('январь 2026'!$G$2:$G$2684,'январь 2026'!$D$2:$D$2684,$B146,'январь 2026'!$J$2:$J$2684,K$1)</f>
        <v>0</v>
      </c>
      <c r="L146" s="144">
        <f>SUMIFS('январь 2026'!$G$2:$G$2684,'январь 2026'!$D$2:$D$2684,$B146,'январь 2026'!$J$2:$J$2684,L$1)</f>
        <v>0</v>
      </c>
      <c r="M146" s="144">
        <f>SUMIFS('январь 2026'!$G$2:$G$2684,'январь 2026'!$D$2:$D$2684,$B146,'январь 2026'!$J$2:$J$2684,M$1)</f>
        <v>0</v>
      </c>
      <c r="N146" s="144">
        <f>SUMIFS('январь 2026'!$G$2:$G$2684,'январь 2026'!$D$2:$D$2684,$B146,'январь 2026'!$J$2:$J$2684,N$1)</f>
        <v>0</v>
      </c>
      <c r="O146" s="144">
        <f>SUMIFS('январь 2026'!$G$2:$G$2684,'январь 2026'!$D$2:$D$2684,$B146,'январь 2026'!$J$2:$J$2684,O$1)</f>
        <v>0</v>
      </c>
      <c r="P146" s="144">
        <f>SUMIFS('январь 2026'!$G$2:$G$2684,'январь 2026'!$D$2:$D$2684,$B146,'январь 2026'!$J$2:$J$2684,P$1)</f>
        <v>0</v>
      </c>
      <c r="Q146" s="144">
        <f>SUMIFS('январь 2026'!$G$2:$G$2684,'январь 2026'!$D$2:$D$2684,$B146,'январь 2026'!$J$2:$J$2684,Q$1)</f>
        <v>0</v>
      </c>
      <c r="R146" s="144">
        <f>SUMIFS('январь 2026'!$G$2:$G$2684,'январь 2026'!$D$2:$D$2684,$B146,'январь 2026'!$J$2:$J$2684,R$1)</f>
        <v>0</v>
      </c>
      <c r="S146" s="144">
        <f>SUMIFS('январь 2026'!$G$2:$G$2684,'январь 2026'!$D$2:$D$2684,$B146,'январь 2026'!$J$2:$J$2684,S$1)</f>
        <v>0</v>
      </c>
      <c r="T146" s="144">
        <f>SUMIFS('январь 2026'!$G$2:$G$2684,'январь 2026'!$D$2:$D$2684,$B146,'январь 2026'!$J$2:$J$2684,T$1)</f>
        <v>0</v>
      </c>
      <c r="U146" s="144">
        <f>SUMIFS('январь 2026'!$G$2:$G$2684,'январь 2026'!$D$2:$D$2684,$B146,'январь 2026'!$J$2:$J$2684,U$1)</f>
        <v>0</v>
      </c>
      <c r="V146" s="144">
        <f>SUMIFS('январь 2026'!$G$2:$G$2684,'январь 2026'!$D$2:$D$2684,$B146,'январь 2026'!$J$2:$J$2684,V$1)</f>
        <v>0</v>
      </c>
      <c r="W146" s="144">
        <f>SUMIFS('январь 2026'!$G$2:$G$2684,'январь 2026'!$D$2:$D$2684,$B146,'январь 2026'!$J$2:$J$2684,W$1)</f>
        <v>0</v>
      </c>
      <c r="X146" s="144">
        <f>SUMIFS('январь 2026'!$G$2:$G$2684,'январь 2026'!$D$2:$D$2684,$B146,'январь 2026'!$J$2:$J$2684,X$1)</f>
        <v>0</v>
      </c>
      <c r="Y146" s="144">
        <f>SUMIFS('январь 2026'!$G$2:$G$2684,'январь 2026'!$D$2:$D$2684,$B146,'январь 2026'!$J$2:$J$2684,Y$1)</f>
        <v>0</v>
      </c>
      <c r="Z146" s="144">
        <f>SUMIFS('январь 2026'!$G$2:$G$2684,'январь 2026'!$D$2:$D$2684,$B146,'январь 2026'!$J$2:$J$2684,Z$1)</f>
        <v>0</v>
      </c>
      <c r="AA146" s="144">
        <f>SUMIFS('январь 2026'!$G$2:$G$2684,'январь 2026'!$D$2:$D$2684,$B146,'январь 2026'!$J$2:$J$2684,AA$1)</f>
        <v>0</v>
      </c>
      <c r="AB146" s="144">
        <f>SUMIFS('январь 2026'!$G$2:$G$2684,'январь 2026'!$D$2:$D$2684,$B146,'январь 2026'!$J$2:$J$2684,AB$1)</f>
        <v>0</v>
      </c>
      <c r="AC146" s="144">
        <f>SUMIFS('январь 2026'!$G$2:$G$2684,'январь 2026'!$D$2:$D$2684,$B146,'январь 2026'!$J$2:$J$2684,AC$1)</f>
        <v>0</v>
      </c>
      <c r="AD146" s="144">
        <f>SUMIFS('январь 2026'!$G$2:$G$2684,'январь 2026'!$D$2:$D$2684,$B146,'январь 2026'!$J$2:$J$2684,AD$1)</f>
        <v>0</v>
      </c>
      <c r="AE146" s="144">
        <f>SUMIFS('январь 2026'!$G$2:$G$2684,'январь 2026'!$D$2:$D$2684,$B146,'январь 2026'!$J$2:$J$2684,AE$1)</f>
        <v>0</v>
      </c>
      <c r="AF146" s="144">
        <f>SUMIFS('январь 2026'!$G$2:$G$2684,'январь 2026'!$D$2:$D$2684,$B146,'январь 2026'!$J$2:$J$2684,AF$1)</f>
        <v>0</v>
      </c>
      <c r="AG146" s="144">
        <f>SUMIFS('январь 2026'!$G$2:$G$2684,'январь 2026'!$D$2:$D$2684,$B146,'январь 2026'!$J$2:$J$2684,AG$1)</f>
        <v>0</v>
      </c>
      <c r="AH146" s="144">
        <f>SUMIFS('январь 2026'!$G$2:$G$2684,'январь 2026'!$D$2:$D$2684,$B146,'январь 2026'!$J$2:$J$2684,AH$1)</f>
        <v>0</v>
      </c>
      <c r="AI146" s="20">
        <f t="shared" si="1"/>
        <v>0</v>
      </c>
    </row>
    <row r="147" spans="2:35" ht="15" customHeight="1" x14ac:dyDescent="0.25">
      <c r="B147" s="82" t="s">
        <v>275</v>
      </c>
      <c r="C147" s="83">
        <v>200</v>
      </c>
      <c r="D147" s="144">
        <f>SUMIFS('январь 2026'!$G$2:$G$2684,'январь 2026'!$D$2:$D$2684,$B147,'январь 2026'!$J$2:$J$2684,D$1)</f>
        <v>0</v>
      </c>
      <c r="E147" s="144">
        <f>SUMIFS('январь 2026'!$G$2:$G$2684,'январь 2026'!$D$2:$D$2684,$B147,'январь 2026'!$J$2:$J$2684,E$1)</f>
        <v>0</v>
      </c>
      <c r="F147" s="144">
        <f>SUMIFS('январь 2026'!$G$2:$G$2684,'январь 2026'!$D$2:$D$2684,$B147,'январь 2026'!$J$2:$J$2684,F$1)</f>
        <v>0</v>
      </c>
      <c r="G147" s="144">
        <f>SUMIFS('январь 2026'!$G$2:$G$2684,'январь 2026'!$D$2:$D$2684,$B147,'январь 2026'!$J$2:$J$2684,G$1)</f>
        <v>0</v>
      </c>
      <c r="H147" s="144">
        <f>SUMIFS('январь 2026'!$G$2:$G$2684,'январь 2026'!$D$2:$D$2684,$B147,'январь 2026'!$J$2:$J$2684,H$1)</f>
        <v>0</v>
      </c>
      <c r="I147" s="144">
        <f>SUMIFS('январь 2026'!$G$2:$G$2684,'январь 2026'!$D$2:$D$2684,$B147,'январь 2026'!$J$2:$J$2684,I$1)</f>
        <v>0</v>
      </c>
      <c r="J147" s="144">
        <f>SUMIFS('январь 2026'!$G$2:$G$2684,'январь 2026'!$D$2:$D$2684,$B147,'январь 2026'!$J$2:$J$2684,J$1)</f>
        <v>0</v>
      </c>
      <c r="K147" s="144">
        <f>SUMIFS('январь 2026'!$G$2:$G$2684,'январь 2026'!$D$2:$D$2684,$B147,'январь 2026'!$J$2:$J$2684,K$1)</f>
        <v>0</v>
      </c>
      <c r="L147" s="144">
        <f>SUMIFS('январь 2026'!$G$2:$G$2684,'январь 2026'!$D$2:$D$2684,$B147,'январь 2026'!$J$2:$J$2684,L$1)</f>
        <v>0</v>
      </c>
      <c r="M147" s="144">
        <f>SUMIFS('январь 2026'!$G$2:$G$2684,'январь 2026'!$D$2:$D$2684,$B147,'январь 2026'!$J$2:$J$2684,M$1)</f>
        <v>0</v>
      </c>
      <c r="N147" s="144">
        <f>SUMIFS('январь 2026'!$G$2:$G$2684,'январь 2026'!$D$2:$D$2684,$B147,'январь 2026'!$J$2:$J$2684,N$1)</f>
        <v>0</v>
      </c>
      <c r="O147" s="144">
        <f>SUMIFS('январь 2026'!$G$2:$G$2684,'январь 2026'!$D$2:$D$2684,$B147,'январь 2026'!$J$2:$J$2684,O$1)</f>
        <v>0</v>
      </c>
      <c r="P147" s="144">
        <f>SUMIFS('январь 2026'!$G$2:$G$2684,'январь 2026'!$D$2:$D$2684,$B147,'январь 2026'!$J$2:$J$2684,P$1)</f>
        <v>0</v>
      </c>
      <c r="Q147" s="144">
        <f>SUMIFS('январь 2026'!$G$2:$G$2684,'январь 2026'!$D$2:$D$2684,$B147,'январь 2026'!$J$2:$J$2684,Q$1)</f>
        <v>0</v>
      </c>
      <c r="R147" s="144">
        <f>SUMIFS('январь 2026'!$G$2:$G$2684,'январь 2026'!$D$2:$D$2684,$B147,'январь 2026'!$J$2:$J$2684,R$1)</f>
        <v>0</v>
      </c>
      <c r="S147" s="144">
        <f>SUMIFS('январь 2026'!$G$2:$G$2684,'январь 2026'!$D$2:$D$2684,$B147,'январь 2026'!$J$2:$J$2684,S$1)</f>
        <v>0</v>
      </c>
      <c r="T147" s="144">
        <f>SUMIFS('январь 2026'!$G$2:$G$2684,'январь 2026'!$D$2:$D$2684,$B147,'январь 2026'!$J$2:$J$2684,T$1)</f>
        <v>0</v>
      </c>
      <c r="U147" s="144">
        <f>SUMIFS('январь 2026'!$G$2:$G$2684,'январь 2026'!$D$2:$D$2684,$B147,'январь 2026'!$J$2:$J$2684,U$1)</f>
        <v>0</v>
      </c>
      <c r="V147" s="144">
        <f>SUMIFS('январь 2026'!$G$2:$G$2684,'январь 2026'!$D$2:$D$2684,$B147,'январь 2026'!$J$2:$J$2684,V$1)</f>
        <v>0</v>
      </c>
      <c r="W147" s="144">
        <f>SUMIFS('январь 2026'!$G$2:$G$2684,'январь 2026'!$D$2:$D$2684,$B147,'январь 2026'!$J$2:$J$2684,W$1)</f>
        <v>0</v>
      </c>
      <c r="X147" s="144">
        <f>SUMIFS('январь 2026'!$G$2:$G$2684,'январь 2026'!$D$2:$D$2684,$B147,'январь 2026'!$J$2:$J$2684,X$1)</f>
        <v>0</v>
      </c>
      <c r="Y147" s="144">
        <f>SUMIFS('январь 2026'!$G$2:$G$2684,'январь 2026'!$D$2:$D$2684,$B147,'январь 2026'!$J$2:$J$2684,Y$1)</f>
        <v>0</v>
      </c>
      <c r="Z147" s="144">
        <f>SUMIFS('январь 2026'!$G$2:$G$2684,'январь 2026'!$D$2:$D$2684,$B147,'январь 2026'!$J$2:$J$2684,Z$1)</f>
        <v>0</v>
      </c>
      <c r="AA147" s="144">
        <f>SUMIFS('январь 2026'!$G$2:$G$2684,'январь 2026'!$D$2:$D$2684,$B147,'январь 2026'!$J$2:$J$2684,AA$1)</f>
        <v>0</v>
      </c>
      <c r="AB147" s="144">
        <f>SUMIFS('январь 2026'!$G$2:$G$2684,'январь 2026'!$D$2:$D$2684,$B147,'январь 2026'!$J$2:$J$2684,AB$1)</f>
        <v>0</v>
      </c>
      <c r="AC147" s="144">
        <f>SUMIFS('январь 2026'!$G$2:$G$2684,'январь 2026'!$D$2:$D$2684,$B147,'январь 2026'!$J$2:$J$2684,AC$1)</f>
        <v>0</v>
      </c>
      <c r="AD147" s="144">
        <f>SUMIFS('январь 2026'!$G$2:$G$2684,'январь 2026'!$D$2:$D$2684,$B147,'январь 2026'!$J$2:$J$2684,AD$1)</f>
        <v>0</v>
      </c>
      <c r="AE147" s="144">
        <f>SUMIFS('январь 2026'!$G$2:$G$2684,'январь 2026'!$D$2:$D$2684,$B147,'январь 2026'!$J$2:$J$2684,AE$1)</f>
        <v>0</v>
      </c>
      <c r="AF147" s="144">
        <f>SUMIFS('январь 2026'!$G$2:$G$2684,'январь 2026'!$D$2:$D$2684,$B147,'январь 2026'!$J$2:$J$2684,AF$1)</f>
        <v>0</v>
      </c>
      <c r="AG147" s="144">
        <f>SUMIFS('январь 2026'!$G$2:$G$2684,'январь 2026'!$D$2:$D$2684,$B147,'январь 2026'!$J$2:$J$2684,AG$1)</f>
        <v>0</v>
      </c>
      <c r="AH147" s="144">
        <f>SUMIFS('январь 2026'!$G$2:$G$2684,'январь 2026'!$D$2:$D$2684,$B147,'январь 2026'!$J$2:$J$2684,AH$1)</f>
        <v>0</v>
      </c>
      <c r="AI147" s="20">
        <f t="shared" si="1"/>
        <v>0</v>
      </c>
    </row>
    <row r="148" spans="2:35" ht="15" customHeight="1" x14ac:dyDescent="0.25">
      <c r="B148" s="82" t="s">
        <v>195</v>
      </c>
      <c r="C148" s="83">
        <v>180</v>
      </c>
      <c r="D148" s="144">
        <f>SUMIFS('январь 2026'!$G$2:$G$2684,'январь 2026'!$D$2:$D$2684,$B148,'январь 2026'!$J$2:$J$2684,D$1)</f>
        <v>0</v>
      </c>
      <c r="E148" s="144">
        <f>SUMIFS('январь 2026'!$G$2:$G$2684,'январь 2026'!$D$2:$D$2684,$B148,'январь 2026'!$J$2:$J$2684,E$1)</f>
        <v>0</v>
      </c>
      <c r="F148" s="144">
        <f>SUMIFS('январь 2026'!$G$2:$G$2684,'январь 2026'!$D$2:$D$2684,$B148,'январь 2026'!$J$2:$J$2684,F$1)</f>
        <v>0</v>
      </c>
      <c r="G148" s="144">
        <f>SUMIFS('январь 2026'!$G$2:$G$2684,'январь 2026'!$D$2:$D$2684,$B148,'январь 2026'!$J$2:$J$2684,G$1)</f>
        <v>0</v>
      </c>
      <c r="H148" s="144">
        <f>SUMIFS('январь 2026'!$G$2:$G$2684,'январь 2026'!$D$2:$D$2684,$B148,'январь 2026'!$J$2:$J$2684,H$1)</f>
        <v>0</v>
      </c>
      <c r="I148" s="144">
        <f>SUMIFS('январь 2026'!$G$2:$G$2684,'январь 2026'!$D$2:$D$2684,$B148,'январь 2026'!$J$2:$J$2684,I$1)</f>
        <v>0</v>
      </c>
      <c r="J148" s="144">
        <f>SUMIFS('январь 2026'!$G$2:$G$2684,'январь 2026'!$D$2:$D$2684,$B148,'январь 2026'!$J$2:$J$2684,J$1)</f>
        <v>0</v>
      </c>
      <c r="K148" s="144">
        <f>SUMIFS('январь 2026'!$G$2:$G$2684,'январь 2026'!$D$2:$D$2684,$B148,'январь 2026'!$J$2:$J$2684,K$1)</f>
        <v>0</v>
      </c>
      <c r="L148" s="144">
        <f>SUMIFS('январь 2026'!$G$2:$G$2684,'январь 2026'!$D$2:$D$2684,$B148,'январь 2026'!$J$2:$J$2684,L$1)</f>
        <v>0</v>
      </c>
      <c r="M148" s="144">
        <f>SUMIFS('январь 2026'!$G$2:$G$2684,'январь 2026'!$D$2:$D$2684,$B148,'январь 2026'!$J$2:$J$2684,M$1)</f>
        <v>0</v>
      </c>
      <c r="N148" s="144">
        <f>SUMIFS('январь 2026'!$G$2:$G$2684,'январь 2026'!$D$2:$D$2684,$B148,'январь 2026'!$J$2:$J$2684,N$1)</f>
        <v>0</v>
      </c>
      <c r="O148" s="144">
        <f>SUMIFS('январь 2026'!$G$2:$G$2684,'январь 2026'!$D$2:$D$2684,$B148,'январь 2026'!$J$2:$J$2684,O$1)</f>
        <v>0</v>
      </c>
      <c r="P148" s="144">
        <f>SUMIFS('январь 2026'!$G$2:$G$2684,'январь 2026'!$D$2:$D$2684,$B148,'январь 2026'!$J$2:$J$2684,P$1)</f>
        <v>0</v>
      </c>
      <c r="Q148" s="144">
        <f>SUMIFS('январь 2026'!$G$2:$G$2684,'январь 2026'!$D$2:$D$2684,$B148,'январь 2026'!$J$2:$J$2684,Q$1)</f>
        <v>0</v>
      </c>
      <c r="R148" s="144">
        <f>SUMIFS('январь 2026'!$G$2:$G$2684,'январь 2026'!$D$2:$D$2684,$B148,'январь 2026'!$J$2:$J$2684,R$1)</f>
        <v>0</v>
      </c>
      <c r="S148" s="144">
        <f>SUMIFS('январь 2026'!$G$2:$G$2684,'январь 2026'!$D$2:$D$2684,$B148,'январь 2026'!$J$2:$J$2684,S$1)</f>
        <v>0</v>
      </c>
      <c r="T148" s="144">
        <f>SUMIFS('январь 2026'!$G$2:$G$2684,'январь 2026'!$D$2:$D$2684,$B148,'январь 2026'!$J$2:$J$2684,T$1)</f>
        <v>0</v>
      </c>
      <c r="U148" s="144">
        <f>SUMIFS('январь 2026'!$G$2:$G$2684,'январь 2026'!$D$2:$D$2684,$B148,'январь 2026'!$J$2:$J$2684,U$1)</f>
        <v>0</v>
      </c>
      <c r="V148" s="144">
        <f>SUMIFS('январь 2026'!$G$2:$G$2684,'январь 2026'!$D$2:$D$2684,$B148,'январь 2026'!$J$2:$J$2684,V$1)</f>
        <v>0</v>
      </c>
      <c r="W148" s="144">
        <f>SUMIFS('январь 2026'!$G$2:$G$2684,'январь 2026'!$D$2:$D$2684,$B148,'январь 2026'!$J$2:$J$2684,W$1)</f>
        <v>0</v>
      </c>
      <c r="X148" s="144">
        <f>SUMIFS('январь 2026'!$G$2:$G$2684,'январь 2026'!$D$2:$D$2684,$B148,'январь 2026'!$J$2:$J$2684,X$1)</f>
        <v>0</v>
      </c>
      <c r="Y148" s="144">
        <f>SUMIFS('январь 2026'!$G$2:$G$2684,'январь 2026'!$D$2:$D$2684,$B148,'январь 2026'!$J$2:$J$2684,Y$1)</f>
        <v>0</v>
      </c>
      <c r="Z148" s="144">
        <f>SUMIFS('январь 2026'!$G$2:$G$2684,'январь 2026'!$D$2:$D$2684,$B148,'январь 2026'!$J$2:$J$2684,Z$1)</f>
        <v>0</v>
      </c>
      <c r="AA148" s="144">
        <f>SUMIFS('январь 2026'!$G$2:$G$2684,'январь 2026'!$D$2:$D$2684,$B148,'январь 2026'!$J$2:$J$2684,AA$1)</f>
        <v>0</v>
      </c>
      <c r="AB148" s="144">
        <f>SUMIFS('январь 2026'!$G$2:$G$2684,'январь 2026'!$D$2:$D$2684,$B148,'январь 2026'!$J$2:$J$2684,AB$1)</f>
        <v>0</v>
      </c>
      <c r="AC148" s="144">
        <f>SUMIFS('январь 2026'!$G$2:$G$2684,'январь 2026'!$D$2:$D$2684,$B148,'январь 2026'!$J$2:$J$2684,AC$1)</f>
        <v>0</v>
      </c>
      <c r="AD148" s="144">
        <f>SUMIFS('январь 2026'!$G$2:$G$2684,'январь 2026'!$D$2:$D$2684,$B148,'январь 2026'!$J$2:$J$2684,AD$1)</f>
        <v>0</v>
      </c>
      <c r="AE148" s="144">
        <f>SUMIFS('январь 2026'!$G$2:$G$2684,'январь 2026'!$D$2:$D$2684,$B148,'январь 2026'!$J$2:$J$2684,AE$1)</f>
        <v>0</v>
      </c>
      <c r="AF148" s="144">
        <f>SUMIFS('январь 2026'!$G$2:$G$2684,'январь 2026'!$D$2:$D$2684,$B148,'январь 2026'!$J$2:$J$2684,AF$1)</f>
        <v>0</v>
      </c>
      <c r="AG148" s="144">
        <f>SUMIFS('январь 2026'!$G$2:$G$2684,'январь 2026'!$D$2:$D$2684,$B148,'январь 2026'!$J$2:$J$2684,AG$1)</f>
        <v>0</v>
      </c>
      <c r="AH148" s="144">
        <f>SUMIFS('январь 2026'!$G$2:$G$2684,'январь 2026'!$D$2:$D$2684,$B148,'январь 2026'!$J$2:$J$2684,AH$1)</f>
        <v>0</v>
      </c>
      <c r="AI148" s="20">
        <f t="shared" si="1"/>
        <v>0</v>
      </c>
    </row>
    <row r="149" spans="2:35" ht="15" customHeight="1" x14ac:dyDescent="0.25">
      <c r="B149" s="85" t="s">
        <v>284</v>
      </c>
      <c r="C149" s="83">
        <v>180</v>
      </c>
      <c r="D149" s="144">
        <f>SUMIFS('январь 2026'!$G$2:$G$2684,'январь 2026'!$D$2:$D$2684,$B149,'январь 2026'!$J$2:$J$2684,D$1)</f>
        <v>0</v>
      </c>
      <c r="E149" s="144">
        <f>SUMIFS('январь 2026'!$G$2:$G$2684,'январь 2026'!$D$2:$D$2684,$B149,'январь 2026'!$J$2:$J$2684,E$1)</f>
        <v>0</v>
      </c>
      <c r="F149" s="144">
        <f>SUMIFS('январь 2026'!$G$2:$G$2684,'январь 2026'!$D$2:$D$2684,$B149,'январь 2026'!$J$2:$J$2684,F$1)</f>
        <v>0</v>
      </c>
      <c r="G149" s="144">
        <f>SUMIFS('январь 2026'!$G$2:$G$2684,'январь 2026'!$D$2:$D$2684,$B149,'январь 2026'!$J$2:$J$2684,G$1)</f>
        <v>0</v>
      </c>
      <c r="H149" s="144">
        <f>SUMIFS('январь 2026'!$G$2:$G$2684,'январь 2026'!$D$2:$D$2684,$B149,'январь 2026'!$J$2:$J$2684,H$1)</f>
        <v>0</v>
      </c>
      <c r="I149" s="144">
        <f>SUMIFS('январь 2026'!$G$2:$G$2684,'январь 2026'!$D$2:$D$2684,$B149,'январь 2026'!$J$2:$J$2684,I$1)</f>
        <v>0</v>
      </c>
      <c r="J149" s="144">
        <f>SUMIFS('январь 2026'!$G$2:$G$2684,'январь 2026'!$D$2:$D$2684,$B149,'январь 2026'!$J$2:$J$2684,J$1)</f>
        <v>0</v>
      </c>
      <c r="K149" s="144">
        <f>SUMIFS('январь 2026'!$G$2:$G$2684,'январь 2026'!$D$2:$D$2684,$B149,'январь 2026'!$J$2:$J$2684,K$1)</f>
        <v>0</v>
      </c>
      <c r="L149" s="144">
        <f>SUMIFS('январь 2026'!$G$2:$G$2684,'январь 2026'!$D$2:$D$2684,$B149,'январь 2026'!$J$2:$J$2684,L$1)</f>
        <v>0</v>
      </c>
      <c r="M149" s="144">
        <f>SUMIFS('январь 2026'!$G$2:$G$2684,'январь 2026'!$D$2:$D$2684,$B149,'январь 2026'!$J$2:$J$2684,M$1)</f>
        <v>0</v>
      </c>
      <c r="N149" s="144">
        <f>SUMIFS('январь 2026'!$G$2:$G$2684,'январь 2026'!$D$2:$D$2684,$B149,'январь 2026'!$J$2:$J$2684,N$1)</f>
        <v>0</v>
      </c>
      <c r="O149" s="144">
        <f>SUMIFS('январь 2026'!$G$2:$G$2684,'январь 2026'!$D$2:$D$2684,$B149,'январь 2026'!$J$2:$J$2684,O$1)</f>
        <v>0</v>
      </c>
      <c r="P149" s="144">
        <f>SUMIFS('январь 2026'!$G$2:$G$2684,'январь 2026'!$D$2:$D$2684,$B149,'январь 2026'!$J$2:$J$2684,P$1)</f>
        <v>0</v>
      </c>
      <c r="Q149" s="144">
        <f>SUMIFS('январь 2026'!$G$2:$G$2684,'январь 2026'!$D$2:$D$2684,$B149,'январь 2026'!$J$2:$J$2684,Q$1)</f>
        <v>0</v>
      </c>
      <c r="R149" s="144">
        <f>SUMIFS('январь 2026'!$G$2:$G$2684,'январь 2026'!$D$2:$D$2684,$B149,'январь 2026'!$J$2:$J$2684,R$1)</f>
        <v>0</v>
      </c>
      <c r="S149" s="144">
        <f>SUMIFS('январь 2026'!$G$2:$G$2684,'январь 2026'!$D$2:$D$2684,$B149,'январь 2026'!$J$2:$J$2684,S$1)</f>
        <v>0</v>
      </c>
      <c r="T149" s="144">
        <f>SUMIFS('январь 2026'!$G$2:$G$2684,'январь 2026'!$D$2:$D$2684,$B149,'январь 2026'!$J$2:$J$2684,T$1)</f>
        <v>0</v>
      </c>
      <c r="U149" s="144">
        <f>SUMIFS('январь 2026'!$G$2:$G$2684,'январь 2026'!$D$2:$D$2684,$B149,'январь 2026'!$J$2:$J$2684,U$1)</f>
        <v>0</v>
      </c>
      <c r="V149" s="144">
        <f>SUMIFS('январь 2026'!$G$2:$G$2684,'январь 2026'!$D$2:$D$2684,$B149,'январь 2026'!$J$2:$J$2684,V$1)</f>
        <v>0</v>
      </c>
      <c r="W149" s="144">
        <f>SUMIFS('январь 2026'!$G$2:$G$2684,'январь 2026'!$D$2:$D$2684,$B149,'январь 2026'!$J$2:$J$2684,W$1)</f>
        <v>0</v>
      </c>
      <c r="X149" s="144">
        <f>SUMIFS('январь 2026'!$G$2:$G$2684,'январь 2026'!$D$2:$D$2684,$B149,'январь 2026'!$J$2:$J$2684,X$1)</f>
        <v>0</v>
      </c>
      <c r="Y149" s="144">
        <f>SUMIFS('январь 2026'!$G$2:$G$2684,'январь 2026'!$D$2:$D$2684,$B149,'январь 2026'!$J$2:$J$2684,Y$1)</f>
        <v>0</v>
      </c>
      <c r="Z149" s="144">
        <f>SUMIFS('январь 2026'!$G$2:$G$2684,'январь 2026'!$D$2:$D$2684,$B149,'январь 2026'!$J$2:$J$2684,Z$1)</f>
        <v>0</v>
      </c>
      <c r="AA149" s="144">
        <f>SUMIFS('январь 2026'!$G$2:$G$2684,'январь 2026'!$D$2:$D$2684,$B149,'январь 2026'!$J$2:$J$2684,AA$1)</f>
        <v>0</v>
      </c>
      <c r="AB149" s="144">
        <f>SUMIFS('январь 2026'!$G$2:$G$2684,'январь 2026'!$D$2:$D$2684,$B149,'январь 2026'!$J$2:$J$2684,AB$1)</f>
        <v>0</v>
      </c>
      <c r="AC149" s="144">
        <f>SUMIFS('январь 2026'!$G$2:$G$2684,'январь 2026'!$D$2:$D$2684,$B149,'январь 2026'!$J$2:$J$2684,AC$1)</f>
        <v>0</v>
      </c>
      <c r="AD149" s="144">
        <f>SUMIFS('январь 2026'!$G$2:$G$2684,'январь 2026'!$D$2:$D$2684,$B149,'январь 2026'!$J$2:$J$2684,AD$1)</f>
        <v>0</v>
      </c>
      <c r="AE149" s="144">
        <f>SUMIFS('январь 2026'!$G$2:$G$2684,'январь 2026'!$D$2:$D$2684,$B149,'январь 2026'!$J$2:$J$2684,AE$1)</f>
        <v>0</v>
      </c>
      <c r="AF149" s="144">
        <f>SUMIFS('январь 2026'!$G$2:$G$2684,'январь 2026'!$D$2:$D$2684,$B149,'январь 2026'!$J$2:$J$2684,AF$1)</f>
        <v>0</v>
      </c>
      <c r="AG149" s="144">
        <f>SUMIFS('январь 2026'!$G$2:$G$2684,'январь 2026'!$D$2:$D$2684,$B149,'январь 2026'!$J$2:$J$2684,AG$1)</f>
        <v>0</v>
      </c>
      <c r="AH149" s="144">
        <f>SUMIFS('январь 2026'!$G$2:$G$2684,'январь 2026'!$D$2:$D$2684,$B149,'январь 2026'!$J$2:$J$2684,AH$1)</f>
        <v>0</v>
      </c>
      <c r="AI149" s="20">
        <f t="shared" si="1"/>
        <v>0</v>
      </c>
    </row>
    <row r="150" spans="2:35" ht="15" customHeight="1" x14ac:dyDescent="0.25">
      <c r="B150" s="85" t="s">
        <v>179</v>
      </c>
      <c r="C150" s="83">
        <v>190</v>
      </c>
      <c r="D150" s="144">
        <f>SUMIFS('январь 2026'!$G$2:$G$2684,'январь 2026'!$D$2:$D$2684,$B150,'январь 2026'!$J$2:$J$2684,D$1)</f>
        <v>0</v>
      </c>
      <c r="E150" s="144">
        <f>SUMIFS('январь 2026'!$G$2:$G$2684,'январь 2026'!$D$2:$D$2684,$B150,'январь 2026'!$J$2:$J$2684,E$1)</f>
        <v>0</v>
      </c>
      <c r="F150" s="144">
        <f>SUMIFS('январь 2026'!$G$2:$G$2684,'январь 2026'!$D$2:$D$2684,$B150,'январь 2026'!$J$2:$J$2684,F$1)</f>
        <v>0</v>
      </c>
      <c r="G150" s="144">
        <f>SUMIFS('январь 2026'!$G$2:$G$2684,'январь 2026'!$D$2:$D$2684,$B150,'январь 2026'!$J$2:$J$2684,G$1)</f>
        <v>0</v>
      </c>
      <c r="H150" s="144">
        <f>SUMIFS('январь 2026'!$G$2:$G$2684,'январь 2026'!$D$2:$D$2684,$B150,'январь 2026'!$J$2:$J$2684,H$1)</f>
        <v>0</v>
      </c>
      <c r="I150" s="144">
        <f>SUMIFS('январь 2026'!$G$2:$G$2684,'январь 2026'!$D$2:$D$2684,$B150,'январь 2026'!$J$2:$J$2684,I$1)</f>
        <v>0</v>
      </c>
      <c r="J150" s="144">
        <f>SUMIFS('январь 2026'!$G$2:$G$2684,'январь 2026'!$D$2:$D$2684,$B150,'январь 2026'!$J$2:$J$2684,J$1)</f>
        <v>0</v>
      </c>
      <c r="K150" s="144">
        <f>SUMIFS('январь 2026'!$G$2:$G$2684,'январь 2026'!$D$2:$D$2684,$B150,'январь 2026'!$J$2:$J$2684,K$1)</f>
        <v>0</v>
      </c>
      <c r="L150" s="144">
        <f>SUMIFS('январь 2026'!$G$2:$G$2684,'январь 2026'!$D$2:$D$2684,$B150,'январь 2026'!$J$2:$J$2684,L$1)</f>
        <v>0</v>
      </c>
      <c r="M150" s="144">
        <f>SUMIFS('январь 2026'!$G$2:$G$2684,'январь 2026'!$D$2:$D$2684,$B150,'январь 2026'!$J$2:$J$2684,M$1)</f>
        <v>0</v>
      </c>
      <c r="N150" s="144">
        <f>SUMIFS('январь 2026'!$G$2:$G$2684,'январь 2026'!$D$2:$D$2684,$B150,'январь 2026'!$J$2:$J$2684,N$1)</f>
        <v>0</v>
      </c>
      <c r="O150" s="144">
        <f>SUMIFS('январь 2026'!$G$2:$G$2684,'январь 2026'!$D$2:$D$2684,$B150,'январь 2026'!$J$2:$J$2684,O$1)</f>
        <v>0</v>
      </c>
      <c r="P150" s="144">
        <f>SUMIFS('январь 2026'!$G$2:$G$2684,'январь 2026'!$D$2:$D$2684,$B150,'январь 2026'!$J$2:$J$2684,P$1)</f>
        <v>0</v>
      </c>
      <c r="Q150" s="144">
        <f>SUMIFS('январь 2026'!$G$2:$G$2684,'январь 2026'!$D$2:$D$2684,$B150,'январь 2026'!$J$2:$J$2684,Q$1)</f>
        <v>0</v>
      </c>
      <c r="R150" s="144">
        <f>SUMIFS('январь 2026'!$G$2:$G$2684,'январь 2026'!$D$2:$D$2684,$B150,'январь 2026'!$J$2:$J$2684,R$1)</f>
        <v>0</v>
      </c>
      <c r="S150" s="144">
        <f>SUMIFS('январь 2026'!$G$2:$G$2684,'январь 2026'!$D$2:$D$2684,$B150,'январь 2026'!$J$2:$J$2684,S$1)</f>
        <v>0</v>
      </c>
      <c r="T150" s="144">
        <f>SUMIFS('январь 2026'!$G$2:$G$2684,'январь 2026'!$D$2:$D$2684,$B150,'январь 2026'!$J$2:$J$2684,T$1)</f>
        <v>0</v>
      </c>
      <c r="U150" s="144">
        <f>SUMIFS('январь 2026'!$G$2:$G$2684,'январь 2026'!$D$2:$D$2684,$B150,'январь 2026'!$J$2:$J$2684,U$1)</f>
        <v>0</v>
      </c>
      <c r="V150" s="144">
        <f>SUMIFS('январь 2026'!$G$2:$G$2684,'январь 2026'!$D$2:$D$2684,$B150,'январь 2026'!$J$2:$J$2684,V$1)</f>
        <v>0</v>
      </c>
      <c r="W150" s="144">
        <f>SUMIFS('январь 2026'!$G$2:$G$2684,'январь 2026'!$D$2:$D$2684,$B150,'январь 2026'!$J$2:$J$2684,W$1)</f>
        <v>0</v>
      </c>
      <c r="X150" s="144">
        <f>SUMIFS('январь 2026'!$G$2:$G$2684,'январь 2026'!$D$2:$D$2684,$B150,'январь 2026'!$J$2:$J$2684,X$1)</f>
        <v>0</v>
      </c>
      <c r="Y150" s="144">
        <f>SUMIFS('январь 2026'!$G$2:$G$2684,'январь 2026'!$D$2:$D$2684,$B150,'январь 2026'!$J$2:$J$2684,Y$1)</f>
        <v>0</v>
      </c>
      <c r="Z150" s="144">
        <f>SUMIFS('январь 2026'!$G$2:$G$2684,'январь 2026'!$D$2:$D$2684,$B150,'январь 2026'!$J$2:$J$2684,Z$1)</f>
        <v>0</v>
      </c>
      <c r="AA150" s="144">
        <f>SUMIFS('январь 2026'!$G$2:$G$2684,'январь 2026'!$D$2:$D$2684,$B150,'январь 2026'!$J$2:$J$2684,AA$1)</f>
        <v>0</v>
      </c>
      <c r="AB150" s="144">
        <f>SUMIFS('январь 2026'!$G$2:$G$2684,'январь 2026'!$D$2:$D$2684,$B150,'январь 2026'!$J$2:$J$2684,AB$1)</f>
        <v>0</v>
      </c>
      <c r="AC150" s="144">
        <f>SUMIFS('январь 2026'!$G$2:$G$2684,'январь 2026'!$D$2:$D$2684,$B150,'январь 2026'!$J$2:$J$2684,AC$1)</f>
        <v>0</v>
      </c>
      <c r="AD150" s="144">
        <f>SUMIFS('январь 2026'!$G$2:$G$2684,'январь 2026'!$D$2:$D$2684,$B150,'январь 2026'!$J$2:$J$2684,AD$1)</f>
        <v>0</v>
      </c>
      <c r="AE150" s="144">
        <f>SUMIFS('январь 2026'!$G$2:$G$2684,'январь 2026'!$D$2:$D$2684,$B150,'январь 2026'!$J$2:$J$2684,AE$1)</f>
        <v>0</v>
      </c>
      <c r="AF150" s="144">
        <f>SUMIFS('январь 2026'!$G$2:$G$2684,'январь 2026'!$D$2:$D$2684,$B150,'январь 2026'!$J$2:$J$2684,AF$1)</f>
        <v>0</v>
      </c>
      <c r="AG150" s="144">
        <f>SUMIFS('январь 2026'!$G$2:$G$2684,'январь 2026'!$D$2:$D$2684,$B150,'январь 2026'!$J$2:$J$2684,AG$1)</f>
        <v>0</v>
      </c>
      <c r="AH150" s="144">
        <f>SUMIFS('январь 2026'!$G$2:$G$2684,'январь 2026'!$D$2:$D$2684,$B150,'январь 2026'!$J$2:$J$2684,AH$1)</f>
        <v>0</v>
      </c>
      <c r="AI150" s="20">
        <f t="shared" si="1"/>
        <v>0</v>
      </c>
    </row>
    <row r="151" spans="2:35" ht="15" customHeight="1" x14ac:dyDescent="0.25">
      <c r="B151" s="85" t="s">
        <v>266</v>
      </c>
      <c r="C151" s="83">
        <v>190</v>
      </c>
      <c r="D151" s="144">
        <f>SUMIFS('январь 2026'!$G$2:$G$2684,'январь 2026'!$D$2:$D$2684,$B151,'январь 2026'!$J$2:$J$2684,D$1)</f>
        <v>0</v>
      </c>
      <c r="E151" s="144">
        <f>SUMIFS('январь 2026'!$G$2:$G$2684,'январь 2026'!$D$2:$D$2684,$B151,'январь 2026'!$J$2:$J$2684,E$1)</f>
        <v>0</v>
      </c>
      <c r="F151" s="144">
        <f>SUMIFS('январь 2026'!$G$2:$G$2684,'январь 2026'!$D$2:$D$2684,$B151,'январь 2026'!$J$2:$J$2684,F$1)</f>
        <v>0</v>
      </c>
      <c r="G151" s="144">
        <f>SUMIFS('январь 2026'!$G$2:$G$2684,'январь 2026'!$D$2:$D$2684,$B151,'январь 2026'!$J$2:$J$2684,G$1)</f>
        <v>0</v>
      </c>
      <c r="H151" s="144">
        <f>SUMIFS('январь 2026'!$G$2:$G$2684,'январь 2026'!$D$2:$D$2684,$B151,'январь 2026'!$J$2:$J$2684,H$1)</f>
        <v>0</v>
      </c>
      <c r="I151" s="144">
        <f>SUMIFS('январь 2026'!$G$2:$G$2684,'январь 2026'!$D$2:$D$2684,$B151,'январь 2026'!$J$2:$J$2684,I$1)</f>
        <v>0</v>
      </c>
      <c r="J151" s="144">
        <f>SUMIFS('январь 2026'!$G$2:$G$2684,'январь 2026'!$D$2:$D$2684,$B151,'январь 2026'!$J$2:$J$2684,J$1)</f>
        <v>0</v>
      </c>
      <c r="K151" s="144">
        <f>SUMIFS('январь 2026'!$G$2:$G$2684,'январь 2026'!$D$2:$D$2684,$B151,'январь 2026'!$J$2:$J$2684,K$1)</f>
        <v>0</v>
      </c>
      <c r="L151" s="144">
        <f>SUMIFS('январь 2026'!$G$2:$G$2684,'январь 2026'!$D$2:$D$2684,$B151,'январь 2026'!$J$2:$J$2684,L$1)</f>
        <v>0</v>
      </c>
      <c r="M151" s="144">
        <f>SUMIFS('январь 2026'!$G$2:$G$2684,'январь 2026'!$D$2:$D$2684,$B151,'январь 2026'!$J$2:$J$2684,M$1)</f>
        <v>0</v>
      </c>
      <c r="N151" s="144">
        <f>SUMIFS('январь 2026'!$G$2:$G$2684,'январь 2026'!$D$2:$D$2684,$B151,'январь 2026'!$J$2:$J$2684,N$1)</f>
        <v>0</v>
      </c>
      <c r="O151" s="144">
        <f>SUMIFS('январь 2026'!$G$2:$G$2684,'январь 2026'!$D$2:$D$2684,$B151,'январь 2026'!$J$2:$J$2684,O$1)</f>
        <v>0</v>
      </c>
      <c r="P151" s="144">
        <f>SUMIFS('январь 2026'!$G$2:$G$2684,'январь 2026'!$D$2:$D$2684,$B151,'январь 2026'!$J$2:$J$2684,P$1)</f>
        <v>0</v>
      </c>
      <c r="Q151" s="144">
        <f>SUMIFS('январь 2026'!$G$2:$G$2684,'январь 2026'!$D$2:$D$2684,$B151,'январь 2026'!$J$2:$J$2684,Q$1)</f>
        <v>0</v>
      </c>
      <c r="R151" s="144">
        <f>SUMIFS('январь 2026'!$G$2:$G$2684,'январь 2026'!$D$2:$D$2684,$B151,'январь 2026'!$J$2:$J$2684,R$1)</f>
        <v>0</v>
      </c>
      <c r="S151" s="144">
        <f>SUMIFS('январь 2026'!$G$2:$G$2684,'январь 2026'!$D$2:$D$2684,$B151,'январь 2026'!$J$2:$J$2684,S$1)</f>
        <v>0</v>
      </c>
      <c r="T151" s="144">
        <f>SUMIFS('январь 2026'!$G$2:$G$2684,'январь 2026'!$D$2:$D$2684,$B151,'январь 2026'!$J$2:$J$2684,T$1)</f>
        <v>0</v>
      </c>
      <c r="U151" s="144">
        <f>SUMIFS('январь 2026'!$G$2:$G$2684,'январь 2026'!$D$2:$D$2684,$B151,'январь 2026'!$J$2:$J$2684,U$1)</f>
        <v>0</v>
      </c>
      <c r="V151" s="144">
        <f>SUMIFS('январь 2026'!$G$2:$G$2684,'январь 2026'!$D$2:$D$2684,$B151,'январь 2026'!$J$2:$J$2684,V$1)</f>
        <v>0</v>
      </c>
      <c r="W151" s="144">
        <f>SUMIFS('январь 2026'!$G$2:$G$2684,'январь 2026'!$D$2:$D$2684,$B151,'январь 2026'!$J$2:$J$2684,W$1)</f>
        <v>0</v>
      </c>
      <c r="X151" s="144">
        <f>SUMIFS('январь 2026'!$G$2:$G$2684,'январь 2026'!$D$2:$D$2684,$B151,'январь 2026'!$J$2:$J$2684,X$1)</f>
        <v>0</v>
      </c>
      <c r="Y151" s="144">
        <f>SUMIFS('январь 2026'!$G$2:$G$2684,'январь 2026'!$D$2:$D$2684,$B151,'январь 2026'!$J$2:$J$2684,Y$1)</f>
        <v>0</v>
      </c>
      <c r="Z151" s="144">
        <f>SUMIFS('январь 2026'!$G$2:$G$2684,'январь 2026'!$D$2:$D$2684,$B151,'январь 2026'!$J$2:$J$2684,Z$1)</f>
        <v>0</v>
      </c>
      <c r="AA151" s="144">
        <f>SUMIFS('январь 2026'!$G$2:$G$2684,'январь 2026'!$D$2:$D$2684,$B151,'январь 2026'!$J$2:$J$2684,AA$1)</f>
        <v>0</v>
      </c>
      <c r="AB151" s="144">
        <f>SUMIFS('январь 2026'!$G$2:$G$2684,'январь 2026'!$D$2:$D$2684,$B151,'январь 2026'!$J$2:$J$2684,AB$1)</f>
        <v>0</v>
      </c>
      <c r="AC151" s="144">
        <f>SUMIFS('январь 2026'!$G$2:$G$2684,'январь 2026'!$D$2:$D$2684,$B151,'январь 2026'!$J$2:$J$2684,AC$1)</f>
        <v>0</v>
      </c>
      <c r="AD151" s="144">
        <f>SUMIFS('январь 2026'!$G$2:$G$2684,'январь 2026'!$D$2:$D$2684,$B151,'январь 2026'!$J$2:$J$2684,AD$1)</f>
        <v>0</v>
      </c>
      <c r="AE151" s="144">
        <f>SUMIFS('январь 2026'!$G$2:$G$2684,'январь 2026'!$D$2:$D$2684,$B151,'январь 2026'!$J$2:$J$2684,AE$1)</f>
        <v>0</v>
      </c>
      <c r="AF151" s="144">
        <f>SUMIFS('январь 2026'!$G$2:$G$2684,'январь 2026'!$D$2:$D$2684,$B151,'январь 2026'!$J$2:$J$2684,AF$1)</f>
        <v>0</v>
      </c>
      <c r="AG151" s="144">
        <f>SUMIFS('январь 2026'!$G$2:$G$2684,'январь 2026'!$D$2:$D$2684,$B151,'январь 2026'!$J$2:$J$2684,AG$1)</f>
        <v>0</v>
      </c>
      <c r="AH151" s="144">
        <f>SUMIFS('январь 2026'!$G$2:$G$2684,'январь 2026'!$D$2:$D$2684,$B151,'январь 2026'!$J$2:$J$2684,AH$1)</f>
        <v>0</v>
      </c>
      <c r="AI151" s="20">
        <f t="shared" si="1"/>
        <v>0</v>
      </c>
    </row>
    <row r="152" spans="2:35" ht="16.899999999999999" customHeight="1" x14ac:dyDescent="0.25">
      <c r="B152" s="82" t="s">
        <v>267</v>
      </c>
      <c r="C152" s="81">
        <v>200</v>
      </c>
      <c r="D152" s="144">
        <f>SUMIFS('январь 2026'!$G$2:$G$2684,'январь 2026'!$D$2:$D$2684,$B152,'январь 2026'!$J$2:$J$2684,D$1)</f>
        <v>0</v>
      </c>
      <c r="E152" s="144">
        <f>SUMIFS('январь 2026'!$G$2:$G$2684,'январь 2026'!$D$2:$D$2684,$B152,'январь 2026'!$J$2:$J$2684,E$1)</f>
        <v>0</v>
      </c>
      <c r="F152" s="144">
        <f>SUMIFS('январь 2026'!$G$2:$G$2684,'январь 2026'!$D$2:$D$2684,$B152,'январь 2026'!$J$2:$J$2684,F$1)</f>
        <v>0</v>
      </c>
      <c r="G152" s="144">
        <f>SUMIFS('январь 2026'!$G$2:$G$2684,'январь 2026'!$D$2:$D$2684,$B152,'январь 2026'!$J$2:$J$2684,G$1)</f>
        <v>0</v>
      </c>
      <c r="H152" s="144">
        <f>SUMIFS('январь 2026'!$G$2:$G$2684,'январь 2026'!$D$2:$D$2684,$B152,'январь 2026'!$J$2:$J$2684,H$1)</f>
        <v>0</v>
      </c>
      <c r="I152" s="144">
        <f>SUMIFS('январь 2026'!$G$2:$G$2684,'январь 2026'!$D$2:$D$2684,$B152,'январь 2026'!$J$2:$J$2684,I$1)</f>
        <v>0</v>
      </c>
      <c r="J152" s="144">
        <f>SUMIFS('январь 2026'!$G$2:$G$2684,'январь 2026'!$D$2:$D$2684,$B152,'январь 2026'!$J$2:$J$2684,J$1)</f>
        <v>0</v>
      </c>
      <c r="K152" s="144">
        <f>SUMIFS('январь 2026'!$G$2:$G$2684,'январь 2026'!$D$2:$D$2684,$B152,'январь 2026'!$J$2:$J$2684,K$1)</f>
        <v>0</v>
      </c>
      <c r="L152" s="144">
        <f>SUMIFS('январь 2026'!$G$2:$G$2684,'январь 2026'!$D$2:$D$2684,$B152,'январь 2026'!$J$2:$J$2684,L$1)</f>
        <v>0</v>
      </c>
      <c r="M152" s="144">
        <f>SUMIFS('январь 2026'!$G$2:$G$2684,'январь 2026'!$D$2:$D$2684,$B152,'январь 2026'!$J$2:$J$2684,M$1)</f>
        <v>0</v>
      </c>
      <c r="N152" s="144">
        <f>SUMIFS('январь 2026'!$G$2:$G$2684,'январь 2026'!$D$2:$D$2684,$B152,'январь 2026'!$J$2:$J$2684,N$1)</f>
        <v>0</v>
      </c>
      <c r="O152" s="144">
        <f>SUMIFS('январь 2026'!$G$2:$G$2684,'январь 2026'!$D$2:$D$2684,$B152,'январь 2026'!$J$2:$J$2684,O$1)</f>
        <v>0</v>
      </c>
      <c r="P152" s="144">
        <f>SUMIFS('январь 2026'!$G$2:$G$2684,'январь 2026'!$D$2:$D$2684,$B152,'январь 2026'!$J$2:$J$2684,P$1)</f>
        <v>0</v>
      </c>
      <c r="Q152" s="144">
        <f>SUMIFS('январь 2026'!$G$2:$G$2684,'январь 2026'!$D$2:$D$2684,$B152,'январь 2026'!$J$2:$J$2684,Q$1)</f>
        <v>0</v>
      </c>
      <c r="R152" s="144">
        <f>SUMIFS('январь 2026'!$G$2:$G$2684,'январь 2026'!$D$2:$D$2684,$B152,'январь 2026'!$J$2:$J$2684,R$1)</f>
        <v>0</v>
      </c>
      <c r="S152" s="144">
        <f>SUMIFS('январь 2026'!$G$2:$G$2684,'январь 2026'!$D$2:$D$2684,$B152,'январь 2026'!$J$2:$J$2684,S$1)</f>
        <v>0</v>
      </c>
      <c r="T152" s="144">
        <f>SUMIFS('январь 2026'!$G$2:$G$2684,'январь 2026'!$D$2:$D$2684,$B152,'январь 2026'!$J$2:$J$2684,T$1)</f>
        <v>0</v>
      </c>
      <c r="U152" s="144">
        <f>SUMIFS('январь 2026'!$G$2:$G$2684,'январь 2026'!$D$2:$D$2684,$B152,'январь 2026'!$J$2:$J$2684,U$1)</f>
        <v>0</v>
      </c>
      <c r="V152" s="144">
        <f>SUMIFS('январь 2026'!$G$2:$G$2684,'январь 2026'!$D$2:$D$2684,$B152,'январь 2026'!$J$2:$J$2684,V$1)</f>
        <v>0</v>
      </c>
      <c r="W152" s="144">
        <f>SUMIFS('январь 2026'!$G$2:$G$2684,'январь 2026'!$D$2:$D$2684,$B152,'январь 2026'!$J$2:$J$2684,W$1)</f>
        <v>0</v>
      </c>
      <c r="X152" s="144">
        <f>SUMIFS('январь 2026'!$G$2:$G$2684,'январь 2026'!$D$2:$D$2684,$B152,'январь 2026'!$J$2:$J$2684,X$1)</f>
        <v>0</v>
      </c>
      <c r="Y152" s="144">
        <f>SUMIFS('январь 2026'!$G$2:$G$2684,'январь 2026'!$D$2:$D$2684,$B152,'январь 2026'!$J$2:$J$2684,Y$1)</f>
        <v>0</v>
      </c>
      <c r="Z152" s="144">
        <f>SUMIFS('январь 2026'!$G$2:$G$2684,'январь 2026'!$D$2:$D$2684,$B152,'январь 2026'!$J$2:$J$2684,Z$1)</f>
        <v>0</v>
      </c>
      <c r="AA152" s="144">
        <f>SUMIFS('январь 2026'!$G$2:$G$2684,'январь 2026'!$D$2:$D$2684,$B152,'январь 2026'!$J$2:$J$2684,AA$1)</f>
        <v>0</v>
      </c>
      <c r="AB152" s="144">
        <f>SUMIFS('январь 2026'!$G$2:$G$2684,'январь 2026'!$D$2:$D$2684,$B152,'январь 2026'!$J$2:$J$2684,AB$1)</f>
        <v>0</v>
      </c>
      <c r="AC152" s="144">
        <f>SUMIFS('январь 2026'!$G$2:$G$2684,'январь 2026'!$D$2:$D$2684,$B152,'январь 2026'!$J$2:$J$2684,AC$1)</f>
        <v>0</v>
      </c>
      <c r="AD152" s="144">
        <f>SUMIFS('январь 2026'!$G$2:$G$2684,'январь 2026'!$D$2:$D$2684,$B152,'январь 2026'!$J$2:$J$2684,AD$1)</f>
        <v>0</v>
      </c>
      <c r="AE152" s="144">
        <f>SUMIFS('январь 2026'!$G$2:$G$2684,'январь 2026'!$D$2:$D$2684,$B152,'январь 2026'!$J$2:$J$2684,AE$1)</f>
        <v>0</v>
      </c>
      <c r="AF152" s="144">
        <f>SUMIFS('январь 2026'!$G$2:$G$2684,'январь 2026'!$D$2:$D$2684,$B152,'январь 2026'!$J$2:$J$2684,AF$1)</f>
        <v>0</v>
      </c>
      <c r="AG152" s="144">
        <f>SUMIFS('январь 2026'!$G$2:$G$2684,'январь 2026'!$D$2:$D$2684,$B152,'январь 2026'!$J$2:$J$2684,AG$1)</f>
        <v>0</v>
      </c>
      <c r="AH152" s="144">
        <f>SUMIFS('январь 2026'!$G$2:$G$2684,'январь 2026'!$D$2:$D$2684,$B152,'январь 2026'!$J$2:$J$2684,AH$1)</f>
        <v>0</v>
      </c>
      <c r="AI152" s="20">
        <f t="shared" si="1"/>
        <v>0</v>
      </c>
    </row>
    <row r="153" spans="2:35" ht="16.899999999999999" customHeight="1" x14ac:dyDescent="0.25">
      <c r="B153" s="82" t="s">
        <v>272</v>
      </c>
      <c r="C153" s="81">
        <v>200</v>
      </c>
      <c r="D153" s="144">
        <f>SUMIFS('январь 2026'!$G$2:$G$2684,'январь 2026'!$D$2:$D$2684,$B153,'январь 2026'!$J$2:$J$2684,D$1)</f>
        <v>0</v>
      </c>
      <c r="E153" s="144">
        <f>SUMIFS('январь 2026'!$G$2:$G$2684,'январь 2026'!$D$2:$D$2684,$B153,'январь 2026'!$J$2:$J$2684,E$1)</f>
        <v>0</v>
      </c>
      <c r="F153" s="144">
        <f>SUMIFS('январь 2026'!$G$2:$G$2684,'январь 2026'!$D$2:$D$2684,$B153,'январь 2026'!$J$2:$J$2684,F$1)</f>
        <v>0</v>
      </c>
      <c r="G153" s="144">
        <f>SUMIFS('январь 2026'!$G$2:$G$2684,'январь 2026'!$D$2:$D$2684,$B153,'январь 2026'!$J$2:$J$2684,G$1)</f>
        <v>0</v>
      </c>
      <c r="H153" s="144">
        <f>SUMIFS('январь 2026'!$G$2:$G$2684,'январь 2026'!$D$2:$D$2684,$B153,'январь 2026'!$J$2:$J$2684,H$1)</f>
        <v>0</v>
      </c>
      <c r="I153" s="144">
        <f>SUMIFS('январь 2026'!$G$2:$G$2684,'январь 2026'!$D$2:$D$2684,$B153,'январь 2026'!$J$2:$J$2684,I$1)</f>
        <v>0</v>
      </c>
      <c r="J153" s="144">
        <f>SUMIFS('январь 2026'!$G$2:$G$2684,'январь 2026'!$D$2:$D$2684,$B153,'январь 2026'!$J$2:$J$2684,J$1)</f>
        <v>0</v>
      </c>
      <c r="K153" s="144">
        <f>SUMIFS('январь 2026'!$G$2:$G$2684,'январь 2026'!$D$2:$D$2684,$B153,'январь 2026'!$J$2:$J$2684,K$1)</f>
        <v>0</v>
      </c>
      <c r="L153" s="144">
        <f>SUMIFS('январь 2026'!$G$2:$G$2684,'январь 2026'!$D$2:$D$2684,$B153,'январь 2026'!$J$2:$J$2684,L$1)</f>
        <v>0</v>
      </c>
      <c r="M153" s="144">
        <f>SUMIFS('январь 2026'!$G$2:$G$2684,'январь 2026'!$D$2:$D$2684,$B153,'январь 2026'!$J$2:$J$2684,M$1)</f>
        <v>0</v>
      </c>
      <c r="N153" s="144">
        <f>SUMIFS('январь 2026'!$G$2:$G$2684,'январь 2026'!$D$2:$D$2684,$B153,'январь 2026'!$J$2:$J$2684,N$1)</f>
        <v>0</v>
      </c>
      <c r="O153" s="144">
        <f>SUMIFS('январь 2026'!$G$2:$G$2684,'январь 2026'!$D$2:$D$2684,$B153,'январь 2026'!$J$2:$J$2684,O$1)</f>
        <v>0</v>
      </c>
      <c r="P153" s="144">
        <f>SUMIFS('январь 2026'!$G$2:$G$2684,'январь 2026'!$D$2:$D$2684,$B153,'январь 2026'!$J$2:$J$2684,P$1)</f>
        <v>0</v>
      </c>
      <c r="Q153" s="144">
        <f>SUMIFS('январь 2026'!$G$2:$G$2684,'январь 2026'!$D$2:$D$2684,$B153,'январь 2026'!$J$2:$J$2684,Q$1)</f>
        <v>0</v>
      </c>
      <c r="R153" s="144">
        <f>SUMIFS('январь 2026'!$G$2:$G$2684,'январь 2026'!$D$2:$D$2684,$B153,'январь 2026'!$J$2:$J$2684,R$1)</f>
        <v>0</v>
      </c>
      <c r="S153" s="144">
        <f>SUMIFS('январь 2026'!$G$2:$G$2684,'январь 2026'!$D$2:$D$2684,$B153,'январь 2026'!$J$2:$J$2684,S$1)</f>
        <v>0</v>
      </c>
      <c r="T153" s="144">
        <f>SUMIFS('январь 2026'!$G$2:$G$2684,'январь 2026'!$D$2:$D$2684,$B153,'январь 2026'!$J$2:$J$2684,T$1)</f>
        <v>0</v>
      </c>
      <c r="U153" s="144">
        <f>SUMIFS('январь 2026'!$G$2:$G$2684,'январь 2026'!$D$2:$D$2684,$B153,'январь 2026'!$J$2:$J$2684,U$1)</f>
        <v>0</v>
      </c>
      <c r="V153" s="144">
        <f>SUMIFS('январь 2026'!$G$2:$G$2684,'январь 2026'!$D$2:$D$2684,$B153,'январь 2026'!$J$2:$J$2684,V$1)</f>
        <v>0</v>
      </c>
      <c r="W153" s="144">
        <f>SUMIFS('январь 2026'!$G$2:$G$2684,'январь 2026'!$D$2:$D$2684,$B153,'январь 2026'!$J$2:$J$2684,W$1)</f>
        <v>0</v>
      </c>
      <c r="X153" s="144">
        <f>SUMIFS('январь 2026'!$G$2:$G$2684,'январь 2026'!$D$2:$D$2684,$B153,'январь 2026'!$J$2:$J$2684,X$1)</f>
        <v>0</v>
      </c>
      <c r="Y153" s="144">
        <f>SUMIFS('январь 2026'!$G$2:$G$2684,'январь 2026'!$D$2:$D$2684,$B153,'январь 2026'!$J$2:$J$2684,Y$1)</f>
        <v>0</v>
      </c>
      <c r="Z153" s="144">
        <f>SUMIFS('январь 2026'!$G$2:$G$2684,'январь 2026'!$D$2:$D$2684,$B153,'январь 2026'!$J$2:$J$2684,Z$1)</f>
        <v>0</v>
      </c>
      <c r="AA153" s="144">
        <f>SUMIFS('январь 2026'!$G$2:$G$2684,'январь 2026'!$D$2:$D$2684,$B153,'январь 2026'!$J$2:$J$2684,AA$1)</f>
        <v>0</v>
      </c>
      <c r="AB153" s="144">
        <f>SUMIFS('январь 2026'!$G$2:$G$2684,'январь 2026'!$D$2:$D$2684,$B153,'январь 2026'!$J$2:$J$2684,AB$1)</f>
        <v>0</v>
      </c>
      <c r="AC153" s="144">
        <f>SUMIFS('январь 2026'!$G$2:$G$2684,'январь 2026'!$D$2:$D$2684,$B153,'январь 2026'!$J$2:$J$2684,AC$1)</f>
        <v>0</v>
      </c>
      <c r="AD153" s="144">
        <f>SUMIFS('январь 2026'!$G$2:$G$2684,'январь 2026'!$D$2:$D$2684,$B153,'январь 2026'!$J$2:$J$2684,AD$1)</f>
        <v>0</v>
      </c>
      <c r="AE153" s="144">
        <f>SUMIFS('январь 2026'!$G$2:$G$2684,'январь 2026'!$D$2:$D$2684,$B153,'январь 2026'!$J$2:$J$2684,AE$1)</f>
        <v>0</v>
      </c>
      <c r="AF153" s="144">
        <f>SUMIFS('январь 2026'!$G$2:$G$2684,'январь 2026'!$D$2:$D$2684,$B153,'январь 2026'!$J$2:$J$2684,AF$1)</f>
        <v>32</v>
      </c>
      <c r="AG153" s="144">
        <f>SUMIFS('январь 2026'!$G$2:$G$2684,'январь 2026'!$D$2:$D$2684,$B153,'январь 2026'!$J$2:$J$2684,AG$1)</f>
        <v>0</v>
      </c>
      <c r="AH153" s="144">
        <f>SUMIFS('январь 2026'!$G$2:$G$2684,'январь 2026'!$D$2:$D$2684,$B153,'январь 2026'!$J$2:$J$2684,AH$1)</f>
        <v>0</v>
      </c>
      <c r="AI153" s="20">
        <f t="shared" si="1"/>
        <v>32</v>
      </c>
    </row>
    <row r="154" spans="2:35" ht="16.899999999999999" customHeight="1" x14ac:dyDescent="0.25">
      <c r="B154" s="82" t="s">
        <v>268</v>
      </c>
      <c r="C154" s="81">
        <v>200</v>
      </c>
      <c r="D154" s="144">
        <f>SUMIFS('январь 2026'!$G$2:$G$2684,'январь 2026'!$D$2:$D$2684,$B154,'январь 2026'!$J$2:$J$2684,D$1)</f>
        <v>0</v>
      </c>
      <c r="E154" s="144">
        <f>SUMIFS('январь 2026'!$G$2:$G$2684,'январь 2026'!$D$2:$D$2684,$B154,'январь 2026'!$J$2:$J$2684,E$1)</f>
        <v>0</v>
      </c>
      <c r="F154" s="144">
        <f>SUMIFS('январь 2026'!$G$2:$G$2684,'январь 2026'!$D$2:$D$2684,$B154,'январь 2026'!$J$2:$J$2684,F$1)</f>
        <v>0</v>
      </c>
      <c r="G154" s="144">
        <f>SUMIFS('январь 2026'!$G$2:$G$2684,'январь 2026'!$D$2:$D$2684,$B154,'январь 2026'!$J$2:$J$2684,G$1)</f>
        <v>0</v>
      </c>
      <c r="H154" s="144">
        <f>SUMIFS('январь 2026'!$G$2:$G$2684,'январь 2026'!$D$2:$D$2684,$B154,'январь 2026'!$J$2:$J$2684,H$1)</f>
        <v>0</v>
      </c>
      <c r="I154" s="144">
        <f>SUMIFS('январь 2026'!$G$2:$G$2684,'январь 2026'!$D$2:$D$2684,$B154,'январь 2026'!$J$2:$J$2684,I$1)</f>
        <v>0</v>
      </c>
      <c r="J154" s="144">
        <f>SUMIFS('январь 2026'!$G$2:$G$2684,'январь 2026'!$D$2:$D$2684,$B154,'январь 2026'!$J$2:$J$2684,J$1)</f>
        <v>0</v>
      </c>
      <c r="K154" s="144">
        <f>SUMIFS('январь 2026'!$G$2:$G$2684,'январь 2026'!$D$2:$D$2684,$B154,'январь 2026'!$J$2:$J$2684,K$1)</f>
        <v>0</v>
      </c>
      <c r="L154" s="144">
        <f>SUMIFS('январь 2026'!$G$2:$G$2684,'январь 2026'!$D$2:$D$2684,$B154,'январь 2026'!$J$2:$J$2684,L$1)</f>
        <v>0</v>
      </c>
      <c r="M154" s="144">
        <f>SUMIFS('январь 2026'!$G$2:$G$2684,'январь 2026'!$D$2:$D$2684,$B154,'январь 2026'!$J$2:$J$2684,M$1)</f>
        <v>0</v>
      </c>
      <c r="N154" s="144">
        <f>SUMIFS('январь 2026'!$G$2:$G$2684,'январь 2026'!$D$2:$D$2684,$B154,'январь 2026'!$J$2:$J$2684,N$1)</f>
        <v>0</v>
      </c>
      <c r="O154" s="144">
        <f>SUMIFS('январь 2026'!$G$2:$G$2684,'январь 2026'!$D$2:$D$2684,$B154,'январь 2026'!$J$2:$J$2684,O$1)</f>
        <v>0</v>
      </c>
      <c r="P154" s="144">
        <f>SUMIFS('январь 2026'!$G$2:$G$2684,'январь 2026'!$D$2:$D$2684,$B154,'январь 2026'!$J$2:$J$2684,P$1)</f>
        <v>0</v>
      </c>
      <c r="Q154" s="144">
        <f>SUMIFS('январь 2026'!$G$2:$G$2684,'январь 2026'!$D$2:$D$2684,$B154,'январь 2026'!$J$2:$J$2684,Q$1)</f>
        <v>0</v>
      </c>
      <c r="R154" s="144">
        <f>SUMIFS('январь 2026'!$G$2:$G$2684,'январь 2026'!$D$2:$D$2684,$B154,'январь 2026'!$J$2:$J$2684,R$1)</f>
        <v>0</v>
      </c>
      <c r="S154" s="144">
        <f>SUMIFS('январь 2026'!$G$2:$G$2684,'январь 2026'!$D$2:$D$2684,$B154,'январь 2026'!$J$2:$J$2684,S$1)</f>
        <v>0</v>
      </c>
      <c r="T154" s="144">
        <f>SUMIFS('январь 2026'!$G$2:$G$2684,'январь 2026'!$D$2:$D$2684,$B154,'январь 2026'!$J$2:$J$2684,T$1)</f>
        <v>0</v>
      </c>
      <c r="U154" s="144">
        <f>SUMIFS('январь 2026'!$G$2:$G$2684,'январь 2026'!$D$2:$D$2684,$B154,'январь 2026'!$J$2:$J$2684,U$1)</f>
        <v>0</v>
      </c>
      <c r="V154" s="144">
        <f>SUMIFS('январь 2026'!$G$2:$G$2684,'январь 2026'!$D$2:$D$2684,$B154,'январь 2026'!$J$2:$J$2684,V$1)</f>
        <v>0</v>
      </c>
      <c r="W154" s="144">
        <f>SUMIFS('январь 2026'!$G$2:$G$2684,'январь 2026'!$D$2:$D$2684,$B154,'январь 2026'!$J$2:$J$2684,W$1)</f>
        <v>0</v>
      </c>
      <c r="X154" s="144">
        <f>SUMIFS('январь 2026'!$G$2:$G$2684,'январь 2026'!$D$2:$D$2684,$B154,'январь 2026'!$J$2:$J$2684,X$1)</f>
        <v>0</v>
      </c>
      <c r="Y154" s="144">
        <f>SUMIFS('январь 2026'!$G$2:$G$2684,'январь 2026'!$D$2:$D$2684,$B154,'январь 2026'!$J$2:$J$2684,Y$1)</f>
        <v>0</v>
      </c>
      <c r="Z154" s="144">
        <f>SUMIFS('январь 2026'!$G$2:$G$2684,'январь 2026'!$D$2:$D$2684,$B154,'январь 2026'!$J$2:$J$2684,Z$1)</f>
        <v>0</v>
      </c>
      <c r="AA154" s="144">
        <f>SUMIFS('январь 2026'!$G$2:$G$2684,'январь 2026'!$D$2:$D$2684,$B154,'январь 2026'!$J$2:$J$2684,AA$1)</f>
        <v>0</v>
      </c>
      <c r="AB154" s="144">
        <f>SUMIFS('январь 2026'!$G$2:$G$2684,'январь 2026'!$D$2:$D$2684,$B154,'январь 2026'!$J$2:$J$2684,AB$1)</f>
        <v>0</v>
      </c>
      <c r="AC154" s="144">
        <f>SUMIFS('январь 2026'!$G$2:$G$2684,'январь 2026'!$D$2:$D$2684,$B154,'январь 2026'!$J$2:$J$2684,AC$1)</f>
        <v>0</v>
      </c>
      <c r="AD154" s="144">
        <f>SUMIFS('январь 2026'!$G$2:$G$2684,'январь 2026'!$D$2:$D$2684,$B154,'январь 2026'!$J$2:$J$2684,AD$1)</f>
        <v>0</v>
      </c>
      <c r="AE154" s="144">
        <f>SUMIFS('январь 2026'!$G$2:$G$2684,'январь 2026'!$D$2:$D$2684,$B154,'январь 2026'!$J$2:$J$2684,AE$1)</f>
        <v>0</v>
      </c>
      <c r="AF154" s="144">
        <f>SUMIFS('январь 2026'!$G$2:$G$2684,'январь 2026'!$D$2:$D$2684,$B154,'январь 2026'!$J$2:$J$2684,AF$1)</f>
        <v>0</v>
      </c>
      <c r="AG154" s="144">
        <f>SUMIFS('январь 2026'!$G$2:$G$2684,'январь 2026'!$D$2:$D$2684,$B154,'январь 2026'!$J$2:$J$2684,AG$1)</f>
        <v>0</v>
      </c>
      <c r="AH154" s="144">
        <f>SUMIFS('январь 2026'!$G$2:$G$2684,'январь 2026'!$D$2:$D$2684,$B154,'январь 2026'!$J$2:$J$2684,AH$1)</f>
        <v>0</v>
      </c>
      <c r="AI154" s="20">
        <f t="shared" si="1"/>
        <v>0</v>
      </c>
    </row>
    <row r="155" spans="2:35" ht="15" customHeight="1" x14ac:dyDescent="0.25">
      <c r="B155" s="82" t="s">
        <v>273</v>
      </c>
      <c r="C155" s="81">
        <v>200</v>
      </c>
      <c r="D155" s="144">
        <f>SUMIFS('январь 2026'!$G$2:$G$2684,'январь 2026'!$D$2:$D$2684,$B155,'январь 2026'!$J$2:$J$2684,D$1)</f>
        <v>0</v>
      </c>
      <c r="E155" s="144">
        <f>SUMIFS('январь 2026'!$G$2:$G$2684,'январь 2026'!$D$2:$D$2684,$B155,'январь 2026'!$J$2:$J$2684,E$1)</f>
        <v>0</v>
      </c>
      <c r="F155" s="144">
        <f>SUMIFS('январь 2026'!$G$2:$G$2684,'январь 2026'!$D$2:$D$2684,$B155,'январь 2026'!$J$2:$J$2684,F$1)</f>
        <v>0</v>
      </c>
      <c r="G155" s="144">
        <f>SUMIFS('январь 2026'!$G$2:$G$2684,'январь 2026'!$D$2:$D$2684,$B155,'январь 2026'!$J$2:$J$2684,G$1)</f>
        <v>0</v>
      </c>
      <c r="H155" s="144">
        <f>SUMIFS('январь 2026'!$G$2:$G$2684,'январь 2026'!$D$2:$D$2684,$B155,'январь 2026'!$J$2:$J$2684,H$1)</f>
        <v>0</v>
      </c>
      <c r="I155" s="144">
        <f>SUMIFS('январь 2026'!$G$2:$G$2684,'январь 2026'!$D$2:$D$2684,$B155,'январь 2026'!$J$2:$J$2684,I$1)</f>
        <v>0</v>
      </c>
      <c r="J155" s="144">
        <f>SUMIFS('январь 2026'!$G$2:$G$2684,'январь 2026'!$D$2:$D$2684,$B155,'январь 2026'!$J$2:$J$2684,J$1)</f>
        <v>0</v>
      </c>
      <c r="K155" s="144">
        <f>SUMIFS('январь 2026'!$G$2:$G$2684,'январь 2026'!$D$2:$D$2684,$B155,'январь 2026'!$J$2:$J$2684,K$1)</f>
        <v>0</v>
      </c>
      <c r="L155" s="144">
        <f>SUMIFS('январь 2026'!$G$2:$G$2684,'январь 2026'!$D$2:$D$2684,$B155,'январь 2026'!$J$2:$J$2684,L$1)</f>
        <v>0</v>
      </c>
      <c r="M155" s="144">
        <f>SUMIFS('январь 2026'!$G$2:$G$2684,'январь 2026'!$D$2:$D$2684,$B155,'январь 2026'!$J$2:$J$2684,M$1)</f>
        <v>0</v>
      </c>
      <c r="N155" s="144">
        <f>SUMIFS('январь 2026'!$G$2:$G$2684,'январь 2026'!$D$2:$D$2684,$B155,'январь 2026'!$J$2:$J$2684,N$1)</f>
        <v>0</v>
      </c>
      <c r="O155" s="144">
        <f>SUMIFS('январь 2026'!$G$2:$G$2684,'январь 2026'!$D$2:$D$2684,$B155,'январь 2026'!$J$2:$J$2684,O$1)</f>
        <v>0</v>
      </c>
      <c r="P155" s="144">
        <f>SUMIFS('январь 2026'!$G$2:$G$2684,'январь 2026'!$D$2:$D$2684,$B155,'январь 2026'!$J$2:$J$2684,P$1)</f>
        <v>0</v>
      </c>
      <c r="Q155" s="144">
        <f>SUMIFS('январь 2026'!$G$2:$G$2684,'январь 2026'!$D$2:$D$2684,$B155,'январь 2026'!$J$2:$J$2684,Q$1)</f>
        <v>0</v>
      </c>
      <c r="R155" s="144">
        <f>SUMIFS('январь 2026'!$G$2:$G$2684,'январь 2026'!$D$2:$D$2684,$B155,'январь 2026'!$J$2:$J$2684,R$1)</f>
        <v>0</v>
      </c>
      <c r="S155" s="144">
        <f>SUMIFS('январь 2026'!$G$2:$G$2684,'январь 2026'!$D$2:$D$2684,$B155,'январь 2026'!$J$2:$J$2684,S$1)</f>
        <v>0</v>
      </c>
      <c r="T155" s="144">
        <f>SUMIFS('январь 2026'!$G$2:$G$2684,'январь 2026'!$D$2:$D$2684,$B155,'январь 2026'!$J$2:$J$2684,T$1)</f>
        <v>0</v>
      </c>
      <c r="U155" s="144">
        <f>SUMIFS('январь 2026'!$G$2:$G$2684,'январь 2026'!$D$2:$D$2684,$B155,'январь 2026'!$J$2:$J$2684,U$1)</f>
        <v>0</v>
      </c>
      <c r="V155" s="144">
        <f>SUMIFS('январь 2026'!$G$2:$G$2684,'январь 2026'!$D$2:$D$2684,$B155,'январь 2026'!$J$2:$J$2684,V$1)</f>
        <v>0</v>
      </c>
      <c r="W155" s="144">
        <f>SUMIFS('январь 2026'!$G$2:$G$2684,'январь 2026'!$D$2:$D$2684,$B155,'январь 2026'!$J$2:$J$2684,W$1)</f>
        <v>0</v>
      </c>
      <c r="X155" s="144">
        <f>SUMIFS('январь 2026'!$G$2:$G$2684,'январь 2026'!$D$2:$D$2684,$B155,'январь 2026'!$J$2:$J$2684,X$1)</f>
        <v>0</v>
      </c>
      <c r="Y155" s="144">
        <f>SUMIFS('январь 2026'!$G$2:$G$2684,'январь 2026'!$D$2:$D$2684,$B155,'январь 2026'!$J$2:$J$2684,Y$1)</f>
        <v>0</v>
      </c>
      <c r="Z155" s="144">
        <f>SUMIFS('январь 2026'!$G$2:$G$2684,'январь 2026'!$D$2:$D$2684,$B155,'январь 2026'!$J$2:$J$2684,Z$1)</f>
        <v>0</v>
      </c>
      <c r="AA155" s="144">
        <f>SUMIFS('январь 2026'!$G$2:$G$2684,'январь 2026'!$D$2:$D$2684,$B155,'январь 2026'!$J$2:$J$2684,AA$1)</f>
        <v>0</v>
      </c>
      <c r="AB155" s="144">
        <f>SUMIFS('январь 2026'!$G$2:$G$2684,'январь 2026'!$D$2:$D$2684,$B155,'январь 2026'!$J$2:$J$2684,AB$1)</f>
        <v>0</v>
      </c>
      <c r="AC155" s="144">
        <f>SUMIFS('январь 2026'!$G$2:$G$2684,'январь 2026'!$D$2:$D$2684,$B155,'январь 2026'!$J$2:$J$2684,AC$1)</f>
        <v>0</v>
      </c>
      <c r="AD155" s="144">
        <f>SUMIFS('январь 2026'!$G$2:$G$2684,'январь 2026'!$D$2:$D$2684,$B155,'январь 2026'!$J$2:$J$2684,AD$1)</f>
        <v>0</v>
      </c>
      <c r="AE155" s="144">
        <f>SUMIFS('январь 2026'!$G$2:$G$2684,'январь 2026'!$D$2:$D$2684,$B155,'январь 2026'!$J$2:$J$2684,AE$1)</f>
        <v>0</v>
      </c>
      <c r="AF155" s="144">
        <f>SUMIFS('январь 2026'!$G$2:$G$2684,'январь 2026'!$D$2:$D$2684,$B155,'январь 2026'!$J$2:$J$2684,AF$1)</f>
        <v>0</v>
      </c>
      <c r="AG155" s="144">
        <f>SUMIFS('январь 2026'!$G$2:$G$2684,'январь 2026'!$D$2:$D$2684,$B155,'январь 2026'!$J$2:$J$2684,AG$1)</f>
        <v>0</v>
      </c>
      <c r="AH155" s="144">
        <f>SUMIFS('январь 2026'!$G$2:$G$2684,'январь 2026'!$D$2:$D$2684,$B155,'январь 2026'!$J$2:$J$2684,AH$1)</f>
        <v>0</v>
      </c>
      <c r="AI155" s="20">
        <f t="shared" si="1"/>
        <v>0</v>
      </c>
    </row>
    <row r="156" spans="2:35" ht="15" customHeight="1" x14ac:dyDescent="0.25">
      <c r="B156" s="82" t="s">
        <v>269</v>
      </c>
      <c r="C156" s="81">
        <v>200</v>
      </c>
      <c r="D156" s="144">
        <f>SUMIFS('январь 2026'!$G$2:$G$2684,'январь 2026'!$D$2:$D$2684,$B156,'январь 2026'!$J$2:$J$2684,D$1)</f>
        <v>0</v>
      </c>
      <c r="E156" s="144">
        <f>SUMIFS('январь 2026'!$G$2:$G$2684,'январь 2026'!$D$2:$D$2684,$B156,'январь 2026'!$J$2:$J$2684,E$1)</f>
        <v>0</v>
      </c>
      <c r="F156" s="144">
        <f>SUMIFS('январь 2026'!$G$2:$G$2684,'январь 2026'!$D$2:$D$2684,$B156,'январь 2026'!$J$2:$J$2684,F$1)</f>
        <v>0</v>
      </c>
      <c r="G156" s="144">
        <f>SUMIFS('январь 2026'!$G$2:$G$2684,'январь 2026'!$D$2:$D$2684,$B156,'январь 2026'!$J$2:$J$2684,G$1)</f>
        <v>0</v>
      </c>
      <c r="H156" s="144">
        <f>SUMIFS('январь 2026'!$G$2:$G$2684,'январь 2026'!$D$2:$D$2684,$B156,'январь 2026'!$J$2:$J$2684,H$1)</f>
        <v>0</v>
      </c>
      <c r="I156" s="144">
        <f>SUMIFS('январь 2026'!$G$2:$G$2684,'январь 2026'!$D$2:$D$2684,$B156,'январь 2026'!$J$2:$J$2684,I$1)</f>
        <v>0</v>
      </c>
      <c r="J156" s="144">
        <f>SUMIFS('январь 2026'!$G$2:$G$2684,'январь 2026'!$D$2:$D$2684,$B156,'январь 2026'!$J$2:$J$2684,J$1)</f>
        <v>0</v>
      </c>
      <c r="K156" s="144">
        <f>SUMIFS('январь 2026'!$G$2:$G$2684,'январь 2026'!$D$2:$D$2684,$B156,'январь 2026'!$J$2:$J$2684,K$1)</f>
        <v>0</v>
      </c>
      <c r="L156" s="144">
        <f>SUMIFS('январь 2026'!$G$2:$G$2684,'январь 2026'!$D$2:$D$2684,$B156,'январь 2026'!$J$2:$J$2684,L$1)</f>
        <v>0</v>
      </c>
      <c r="M156" s="144">
        <f>SUMIFS('январь 2026'!$G$2:$G$2684,'январь 2026'!$D$2:$D$2684,$B156,'январь 2026'!$J$2:$J$2684,M$1)</f>
        <v>0</v>
      </c>
      <c r="N156" s="144">
        <f>SUMIFS('январь 2026'!$G$2:$G$2684,'январь 2026'!$D$2:$D$2684,$B156,'январь 2026'!$J$2:$J$2684,N$1)</f>
        <v>0</v>
      </c>
      <c r="O156" s="144">
        <f>SUMIFS('январь 2026'!$G$2:$G$2684,'январь 2026'!$D$2:$D$2684,$B156,'январь 2026'!$J$2:$J$2684,O$1)</f>
        <v>0</v>
      </c>
      <c r="P156" s="144">
        <f>SUMIFS('январь 2026'!$G$2:$G$2684,'январь 2026'!$D$2:$D$2684,$B156,'январь 2026'!$J$2:$J$2684,P$1)</f>
        <v>0</v>
      </c>
      <c r="Q156" s="144">
        <f>SUMIFS('январь 2026'!$G$2:$G$2684,'январь 2026'!$D$2:$D$2684,$B156,'январь 2026'!$J$2:$J$2684,Q$1)</f>
        <v>0</v>
      </c>
      <c r="R156" s="144">
        <f>SUMIFS('январь 2026'!$G$2:$G$2684,'январь 2026'!$D$2:$D$2684,$B156,'январь 2026'!$J$2:$J$2684,R$1)</f>
        <v>0</v>
      </c>
      <c r="S156" s="144">
        <f>SUMIFS('январь 2026'!$G$2:$G$2684,'январь 2026'!$D$2:$D$2684,$B156,'январь 2026'!$J$2:$J$2684,S$1)</f>
        <v>0</v>
      </c>
      <c r="T156" s="144">
        <f>SUMIFS('январь 2026'!$G$2:$G$2684,'январь 2026'!$D$2:$D$2684,$B156,'январь 2026'!$J$2:$J$2684,T$1)</f>
        <v>0</v>
      </c>
      <c r="U156" s="144">
        <f>SUMIFS('январь 2026'!$G$2:$G$2684,'январь 2026'!$D$2:$D$2684,$B156,'январь 2026'!$J$2:$J$2684,U$1)</f>
        <v>0</v>
      </c>
      <c r="V156" s="144">
        <f>SUMIFS('январь 2026'!$G$2:$G$2684,'январь 2026'!$D$2:$D$2684,$B156,'январь 2026'!$J$2:$J$2684,V$1)</f>
        <v>0</v>
      </c>
      <c r="W156" s="144">
        <f>SUMIFS('январь 2026'!$G$2:$G$2684,'январь 2026'!$D$2:$D$2684,$B156,'январь 2026'!$J$2:$J$2684,W$1)</f>
        <v>0</v>
      </c>
      <c r="X156" s="144">
        <f>SUMIFS('январь 2026'!$G$2:$G$2684,'январь 2026'!$D$2:$D$2684,$B156,'январь 2026'!$J$2:$J$2684,X$1)</f>
        <v>0</v>
      </c>
      <c r="Y156" s="144">
        <f>SUMIFS('январь 2026'!$G$2:$G$2684,'январь 2026'!$D$2:$D$2684,$B156,'январь 2026'!$J$2:$J$2684,Y$1)</f>
        <v>0</v>
      </c>
      <c r="Z156" s="144">
        <f>SUMIFS('январь 2026'!$G$2:$G$2684,'январь 2026'!$D$2:$D$2684,$B156,'январь 2026'!$J$2:$J$2684,Z$1)</f>
        <v>0</v>
      </c>
      <c r="AA156" s="144">
        <f>SUMIFS('январь 2026'!$G$2:$G$2684,'январь 2026'!$D$2:$D$2684,$B156,'январь 2026'!$J$2:$J$2684,AA$1)</f>
        <v>0</v>
      </c>
      <c r="AB156" s="144">
        <f>SUMIFS('январь 2026'!$G$2:$G$2684,'январь 2026'!$D$2:$D$2684,$B156,'январь 2026'!$J$2:$J$2684,AB$1)</f>
        <v>0</v>
      </c>
      <c r="AC156" s="144">
        <f>SUMIFS('январь 2026'!$G$2:$G$2684,'январь 2026'!$D$2:$D$2684,$B156,'январь 2026'!$J$2:$J$2684,AC$1)</f>
        <v>0</v>
      </c>
      <c r="AD156" s="144">
        <f>SUMIFS('январь 2026'!$G$2:$G$2684,'январь 2026'!$D$2:$D$2684,$B156,'январь 2026'!$J$2:$J$2684,AD$1)</f>
        <v>0</v>
      </c>
      <c r="AE156" s="144">
        <f>SUMIFS('январь 2026'!$G$2:$G$2684,'январь 2026'!$D$2:$D$2684,$B156,'январь 2026'!$J$2:$J$2684,AE$1)</f>
        <v>0</v>
      </c>
      <c r="AF156" s="144">
        <f>SUMIFS('январь 2026'!$G$2:$G$2684,'январь 2026'!$D$2:$D$2684,$B156,'январь 2026'!$J$2:$J$2684,AF$1)</f>
        <v>0</v>
      </c>
      <c r="AG156" s="144">
        <f>SUMIFS('январь 2026'!$G$2:$G$2684,'январь 2026'!$D$2:$D$2684,$B156,'январь 2026'!$J$2:$J$2684,AG$1)</f>
        <v>0</v>
      </c>
      <c r="AH156" s="144">
        <f>SUMIFS('январь 2026'!$G$2:$G$2684,'январь 2026'!$D$2:$D$2684,$B156,'январь 2026'!$J$2:$J$2684,AH$1)</f>
        <v>0</v>
      </c>
      <c r="AI156" s="20">
        <f t="shared" si="1"/>
        <v>0</v>
      </c>
    </row>
    <row r="157" spans="2:35" ht="15" customHeight="1" x14ac:dyDescent="0.25">
      <c r="B157" s="82" t="s">
        <v>270</v>
      </c>
      <c r="C157" s="81">
        <v>200</v>
      </c>
      <c r="D157" s="144">
        <f>SUMIFS('январь 2026'!$G$2:$G$2684,'январь 2026'!$D$2:$D$2684,$B157,'январь 2026'!$J$2:$J$2684,D$1)</f>
        <v>0</v>
      </c>
      <c r="E157" s="144">
        <f>SUMIFS('январь 2026'!$G$2:$G$2684,'январь 2026'!$D$2:$D$2684,$B157,'январь 2026'!$J$2:$J$2684,E$1)</f>
        <v>0</v>
      </c>
      <c r="F157" s="144">
        <f>SUMIFS('январь 2026'!$G$2:$G$2684,'январь 2026'!$D$2:$D$2684,$B157,'январь 2026'!$J$2:$J$2684,F$1)</f>
        <v>0</v>
      </c>
      <c r="G157" s="144">
        <f>SUMIFS('январь 2026'!$G$2:$G$2684,'январь 2026'!$D$2:$D$2684,$B157,'январь 2026'!$J$2:$J$2684,G$1)</f>
        <v>0</v>
      </c>
      <c r="H157" s="144">
        <f>SUMIFS('январь 2026'!$G$2:$G$2684,'январь 2026'!$D$2:$D$2684,$B157,'январь 2026'!$J$2:$J$2684,H$1)</f>
        <v>0</v>
      </c>
      <c r="I157" s="144">
        <f>SUMIFS('январь 2026'!$G$2:$G$2684,'январь 2026'!$D$2:$D$2684,$B157,'январь 2026'!$J$2:$J$2684,I$1)</f>
        <v>0</v>
      </c>
      <c r="J157" s="144">
        <f>SUMIFS('январь 2026'!$G$2:$G$2684,'январь 2026'!$D$2:$D$2684,$B157,'январь 2026'!$J$2:$J$2684,J$1)</f>
        <v>0</v>
      </c>
      <c r="K157" s="144">
        <f>SUMIFS('январь 2026'!$G$2:$G$2684,'январь 2026'!$D$2:$D$2684,$B157,'январь 2026'!$J$2:$J$2684,K$1)</f>
        <v>0</v>
      </c>
      <c r="L157" s="144">
        <f>SUMIFS('январь 2026'!$G$2:$G$2684,'январь 2026'!$D$2:$D$2684,$B157,'январь 2026'!$J$2:$J$2684,L$1)</f>
        <v>0</v>
      </c>
      <c r="M157" s="144">
        <f>SUMIFS('январь 2026'!$G$2:$G$2684,'январь 2026'!$D$2:$D$2684,$B157,'январь 2026'!$J$2:$J$2684,M$1)</f>
        <v>0</v>
      </c>
      <c r="N157" s="144">
        <f>SUMIFS('январь 2026'!$G$2:$G$2684,'январь 2026'!$D$2:$D$2684,$B157,'январь 2026'!$J$2:$J$2684,N$1)</f>
        <v>0</v>
      </c>
      <c r="O157" s="144">
        <f>SUMIFS('январь 2026'!$G$2:$G$2684,'январь 2026'!$D$2:$D$2684,$B157,'январь 2026'!$J$2:$J$2684,O$1)</f>
        <v>0</v>
      </c>
      <c r="P157" s="144">
        <f>SUMIFS('январь 2026'!$G$2:$G$2684,'январь 2026'!$D$2:$D$2684,$B157,'январь 2026'!$J$2:$J$2684,P$1)</f>
        <v>0</v>
      </c>
      <c r="Q157" s="144">
        <f>SUMIFS('январь 2026'!$G$2:$G$2684,'январь 2026'!$D$2:$D$2684,$B157,'январь 2026'!$J$2:$J$2684,Q$1)</f>
        <v>0</v>
      </c>
      <c r="R157" s="144">
        <f>SUMIFS('январь 2026'!$G$2:$G$2684,'январь 2026'!$D$2:$D$2684,$B157,'январь 2026'!$J$2:$J$2684,R$1)</f>
        <v>0</v>
      </c>
      <c r="S157" s="144">
        <f>SUMIFS('январь 2026'!$G$2:$G$2684,'январь 2026'!$D$2:$D$2684,$B157,'январь 2026'!$J$2:$J$2684,S$1)</f>
        <v>0</v>
      </c>
      <c r="T157" s="144">
        <f>SUMIFS('январь 2026'!$G$2:$G$2684,'январь 2026'!$D$2:$D$2684,$B157,'январь 2026'!$J$2:$J$2684,T$1)</f>
        <v>0</v>
      </c>
      <c r="U157" s="144">
        <f>SUMIFS('январь 2026'!$G$2:$G$2684,'январь 2026'!$D$2:$D$2684,$B157,'январь 2026'!$J$2:$J$2684,U$1)</f>
        <v>0</v>
      </c>
      <c r="V157" s="144">
        <f>SUMIFS('январь 2026'!$G$2:$G$2684,'январь 2026'!$D$2:$D$2684,$B157,'январь 2026'!$J$2:$J$2684,V$1)</f>
        <v>0</v>
      </c>
      <c r="W157" s="144">
        <f>SUMIFS('январь 2026'!$G$2:$G$2684,'январь 2026'!$D$2:$D$2684,$B157,'январь 2026'!$J$2:$J$2684,W$1)</f>
        <v>0</v>
      </c>
      <c r="X157" s="144">
        <f>SUMIFS('январь 2026'!$G$2:$G$2684,'январь 2026'!$D$2:$D$2684,$B157,'январь 2026'!$J$2:$J$2684,X$1)</f>
        <v>0</v>
      </c>
      <c r="Y157" s="144">
        <f>SUMIFS('январь 2026'!$G$2:$G$2684,'январь 2026'!$D$2:$D$2684,$B157,'январь 2026'!$J$2:$J$2684,Y$1)</f>
        <v>0</v>
      </c>
      <c r="Z157" s="144">
        <f>SUMIFS('январь 2026'!$G$2:$G$2684,'январь 2026'!$D$2:$D$2684,$B157,'январь 2026'!$J$2:$J$2684,Z$1)</f>
        <v>0</v>
      </c>
      <c r="AA157" s="144">
        <f>SUMIFS('январь 2026'!$G$2:$G$2684,'январь 2026'!$D$2:$D$2684,$B157,'январь 2026'!$J$2:$J$2684,AA$1)</f>
        <v>0</v>
      </c>
      <c r="AB157" s="144">
        <f>SUMIFS('январь 2026'!$G$2:$G$2684,'январь 2026'!$D$2:$D$2684,$B157,'январь 2026'!$J$2:$J$2684,AB$1)</f>
        <v>0</v>
      </c>
      <c r="AC157" s="144">
        <f>SUMIFS('январь 2026'!$G$2:$G$2684,'январь 2026'!$D$2:$D$2684,$B157,'январь 2026'!$J$2:$J$2684,AC$1)</f>
        <v>0</v>
      </c>
      <c r="AD157" s="144">
        <f>SUMIFS('январь 2026'!$G$2:$G$2684,'январь 2026'!$D$2:$D$2684,$B157,'январь 2026'!$J$2:$J$2684,AD$1)</f>
        <v>0</v>
      </c>
      <c r="AE157" s="144">
        <f>SUMIFS('январь 2026'!$G$2:$G$2684,'январь 2026'!$D$2:$D$2684,$B157,'январь 2026'!$J$2:$J$2684,AE$1)</f>
        <v>0</v>
      </c>
      <c r="AF157" s="144">
        <f>SUMIFS('январь 2026'!$G$2:$G$2684,'январь 2026'!$D$2:$D$2684,$B157,'январь 2026'!$J$2:$J$2684,AF$1)</f>
        <v>0</v>
      </c>
      <c r="AG157" s="144">
        <f>SUMIFS('январь 2026'!$G$2:$G$2684,'январь 2026'!$D$2:$D$2684,$B157,'январь 2026'!$J$2:$J$2684,AG$1)</f>
        <v>0</v>
      </c>
      <c r="AH157" s="144">
        <f>SUMIFS('январь 2026'!$G$2:$G$2684,'январь 2026'!$D$2:$D$2684,$B157,'январь 2026'!$J$2:$J$2684,AH$1)</f>
        <v>0</v>
      </c>
      <c r="AI157" s="20">
        <f t="shared" si="1"/>
        <v>0</v>
      </c>
    </row>
    <row r="158" spans="2:35" ht="15" customHeight="1" x14ac:dyDescent="0.25">
      <c r="B158" s="82" t="s">
        <v>299</v>
      </c>
      <c r="C158" s="81">
        <v>1000</v>
      </c>
      <c r="D158" s="144">
        <f>SUMIFS('январь 2026'!$G$2:$G$2684,'январь 2026'!$D$2:$D$2684,$B158,'январь 2026'!$J$2:$J$2684,D$1)</f>
        <v>0</v>
      </c>
      <c r="E158" s="144">
        <f>SUMIFS('январь 2026'!$G$2:$G$2684,'январь 2026'!$D$2:$D$2684,$B158,'январь 2026'!$J$2:$J$2684,E$1)</f>
        <v>0</v>
      </c>
      <c r="F158" s="144">
        <f>SUMIFS('январь 2026'!$G$2:$G$2684,'январь 2026'!$D$2:$D$2684,$B158,'январь 2026'!$J$2:$J$2684,F$1)</f>
        <v>0</v>
      </c>
      <c r="G158" s="144">
        <f>SUMIFS('январь 2026'!$G$2:$G$2684,'январь 2026'!$D$2:$D$2684,$B158,'январь 2026'!$J$2:$J$2684,G$1)</f>
        <v>0</v>
      </c>
      <c r="H158" s="144">
        <f>SUMIFS('январь 2026'!$G$2:$G$2684,'январь 2026'!$D$2:$D$2684,$B158,'январь 2026'!$J$2:$J$2684,H$1)</f>
        <v>0</v>
      </c>
      <c r="I158" s="144">
        <f>SUMIFS('январь 2026'!$G$2:$G$2684,'январь 2026'!$D$2:$D$2684,$B158,'январь 2026'!$J$2:$J$2684,I$1)</f>
        <v>0</v>
      </c>
      <c r="J158" s="144">
        <f>SUMIFS('январь 2026'!$G$2:$G$2684,'январь 2026'!$D$2:$D$2684,$B158,'январь 2026'!$J$2:$J$2684,J$1)</f>
        <v>0</v>
      </c>
      <c r="K158" s="144">
        <f>SUMIFS('январь 2026'!$G$2:$G$2684,'январь 2026'!$D$2:$D$2684,$B158,'январь 2026'!$J$2:$J$2684,K$1)</f>
        <v>0</v>
      </c>
      <c r="L158" s="144">
        <f>SUMIFS('январь 2026'!$G$2:$G$2684,'январь 2026'!$D$2:$D$2684,$B158,'январь 2026'!$J$2:$J$2684,L$1)</f>
        <v>0</v>
      </c>
      <c r="M158" s="144">
        <f>SUMIFS('январь 2026'!$G$2:$G$2684,'январь 2026'!$D$2:$D$2684,$B158,'январь 2026'!$J$2:$J$2684,M$1)</f>
        <v>0</v>
      </c>
      <c r="N158" s="144">
        <f>SUMIFS('январь 2026'!$G$2:$G$2684,'январь 2026'!$D$2:$D$2684,$B158,'январь 2026'!$J$2:$J$2684,N$1)</f>
        <v>0</v>
      </c>
      <c r="O158" s="144">
        <f>SUMIFS('январь 2026'!$G$2:$G$2684,'январь 2026'!$D$2:$D$2684,$B158,'январь 2026'!$J$2:$J$2684,O$1)</f>
        <v>0</v>
      </c>
      <c r="P158" s="144">
        <f>SUMIFS('январь 2026'!$G$2:$G$2684,'январь 2026'!$D$2:$D$2684,$B158,'январь 2026'!$J$2:$J$2684,P$1)</f>
        <v>0</v>
      </c>
      <c r="Q158" s="144">
        <f>SUMIFS('январь 2026'!$G$2:$G$2684,'январь 2026'!$D$2:$D$2684,$B158,'январь 2026'!$J$2:$J$2684,Q$1)</f>
        <v>0</v>
      </c>
      <c r="R158" s="144">
        <f>SUMIFS('январь 2026'!$G$2:$G$2684,'январь 2026'!$D$2:$D$2684,$B158,'январь 2026'!$J$2:$J$2684,R$1)</f>
        <v>0</v>
      </c>
      <c r="S158" s="144">
        <f>SUMIFS('январь 2026'!$G$2:$G$2684,'январь 2026'!$D$2:$D$2684,$B158,'январь 2026'!$J$2:$J$2684,S$1)</f>
        <v>0</v>
      </c>
      <c r="T158" s="144">
        <f>SUMIFS('январь 2026'!$G$2:$G$2684,'январь 2026'!$D$2:$D$2684,$B158,'январь 2026'!$J$2:$J$2684,T$1)</f>
        <v>0</v>
      </c>
      <c r="U158" s="144">
        <f>SUMIFS('январь 2026'!$G$2:$G$2684,'январь 2026'!$D$2:$D$2684,$B158,'январь 2026'!$J$2:$J$2684,U$1)</f>
        <v>0</v>
      </c>
      <c r="V158" s="144">
        <f>SUMIFS('январь 2026'!$G$2:$G$2684,'январь 2026'!$D$2:$D$2684,$B158,'январь 2026'!$J$2:$J$2684,V$1)</f>
        <v>0</v>
      </c>
      <c r="W158" s="144">
        <f>SUMIFS('январь 2026'!$G$2:$G$2684,'январь 2026'!$D$2:$D$2684,$B158,'январь 2026'!$J$2:$J$2684,W$1)</f>
        <v>0</v>
      </c>
      <c r="X158" s="144">
        <f>SUMIFS('январь 2026'!$G$2:$G$2684,'январь 2026'!$D$2:$D$2684,$B158,'январь 2026'!$J$2:$J$2684,X$1)</f>
        <v>0</v>
      </c>
      <c r="Y158" s="144">
        <f>SUMIFS('январь 2026'!$G$2:$G$2684,'январь 2026'!$D$2:$D$2684,$B158,'январь 2026'!$J$2:$J$2684,Y$1)</f>
        <v>0</v>
      </c>
      <c r="Z158" s="144">
        <f>SUMIFS('январь 2026'!$G$2:$G$2684,'январь 2026'!$D$2:$D$2684,$B158,'январь 2026'!$J$2:$J$2684,Z$1)</f>
        <v>0</v>
      </c>
      <c r="AA158" s="144">
        <f>SUMIFS('январь 2026'!$G$2:$G$2684,'январь 2026'!$D$2:$D$2684,$B158,'январь 2026'!$J$2:$J$2684,AA$1)</f>
        <v>0</v>
      </c>
      <c r="AB158" s="144">
        <f>SUMIFS('январь 2026'!$G$2:$G$2684,'январь 2026'!$D$2:$D$2684,$B158,'январь 2026'!$J$2:$J$2684,AB$1)</f>
        <v>0</v>
      </c>
      <c r="AC158" s="144">
        <f>SUMIFS('январь 2026'!$G$2:$G$2684,'январь 2026'!$D$2:$D$2684,$B158,'январь 2026'!$J$2:$J$2684,AC$1)</f>
        <v>0</v>
      </c>
      <c r="AD158" s="144">
        <f>SUMIFS('январь 2026'!$G$2:$G$2684,'январь 2026'!$D$2:$D$2684,$B158,'январь 2026'!$J$2:$J$2684,AD$1)</f>
        <v>0</v>
      </c>
      <c r="AE158" s="144">
        <f>SUMIFS('январь 2026'!$G$2:$G$2684,'январь 2026'!$D$2:$D$2684,$B158,'январь 2026'!$J$2:$J$2684,AE$1)</f>
        <v>0</v>
      </c>
      <c r="AF158" s="144">
        <f>SUMIFS('январь 2026'!$G$2:$G$2684,'январь 2026'!$D$2:$D$2684,$B158,'январь 2026'!$J$2:$J$2684,AF$1)</f>
        <v>0</v>
      </c>
      <c r="AG158" s="144">
        <f>SUMIFS('январь 2026'!$G$2:$G$2684,'январь 2026'!$D$2:$D$2684,$B158,'январь 2026'!$J$2:$J$2684,AG$1)</f>
        <v>0</v>
      </c>
      <c r="AH158" s="144">
        <f>SUMIFS('январь 2026'!$G$2:$G$2684,'январь 2026'!$D$2:$D$2684,$B158,'январь 2026'!$J$2:$J$2684,AH$1)</f>
        <v>0</v>
      </c>
      <c r="AI158" s="20">
        <f t="shared" si="1"/>
        <v>0</v>
      </c>
    </row>
    <row r="159" spans="2:35" ht="15" customHeight="1" x14ac:dyDescent="0.25">
      <c r="B159" s="82" t="s">
        <v>198</v>
      </c>
      <c r="C159" s="81">
        <v>200</v>
      </c>
      <c r="D159" s="144">
        <f>SUMIFS('январь 2026'!$G$2:$G$2684,'январь 2026'!$D$2:$D$2684,$B159,'январь 2026'!$J$2:$J$2684,D$1)</f>
        <v>0</v>
      </c>
      <c r="E159" s="144">
        <f>SUMIFS('январь 2026'!$G$2:$G$2684,'январь 2026'!$D$2:$D$2684,$B159,'январь 2026'!$J$2:$J$2684,E$1)</f>
        <v>0</v>
      </c>
      <c r="F159" s="144">
        <f>SUMIFS('январь 2026'!$G$2:$G$2684,'январь 2026'!$D$2:$D$2684,$B159,'январь 2026'!$J$2:$J$2684,F$1)</f>
        <v>0</v>
      </c>
      <c r="G159" s="144">
        <f>SUMIFS('январь 2026'!$G$2:$G$2684,'январь 2026'!$D$2:$D$2684,$B159,'январь 2026'!$J$2:$J$2684,G$1)</f>
        <v>0</v>
      </c>
      <c r="H159" s="144">
        <f>SUMIFS('январь 2026'!$G$2:$G$2684,'январь 2026'!$D$2:$D$2684,$B159,'январь 2026'!$J$2:$J$2684,H$1)</f>
        <v>0</v>
      </c>
      <c r="I159" s="144">
        <f>SUMIFS('январь 2026'!$G$2:$G$2684,'январь 2026'!$D$2:$D$2684,$B159,'январь 2026'!$J$2:$J$2684,I$1)</f>
        <v>0</v>
      </c>
      <c r="J159" s="144">
        <f>SUMIFS('январь 2026'!$G$2:$G$2684,'январь 2026'!$D$2:$D$2684,$B159,'январь 2026'!$J$2:$J$2684,J$1)</f>
        <v>0</v>
      </c>
      <c r="K159" s="144">
        <f>SUMIFS('январь 2026'!$G$2:$G$2684,'январь 2026'!$D$2:$D$2684,$B159,'январь 2026'!$J$2:$J$2684,K$1)</f>
        <v>0</v>
      </c>
      <c r="L159" s="144">
        <f>SUMIFS('январь 2026'!$G$2:$G$2684,'январь 2026'!$D$2:$D$2684,$B159,'январь 2026'!$J$2:$J$2684,L$1)</f>
        <v>0</v>
      </c>
      <c r="M159" s="144">
        <f>SUMIFS('январь 2026'!$G$2:$G$2684,'январь 2026'!$D$2:$D$2684,$B159,'январь 2026'!$J$2:$J$2684,M$1)</f>
        <v>0</v>
      </c>
      <c r="N159" s="144">
        <f>SUMIFS('январь 2026'!$G$2:$G$2684,'январь 2026'!$D$2:$D$2684,$B159,'январь 2026'!$J$2:$J$2684,N$1)</f>
        <v>0</v>
      </c>
      <c r="O159" s="144">
        <f>SUMIFS('январь 2026'!$G$2:$G$2684,'январь 2026'!$D$2:$D$2684,$B159,'январь 2026'!$J$2:$J$2684,O$1)</f>
        <v>0</v>
      </c>
      <c r="P159" s="144">
        <f>SUMIFS('январь 2026'!$G$2:$G$2684,'январь 2026'!$D$2:$D$2684,$B159,'январь 2026'!$J$2:$J$2684,P$1)</f>
        <v>0</v>
      </c>
      <c r="Q159" s="144">
        <f>SUMIFS('январь 2026'!$G$2:$G$2684,'январь 2026'!$D$2:$D$2684,$B159,'январь 2026'!$J$2:$J$2684,Q$1)</f>
        <v>0</v>
      </c>
      <c r="R159" s="144">
        <f>SUMIFS('январь 2026'!$G$2:$G$2684,'январь 2026'!$D$2:$D$2684,$B159,'январь 2026'!$J$2:$J$2684,R$1)</f>
        <v>0</v>
      </c>
      <c r="S159" s="144">
        <f>SUMIFS('январь 2026'!$G$2:$G$2684,'январь 2026'!$D$2:$D$2684,$B159,'январь 2026'!$J$2:$J$2684,S$1)</f>
        <v>0</v>
      </c>
      <c r="T159" s="144">
        <f>SUMIFS('январь 2026'!$G$2:$G$2684,'январь 2026'!$D$2:$D$2684,$B159,'январь 2026'!$J$2:$J$2684,T$1)</f>
        <v>0</v>
      </c>
      <c r="U159" s="144">
        <f>SUMIFS('январь 2026'!$G$2:$G$2684,'январь 2026'!$D$2:$D$2684,$B159,'январь 2026'!$J$2:$J$2684,U$1)</f>
        <v>0</v>
      </c>
      <c r="V159" s="144">
        <f>SUMIFS('январь 2026'!$G$2:$G$2684,'январь 2026'!$D$2:$D$2684,$B159,'январь 2026'!$J$2:$J$2684,V$1)</f>
        <v>0</v>
      </c>
      <c r="W159" s="144">
        <f>SUMIFS('январь 2026'!$G$2:$G$2684,'январь 2026'!$D$2:$D$2684,$B159,'январь 2026'!$J$2:$J$2684,W$1)</f>
        <v>0</v>
      </c>
      <c r="X159" s="144">
        <f>SUMIFS('январь 2026'!$G$2:$G$2684,'январь 2026'!$D$2:$D$2684,$B159,'январь 2026'!$J$2:$J$2684,X$1)</f>
        <v>0</v>
      </c>
      <c r="Y159" s="144">
        <f>SUMIFS('январь 2026'!$G$2:$G$2684,'январь 2026'!$D$2:$D$2684,$B159,'январь 2026'!$J$2:$J$2684,Y$1)</f>
        <v>0</v>
      </c>
      <c r="Z159" s="144">
        <f>SUMIFS('январь 2026'!$G$2:$G$2684,'январь 2026'!$D$2:$D$2684,$B159,'январь 2026'!$J$2:$J$2684,Z$1)</f>
        <v>0</v>
      </c>
      <c r="AA159" s="144">
        <f>SUMIFS('январь 2026'!$G$2:$G$2684,'январь 2026'!$D$2:$D$2684,$B159,'январь 2026'!$J$2:$J$2684,AA$1)</f>
        <v>0</v>
      </c>
      <c r="AB159" s="144">
        <f>SUMIFS('январь 2026'!$G$2:$G$2684,'январь 2026'!$D$2:$D$2684,$B159,'январь 2026'!$J$2:$J$2684,AB$1)</f>
        <v>0</v>
      </c>
      <c r="AC159" s="144">
        <f>SUMIFS('январь 2026'!$G$2:$G$2684,'январь 2026'!$D$2:$D$2684,$B159,'январь 2026'!$J$2:$J$2684,AC$1)</f>
        <v>0</v>
      </c>
      <c r="AD159" s="144">
        <f>SUMIFS('январь 2026'!$G$2:$G$2684,'январь 2026'!$D$2:$D$2684,$B159,'январь 2026'!$J$2:$J$2684,AD$1)</f>
        <v>0</v>
      </c>
      <c r="AE159" s="144">
        <f>SUMIFS('январь 2026'!$G$2:$G$2684,'январь 2026'!$D$2:$D$2684,$B159,'январь 2026'!$J$2:$J$2684,AE$1)</f>
        <v>0</v>
      </c>
      <c r="AF159" s="144">
        <f>SUMIFS('январь 2026'!$G$2:$G$2684,'январь 2026'!$D$2:$D$2684,$B159,'январь 2026'!$J$2:$J$2684,AF$1)</f>
        <v>0</v>
      </c>
      <c r="AG159" s="144">
        <f>SUMIFS('январь 2026'!$G$2:$G$2684,'январь 2026'!$D$2:$D$2684,$B159,'январь 2026'!$J$2:$J$2684,AG$1)</f>
        <v>0</v>
      </c>
      <c r="AH159" s="144">
        <f>SUMIFS('январь 2026'!$G$2:$G$2684,'январь 2026'!$D$2:$D$2684,$B159,'январь 2026'!$J$2:$J$2684,AH$1)</f>
        <v>0</v>
      </c>
      <c r="AI159" s="20">
        <f t="shared" si="1"/>
        <v>0</v>
      </c>
    </row>
    <row r="160" spans="2:35" ht="15" customHeight="1" x14ac:dyDescent="0.25">
      <c r="B160" s="82" t="s">
        <v>271</v>
      </c>
      <c r="C160" s="81">
        <v>200</v>
      </c>
      <c r="D160" s="144">
        <f>SUMIFS('январь 2026'!$G$2:$G$2684,'январь 2026'!$D$2:$D$2684,$B160,'январь 2026'!$J$2:$J$2684,D$1)</f>
        <v>0</v>
      </c>
      <c r="E160" s="144">
        <f>SUMIFS('январь 2026'!$G$2:$G$2684,'январь 2026'!$D$2:$D$2684,$B160,'январь 2026'!$J$2:$J$2684,E$1)</f>
        <v>0</v>
      </c>
      <c r="F160" s="144">
        <f>SUMIFS('январь 2026'!$G$2:$G$2684,'январь 2026'!$D$2:$D$2684,$B160,'январь 2026'!$J$2:$J$2684,F$1)</f>
        <v>0</v>
      </c>
      <c r="G160" s="144">
        <f>SUMIFS('январь 2026'!$G$2:$G$2684,'январь 2026'!$D$2:$D$2684,$B160,'январь 2026'!$J$2:$J$2684,G$1)</f>
        <v>0</v>
      </c>
      <c r="H160" s="144">
        <f>SUMIFS('январь 2026'!$G$2:$G$2684,'январь 2026'!$D$2:$D$2684,$B160,'январь 2026'!$J$2:$J$2684,H$1)</f>
        <v>0</v>
      </c>
      <c r="I160" s="144">
        <f>SUMIFS('январь 2026'!$G$2:$G$2684,'январь 2026'!$D$2:$D$2684,$B160,'январь 2026'!$J$2:$J$2684,I$1)</f>
        <v>0</v>
      </c>
      <c r="J160" s="144">
        <f>SUMIFS('январь 2026'!$G$2:$G$2684,'январь 2026'!$D$2:$D$2684,$B160,'январь 2026'!$J$2:$J$2684,J$1)</f>
        <v>0</v>
      </c>
      <c r="K160" s="144">
        <f>SUMIFS('январь 2026'!$G$2:$G$2684,'январь 2026'!$D$2:$D$2684,$B160,'январь 2026'!$J$2:$J$2684,K$1)</f>
        <v>0</v>
      </c>
      <c r="L160" s="144">
        <f>SUMIFS('январь 2026'!$G$2:$G$2684,'январь 2026'!$D$2:$D$2684,$B160,'январь 2026'!$J$2:$J$2684,L$1)</f>
        <v>0</v>
      </c>
      <c r="M160" s="144">
        <f>SUMIFS('январь 2026'!$G$2:$G$2684,'январь 2026'!$D$2:$D$2684,$B160,'январь 2026'!$J$2:$J$2684,M$1)</f>
        <v>0</v>
      </c>
      <c r="N160" s="144">
        <f>SUMIFS('январь 2026'!$G$2:$G$2684,'январь 2026'!$D$2:$D$2684,$B160,'январь 2026'!$J$2:$J$2684,N$1)</f>
        <v>0</v>
      </c>
      <c r="O160" s="144">
        <f>SUMIFS('январь 2026'!$G$2:$G$2684,'январь 2026'!$D$2:$D$2684,$B160,'январь 2026'!$J$2:$J$2684,O$1)</f>
        <v>0</v>
      </c>
      <c r="P160" s="144">
        <f>SUMIFS('январь 2026'!$G$2:$G$2684,'январь 2026'!$D$2:$D$2684,$B160,'январь 2026'!$J$2:$J$2684,P$1)</f>
        <v>0</v>
      </c>
      <c r="Q160" s="144">
        <f>SUMIFS('январь 2026'!$G$2:$G$2684,'январь 2026'!$D$2:$D$2684,$B160,'январь 2026'!$J$2:$J$2684,Q$1)</f>
        <v>0</v>
      </c>
      <c r="R160" s="144">
        <f>SUMIFS('январь 2026'!$G$2:$G$2684,'январь 2026'!$D$2:$D$2684,$B160,'январь 2026'!$J$2:$J$2684,R$1)</f>
        <v>0</v>
      </c>
      <c r="S160" s="144">
        <f>SUMIFS('январь 2026'!$G$2:$G$2684,'январь 2026'!$D$2:$D$2684,$B160,'январь 2026'!$J$2:$J$2684,S$1)</f>
        <v>0</v>
      </c>
      <c r="T160" s="144">
        <f>SUMIFS('январь 2026'!$G$2:$G$2684,'январь 2026'!$D$2:$D$2684,$B160,'январь 2026'!$J$2:$J$2684,T$1)</f>
        <v>0</v>
      </c>
      <c r="U160" s="144">
        <f>SUMIFS('январь 2026'!$G$2:$G$2684,'январь 2026'!$D$2:$D$2684,$B160,'январь 2026'!$J$2:$J$2684,U$1)</f>
        <v>0</v>
      </c>
      <c r="V160" s="144">
        <f>SUMIFS('январь 2026'!$G$2:$G$2684,'январь 2026'!$D$2:$D$2684,$B160,'январь 2026'!$J$2:$J$2684,V$1)</f>
        <v>0</v>
      </c>
      <c r="W160" s="144">
        <f>SUMIFS('январь 2026'!$G$2:$G$2684,'январь 2026'!$D$2:$D$2684,$B160,'январь 2026'!$J$2:$J$2684,W$1)</f>
        <v>0</v>
      </c>
      <c r="X160" s="144">
        <f>SUMIFS('январь 2026'!$G$2:$G$2684,'январь 2026'!$D$2:$D$2684,$B160,'январь 2026'!$J$2:$J$2684,X$1)</f>
        <v>0</v>
      </c>
      <c r="Y160" s="144">
        <f>SUMIFS('январь 2026'!$G$2:$G$2684,'январь 2026'!$D$2:$D$2684,$B160,'январь 2026'!$J$2:$J$2684,Y$1)</f>
        <v>0</v>
      </c>
      <c r="Z160" s="144">
        <f>SUMIFS('январь 2026'!$G$2:$G$2684,'январь 2026'!$D$2:$D$2684,$B160,'январь 2026'!$J$2:$J$2684,Z$1)</f>
        <v>0</v>
      </c>
      <c r="AA160" s="144">
        <f>SUMIFS('январь 2026'!$G$2:$G$2684,'январь 2026'!$D$2:$D$2684,$B160,'январь 2026'!$J$2:$J$2684,AA$1)</f>
        <v>0</v>
      </c>
      <c r="AB160" s="144">
        <f>SUMIFS('январь 2026'!$G$2:$G$2684,'январь 2026'!$D$2:$D$2684,$B160,'январь 2026'!$J$2:$J$2684,AB$1)</f>
        <v>0</v>
      </c>
      <c r="AC160" s="144">
        <f>SUMIFS('январь 2026'!$G$2:$G$2684,'январь 2026'!$D$2:$D$2684,$B160,'январь 2026'!$J$2:$J$2684,AC$1)</f>
        <v>0</v>
      </c>
      <c r="AD160" s="144">
        <f>SUMIFS('январь 2026'!$G$2:$G$2684,'январь 2026'!$D$2:$D$2684,$B160,'январь 2026'!$J$2:$J$2684,AD$1)</f>
        <v>0</v>
      </c>
      <c r="AE160" s="144">
        <f>SUMIFS('январь 2026'!$G$2:$G$2684,'январь 2026'!$D$2:$D$2684,$B160,'январь 2026'!$J$2:$J$2684,AE$1)</f>
        <v>0</v>
      </c>
      <c r="AF160" s="144">
        <f>SUMIFS('январь 2026'!$G$2:$G$2684,'январь 2026'!$D$2:$D$2684,$B160,'январь 2026'!$J$2:$J$2684,AF$1)</f>
        <v>0</v>
      </c>
      <c r="AG160" s="144">
        <f>SUMIFS('январь 2026'!$G$2:$G$2684,'январь 2026'!$D$2:$D$2684,$B160,'январь 2026'!$J$2:$J$2684,AG$1)</f>
        <v>0</v>
      </c>
      <c r="AH160" s="144">
        <f>SUMIFS('январь 2026'!$G$2:$G$2684,'январь 2026'!$D$2:$D$2684,$B160,'январь 2026'!$J$2:$J$2684,AH$1)</f>
        <v>0</v>
      </c>
      <c r="AI160" s="20">
        <f t="shared" si="1"/>
        <v>0</v>
      </c>
    </row>
    <row r="161" spans="2:35" ht="15" customHeight="1" x14ac:dyDescent="0.25">
      <c r="B161" s="82" t="s">
        <v>202</v>
      </c>
      <c r="C161" s="83">
        <v>200</v>
      </c>
      <c r="D161" s="144">
        <f>SUMIFS('январь 2026'!$G$2:$G$2684,'январь 2026'!$D$2:$D$2684,$B161,'январь 2026'!$J$2:$J$2684,D$1)</f>
        <v>0</v>
      </c>
      <c r="E161" s="144">
        <f>SUMIFS('январь 2026'!$G$2:$G$2684,'январь 2026'!$D$2:$D$2684,$B161,'январь 2026'!$J$2:$J$2684,E$1)</f>
        <v>0</v>
      </c>
      <c r="F161" s="144">
        <f>SUMIFS('январь 2026'!$G$2:$G$2684,'январь 2026'!$D$2:$D$2684,$B161,'январь 2026'!$J$2:$J$2684,F$1)</f>
        <v>0</v>
      </c>
      <c r="G161" s="144">
        <f>SUMIFS('январь 2026'!$G$2:$G$2684,'январь 2026'!$D$2:$D$2684,$B161,'январь 2026'!$J$2:$J$2684,G$1)</f>
        <v>0</v>
      </c>
      <c r="H161" s="144">
        <f>SUMIFS('январь 2026'!$G$2:$G$2684,'январь 2026'!$D$2:$D$2684,$B161,'январь 2026'!$J$2:$J$2684,H$1)</f>
        <v>0</v>
      </c>
      <c r="I161" s="144">
        <f>SUMIFS('январь 2026'!$G$2:$G$2684,'январь 2026'!$D$2:$D$2684,$B161,'январь 2026'!$J$2:$J$2684,I$1)</f>
        <v>0</v>
      </c>
      <c r="J161" s="144">
        <f>SUMIFS('январь 2026'!$G$2:$G$2684,'январь 2026'!$D$2:$D$2684,$B161,'январь 2026'!$J$2:$J$2684,J$1)</f>
        <v>0</v>
      </c>
      <c r="K161" s="144">
        <f>SUMIFS('январь 2026'!$G$2:$G$2684,'январь 2026'!$D$2:$D$2684,$B161,'январь 2026'!$J$2:$J$2684,K$1)</f>
        <v>0</v>
      </c>
      <c r="L161" s="144">
        <f>SUMIFS('январь 2026'!$G$2:$G$2684,'январь 2026'!$D$2:$D$2684,$B161,'январь 2026'!$J$2:$J$2684,L$1)</f>
        <v>0</v>
      </c>
      <c r="M161" s="144">
        <f>SUMIFS('январь 2026'!$G$2:$G$2684,'январь 2026'!$D$2:$D$2684,$B161,'январь 2026'!$J$2:$J$2684,M$1)</f>
        <v>0</v>
      </c>
      <c r="N161" s="144">
        <f>SUMIFS('январь 2026'!$G$2:$G$2684,'январь 2026'!$D$2:$D$2684,$B161,'январь 2026'!$J$2:$J$2684,N$1)</f>
        <v>0</v>
      </c>
      <c r="O161" s="144">
        <f>SUMIFS('январь 2026'!$G$2:$G$2684,'январь 2026'!$D$2:$D$2684,$B161,'январь 2026'!$J$2:$J$2684,O$1)</f>
        <v>0</v>
      </c>
      <c r="P161" s="144">
        <f>SUMIFS('январь 2026'!$G$2:$G$2684,'январь 2026'!$D$2:$D$2684,$B161,'январь 2026'!$J$2:$J$2684,P$1)</f>
        <v>0</v>
      </c>
      <c r="Q161" s="144">
        <f>SUMIFS('январь 2026'!$G$2:$G$2684,'январь 2026'!$D$2:$D$2684,$B161,'январь 2026'!$J$2:$J$2684,Q$1)</f>
        <v>0</v>
      </c>
      <c r="R161" s="144">
        <f>SUMIFS('январь 2026'!$G$2:$G$2684,'январь 2026'!$D$2:$D$2684,$B161,'январь 2026'!$J$2:$J$2684,R$1)</f>
        <v>0</v>
      </c>
      <c r="S161" s="144">
        <f>SUMIFS('январь 2026'!$G$2:$G$2684,'январь 2026'!$D$2:$D$2684,$B161,'январь 2026'!$J$2:$J$2684,S$1)</f>
        <v>0</v>
      </c>
      <c r="T161" s="144">
        <f>SUMIFS('январь 2026'!$G$2:$G$2684,'январь 2026'!$D$2:$D$2684,$B161,'январь 2026'!$J$2:$J$2684,T$1)</f>
        <v>0</v>
      </c>
      <c r="U161" s="144">
        <f>SUMIFS('январь 2026'!$G$2:$G$2684,'январь 2026'!$D$2:$D$2684,$B161,'январь 2026'!$J$2:$J$2684,U$1)</f>
        <v>0</v>
      </c>
      <c r="V161" s="144">
        <f>SUMIFS('январь 2026'!$G$2:$G$2684,'январь 2026'!$D$2:$D$2684,$B161,'январь 2026'!$J$2:$J$2684,V$1)</f>
        <v>0</v>
      </c>
      <c r="W161" s="144">
        <f>SUMIFS('январь 2026'!$G$2:$G$2684,'январь 2026'!$D$2:$D$2684,$B161,'январь 2026'!$J$2:$J$2684,W$1)</f>
        <v>0</v>
      </c>
      <c r="X161" s="144">
        <f>SUMIFS('январь 2026'!$G$2:$G$2684,'январь 2026'!$D$2:$D$2684,$B161,'январь 2026'!$J$2:$J$2684,X$1)</f>
        <v>0</v>
      </c>
      <c r="Y161" s="144">
        <f>SUMIFS('январь 2026'!$G$2:$G$2684,'январь 2026'!$D$2:$D$2684,$B161,'январь 2026'!$J$2:$J$2684,Y$1)</f>
        <v>0</v>
      </c>
      <c r="Z161" s="144">
        <f>SUMIFS('январь 2026'!$G$2:$G$2684,'январь 2026'!$D$2:$D$2684,$B161,'январь 2026'!$J$2:$J$2684,Z$1)</f>
        <v>0</v>
      </c>
      <c r="AA161" s="144">
        <f>SUMIFS('январь 2026'!$G$2:$G$2684,'январь 2026'!$D$2:$D$2684,$B161,'январь 2026'!$J$2:$J$2684,AA$1)</f>
        <v>0</v>
      </c>
      <c r="AB161" s="144">
        <f>SUMIFS('январь 2026'!$G$2:$G$2684,'январь 2026'!$D$2:$D$2684,$B161,'январь 2026'!$J$2:$J$2684,AB$1)</f>
        <v>0</v>
      </c>
      <c r="AC161" s="144">
        <f>SUMIFS('январь 2026'!$G$2:$G$2684,'январь 2026'!$D$2:$D$2684,$B161,'январь 2026'!$J$2:$J$2684,AC$1)</f>
        <v>0</v>
      </c>
      <c r="AD161" s="144">
        <f>SUMIFS('январь 2026'!$G$2:$G$2684,'январь 2026'!$D$2:$D$2684,$B161,'январь 2026'!$J$2:$J$2684,AD$1)</f>
        <v>0</v>
      </c>
      <c r="AE161" s="144">
        <f>SUMIFS('январь 2026'!$G$2:$G$2684,'январь 2026'!$D$2:$D$2684,$B161,'январь 2026'!$J$2:$J$2684,AE$1)</f>
        <v>0</v>
      </c>
      <c r="AF161" s="144">
        <f>SUMIFS('январь 2026'!$G$2:$G$2684,'январь 2026'!$D$2:$D$2684,$B161,'январь 2026'!$J$2:$J$2684,AF$1)</f>
        <v>0</v>
      </c>
      <c r="AG161" s="144">
        <f>SUMIFS('январь 2026'!$G$2:$G$2684,'январь 2026'!$D$2:$D$2684,$B161,'январь 2026'!$J$2:$J$2684,AG$1)</f>
        <v>0</v>
      </c>
      <c r="AH161" s="144">
        <f>SUMIFS('январь 2026'!$G$2:$G$2684,'январь 2026'!$D$2:$D$2684,$B161,'январь 2026'!$J$2:$J$2684,AH$1)</f>
        <v>0</v>
      </c>
      <c r="AI161" s="20">
        <f t="shared" si="1"/>
        <v>0</v>
      </c>
    </row>
    <row r="162" spans="2:35" ht="15" customHeight="1" x14ac:dyDescent="0.25">
      <c r="B162" s="82" t="s">
        <v>281</v>
      </c>
      <c r="C162" s="83">
        <v>200</v>
      </c>
      <c r="D162" s="144">
        <f>SUMIFS('январь 2026'!$G$2:$G$2684,'январь 2026'!$D$2:$D$2684,$B162,'январь 2026'!$J$2:$J$2684,D$1)</f>
        <v>0</v>
      </c>
      <c r="E162" s="144">
        <f>SUMIFS('январь 2026'!$G$2:$G$2684,'январь 2026'!$D$2:$D$2684,$B162,'январь 2026'!$J$2:$J$2684,E$1)</f>
        <v>0</v>
      </c>
      <c r="F162" s="144">
        <f>SUMIFS('январь 2026'!$G$2:$G$2684,'январь 2026'!$D$2:$D$2684,$B162,'январь 2026'!$J$2:$J$2684,F$1)</f>
        <v>0</v>
      </c>
      <c r="G162" s="144">
        <f>SUMIFS('январь 2026'!$G$2:$G$2684,'январь 2026'!$D$2:$D$2684,$B162,'январь 2026'!$J$2:$J$2684,G$1)</f>
        <v>0</v>
      </c>
      <c r="H162" s="144">
        <f>SUMIFS('январь 2026'!$G$2:$G$2684,'январь 2026'!$D$2:$D$2684,$B162,'январь 2026'!$J$2:$J$2684,H$1)</f>
        <v>0</v>
      </c>
      <c r="I162" s="144">
        <f>SUMIFS('январь 2026'!$G$2:$G$2684,'январь 2026'!$D$2:$D$2684,$B162,'январь 2026'!$J$2:$J$2684,I$1)</f>
        <v>0</v>
      </c>
      <c r="J162" s="144">
        <f>SUMIFS('январь 2026'!$G$2:$G$2684,'январь 2026'!$D$2:$D$2684,$B162,'январь 2026'!$J$2:$J$2684,J$1)</f>
        <v>0</v>
      </c>
      <c r="K162" s="144">
        <f>SUMIFS('январь 2026'!$G$2:$G$2684,'январь 2026'!$D$2:$D$2684,$B162,'январь 2026'!$J$2:$J$2684,K$1)</f>
        <v>0</v>
      </c>
      <c r="L162" s="144">
        <f>SUMIFS('январь 2026'!$G$2:$G$2684,'январь 2026'!$D$2:$D$2684,$B162,'январь 2026'!$J$2:$J$2684,L$1)</f>
        <v>0</v>
      </c>
      <c r="M162" s="144">
        <f>SUMIFS('январь 2026'!$G$2:$G$2684,'январь 2026'!$D$2:$D$2684,$B162,'январь 2026'!$J$2:$J$2684,M$1)</f>
        <v>0</v>
      </c>
      <c r="N162" s="144">
        <f>SUMIFS('январь 2026'!$G$2:$G$2684,'январь 2026'!$D$2:$D$2684,$B162,'январь 2026'!$J$2:$J$2684,N$1)</f>
        <v>0</v>
      </c>
      <c r="O162" s="144">
        <f>SUMIFS('январь 2026'!$G$2:$G$2684,'январь 2026'!$D$2:$D$2684,$B162,'январь 2026'!$J$2:$J$2684,O$1)</f>
        <v>0</v>
      </c>
      <c r="P162" s="144">
        <f>SUMIFS('январь 2026'!$G$2:$G$2684,'январь 2026'!$D$2:$D$2684,$B162,'январь 2026'!$J$2:$J$2684,P$1)</f>
        <v>0</v>
      </c>
      <c r="Q162" s="144">
        <f>SUMIFS('январь 2026'!$G$2:$G$2684,'январь 2026'!$D$2:$D$2684,$B162,'январь 2026'!$J$2:$J$2684,Q$1)</f>
        <v>0</v>
      </c>
      <c r="R162" s="144">
        <f>SUMIFS('январь 2026'!$G$2:$G$2684,'январь 2026'!$D$2:$D$2684,$B162,'январь 2026'!$J$2:$J$2684,R$1)</f>
        <v>0</v>
      </c>
      <c r="S162" s="144">
        <f>SUMIFS('январь 2026'!$G$2:$G$2684,'январь 2026'!$D$2:$D$2684,$B162,'январь 2026'!$J$2:$J$2684,S$1)</f>
        <v>0</v>
      </c>
      <c r="T162" s="144">
        <f>SUMIFS('январь 2026'!$G$2:$G$2684,'январь 2026'!$D$2:$D$2684,$B162,'январь 2026'!$J$2:$J$2684,T$1)</f>
        <v>0</v>
      </c>
      <c r="U162" s="144">
        <f>SUMIFS('январь 2026'!$G$2:$G$2684,'январь 2026'!$D$2:$D$2684,$B162,'январь 2026'!$J$2:$J$2684,U$1)</f>
        <v>0</v>
      </c>
      <c r="V162" s="144">
        <f>SUMIFS('январь 2026'!$G$2:$G$2684,'январь 2026'!$D$2:$D$2684,$B162,'январь 2026'!$J$2:$J$2684,V$1)</f>
        <v>0</v>
      </c>
      <c r="W162" s="144">
        <f>SUMIFS('январь 2026'!$G$2:$G$2684,'январь 2026'!$D$2:$D$2684,$B162,'январь 2026'!$J$2:$J$2684,W$1)</f>
        <v>0</v>
      </c>
      <c r="X162" s="144">
        <f>SUMIFS('январь 2026'!$G$2:$G$2684,'январь 2026'!$D$2:$D$2684,$B162,'январь 2026'!$J$2:$J$2684,X$1)</f>
        <v>0</v>
      </c>
      <c r="Y162" s="144">
        <f>SUMIFS('январь 2026'!$G$2:$G$2684,'январь 2026'!$D$2:$D$2684,$B162,'январь 2026'!$J$2:$J$2684,Y$1)</f>
        <v>0</v>
      </c>
      <c r="Z162" s="144">
        <f>SUMIFS('январь 2026'!$G$2:$G$2684,'январь 2026'!$D$2:$D$2684,$B162,'январь 2026'!$J$2:$J$2684,Z$1)</f>
        <v>0</v>
      </c>
      <c r="AA162" s="144">
        <f>SUMIFS('январь 2026'!$G$2:$G$2684,'январь 2026'!$D$2:$D$2684,$B162,'январь 2026'!$J$2:$J$2684,AA$1)</f>
        <v>0</v>
      </c>
      <c r="AB162" s="144">
        <f>SUMIFS('январь 2026'!$G$2:$G$2684,'январь 2026'!$D$2:$D$2684,$B162,'январь 2026'!$J$2:$J$2684,AB$1)</f>
        <v>0</v>
      </c>
      <c r="AC162" s="144">
        <f>SUMIFS('январь 2026'!$G$2:$G$2684,'январь 2026'!$D$2:$D$2684,$B162,'январь 2026'!$J$2:$J$2684,AC$1)</f>
        <v>0</v>
      </c>
      <c r="AD162" s="144">
        <f>SUMIFS('январь 2026'!$G$2:$G$2684,'январь 2026'!$D$2:$D$2684,$B162,'январь 2026'!$J$2:$J$2684,AD$1)</f>
        <v>0</v>
      </c>
      <c r="AE162" s="144">
        <f>SUMIFS('январь 2026'!$G$2:$G$2684,'январь 2026'!$D$2:$D$2684,$B162,'январь 2026'!$J$2:$J$2684,AE$1)</f>
        <v>0</v>
      </c>
      <c r="AF162" s="144">
        <f>SUMIFS('январь 2026'!$G$2:$G$2684,'январь 2026'!$D$2:$D$2684,$B162,'январь 2026'!$J$2:$J$2684,AF$1)</f>
        <v>32</v>
      </c>
      <c r="AG162" s="144">
        <f>SUMIFS('январь 2026'!$G$2:$G$2684,'январь 2026'!$D$2:$D$2684,$B162,'январь 2026'!$J$2:$J$2684,AG$1)</f>
        <v>0</v>
      </c>
      <c r="AH162" s="144">
        <f>SUMIFS('январь 2026'!$G$2:$G$2684,'январь 2026'!$D$2:$D$2684,$B162,'январь 2026'!$J$2:$J$2684,AH$1)</f>
        <v>0</v>
      </c>
      <c r="AI162" s="20">
        <f t="shared" si="1"/>
        <v>32</v>
      </c>
    </row>
    <row r="163" spans="2:35" ht="15" customHeight="1" x14ac:dyDescent="0.25">
      <c r="B163" s="85" t="s">
        <v>175</v>
      </c>
      <c r="C163" s="83">
        <v>25</v>
      </c>
      <c r="D163" s="144">
        <f>SUMIFS('январь 2026'!$G$2:$G$2684,'январь 2026'!$D$2:$D$2684,$B163,'январь 2026'!$J$2:$J$2684,D$1)</f>
        <v>0</v>
      </c>
      <c r="E163" s="144">
        <f>SUMIFS('январь 2026'!$G$2:$G$2684,'январь 2026'!$D$2:$D$2684,$B163,'январь 2026'!$J$2:$J$2684,E$1)</f>
        <v>0</v>
      </c>
      <c r="F163" s="144">
        <f>SUMIFS('январь 2026'!$G$2:$G$2684,'январь 2026'!$D$2:$D$2684,$B163,'январь 2026'!$J$2:$J$2684,F$1)</f>
        <v>0</v>
      </c>
      <c r="G163" s="144">
        <f>SUMIFS('январь 2026'!$G$2:$G$2684,'январь 2026'!$D$2:$D$2684,$B163,'январь 2026'!$J$2:$J$2684,G$1)</f>
        <v>0</v>
      </c>
      <c r="H163" s="144">
        <f>SUMIFS('январь 2026'!$G$2:$G$2684,'январь 2026'!$D$2:$D$2684,$B163,'январь 2026'!$J$2:$J$2684,H$1)</f>
        <v>0</v>
      </c>
      <c r="I163" s="144">
        <f>SUMIFS('январь 2026'!$G$2:$G$2684,'январь 2026'!$D$2:$D$2684,$B163,'январь 2026'!$J$2:$J$2684,I$1)</f>
        <v>0</v>
      </c>
      <c r="J163" s="144">
        <f>SUMIFS('январь 2026'!$G$2:$G$2684,'январь 2026'!$D$2:$D$2684,$B163,'январь 2026'!$J$2:$J$2684,J$1)</f>
        <v>0</v>
      </c>
      <c r="K163" s="144">
        <f>SUMIFS('январь 2026'!$G$2:$G$2684,'январь 2026'!$D$2:$D$2684,$B163,'январь 2026'!$J$2:$J$2684,K$1)</f>
        <v>0</v>
      </c>
      <c r="L163" s="144">
        <f>SUMIFS('январь 2026'!$G$2:$G$2684,'январь 2026'!$D$2:$D$2684,$B163,'январь 2026'!$J$2:$J$2684,L$1)</f>
        <v>0</v>
      </c>
      <c r="M163" s="144">
        <f>SUMIFS('январь 2026'!$G$2:$G$2684,'январь 2026'!$D$2:$D$2684,$B163,'январь 2026'!$J$2:$J$2684,M$1)</f>
        <v>0</v>
      </c>
      <c r="N163" s="144">
        <f>SUMIFS('январь 2026'!$G$2:$G$2684,'январь 2026'!$D$2:$D$2684,$B163,'январь 2026'!$J$2:$J$2684,N$1)</f>
        <v>0</v>
      </c>
      <c r="O163" s="144">
        <f>SUMIFS('январь 2026'!$G$2:$G$2684,'январь 2026'!$D$2:$D$2684,$B163,'январь 2026'!$J$2:$J$2684,O$1)</f>
        <v>0</v>
      </c>
      <c r="P163" s="144">
        <f>SUMIFS('январь 2026'!$G$2:$G$2684,'январь 2026'!$D$2:$D$2684,$B163,'январь 2026'!$J$2:$J$2684,P$1)</f>
        <v>0</v>
      </c>
      <c r="Q163" s="144">
        <f>SUMIFS('январь 2026'!$G$2:$G$2684,'январь 2026'!$D$2:$D$2684,$B163,'январь 2026'!$J$2:$J$2684,Q$1)</f>
        <v>0</v>
      </c>
      <c r="R163" s="144">
        <f>SUMIFS('январь 2026'!$G$2:$G$2684,'январь 2026'!$D$2:$D$2684,$B163,'январь 2026'!$J$2:$J$2684,R$1)</f>
        <v>0</v>
      </c>
      <c r="S163" s="144">
        <f>SUMIFS('январь 2026'!$G$2:$G$2684,'январь 2026'!$D$2:$D$2684,$B163,'январь 2026'!$J$2:$J$2684,S$1)</f>
        <v>0</v>
      </c>
      <c r="T163" s="144">
        <f>SUMIFS('январь 2026'!$G$2:$G$2684,'январь 2026'!$D$2:$D$2684,$B163,'январь 2026'!$J$2:$J$2684,T$1)</f>
        <v>0</v>
      </c>
      <c r="U163" s="144">
        <f>SUMIFS('январь 2026'!$G$2:$G$2684,'январь 2026'!$D$2:$D$2684,$B163,'январь 2026'!$J$2:$J$2684,U$1)</f>
        <v>0</v>
      </c>
      <c r="V163" s="144">
        <f>SUMIFS('январь 2026'!$G$2:$G$2684,'январь 2026'!$D$2:$D$2684,$B163,'январь 2026'!$J$2:$J$2684,V$1)</f>
        <v>0</v>
      </c>
      <c r="W163" s="144">
        <f>SUMIFS('январь 2026'!$G$2:$G$2684,'январь 2026'!$D$2:$D$2684,$B163,'январь 2026'!$J$2:$J$2684,W$1)</f>
        <v>0</v>
      </c>
      <c r="X163" s="144">
        <f>SUMIFS('январь 2026'!$G$2:$G$2684,'январь 2026'!$D$2:$D$2684,$B163,'январь 2026'!$J$2:$J$2684,X$1)</f>
        <v>0</v>
      </c>
      <c r="Y163" s="144">
        <f>SUMIFS('январь 2026'!$G$2:$G$2684,'январь 2026'!$D$2:$D$2684,$B163,'январь 2026'!$J$2:$J$2684,Y$1)</f>
        <v>0</v>
      </c>
      <c r="Z163" s="144">
        <f>SUMIFS('январь 2026'!$G$2:$G$2684,'январь 2026'!$D$2:$D$2684,$B163,'январь 2026'!$J$2:$J$2684,Z$1)</f>
        <v>0</v>
      </c>
      <c r="AA163" s="144">
        <f>SUMIFS('январь 2026'!$G$2:$G$2684,'январь 2026'!$D$2:$D$2684,$B163,'январь 2026'!$J$2:$J$2684,AA$1)</f>
        <v>0</v>
      </c>
      <c r="AB163" s="144">
        <f>SUMIFS('январь 2026'!$G$2:$G$2684,'январь 2026'!$D$2:$D$2684,$B163,'январь 2026'!$J$2:$J$2684,AB$1)</f>
        <v>0</v>
      </c>
      <c r="AC163" s="144">
        <f>SUMIFS('январь 2026'!$G$2:$G$2684,'январь 2026'!$D$2:$D$2684,$B163,'январь 2026'!$J$2:$J$2684,AC$1)</f>
        <v>0</v>
      </c>
      <c r="AD163" s="144">
        <f>SUMIFS('январь 2026'!$G$2:$G$2684,'январь 2026'!$D$2:$D$2684,$B163,'январь 2026'!$J$2:$J$2684,AD$1)</f>
        <v>0</v>
      </c>
      <c r="AE163" s="144">
        <f>SUMIFS('январь 2026'!$G$2:$G$2684,'январь 2026'!$D$2:$D$2684,$B163,'январь 2026'!$J$2:$J$2684,AE$1)</f>
        <v>0</v>
      </c>
      <c r="AF163" s="144">
        <f>SUMIFS('январь 2026'!$G$2:$G$2684,'январь 2026'!$D$2:$D$2684,$B163,'январь 2026'!$J$2:$J$2684,AF$1)</f>
        <v>0</v>
      </c>
      <c r="AG163" s="144">
        <f>SUMIFS('январь 2026'!$G$2:$G$2684,'январь 2026'!$D$2:$D$2684,$B163,'январь 2026'!$J$2:$J$2684,AG$1)</f>
        <v>0</v>
      </c>
      <c r="AH163" s="144">
        <f>SUMIFS('январь 2026'!$G$2:$G$2684,'январь 2026'!$D$2:$D$2684,$B163,'январь 2026'!$J$2:$J$2684,AH$1)</f>
        <v>0</v>
      </c>
      <c r="AI163" s="20">
        <f t="shared" si="1"/>
        <v>0</v>
      </c>
    </row>
    <row r="164" spans="2:35" ht="15" customHeight="1" x14ac:dyDescent="0.25">
      <c r="B164" s="82" t="s">
        <v>173</v>
      </c>
      <c r="C164" s="81">
        <v>25</v>
      </c>
      <c r="D164" s="144">
        <f>SUMIFS('январь 2026'!$G$2:$G$2684,'январь 2026'!$D$2:$D$2684,$B164,'январь 2026'!$J$2:$J$2684,D$1)</f>
        <v>0</v>
      </c>
      <c r="E164" s="144">
        <f>SUMIFS('январь 2026'!$G$2:$G$2684,'январь 2026'!$D$2:$D$2684,$B164,'январь 2026'!$J$2:$J$2684,E$1)</f>
        <v>0</v>
      </c>
      <c r="F164" s="144">
        <f>SUMIFS('январь 2026'!$G$2:$G$2684,'январь 2026'!$D$2:$D$2684,$B164,'январь 2026'!$J$2:$J$2684,F$1)</f>
        <v>0</v>
      </c>
      <c r="G164" s="144">
        <f>SUMIFS('январь 2026'!$G$2:$G$2684,'январь 2026'!$D$2:$D$2684,$B164,'январь 2026'!$J$2:$J$2684,G$1)</f>
        <v>0</v>
      </c>
      <c r="H164" s="144">
        <f>SUMIFS('январь 2026'!$G$2:$G$2684,'январь 2026'!$D$2:$D$2684,$B164,'январь 2026'!$J$2:$J$2684,H$1)</f>
        <v>0</v>
      </c>
      <c r="I164" s="144">
        <f>SUMIFS('январь 2026'!$G$2:$G$2684,'январь 2026'!$D$2:$D$2684,$B164,'январь 2026'!$J$2:$J$2684,I$1)</f>
        <v>0</v>
      </c>
      <c r="J164" s="144">
        <f>SUMIFS('январь 2026'!$G$2:$G$2684,'январь 2026'!$D$2:$D$2684,$B164,'январь 2026'!$J$2:$J$2684,J$1)</f>
        <v>0</v>
      </c>
      <c r="K164" s="144">
        <f>SUMIFS('январь 2026'!$G$2:$G$2684,'январь 2026'!$D$2:$D$2684,$B164,'январь 2026'!$J$2:$J$2684,K$1)</f>
        <v>0</v>
      </c>
      <c r="L164" s="144">
        <f>SUMIFS('январь 2026'!$G$2:$G$2684,'январь 2026'!$D$2:$D$2684,$B164,'январь 2026'!$J$2:$J$2684,L$1)</f>
        <v>0</v>
      </c>
      <c r="M164" s="144">
        <f>SUMIFS('январь 2026'!$G$2:$G$2684,'январь 2026'!$D$2:$D$2684,$B164,'январь 2026'!$J$2:$J$2684,M$1)</f>
        <v>0</v>
      </c>
      <c r="N164" s="144">
        <f>SUMIFS('январь 2026'!$G$2:$G$2684,'январь 2026'!$D$2:$D$2684,$B164,'январь 2026'!$J$2:$J$2684,N$1)</f>
        <v>0</v>
      </c>
      <c r="O164" s="144">
        <f>SUMIFS('январь 2026'!$G$2:$G$2684,'январь 2026'!$D$2:$D$2684,$B164,'январь 2026'!$J$2:$J$2684,O$1)</f>
        <v>0</v>
      </c>
      <c r="P164" s="144">
        <f>SUMIFS('январь 2026'!$G$2:$G$2684,'январь 2026'!$D$2:$D$2684,$B164,'январь 2026'!$J$2:$J$2684,P$1)</f>
        <v>0</v>
      </c>
      <c r="Q164" s="144">
        <f>SUMIFS('январь 2026'!$G$2:$G$2684,'январь 2026'!$D$2:$D$2684,$B164,'январь 2026'!$J$2:$J$2684,Q$1)</f>
        <v>0</v>
      </c>
      <c r="R164" s="144">
        <f>SUMIFS('январь 2026'!$G$2:$G$2684,'январь 2026'!$D$2:$D$2684,$B164,'январь 2026'!$J$2:$J$2684,R$1)</f>
        <v>0</v>
      </c>
      <c r="S164" s="144">
        <f>SUMIFS('январь 2026'!$G$2:$G$2684,'январь 2026'!$D$2:$D$2684,$B164,'январь 2026'!$J$2:$J$2684,S$1)</f>
        <v>0</v>
      </c>
      <c r="T164" s="144">
        <f>SUMIFS('январь 2026'!$G$2:$G$2684,'январь 2026'!$D$2:$D$2684,$B164,'январь 2026'!$J$2:$J$2684,T$1)</f>
        <v>0</v>
      </c>
      <c r="U164" s="144">
        <f>SUMIFS('январь 2026'!$G$2:$G$2684,'январь 2026'!$D$2:$D$2684,$B164,'январь 2026'!$J$2:$J$2684,U$1)</f>
        <v>0</v>
      </c>
      <c r="V164" s="144">
        <f>SUMIFS('январь 2026'!$G$2:$G$2684,'январь 2026'!$D$2:$D$2684,$B164,'январь 2026'!$J$2:$J$2684,V$1)</f>
        <v>0</v>
      </c>
      <c r="W164" s="144">
        <f>SUMIFS('январь 2026'!$G$2:$G$2684,'январь 2026'!$D$2:$D$2684,$B164,'январь 2026'!$J$2:$J$2684,W$1)</f>
        <v>0</v>
      </c>
      <c r="X164" s="144">
        <f>SUMIFS('январь 2026'!$G$2:$G$2684,'январь 2026'!$D$2:$D$2684,$B164,'январь 2026'!$J$2:$J$2684,X$1)</f>
        <v>0</v>
      </c>
      <c r="Y164" s="144">
        <f>SUMIFS('январь 2026'!$G$2:$G$2684,'январь 2026'!$D$2:$D$2684,$B164,'январь 2026'!$J$2:$J$2684,Y$1)</f>
        <v>0</v>
      </c>
      <c r="Z164" s="144">
        <f>SUMIFS('январь 2026'!$G$2:$G$2684,'январь 2026'!$D$2:$D$2684,$B164,'январь 2026'!$J$2:$J$2684,Z$1)</f>
        <v>0</v>
      </c>
      <c r="AA164" s="144">
        <f>SUMIFS('январь 2026'!$G$2:$G$2684,'январь 2026'!$D$2:$D$2684,$B164,'январь 2026'!$J$2:$J$2684,AA$1)</f>
        <v>0</v>
      </c>
      <c r="AB164" s="144">
        <f>SUMIFS('январь 2026'!$G$2:$G$2684,'январь 2026'!$D$2:$D$2684,$B164,'январь 2026'!$J$2:$J$2684,AB$1)</f>
        <v>0</v>
      </c>
      <c r="AC164" s="144">
        <f>SUMIFS('январь 2026'!$G$2:$G$2684,'январь 2026'!$D$2:$D$2684,$B164,'январь 2026'!$J$2:$J$2684,AC$1)</f>
        <v>0</v>
      </c>
      <c r="AD164" s="144">
        <f>SUMIFS('январь 2026'!$G$2:$G$2684,'январь 2026'!$D$2:$D$2684,$B164,'январь 2026'!$J$2:$J$2684,AD$1)</f>
        <v>0</v>
      </c>
      <c r="AE164" s="144">
        <f>SUMIFS('январь 2026'!$G$2:$G$2684,'январь 2026'!$D$2:$D$2684,$B164,'январь 2026'!$J$2:$J$2684,AE$1)</f>
        <v>0</v>
      </c>
      <c r="AF164" s="144">
        <f>SUMIFS('январь 2026'!$G$2:$G$2684,'январь 2026'!$D$2:$D$2684,$B164,'январь 2026'!$J$2:$J$2684,AF$1)</f>
        <v>0</v>
      </c>
      <c r="AG164" s="144">
        <f>SUMIFS('январь 2026'!$G$2:$G$2684,'январь 2026'!$D$2:$D$2684,$B164,'январь 2026'!$J$2:$J$2684,AG$1)</f>
        <v>0</v>
      </c>
      <c r="AH164" s="144">
        <f>SUMIFS('январь 2026'!$G$2:$G$2684,'январь 2026'!$D$2:$D$2684,$B164,'январь 2026'!$J$2:$J$2684,AH$1)</f>
        <v>0</v>
      </c>
      <c r="AI164" s="20">
        <f t="shared" si="1"/>
        <v>0</v>
      </c>
    </row>
    <row r="165" spans="2:35" ht="15" customHeight="1" x14ac:dyDescent="0.25">
      <c r="B165" s="82" t="s">
        <v>174</v>
      </c>
      <c r="C165" s="81">
        <v>25</v>
      </c>
      <c r="D165" s="144">
        <f>SUMIFS('январь 2026'!$G$2:$G$2684,'январь 2026'!$D$2:$D$2684,$B165,'январь 2026'!$J$2:$J$2684,D$1)</f>
        <v>0</v>
      </c>
      <c r="E165" s="144">
        <f>SUMIFS('январь 2026'!$G$2:$G$2684,'январь 2026'!$D$2:$D$2684,$B165,'январь 2026'!$J$2:$J$2684,E$1)</f>
        <v>0</v>
      </c>
      <c r="F165" s="144">
        <f>SUMIFS('январь 2026'!$G$2:$G$2684,'январь 2026'!$D$2:$D$2684,$B165,'январь 2026'!$J$2:$J$2684,F$1)</f>
        <v>0</v>
      </c>
      <c r="G165" s="144">
        <f>SUMIFS('январь 2026'!$G$2:$G$2684,'январь 2026'!$D$2:$D$2684,$B165,'январь 2026'!$J$2:$J$2684,G$1)</f>
        <v>0</v>
      </c>
      <c r="H165" s="144">
        <f>SUMIFS('январь 2026'!$G$2:$G$2684,'январь 2026'!$D$2:$D$2684,$B165,'январь 2026'!$J$2:$J$2684,H$1)</f>
        <v>0</v>
      </c>
      <c r="I165" s="144">
        <f>SUMIFS('январь 2026'!$G$2:$G$2684,'январь 2026'!$D$2:$D$2684,$B165,'январь 2026'!$J$2:$J$2684,I$1)</f>
        <v>0</v>
      </c>
      <c r="J165" s="144">
        <f>SUMIFS('январь 2026'!$G$2:$G$2684,'январь 2026'!$D$2:$D$2684,$B165,'январь 2026'!$J$2:$J$2684,J$1)</f>
        <v>0</v>
      </c>
      <c r="K165" s="144">
        <f>SUMIFS('январь 2026'!$G$2:$G$2684,'январь 2026'!$D$2:$D$2684,$B165,'январь 2026'!$J$2:$J$2684,K$1)</f>
        <v>0</v>
      </c>
      <c r="L165" s="144">
        <f>SUMIFS('январь 2026'!$G$2:$G$2684,'январь 2026'!$D$2:$D$2684,$B165,'январь 2026'!$J$2:$J$2684,L$1)</f>
        <v>0</v>
      </c>
      <c r="M165" s="144">
        <f>SUMIFS('январь 2026'!$G$2:$G$2684,'январь 2026'!$D$2:$D$2684,$B165,'январь 2026'!$J$2:$J$2684,M$1)</f>
        <v>0</v>
      </c>
      <c r="N165" s="144">
        <f>SUMIFS('январь 2026'!$G$2:$G$2684,'январь 2026'!$D$2:$D$2684,$B165,'январь 2026'!$J$2:$J$2684,N$1)</f>
        <v>0</v>
      </c>
      <c r="O165" s="144">
        <f>SUMIFS('январь 2026'!$G$2:$G$2684,'январь 2026'!$D$2:$D$2684,$B165,'январь 2026'!$J$2:$J$2684,O$1)</f>
        <v>0</v>
      </c>
      <c r="P165" s="144">
        <f>SUMIFS('январь 2026'!$G$2:$G$2684,'январь 2026'!$D$2:$D$2684,$B165,'январь 2026'!$J$2:$J$2684,P$1)</f>
        <v>0</v>
      </c>
      <c r="Q165" s="144">
        <f>SUMIFS('январь 2026'!$G$2:$G$2684,'январь 2026'!$D$2:$D$2684,$B165,'январь 2026'!$J$2:$J$2684,Q$1)</f>
        <v>0</v>
      </c>
      <c r="R165" s="144">
        <f>SUMIFS('январь 2026'!$G$2:$G$2684,'январь 2026'!$D$2:$D$2684,$B165,'январь 2026'!$J$2:$J$2684,R$1)</f>
        <v>0</v>
      </c>
      <c r="S165" s="144">
        <f>SUMIFS('январь 2026'!$G$2:$G$2684,'январь 2026'!$D$2:$D$2684,$B165,'январь 2026'!$J$2:$J$2684,S$1)</f>
        <v>0</v>
      </c>
      <c r="T165" s="144">
        <f>SUMIFS('январь 2026'!$G$2:$G$2684,'январь 2026'!$D$2:$D$2684,$B165,'январь 2026'!$J$2:$J$2684,T$1)</f>
        <v>0</v>
      </c>
      <c r="U165" s="144">
        <f>SUMIFS('январь 2026'!$G$2:$G$2684,'январь 2026'!$D$2:$D$2684,$B165,'январь 2026'!$J$2:$J$2684,U$1)</f>
        <v>0</v>
      </c>
      <c r="V165" s="144">
        <f>SUMIFS('январь 2026'!$G$2:$G$2684,'январь 2026'!$D$2:$D$2684,$B165,'январь 2026'!$J$2:$J$2684,V$1)</f>
        <v>0</v>
      </c>
      <c r="W165" s="144">
        <f>SUMIFS('январь 2026'!$G$2:$G$2684,'январь 2026'!$D$2:$D$2684,$B165,'январь 2026'!$J$2:$J$2684,W$1)</f>
        <v>0</v>
      </c>
      <c r="X165" s="144">
        <f>SUMIFS('январь 2026'!$G$2:$G$2684,'январь 2026'!$D$2:$D$2684,$B165,'январь 2026'!$J$2:$J$2684,X$1)</f>
        <v>0</v>
      </c>
      <c r="Y165" s="144">
        <f>SUMIFS('январь 2026'!$G$2:$G$2684,'январь 2026'!$D$2:$D$2684,$B165,'январь 2026'!$J$2:$J$2684,Y$1)</f>
        <v>0</v>
      </c>
      <c r="Z165" s="144">
        <f>SUMIFS('январь 2026'!$G$2:$G$2684,'январь 2026'!$D$2:$D$2684,$B165,'январь 2026'!$J$2:$J$2684,Z$1)</f>
        <v>0</v>
      </c>
      <c r="AA165" s="144">
        <f>SUMIFS('январь 2026'!$G$2:$G$2684,'январь 2026'!$D$2:$D$2684,$B165,'январь 2026'!$J$2:$J$2684,AA$1)</f>
        <v>0</v>
      </c>
      <c r="AB165" s="144">
        <f>SUMIFS('январь 2026'!$G$2:$G$2684,'январь 2026'!$D$2:$D$2684,$B165,'январь 2026'!$J$2:$J$2684,AB$1)</f>
        <v>0</v>
      </c>
      <c r="AC165" s="144">
        <f>SUMIFS('январь 2026'!$G$2:$G$2684,'январь 2026'!$D$2:$D$2684,$B165,'январь 2026'!$J$2:$J$2684,AC$1)</f>
        <v>0</v>
      </c>
      <c r="AD165" s="144">
        <f>SUMIFS('январь 2026'!$G$2:$G$2684,'январь 2026'!$D$2:$D$2684,$B165,'январь 2026'!$J$2:$J$2684,AD$1)</f>
        <v>0</v>
      </c>
      <c r="AE165" s="144">
        <f>SUMIFS('январь 2026'!$G$2:$G$2684,'январь 2026'!$D$2:$D$2684,$B165,'январь 2026'!$J$2:$J$2684,AE$1)</f>
        <v>0</v>
      </c>
      <c r="AF165" s="144">
        <f>SUMIFS('январь 2026'!$G$2:$G$2684,'январь 2026'!$D$2:$D$2684,$B165,'январь 2026'!$J$2:$J$2684,AF$1)</f>
        <v>0</v>
      </c>
      <c r="AG165" s="144">
        <f>SUMIFS('январь 2026'!$G$2:$G$2684,'январь 2026'!$D$2:$D$2684,$B165,'январь 2026'!$J$2:$J$2684,AG$1)</f>
        <v>0</v>
      </c>
      <c r="AH165" s="144">
        <f>SUMIFS('январь 2026'!$G$2:$G$2684,'январь 2026'!$D$2:$D$2684,$B165,'январь 2026'!$J$2:$J$2684,AH$1)</f>
        <v>0</v>
      </c>
      <c r="AI165" s="20">
        <f t="shared" si="1"/>
        <v>0</v>
      </c>
    </row>
    <row r="166" spans="2:35" ht="15" customHeight="1" x14ac:dyDescent="0.25">
      <c r="B166" s="82" t="s">
        <v>199</v>
      </c>
      <c r="C166" s="81">
        <v>25</v>
      </c>
      <c r="D166" s="144">
        <f>SUMIFS('январь 2026'!$G$2:$G$2684,'январь 2026'!$D$2:$D$2684,$B166,'январь 2026'!$J$2:$J$2684,D$1)</f>
        <v>0</v>
      </c>
      <c r="E166" s="144">
        <f>SUMIFS('январь 2026'!$G$2:$G$2684,'январь 2026'!$D$2:$D$2684,$B166,'январь 2026'!$J$2:$J$2684,E$1)</f>
        <v>0</v>
      </c>
      <c r="F166" s="144">
        <f>SUMIFS('январь 2026'!$G$2:$G$2684,'январь 2026'!$D$2:$D$2684,$B166,'январь 2026'!$J$2:$J$2684,F$1)</f>
        <v>0</v>
      </c>
      <c r="G166" s="144">
        <f>SUMIFS('январь 2026'!$G$2:$G$2684,'январь 2026'!$D$2:$D$2684,$B166,'январь 2026'!$J$2:$J$2684,G$1)</f>
        <v>0</v>
      </c>
      <c r="H166" s="144">
        <f>SUMIFS('январь 2026'!$G$2:$G$2684,'январь 2026'!$D$2:$D$2684,$B166,'январь 2026'!$J$2:$J$2684,H$1)</f>
        <v>0</v>
      </c>
      <c r="I166" s="144">
        <f>SUMIFS('январь 2026'!$G$2:$G$2684,'январь 2026'!$D$2:$D$2684,$B166,'январь 2026'!$J$2:$J$2684,I$1)</f>
        <v>0</v>
      </c>
      <c r="J166" s="144">
        <f>SUMIFS('январь 2026'!$G$2:$G$2684,'январь 2026'!$D$2:$D$2684,$B166,'январь 2026'!$J$2:$J$2684,J$1)</f>
        <v>0</v>
      </c>
      <c r="K166" s="144">
        <f>SUMIFS('январь 2026'!$G$2:$G$2684,'январь 2026'!$D$2:$D$2684,$B166,'январь 2026'!$J$2:$J$2684,K$1)</f>
        <v>0</v>
      </c>
      <c r="L166" s="144">
        <f>SUMIFS('январь 2026'!$G$2:$G$2684,'январь 2026'!$D$2:$D$2684,$B166,'январь 2026'!$J$2:$J$2684,L$1)</f>
        <v>0</v>
      </c>
      <c r="M166" s="144">
        <f>SUMIFS('январь 2026'!$G$2:$G$2684,'январь 2026'!$D$2:$D$2684,$B166,'январь 2026'!$J$2:$J$2684,M$1)</f>
        <v>0</v>
      </c>
      <c r="N166" s="144">
        <f>SUMIFS('январь 2026'!$G$2:$G$2684,'январь 2026'!$D$2:$D$2684,$B166,'январь 2026'!$J$2:$J$2684,N$1)</f>
        <v>0</v>
      </c>
      <c r="O166" s="144">
        <f>SUMIFS('январь 2026'!$G$2:$G$2684,'январь 2026'!$D$2:$D$2684,$B166,'январь 2026'!$J$2:$J$2684,O$1)</f>
        <v>0</v>
      </c>
      <c r="P166" s="144">
        <f>SUMIFS('январь 2026'!$G$2:$G$2684,'январь 2026'!$D$2:$D$2684,$B166,'январь 2026'!$J$2:$J$2684,P$1)</f>
        <v>0</v>
      </c>
      <c r="Q166" s="144">
        <f>SUMIFS('январь 2026'!$G$2:$G$2684,'январь 2026'!$D$2:$D$2684,$B166,'январь 2026'!$J$2:$J$2684,Q$1)</f>
        <v>0</v>
      </c>
      <c r="R166" s="144">
        <f>SUMIFS('январь 2026'!$G$2:$G$2684,'январь 2026'!$D$2:$D$2684,$B166,'январь 2026'!$J$2:$J$2684,R$1)</f>
        <v>0</v>
      </c>
      <c r="S166" s="144">
        <f>SUMIFS('январь 2026'!$G$2:$G$2684,'январь 2026'!$D$2:$D$2684,$B166,'январь 2026'!$J$2:$J$2684,S$1)</f>
        <v>0</v>
      </c>
      <c r="T166" s="144">
        <f>SUMIFS('январь 2026'!$G$2:$G$2684,'январь 2026'!$D$2:$D$2684,$B166,'январь 2026'!$J$2:$J$2684,T$1)</f>
        <v>0</v>
      </c>
      <c r="U166" s="144">
        <f>SUMIFS('январь 2026'!$G$2:$G$2684,'январь 2026'!$D$2:$D$2684,$B166,'январь 2026'!$J$2:$J$2684,U$1)</f>
        <v>0</v>
      </c>
      <c r="V166" s="144">
        <f>SUMIFS('январь 2026'!$G$2:$G$2684,'январь 2026'!$D$2:$D$2684,$B166,'январь 2026'!$J$2:$J$2684,V$1)</f>
        <v>0</v>
      </c>
      <c r="W166" s="144">
        <f>SUMIFS('январь 2026'!$G$2:$G$2684,'январь 2026'!$D$2:$D$2684,$B166,'январь 2026'!$J$2:$J$2684,W$1)</f>
        <v>0</v>
      </c>
      <c r="X166" s="144">
        <f>SUMIFS('январь 2026'!$G$2:$G$2684,'январь 2026'!$D$2:$D$2684,$B166,'январь 2026'!$J$2:$J$2684,X$1)</f>
        <v>0</v>
      </c>
      <c r="Y166" s="144">
        <f>SUMIFS('январь 2026'!$G$2:$G$2684,'январь 2026'!$D$2:$D$2684,$B166,'январь 2026'!$J$2:$J$2684,Y$1)</f>
        <v>0</v>
      </c>
      <c r="Z166" s="144">
        <f>SUMIFS('январь 2026'!$G$2:$G$2684,'январь 2026'!$D$2:$D$2684,$B166,'январь 2026'!$J$2:$J$2684,Z$1)</f>
        <v>0</v>
      </c>
      <c r="AA166" s="144">
        <f>SUMIFS('январь 2026'!$G$2:$G$2684,'январь 2026'!$D$2:$D$2684,$B166,'январь 2026'!$J$2:$J$2684,AA$1)</f>
        <v>0</v>
      </c>
      <c r="AB166" s="144">
        <f>SUMIFS('январь 2026'!$G$2:$G$2684,'январь 2026'!$D$2:$D$2684,$B166,'январь 2026'!$J$2:$J$2684,AB$1)</f>
        <v>0</v>
      </c>
      <c r="AC166" s="144">
        <f>SUMIFS('январь 2026'!$G$2:$G$2684,'январь 2026'!$D$2:$D$2684,$B166,'январь 2026'!$J$2:$J$2684,AC$1)</f>
        <v>0</v>
      </c>
      <c r="AD166" s="144">
        <f>SUMIFS('январь 2026'!$G$2:$G$2684,'январь 2026'!$D$2:$D$2684,$B166,'январь 2026'!$J$2:$J$2684,AD$1)</f>
        <v>0</v>
      </c>
      <c r="AE166" s="144">
        <f>SUMIFS('январь 2026'!$G$2:$G$2684,'январь 2026'!$D$2:$D$2684,$B166,'январь 2026'!$J$2:$J$2684,AE$1)</f>
        <v>0</v>
      </c>
      <c r="AF166" s="144">
        <f>SUMIFS('январь 2026'!$G$2:$G$2684,'январь 2026'!$D$2:$D$2684,$B166,'январь 2026'!$J$2:$J$2684,AF$1)</f>
        <v>0</v>
      </c>
      <c r="AG166" s="144">
        <f>SUMIFS('январь 2026'!$G$2:$G$2684,'январь 2026'!$D$2:$D$2684,$B166,'январь 2026'!$J$2:$J$2684,AG$1)</f>
        <v>0</v>
      </c>
      <c r="AH166" s="144">
        <f>SUMIFS('январь 2026'!$G$2:$G$2684,'январь 2026'!$D$2:$D$2684,$B166,'январь 2026'!$J$2:$J$2684,AH$1)</f>
        <v>0</v>
      </c>
      <c r="AI166" s="20">
        <f t="shared" si="1"/>
        <v>0</v>
      </c>
    </row>
    <row r="167" spans="2:35" ht="15" customHeight="1" x14ac:dyDescent="0.25">
      <c r="B167" s="82" t="s">
        <v>288</v>
      </c>
      <c r="C167" s="81">
        <v>200</v>
      </c>
      <c r="D167" s="144">
        <f>SUMIFS('январь 2026'!$G$2:$G$2684,'январь 2026'!$D$2:$D$2684,$B167,'январь 2026'!$J$2:$J$2684,D$1)</f>
        <v>0</v>
      </c>
      <c r="E167" s="144">
        <f>SUMIFS('январь 2026'!$G$2:$G$2684,'январь 2026'!$D$2:$D$2684,$B167,'январь 2026'!$J$2:$J$2684,E$1)</f>
        <v>0</v>
      </c>
      <c r="F167" s="144">
        <f>SUMIFS('январь 2026'!$G$2:$G$2684,'январь 2026'!$D$2:$D$2684,$B167,'январь 2026'!$J$2:$J$2684,F$1)</f>
        <v>0</v>
      </c>
      <c r="G167" s="144">
        <f>SUMIFS('январь 2026'!$G$2:$G$2684,'январь 2026'!$D$2:$D$2684,$B167,'январь 2026'!$J$2:$J$2684,G$1)</f>
        <v>0</v>
      </c>
      <c r="H167" s="144">
        <f>SUMIFS('январь 2026'!$G$2:$G$2684,'январь 2026'!$D$2:$D$2684,$B167,'январь 2026'!$J$2:$J$2684,H$1)</f>
        <v>0</v>
      </c>
      <c r="I167" s="144">
        <f>SUMIFS('январь 2026'!$G$2:$G$2684,'январь 2026'!$D$2:$D$2684,$B167,'январь 2026'!$J$2:$J$2684,I$1)</f>
        <v>0</v>
      </c>
      <c r="J167" s="144">
        <f>SUMIFS('январь 2026'!$G$2:$G$2684,'январь 2026'!$D$2:$D$2684,$B167,'январь 2026'!$J$2:$J$2684,J$1)</f>
        <v>0</v>
      </c>
      <c r="K167" s="144">
        <f>SUMIFS('январь 2026'!$G$2:$G$2684,'январь 2026'!$D$2:$D$2684,$B167,'январь 2026'!$J$2:$J$2684,K$1)</f>
        <v>0</v>
      </c>
      <c r="L167" s="144">
        <f>SUMIFS('январь 2026'!$G$2:$G$2684,'январь 2026'!$D$2:$D$2684,$B167,'январь 2026'!$J$2:$J$2684,L$1)</f>
        <v>0</v>
      </c>
      <c r="M167" s="144">
        <f>SUMIFS('январь 2026'!$G$2:$G$2684,'январь 2026'!$D$2:$D$2684,$B167,'январь 2026'!$J$2:$J$2684,M$1)</f>
        <v>0</v>
      </c>
      <c r="N167" s="144">
        <f>SUMIFS('январь 2026'!$G$2:$G$2684,'январь 2026'!$D$2:$D$2684,$B167,'январь 2026'!$J$2:$J$2684,N$1)</f>
        <v>0</v>
      </c>
      <c r="O167" s="144">
        <f>SUMIFS('январь 2026'!$G$2:$G$2684,'январь 2026'!$D$2:$D$2684,$B167,'январь 2026'!$J$2:$J$2684,O$1)</f>
        <v>0</v>
      </c>
      <c r="P167" s="144">
        <f>SUMIFS('январь 2026'!$G$2:$G$2684,'январь 2026'!$D$2:$D$2684,$B167,'январь 2026'!$J$2:$J$2684,P$1)</f>
        <v>0</v>
      </c>
      <c r="Q167" s="144">
        <f>SUMIFS('январь 2026'!$G$2:$G$2684,'январь 2026'!$D$2:$D$2684,$B167,'январь 2026'!$J$2:$J$2684,Q$1)</f>
        <v>0</v>
      </c>
      <c r="R167" s="144">
        <f>SUMIFS('январь 2026'!$G$2:$G$2684,'январь 2026'!$D$2:$D$2684,$B167,'январь 2026'!$J$2:$J$2684,R$1)</f>
        <v>0</v>
      </c>
      <c r="S167" s="144">
        <f>SUMIFS('январь 2026'!$G$2:$G$2684,'январь 2026'!$D$2:$D$2684,$B167,'январь 2026'!$J$2:$J$2684,S$1)</f>
        <v>0</v>
      </c>
      <c r="T167" s="144">
        <f>SUMIFS('январь 2026'!$G$2:$G$2684,'январь 2026'!$D$2:$D$2684,$B167,'январь 2026'!$J$2:$J$2684,T$1)</f>
        <v>0</v>
      </c>
      <c r="U167" s="144">
        <f>SUMIFS('январь 2026'!$G$2:$G$2684,'январь 2026'!$D$2:$D$2684,$B167,'январь 2026'!$J$2:$J$2684,U$1)</f>
        <v>0</v>
      </c>
      <c r="V167" s="144">
        <f>SUMIFS('январь 2026'!$G$2:$G$2684,'январь 2026'!$D$2:$D$2684,$B167,'январь 2026'!$J$2:$J$2684,V$1)</f>
        <v>0</v>
      </c>
      <c r="W167" s="144">
        <f>SUMIFS('январь 2026'!$G$2:$G$2684,'январь 2026'!$D$2:$D$2684,$B167,'январь 2026'!$J$2:$J$2684,W$1)</f>
        <v>0</v>
      </c>
      <c r="X167" s="144">
        <f>SUMIFS('январь 2026'!$G$2:$G$2684,'январь 2026'!$D$2:$D$2684,$B167,'январь 2026'!$J$2:$J$2684,X$1)</f>
        <v>0</v>
      </c>
      <c r="Y167" s="144">
        <f>SUMIFS('январь 2026'!$G$2:$G$2684,'январь 2026'!$D$2:$D$2684,$B167,'январь 2026'!$J$2:$J$2684,Y$1)</f>
        <v>0</v>
      </c>
      <c r="Z167" s="144">
        <f>SUMIFS('январь 2026'!$G$2:$G$2684,'январь 2026'!$D$2:$D$2684,$B167,'январь 2026'!$J$2:$J$2684,Z$1)</f>
        <v>0</v>
      </c>
      <c r="AA167" s="144">
        <f>SUMIFS('январь 2026'!$G$2:$G$2684,'январь 2026'!$D$2:$D$2684,$B167,'январь 2026'!$J$2:$J$2684,AA$1)</f>
        <v>0</v>
      </c>
      <c r="AB167" s="144">
        <f>SUMIFS('январь 2026'!$G$2:$G$2684,'январь 2026'!$D$2:$D$2684,$B167,'январь 2026'!$J$2:$J$2684,AB$1)</f>
        <v>0</v>
      </c>
      <c r="AC167" s="144">
        <f>SUMIFS('январь 2026'!$G$2:$G$2684,'январь 2026'!$D$2:$D$2684,$B167,'январь 2026'!$J$2:$J$2684,AC$1)</f>
        <v>0</v>
      </c>
      <c r="AD167" s="144">
        <f>SUMIFS('январь 2026'!$G$2:$G$2684,'январь 2026'!$D$2:$D$2684,$B167,'январь 2026'!$J$2:$J$2684,AD$1)</f>
        <v>0</v>
      </c>
      <c r="AE167" s="144">
        <f>SUMIFS('январь 2026'!$G$2:$G$2684,'январь 2026'!$D$2:$D$2684,$B167,'январь 2026'!$J$2:$J$2684,AE$1)</f>
        <v>0</v>
      </c>
      <c r="AF167" s="144">
        <f>SUMIFS('январь 2026'!$G$2:$G$2684,'январь 2026'!$D$2:$D$2684,$B167,'январь 2026'!$J$2:$J$2684,AF$1)</f>
        <v>0</v>
      </c>
      <c r="AG167" s="144">
        <f>SUMIFS('январь 2026'!$G$2:$G$2684,'январь 2026'!$D$2:$D$2684,$B167,'январь 2026'!$J$2:$J$2684,AG$1)</f>
        <v>0</v>
      </c>
      <c r="AH167" s="144">
        <f>SUMIFS('январь 2026'!$G$2:$G$2684,'январь 2026'!$D$2:$D$2684,$B167,'январь 2026'!$J$2:$J$2684,AH$1)</f>
        <v>0</v>
      </c>
      <c r="AI167" s="20">
        <f t="shared" ref="AI167:AI174" si="2">SUM(D167:AH167)</f>
        <v>0</v>
      </c>
    </row>
    <row r="168" spans="2:35" ht="15" customHeight="1" x14ac:dyDescent="0.25">
      <c r="B168" s="82" t="s">
        <v>294</v>
      </c>
      <c r="C168" s="81">
        <v>175</v>
      </c>
      <c r="D168" s="144">
        <f>SUMIFS('январь 2026'!$G$2:$G$2684,'январь 2026'!$D$2:$D$2684,$B168,'январь 2026'!$J$2:$J$2684,D$1)</f>
        <v>0</v>
      </c>
      <c r="E168" s="144">
        <f>SUMIFS('январь 2026'!$G$2:$G$2684,'январь 2026'!$D$2:$D$2684,$B168,'январь 2026'!$J$2:$J$2684,E$1)</f>
        <v>0</v>
      </c>
      <c r="F168" s="144">
        <f>SUMIFS('январь 2026'!$G$2:$G$2684,'январь 2026'!$D$2:$D$2684,$B168,'январь 2026'!$J$2:$J$2684,F$1)</f>
        <v>0</v>
      </c>
      <c r="G168" s="144">
        <f>SUMIFS('январь 2026'!$G$2:$G$2684,'январь 2026'!$D$2:$D$2684,$B168,'январь 2026'!$J$2:$J$2684,G$1)</f>
        <v>0</v>
      </c>
      <c r="H168" s="144">
        <f>SUMIFS('январь 2026'!$G$2:$G$2684,'январь 2026'!$D$2:$D$2684,$B168,'январь 2026'!$J$2:$J$2684,H$1)</f>
        <v>0</v>
      </c>
      <c r="I168" s="144">
        <f>SUMIFS('январь 2026'!$G$2:$G$2684,'январь 2026'!$D$2:$D$2684,$B168,'январь 2026'!$J$2:$J$2684,I$1)</f>
        <v>0</v>
      </c>
      <c r="J168" s="144">
        <f>SUMIFS('январь 2026'!$G$2:$G$2684,'январь 2026'!$D$2:$D$2684,$B168,'январь 2026'!$J$2:$J$2684,J$1)</f>
        <v>0</v>
      </c>
      <c r="K168" s="144">
        <f>SUMIFS('январь 2026'!$G$2:$G$2684,'январь 2026'!$D$2:$D$2684,$B168,'январь 2026'!$J$2:$J$2684,K$1)</f>
        <v>0</v>
      </c>
      <c r="L168" s="144">
        <f>SUMIFS('январь 2026'!$G$2:$G$2684,'январь 2026'!$D$2:$D$2684,$B168,'январь 2026'!$J$2:$J$2684,L$1)</f>
        <v>0</v>
      </c>
      <c r="M168" s="144">
        <f>SUMIFS('январь 2026'!$G$2:$G$2684,'январь 2026'!$D$2:$D$2684,$B168,'январь 2026'!$J$2:$J$2684,M$1)</f>
        <v>0</v>
      </c>
      <c r="N168" s="144">
        <f>SUMIFS('январь 2026'!$G$2:$G$2684,'январь 2026'!$D$2:$D$2684,$B168,'январь 2026'!$J$2:$J$2684,N$1)</f>
        <v>0</v>
      </c>
      <c r="O168" s="144">
        <f>SUMIFS('январь 2026'!$G$2:$G$2684,'январь 2026'!$D$2:$D$2684,$B168,'январь 2026'!$J$2:$J$2684,O$1)</f>
        <v>0</v>
      </c>
      <c r="P168" s="144">
        <f>SUMIFS('январь 2026'!$G$2:$G$2684,'январь 2026'!$D$2:$D$2684,$B168,'январь 2026'!$J$2:$J$2684,P$1)</f>
        <v>0</v>
      </c>
      <c r="Q168" s="144">
        <f>SUMIFS('январь 2026'!$G$2:$G$2684,'январь 2026'!$D$2:$D$2684,$B168,'январь 2026'!$J$2:$J$2684,Q$1)</f>
        <v>0</v>
      </c>
      <c r="R168" s="144">
        <f>SUMIFS('январь 2026'!$G$2:$G$2684,'январь 2026'!$D$2:$D$2684,$B168,'январь 2026'!$J$2:$J$2684,R$1)</f>
        <v>0</v>
      </c>
      <c r="S168" s="144">
        <f>SUMIFS('январь 2026'!$G$2:$G$2684,'январь 2026'!$D$2:$D$2684,$B168,'январь 2026'!$J$2:$J$2684,S$1)</f>
        <v>0</v>
      </c>
      <c r="T168" s="144">
        <f>SUMIFS('январь 2026'!$G$2:$G$2684,'январь 2026'!$D$2:$D$2684,$B168,'январь 2026'!$J$2:$J$2684,T$1)</f>
        <v>0</v>
      </c>
      <c r="U168" s="144">
        <f>SUMIFS('январь 2026'!$G$2:$G$2684,'январь 2026'!$D$2:$D$2684,$B168,'январь 2026'!$J$2:$J$2684,U$1)</f>
        <v>0</v>
      </c>
      <c r="V168" s="144">
        <f>SUMIFS('январь 2026'!$G$2:$G$2684,'январь 2026'!$D$2:$D$2684,$B168,'январь 2026'!$J$2:$J$2684,V$1)</f>
        <v>0</v>
      </c>
      <c r="W168" s="144">
        <f>SUMIFS('январь 2026'!$G$2:$G$2684,'январь 2026'!$D$2:$D$2684,$B168,'январь 2026'!$J$2:$J$2684,W$1)</f>
        <v>0</v>
      </c>
      <c r="X168" s="144">
        <f>SUMIFS('январь 2026'!$G$2:$G$2684,'январь 2026'!$D$2:$D$2684,$B168,'январь 2026'!$J$2:$J$2684,X$1)</f>
        <v>0</v>
      </c>
      <c r="Y168" s="144">
        <f>SUMIFS('январь 2026'!$G$2:$G$2684,'январь 2026'!$D$2:$D$2684,$B168,'январь 2026'!$J$2:$J$2684,Y$1)</f>
        <v>0</v>
      </c>
      <c r="Z168" s="144">
        <f>SUMIFS('январь 2026'!$G$2:$G$2684,'январь 2026'!$D$2:$D$2684,$B168,'январь 2026'!$J$2:$J$2684,Z$1)</f>
        <v>0</v>
      </c>
      <c r="AA168" s="144">
        <f>SUMIFS('январь 2026'!$G$2:$G$2684,'январь 2026'!$D$2:$D$2684,$B168,'январь 2026'!$J$2:$J$2684,AA$1)</f>
        <v>0</v>
      </c>
      <c r="AB168" s="144">
        <f>SUMIFS('январь 2026'!$G$2:$G$2684,'январь 2026'!$D$2:$D$2684,$B168,'январь 2026'!$J$2:$J$2684,AB$1)</f>
        <v>0</v>
      </c>
      <c r="AC168" s="144">
        <f>SUMIFS('январь 2026'!$G$2:$G$2684,'январь 2026'!$D$2:$D$2684,$B168,'январь 2026'!$J$2:$J$2684,AC$1)</f>
        <v>0</v>
      </c>
      <c r="AD168" s="144">
        <f>SUMIFS('январь 2026'!$G$2:$G$2684,'январь 2026'!$D$2:$D$2684,$B168,'январь 2026'!$J$2:$J$2684,AD$1)</f>
        <v>0</v>
      </c>
      <c r="AE168" s="144">
        <f>SUMIFS('январь 2026'!$G$2:$G$2684,'январь 2026'!$D$2:$D$2684,$B168,'январь 2026'!$J$2:$J$2684,AE$1)</f>
        <v>0</v>
      </c>
      <c r="AF168" s="144">
        <f>SUMIFS('январь 2026'!$G$2:$G$2684,'январь 2026'!$D$2:$D$2684,$B168,'январь 2026'!$J$2:$J$2684,AF$1)</f>
        <v>0</v>
      </c>
      <c r="AG168" s="144">
        <f>SUMIFS('январь 2026'!$G$2:$G$2684,'январь 2026'!$D$2:$D$2684,$B168,'январь 2026'!$J$2:$J$2684,AG$1)</f>
        <v>0</v>
      </c>
      <c r="AH168" s="144">
        <f>SUMIFS('январь 2026'!$G$2:$G$2684,'январь 2026'!$D$2:$D$2684,$B168,'январь 2026'!$J$2:$J$2684,AH$1)</f>
        <v>0</v>
      </c>
      <c r="AI168" s="20">
        <f t="shared" si="2"/>
        <v>0</v>
      </c>
    </row>
    <row r="169" spans="2:35" ht="15" customHeight="1" x14ac:dyDescent="0.25">
      <c r="B169" s="82" t="s">
        <v>306</v>
      </c>
      <c r="C169" s="81">
        <v>950</v>
      </c>
      <c r="D169" s="144">
        <f>SUMIFS('январь 2026'!$G$2:$G$2684,'январь 2026'!$D$2:$D$2684,$B169,'январь 2026'!$J$2:$J$2684,D$1)</f>
        <v>0</v>
      </c>
      <c r="E169" s="144">
        <f>SUMIFS('январь 2026'!$G$2:$G$2684,'январь 2026'!$D$2:$D$2684,$B169,'январь 2026'!$J$2:$J$2684,E$1)</f>
        <v>0</v>
      </c>
      <c r="F169" s="144">
        <f>SUMIFS('январь 2026'!$G$2:$G$2684,'январь 2026'!$D$2:$D$2684,$B169,'январь 2026'!$J$2:$J$2684,F$1)</f>
        <v>0</v>
      </c>
      <c r="G169" s="144">
        <f>SUMIFS('январь 2026'!$G$2:$G$2684,'январь 2026'!$D$2:$D$2684,$B169,'январь 2026'!$J$2:$J$2684,G$1)</f>
        <v>0</v>
      </c>
      <c r="H169" s="144">
        <f>SUMIFS('январь 2026'!$G$2:$G$2684,'январь 2026'!$D$2:$D$2684,$B169,'январь 2026'!$J$2:$J$2684,H$1)</f>
        <v>0</v>
      </c>
      <c r="I169" s="144">
        <f>SUMIFS('январь 2026'!$G$2:$G$2684,'январь 2026'!$D$2:$D$2684,$B169,'январь 2026'!$J$2:$J$2684,I$1)</f>
        <v>0</v>
      </c>
      <c r="J169" s="144">
        <f>SUMIFS('январь 2026'!$G$2:$G$2684,'январь 2026'!$D$2:$D$2684,$B169,'январь 2026'!$J$2:$J$2684,J$1)</f>
        <v>0</v>
      </c>
      <c r="K169" s="144">
        <f>SUMIFS('январь 2026'!$G$2:$G$2684,'январь 2026'!$D$2:$D$2684,$B169,'январь 2026'!$J$2:$J$2684,K$1)</f>
        <v>0</v>
      </c>
      <c r="L169" s="144">
        <f>SUMIFS('январь 2026'!$G$2:$G$2684,'январь 2026'!$D$2:$D$2684,$B169,'январь 2026'!$J$2:$J$2684,L$1)</f>
        <v>0</v>
      </c>
      <c r="M169" s="144">
        <f>SUMIFS('январь 2026'!$G$2:$G$2684,'январь 2026'!$D$2:$D$2684,$B169,'январь 2026'!$J$2:$J$2684,M$1)</f>
        <v>0</v>
      </c>
      <c r="N169" s="144">
        <f>SUMIFS('январь 2026'!$G$2:$G$2684,'январь 2026'!$D$2:$D$2684,$B169,'январь 2026'!$J$2:$J$2684,N$1)</f>
        <v>0</v>
      </c>
      <c r="O169" s="144">
        <f>SUMIFS('январь 2026'!$G$2:$G$2684,'январь 2026'!$D$2:$D$2684,$B169,'январь 2026'!$J$2:$J$2684,O$1)</f>
        <v>0</v>
      </c>
      <c r="P169" s="144">
        <f>SUMIFS('январь 2026'!$G$2:$G$2684,'январь 2026'!$D$2:$D$2684,$B169,'январь 2026'!$J$2:$J$2684,P$1)</f>
        <v>0</v>
      </c>
      <c r="Q169" s="144">
        <f>SUMIFS('январь 2026'!$G$2:$G$2684,'январь 2026'!$D$2:$D$2684,$B169,'январь 2026'!$J$2:$J$2684,Q$1)</f>
        <v>0</v>
      </c>
      <c r="R169" s="144">
        <f>SUMIFS('январь 2026'!$G$2:$G$2684,'январь 2026'!$D$2:$D$2684,$B169,'январь 2026'!$J$2:$J$2684,R$1)</f>
        <v>0</v>
      </c>
      <c r="S169" s="144">
        <f>SUMIFS('январь 2026'!$G$2:$G$2684,'январь 2026'!$D$2:$D$2684,$B169,'январь 2026'!$J$2:$J$2684,S$1)</f>
        <v>0</v>
      </c>
      <c r="T169" s="144">
        <f>SUMIFS('январь 2026'!$G$2:$G$2684,'январь 2026'!$D$2:$D$2684,$B169,'январь 2026'!$J$2:$J$2684,T$1)</f>
        <v>0</v>
      </c>
      <c r="U169" s="144">
        <f>SUMIFS('январь 2026'!$G$2:$G$2684,'январь 2026'!$D$2:$D$2684,$B169,'январь 2026'!$J$2:$J$2684,U$1)</f>
        <v>0</v>
      </c>
      <c r="V169" s="144">
        <f>SUMIFS('январь 2026'!$G$2:$G$2684,'январь 2026'!$D$2:$D$2684,$B169,'январь 2026'!$J$2:$J$2684,V$1)</f>
        <v>0</v>
      </c>
      <c r="W169" s="144">
        <f>SUMIFS('январь 2026'!$G$2:$G$2684,'январь 2026'!$D$2:$D$2684,$B169,'январь 2026'!$J$2:$J$2684,W$1)</f>
        <v>0</v>
      </c>
      <c r="X169" s="144">
        <f>SUMIFS('январь 2026'!$G$2:$G$2684,'январь 2026'!$D$2:$D$2684,$B169,'январь 2026'!$J$2:$J$2684,X$1)</f>
        <v>0</v>
      </c>
      <c r="Y169" s="144">
        <f>SUMIFS('январь 2026'!$G$2:$G$2684,'январь 2026'!$D$2:$D$2684,$B169,'январь 2026'!$J$2:$J$2684,Y$1)</f>
        <v>0</v>
      </c>
      <c r="Z169" s="144">
        <f>SUMIFS('январь 2026'!$G$2:$G$2684,'январь 2026'!$D$2:$D$2684,$B169,'январь 2026'!$J$2:$J$2684,Z$1)</f>
        <v>0</v>
      </c>
      <c r="AA169" s="144">
        <f>SUMIFS('январь 2026'!$G$2:$G$2684,'январь 2026'!$D$2:$D$2684,$B169,'январь 2026'!$J$2:$J$2684,AA$1)</f>
        <v>0</v>
      </c>
      <c r="AB169" s="144">
        <f>SUMIFS('январь 2026'!$G$2:$G$2684,'январь 2026'!$D$2:$D$2684,$B169,'январь 2026'!$J$2:$J$2684,AB$1)</f>
        <v>0</v>
      </c>
      <c r="AC169" s="144">
        <f>SUMIFS('январь 2026'!$G$2:$G$2684,'январь 2026'!$D$2:$D$2684,$B169,'январь 2026'!$J$2:$J$2684,AC$1)</f>
        <v>0</v>
      </c>
      <c r="AD169" s="144">
        <f>SUMIFS('январь 2026'!$G$2:$G$2684,'январь 2026'!$D$2:$D$2684,$B169,'январь 2026'!$J$2:$J$2684,AD$1)</f>
        <v>0</v>
      </c>
      <c r="AE169" s="144">
        <f>SUMIFS('январь 2026'!$G$2:$G$2684,'январь 2026'!$D$2:$D$2684,$B169,'январь 2026'!$J$2:$J$2684,AE$1)</f>
        <v>0</v>
      </c>
      <c r="AF169" s="144">
        <f>SUMIFS('январь 2026'!$G$2:$G$2684,'январь 2026'!$D$2:$D$2684,$B169,'январь 2026'!$J$2:$J$2684,AF$1)</f>
        <v>0</v>
      </c>
      <c r="AG169" s="144">
        <f>SUMIFS('январь 2026'!$G$2:$G$2684,'январь 2026'!$D$2:$D$2684,$B169,'январь 2026'!$J$2:$J$2684,AG$1)</f>
        <v>0</v>
      </c>
      <c r="AH169" s="144">
        <f>SUMIFS('январь 2026'!$G$2:$G$2684,'январь 2026'!$D$2:$D$2684,$B169,'январь 2026'!$J$2:$J$2684,AH$1)</f>
        <v>0</v>
      </c>
      <c r="AI169" s="20">
        <f t="shared" si="2"/>
        <v>0</v>
      </c>
    </row>
    <row r="170" spans="2:35" ht="15" customHeight="1" x14ac:dyDescent="0.25">
      <c r="B170" s="82" t="s">
        <v>305</v>
      </c>
      <c r="C170" s="81">
        <v>200</v>
      </c>
      <c r="D170" s="144">
        <f>SUMIFS('январь 2026'!$G$2:$G$2684,'январь 2026'!$D$2:$D$2684,$B170,'январь 2026'!$J$2:$J$2684,D$1)</f>
        <v>0</v>
      </c>
      <c r="E170" s="144">
        <f>SUMIFS('январь 2026'!$G$2:$G$2684,'январь 2026'!$D$2:$D$2684,$B170,'январь 2026'!$J$2:$J$2684,E$1)</f>
        <v>0</v>
      </c>
      <c r="F170" s="144">
        <f>SUMIFS('январь 2026'!$G$2:$G$2684,'январь 2026'!$D$2:$D$2684,$B170,'январь 2026'!$J$2:$J$2684,F$1)</f>
        <v>0</v>
      </c>
      <c r="G170" s="144">
        <f>SUMIFS('январь 2026'!$G$2:$G$2684,'январь 2026'!$D$2:$D$2684,$B170,'январь 2026'!$J$2:$J$2684,G$1)</f>
        <v>0</v>
      </c>
      <c r="H170" s="144">
        <f>SUMIFS('январь 2026'!$G$2:$G$2684,'январь 2026'!$D$2:$D$2684,$B170,'январь 2026'!$J$2:$J$2684,H$1)</f>
        <v>0</v>
      </c>
      <c r="I170" s="144">
        <f>SUMIFS('январь 2026'!$G$2:$G$2684,'январь 2026'!$D$2:$D$2684,$B170,'январь 2026'!$J$2:$J$2684,I$1)</f>
        <v>0</v>
      </c>
      <c r="J170" s="144">
        <f>SUMIFS('январь 2026'!$G$2:$G$2684,'январь 2026'!$D$2:$D$2684,$B170,'январь 2026'!$J$2:$J$2684,J$1)</f>
        <v>0</v>
      </c>
      <c r="K170" s="144">
        <f>SUMIFS('январь 2026'!$G$2:$G$2684,'январь 2026'!$D$2:$D$2684,$B170,'январь 2026'!$J$2:$J$2684,K$1)</f>
        <v>0</v>
      </c>
      <c r="L170" s="144">
        <f>SUMIFS('январь 2026'!$G$2:$G$2684,'январь 2026'!$D$2:$D$2684,$B170,'январь 2026'!$J$2:$J$2684,L$1)</f>
        <v>0</v>
      </c>
      <c r="M170" s="144">
        <f>SUMIFS('январь 2026'!$G$2:$G$2684,'январь 2026'!$D$2:$D$2684,$B170,'январь 2026'!$J$2:$J$2684,M$1)</f>
        <v>0</v>
      </c>
      <c r="N170" s="144">
        <f>SUMIFS('январь 2026'!$G$2:$G$2684,'январь 2026'!$D$2:$D$2684,$B170,'январь 2026'!$J$2:$J$2684,N$1)</f>
        <v>0</v>
      </c>
      <c r="O170" s="144">
        <f>SUMIFS('январь 2026'!$G$2:$G$2684,'январь 2026'!$D$2:$D$2684,$B170,'январь 2026'!$J$2:$J$2684,O$1)</f>
        <v>0</v>
      </c>
      <c r="P170" s="144">
        <f>SUMIFS('январь 2026'!$G$2:$G$2684,'январь 2026'!$D$2:$D$2684,$B170,'январь 2026'!$J$2:$J$2684,P$1)</f>
        <v>0</v>
      </c>
      <c r="Q170" s="144">
        <f>SUMIFS('январь 2026'!$G$2:$G$2684,'январь 2026'!$D$2:$D$2684,$B170,'январь 2026'!$J$2:$J$2684,Q$1)</f>
        <v>0</v>
      </c>
      <c r="R170" s="144">
        <f>SUMIFS('январь 2026'!$G$2:$G$2684,'январь 2026'!$D$2:$D$2684,$B170,'январь 2026'!$J$2:$J$2684,R$1)</f>
        <v>0</v>
      </c>
      <c r="S170" s="144">
        <f>SUMIFS('январь 2026'!$G$2:$G$2684,'январь 2026'!$D$2:$D$2684,$B170,'январь 2026'!$J$2:$J$2684,S$1)</f>
        <v>0</v>
      </c>
      <c r="T170" s="144">
        <f>SUMIFS('январь 2026'!$G$2:$G$2684,'январь 2026'!$D$2:$D$2684,$B170,'январь 2026'!$J$2:$J$2684,T$1)</f>
        <v>0</v>
      </c>
      <c r="U170" s="144">
        <f>SUMIFS('январь 2026'!$G$2:$G$2684,'январь 2026'!$D$2:$D$2684,$B170,'январь 2026'!$J$2:$J$2684,U$1)</f>
        <v>0</v>
      </c>
      <c r="V170" s="144">
        <f>SUMIFS('январь 2026'!$G$2:$G$2684,'январь 2026'!$D$2:$D$2684,$B170,'январь 2026'!$J$2:$J$2684,V$1)</f>
        <v>0</v>
      </c>
      <c r="W170" s="144">
        <f>SUMIFS('январь 2026'!$G$2:$G$2684,'январь 2026'!$D$2:$D$2684,$B170,'январь 2026'!$J$2:$J$2684,W$1)</f>
        <v>0</v>
      </c>
      <c r="X170" s="144">
        <f>SUMIFS('январь 2026'!$G$2:$G$2684,'январь 2026'!$D$2:$D$2684,$B170,'январь 2026'!$J$2:$J$2684,X$1)</f>
        <v>0</v>
      </c>
      <c r="Y170" s="144">
        <f>SUMIFS('январь 2026'!$G$2:$G$2684,'январь 2026'!$D$2:$D$2684,$B170,'январь 2026'!$J$2:$J$2684,Y$1)</f>
        <v>0</v>
      </c>
      <c r="Z170" s="144">
        <f>SUMIFS('январь 2026'!$G$2:$G$2684,'январь 2026'!$D$2:$D$2684,$B170,'январь 2026'!$J$2:$J$2684,Z$1)</f>
        <v>0</v>
      </c>
      <c r="AA170" s="144">
        <f>SUMIFS('январь 2026'!$G$2:$G$2684,'январь 2026'!$D$2:$D$2684,$B170,'январь 2026'!$J$2:$J$2684,AA$1)</f>
        <v>0</v>
      </c>
      <c r="AB170" s="144">
        <f>SUMIFS('январь 2026'!$G$2:$G$2684,'январь 2026'!$D$2:$D$2684,$B170,'январь 2026'!$J$2:$J$2684,AB$1)</f>
        <v>0</v>
      </c>
      <c r="AC170" s="144">
        <f>SUMIFS('январь 2026'!$G$2:$G$2684,'январь 2026'!$D$2:$D$2684,$B170,'январь 2026'!$J$2:$J$2684,AC$1)</f>
        <v>0</v>
      </c>
      <c r="AD170" s="144">
        <f>SUMIFS('январь 2026'!$G$2:$G$2684,'январь 2026'!$D$2:$D$2684,$B170,'январь 2026'!$J$2:$J$2684,AD$1)</f>
        <v>0</v>
      </c>
      <c r="AE170" s="144">
        <f>SUMIFS('январь 2026'!$G$2:$G$2684,'январь 2026'!$D$2:$D$2684,$B170,'январь 2026'!$J$2:$J$2684,AE$1)</f>
        <v>0</v>
      </c>
      <c r="AF170" s="144">
        <f>SUMIFS('январь 2026'!$G$2:$G$2684,'январь 2026'!$D$2:$D$2684,$B170,'январь 2026'!$J$2:$J$2684,AF$1)</f>
        <v>0</v>
      </c>
      <c r="AG170" s="144">
        <f>SUMIFS('январь 2026'!$G$2:$G$2684,'январь 2026'!$D$2:$D$2684,$B170,'январь 2026'!$J$2:$J$2684,AG$1)</f>
        <v>0</v>
      </c>
      <c r="AH170" s="144">
        <f>SUMIFS('январь 2026'!$G$2:$G$2684,'январь 2026'!$D$2:$D$2684,$B170,'январь 2026'!$J$2:$J$2684,AH$1)</f>
        <v>0</v>
      </c>
      <c r="AI170" s="20">
        <f t="shared" si="2"/>
        <v>0</v>
      </c>
    </row>
    <row r="171" spans="2:35" ht="15" customHeight="1" x14ac:dyDescent="0.25">
      <c r="B171" s="82" t="s">
        <v>326</v>
      </c>
      <c r="C171" s="81">
        <v>200</v>
      </c>
      <c r="D171" s="144">
        <f>SUMIFS('январь 2026'!$G$2:$G$2684,'январь 2026'!$D$2:$D$2684,$B171,'январь 2026'!$J$2:$J$2684,D$1)</f>
        <v>0</v>
      </c>
      <c r="E171" s="144">
        <f>SUMIFS('январь 2026'!$G$2:$G$2684,'январь 2026'!$D$2:$D$2684,$B171,'январь 2026'!$J$2:$J$2684,E$1)</f>
        <v>0</v>
      </c>
      <c r="F171" s="144">
        <f>SUMIFS('январь 2026'!$G$2:$G$2684,'январь 2026'!$D$2:$D$2684,$B171,'январь 2026'!$J$2:$J$2684,F$1)</f>
        <v>0</v>
      </c>
      <c r="G171" s="144">
        <f>SUMIFS('январь 2026'!$G$2:$G$2684,'январь 2026'!$D$2:$D$2684,$B171,'январь 2026'!$J$2:$J$2684,G$1)</f>
        <v>0</v>
      </c>
      <c r="H171" s="144">
        <f>SUMIFS('январь 2026'!$G$2:$G$2684,'январь 2026'!$D$2:$D$2684,$B171,'январь 2026'!$J$2:$J$2684,H$1)</f>
        <v>0</v>
      </c>
      <c r="I171" s="144">
        <f>SUMIFS('январь 2026'!$G$2:$G$2684,'январь 2026'!$D$2:$D$2684,$B171,'январь 2026'!$J$2:$J$2684,I$1)</f>
        <v>0</v>
      </c>
      <c r="J171" s="144">
        <f>SUMIFS('январь 2026'!$G$2:$G$2684,'январь 2026'!$D$2:$D$2684,$B171,'январь 2026'!$J$2:$J$2684,J$1)</f>
        <v>0</v>
      </c>
      <c r="K171" s="144">
        <f>SUMIFS('январь 2026'!$G$2:$G$2684,'январь 2026'!$D$2:$D$2684,$B171,'январь 2026'!$J$2:$J$2684,K$1)</f>
        <v>0</v>
      </c>
      <c r="L171" s="144">
        <f>SUMIFS('январь 2026'!$G$2:$G$2684,'январь 2026'!$D$2:$D$2684,$B171,'январь 2026'!$J$2:$J$2684,L$1)</f>
        <v>0</v>
      </c>
      <c r="M171" s="144">
        <f>SUMIFS('январь 2026'!$G$2:$G$2684,'январь 2026'!$D$2:$D$2684,$B171,'январь 2026'!$J$2:$J$2684,M$1)</f>
        <v>0</v>
      </c>
      <c r="N171" s="144">
        <f>SUMIFS('январь 2026'!$G$2:$G$2684,'январь 2026'!$D$2:$D$2684,$B171,'январь 2026'!$J$2:$J$2684,N$1)</f>
        <v>0</v>
      </c>
      <c r="O171" s="144">
        <f>SUMIFS('январь 2026'!$G$2:$G$2684,'январь 2026'!$D$2:$D$2684,$B171,'январь 2026'!$J$2:$J$2684,O$1)</f>
        <v>0</v>
      </c>
      <c r="P171" s="144">
        <f>SUMIFS('январь 2026'!$G$2:$G$2684,'январь 2026'!$D$2:$D$2684,$B171,'январь 2026'!$J$2:$J$2684,P$1)</f>
        <v>0</v>
      </c>
      <c r="Q171" s="144">
        <f>SUMIFS('январь 2026'!$G$2:$G$2684,'январь 2026'!$D$2:$D$2684,$B171,'январь 2026'!$J$2:$J$2684,Q$1)</f>
        <v>0</v>
      </c>
      <c r="R171" s="144">
        <f>SUMIFS('январь 2026'!$G$2:$G$2684,'январь 2026'!$D$2:$D$2684,$B171,'январь 2026'!$J$2:$J$2684,R$1)</f>
        <v>0</v>
      </c>
      <c r="S171" s="144">
        <f>SUMIFS('январь 2026'!$G$2:$G$2684,'январь 2026'!$D$2:$D$2684,$B171,'январь 2026'!$J$2:$J$2684,S$1)</f>
        <v>0</v>
      </c>
      <c r="T171" s="144">
        <f>SUMIFS('январь 2026'!$G$2:$G$2684,'январь 2026'!$D$2:$D$2684,$B171,'январь 2026'!$J$2:$J$2684,T$1)</f>
        <v>0</v>
      </c>
      <c r="U171" s="144">
        <f>SUMIFS('январь 2026'!$G$2:$G$2684,'январь 2026'!$D$2:$D$2684,$B171,'январь 2026'!$J$2:$J$2684,U$1)</f>
        <v>0</v>
      </c>
      <c r="V171" s="144">
        <f>SUMIFS('январь 2026'!$G$2:$G$2684,'январь 2026'!$D$2:$D$2684,$B171,'январь 2026'!$J$2:$J$2684,V$1)</f>
        <v>0</v>
      </c>
      <c r="W171" s="144">
        <f>SUMIFS('январь 2026'!$G$2:$G$2684,'январь 2026'!$D$2:$D$2684,$B171,'январь 2026'!$J$2:$J$2684,W$1)</f>
        <v>0</v>
      </c>
      <c r="X171" s="144">
        <f>SUMIFS('январь 2026'!$G$2:$G$2684,'январь 2026'!$D$2:$D$2684,$B171,'январь 2026'!$J$2:$J$2684,X$1)</f>
        <v>0</v>
      </c>
      <c r="Y171" s="144">
        <f>SUMIFS('январь 2026'!$G$2:$G$2684,'январь 2026'!$D$2:$D$2684,$B171,'январь 2026'!$J$2:$J$2684,Y$1)</f>
        <v>0</v>
      </c>
      <c r="Z171" s="144">
        <f>SUMIFS('январь 2026'!$G$2:$G$2684,'январь 2026'!$D$2:$D$2684,$B171,'январь 2026'!$J$2:$J$2684,Z$1)</f>
        <v>0</v>
      </c>
      <c r="AA171" s="144">
        <f>SUMIFS('январь 2026'!$G$2:$G$2684,'январь 2026'!$D$2:$D$2684,$B171,'январь 2026'!$J$2:$J$2684,AA$1)</f>
        <v>0</v>
      </c>
      <c r="AB171" s="144">
        <f>SUMIFS('январь 2026'!$G$2:$G$2684,'январь 2026'!$D$2:$D$2684,$B171,'январь 2026'!$J$2:$J$2684,AB$1)</f>
        <v>0</v>
      </c>
      <c r="AC171" s="144">
        <f>SUMIFS('январь 2026'!$G$2:$G$2684,'январь 2026'!$D$2:$D$2684,$B171,'январь 2026'!$J$2:$J$2684,AC$1)</f>
        <v>0</v>
      </c>
      <c r="AD171" s="144">
        <f>SUMIFS('январь 2026'!$G$2:$G$2684,'январь 2026'!$D$2:$D$2684,$B171,'январь 2026'!$J$2:$J$2684,AD$1)</f>
        <v>0</v>
      </c>
      <c r="AE171" s="144">
        <f>SUMIFS('январь 2026'!$G$2:$G$2684,'январь 2026'!$D$2:$D$2684,$B171,'январь 2026'!$J$2:$J$2684,AE$1)</f>
        <v>0</v>
      </c>
      <c r="AF171" s="144">
        <f>SUMIFS('январь 2026'!$G$2:$G$2684,'январь 2026'!$D$2:$D$2684,$B171,'январь 2026'!$J$2:$J$2684,AF$1)</f>
        <v>0</v>
      </c>
      <c r="AG171" s="144">
        <f>SUMIFS('январь 2026'!$G$2:$G$2684,'январь 2026'!$D$2:$D$2684,$B171,'январь 2026'!$J$2:$J$2684,AG$1)</f>
        <v>0</v>
      </c>
      <c r="AH171" s="144">
        <f>SUMIFS('январь 2026'!$G$2:$G$2684,'январь 2026'!$D$2:$D$2684,$B171,'январь 2026'!$J$2:$J$2684,AH$1)</f>
        <v>0</v>
      </c>
      <c r="AI171" s="20">
        <f t="shared" si="2"/>
        <v>0</v>
      </c>
    </row>
    <row r="172" spans="2:35" ht="15" customHeight="1" x14ac:dyDescent="0.25">
      <c r="B172" s="82" t="s">
        <v>330</v>
      </c>
      <c r="C172" s="81">
        <v>200</v>
      </c>
      <c r="D172" s="144">
        <f>SUMIFS('январь 2026'!$G$2:$G$2684,'январь 2026'!$D$2:$D$2684,$B172,'январь 2026'!$J$2:$J$2684,D$1)</f>
        <v>0</v>
      </c>
      <c r="E172" s="144">
        <f>SUMIFS('январь 2026'!$G$2:$G$2684,'январь 2026'!$D$2:$D$2684,$B172,'январь 2026'!$J$2:$J$2684,E$1)</f>
        <v>0</v>
      </c>
      <c r="F172" s="144">
        <f>SUMIFS('январь 2026'!$G$2:$G$2684,'январь 2026'!$D$2:$D$2684,$B172,'январь 2026'!$J$2:$J$2684,F$1)</f>
        <v>0</v>
      </c>
      <c r="G172" s="144">
        <f>SUMIFS('январь 2026'!$G$2:$G$2684,'январь 2026'!$D$2:$D$2684,$B172,'январь 2026'!$J$2:$J$2684,G$1)</f>
        <v>0</v>
      </c>
      <c r="H172" s="144">
        <f>SUMIFS('январь 2026'!$G$2:$G$2684,'январь 2026'!$D$2:$D$2684,$B172,'январь 2026'!$J$2:$J$2684,H$1)</f>
        <v>0</v>
      </c>
      <c r="I172" s="144">
        <f>SUMIFS('январь 2026'!$G$2:$G$2684,'январь 2026'!$D$2:$D$2684,$B172,'январь 2026'!$J$2:$J$2684,I$1)</f>
        <v>0</v>
      </c>
      <c r="J172" s="144">
        <f>SUMIFS('январь 2026'!$G$2:$G$2684,'январь 2026'!$D$2:$D$2684,$B172,'январь 2026'!$J$2:$J$2684,J$1)</f>
        <v>0</v>
      </c>
      <c r="K172" s="144">
        <f>SUMIFS('январь 2026'!$G$2:$G$2684,'январь 2026'!$D$2:$D$2684,$B172,'январь 2026'!$J$2:$J$2684,K$1)</f>
        <v>0</v>
      </c>
      <c r="L172" s="144">
        <f>SUMIFS('январь 2026'!$G$2:$G$2684,'январь 2026'!$D$2:$D$2684,$B172,'январь 2026'!$J$2:$J$2684,L$1)</f>
        <v>0</v>
      </c>
      <c r="M172" s="144">
        <f>SUMIFS('январь 2026'!$G$2:$G$2684,'январь 2026'!$D$2:$D$2684,$B172,'январь 2026'!$J$2:$J$2684,M$1)</f>
        <v>0</v>
      </c>
      <c r="N172" s="144">
        <f>SUMIFS('январь 2026'!$G$2:$G$2684,'январь 2026'!$D$2:$D$2684,$B172,'январь 2026'!$J$2:$J$2684,N$1)</f>
        <v>0</v>
      </c>
      <c r="O172" s="144">
        <f>SUMIFS('январь 2026'!$G$2:$G$2684,'январь 2026'!$D$2:$D$2684,$B172,'январь 2026'!$J$2:$J$2684,O$1)</f>
        <v>0</v>
      </c>
      <c r="P172" s="144">
        <f>SUMIFS('январь 2026'!$G$2:$G$2684,'январь 2026'!$D$2:$D$2684,$B172,'январь 2026'!$J$2:$J$2684,P$1)</f>
        <v>0</v>
      </c>
      <c r="Q172" s="144">
        <f>SUMIFS('январь 2026'!$G$2:$G$2684,'январь 2026'!$D$2:$D$2684,$B172,'январь 2026'!$J$2:$J$2684,Q$1)</f>
        <v>0</v>
      </c>
      <c r="R172" s="144">
        <f>SUMIFS('январь 2026'!$G$2:$G$2684,'январь 2026'!$D$2:$D$2684,$B172,'январь 2026'!$J$2:$J$2684,R$1)</f>
        <v>0</v>
      </c>
      <c r="S172" s="144">
        <f>SUMIFS('январь 2026'!$G$2:$G$2684,'январь 2026'!$D$2:$D$2684,$B172,'январь 2026'!$J$2:$J$2684,S$1)</f>
        <v>0</v>
      </c>
      <c r="T172" s="144">
        <f>SUMIFS('январь 2026'!$G$2:$G$2684,'январь 2026'!$D$2:$D$2684,$B172,'январь 2026'!$J$2:$J$2684,T$1)</f>
        <v>0</v>
      </c>
      <c r="U172" s="144">
        <f>SUMIFS('январь 2026'!$G$2:$G$2684,'январь 2026'!$D$2:$D$2684,$B172,'январь 2026'!$J$2:$J$2684,U$1)</f>
        <v>0</v>
      </c>
      <c r="V172" s="144">
        <f>SUMIFS('январь 2026'!$G$2:$G$2684,'январь 2026'!$D$2:$D$2684,$B172,'январь 2026'!$J$2:$J$2684,V$1)</f>
        <v>0</v>
      </c>
      <c r="W172" s="144">
        <f>SUMIFS('январь 2026'!$G$2:$G$2684,'январь 2026'!$D$2:$D$2684,$B172,'январь 2026'!$J$2:$J$2684,W$1)</f>
        <v>0</v>
      </c>
      <c r="X172" s="144">
        <f>SUMIFS('январь 2026'!$G$2:$G$2684,'январь 2026'!$D$2:$D$2684,$B172,'январь 2026'!$J$2:$J$2684,X$1)</f>
        <v>0</v>
      </c>
      <c r="Y172" s="144">
        <f>SUMIFS('январь 2026'!$G$2:$G$2684,'январь 2026'!$D$2:$D$2684,$B172,'январь 2026'!$J$2:$J$2684,Y$1)</f>
        <v>0</v>
      </c>
      <c r="Z172" s="144">
        <f>SUMIFS('январь 2026'!$G$2:$G$2684,'январь 2026'!$D$2:$D$2684,$B172,'январь 2026'!$J$2:$J$2684,Z$1)</f>
        <v>0</v>
      </c>
      <c r="AA172" s="144">
        <f>SUMIFS('январь 2026'!$G$2:$G$2684,'январь 2026'!$D$2:$D$2684,$B172,'январь 2026'!$J$2:$J$2684,AA$1)</f>
        <v>0</v>
      </c>
      <c r="AB172" s="144">
        <f>SUMIFS('январь 2026'!$G$2:$G$2684,'январь 2026'!$D$2:$D$2684,$B172,'январь 2026'!$J$2:$J$2684,AB$1)</f>
        <v>0</v>
      </c>
      <c r="AC172" s="144">
        <f>SUMIFS('январь 2026'!$G$2:$G$2684,'январь 2026'!$D$2:$D$2684,$B172,'январь 2026'!$J$2:$J$2684,AC$1)</f>
        <v>0</v>
      </c>
      <c r="AD172" s="144">
        <f>SUMIFS('январь 2026'!$G$2:$G$2684,'январь 2026'!$D$2:$D$2684,$B172,'январь 2026'!$J$2:$J$2684,AD$1)</f>
        <v>0</v>
      </c>
      <c r="AE172" s="144">
        <f>SUMIFS('январь 2026'!$G$2:$G$2684,'январь 2026'!$D$2:$D$2684,$B172,'январь 2026'!$J$2:$J$2684,AE$1)</f>
        <v>0</v>
      </c>
      <c r="AF172" s="144">
        <f>SUMIFS('январь 2026'!$G$2:$G$2684,'январь 2026'!$D$2:$D$2684,$B172,'январь 2026'!$J$2:$J$2684,AF$1)</f>
        <v>0</v>
      </c>
      <c r="AG172" s="144">
        <f>SUMIFS('январь 2026'!$G$2:$G$2684,'январь 2026'!$D$2:$D$2684,$B172,'январь 2026'!$J$2:$J$2684,AG$1)</f>
        <v>0</v>
      </c>
      <c r="AH172" s="144">
        <f>SUMIFS('январь 2026'!$G$2:$G$2684,'январь 2026'!$D$2:$D$2684,$B172,'январь 2026'!$J$2:$J$2684,AH$1)</f>
        <v>0</v>
      </c>
      <c r="AI172" s="20">
        <f t="shared" si="2"/>
        <v>0</v>
      </c>
    </row>
    <row r="173" spans="2:35" ht="15" customHeight="1" x14ac:dyDescent="0.25">
      <c r="B173" s="82" t="s">
        <v>362</v>
      </c>
      <c r="C173" s="81">
        <v>30</v>
      </c>
      <c r="D173" s="144">
        <f>SUMIFS('январь 2026'!$G$2:$G$2684,'январь 2026'!$D$2:$D$2684,$B173,'январь 2026'!$J$2:$J$2684,D$1)</f>
        <v>0</v>
      </c>
      <c r="E173" s="144">
        <f>SUMIFS('январь 2026'!$G$2:$G$2684,'январь 2026'!$D$2:$D$2684,$B173,'январь 2026'!$J$2:$J$2684,E$1)</f>
        <v>0</v>
      </c>
      <c r="F173" s="144">
        <f>SUMIFS('январь 2026'!$G$2:$G$2684,'январь 2026'!$D$2:$D$2684,$B173,'январь 2026'!$J$2:$J$2684,F$1)</f>
        <v>0</v>
      </c>
      <c r="G173" s="144">
        <f>SUMIFS('январь 2026'!$G$2:$G$2684,'январь 2026'!$D$2:$D$2684,$B173,'январь 2026'!$J$2:$J$2684,G$1)</f>
        <v>0</v>
      </c>
      <c r="H173" s="144">
        <f>SUMIFS('январь 2026'!$G$2:$G$2684,'январь 2026'!$D$2:$D$2684,$B173,'январь 2026'!$J$2:$J$2684,H$1)</f>
        <v>0</v>
      </c>
      <c r="I173" s="144">
        <f>SUMIFS('январь 2026'!$G$2:$G$2684,'январь 2026'!$D$2:$D$2684,$B173,'январь 2026'!$J$2:$J$2684,I$1)</f>
        <v>0</v>
      </c>
      <c r="J173" s="144">
        <f>SUMIFS('январь 2026'!$G$2:$G$2684,'январь 2026'!$D$2:$D$2684,$B173,'январь 2026'!$J$2:$J$2684,J$1)</f>
        <v>0</v>
      </c>
      <c r="K173" s="144">
        <f>SUMIFS('январь 2026'!$G$2:$G$2684,'январь 2026'!$D$2:$D$2684,$B173,'январь 2026'!$J$2:$J$2684,K$1)</f>
        <v>0</v>
      </c>
      <c r="L173" s="144">
        <f>SUMIFS('январь 2026'!$G$2:$G$2684,'январь 2026'!$D$2:$D$2684,$B173,'январь 2026'!$J$2:$J$2684,L$1)</f>
        <v>0</v>
      </c>
      <c r="M173" s="144">
        <f>SUMIFS('январь 2026'!$G$2:$G$2684,'январь 2026'!$D$2:$D$2684,$B173,'январь 2026'!$J$2:$J$2684,M$1)</f>
        <v>0</v>
      </c>
      <c r="N173" s="144">
        <f>SUMIFS('январь 2026'!$G$2:$G$2684,'январь 2026'!$D$2:$D$2684,$B173,'январь 2026'!$J$2:$J$2684,N$1)</f>
        <v>0</v>
      </c>
      <c r="O173" s="144">
        <f>SUMIFS('январь 2026'!$G$2:$G$2684,'январь 2026'!$D$2:$D$2684,$B173,'январь 2026'!$J$2:$J$2684,O$1)</f>
        <v>0</v>
      </c>
      <c r="P173" s="144">
        <f>SUMIFS('январь 2026'!$G$2:$G$2684,'январь 2026'!$D$2:$D$2684,$B173,'январь 2026'!$J$2:$J$2684,P$1)</f>
        <v>0</v>
      </c>
      <c r="Q173" s="144">
        <f>SUMIFS('январь 2026'!$G$2:$G$2684,'январь 2026'!$D$2:$D$2684,$B173,'январь 2026'!$J$2:$J$2684,Q$1)</f>
        <v>0</v>
      </c>
      <c r="R173" s="144">
        <f>SUMIFS('январь 2026'!$G$2:$G$2684,'январь 2026'!$D$2:$D$2684,$B173,'январь 2026'!$J$2:$J$2684,R$1)</f>
        <v>0</v>
      </c>
      <c r="S173" s="144">
        <f>SUMIFS('январь 2026'!$G$2:$G$2684,'январь 2026'!$D$2:$D$2684,$B173,'январь 2026'!$J$2:$J$2684,S$1)</f>
        <v>0</v>
      </c>
      <c r="T173" s="144">
        <f>SUMIFS('январь 2026'!$G$2:$G$2684,'январь 2026'!$D$2:$D$2684,$B173,'январь 2026'!$J$2:$J$2684,T$1)</f>
        <v>0</v>
      </c>
      <c r="U173" s="144">
        <f>SUMIFS('январь 2026'!$G$2:$G$2684,'январь 2026'!$D$2:$D$2684,$B173,'январь 2026'!$J$2:$J$2684,U$1)</f>
        <v>0</v>
      </c>
      <c r="V173" s="144">
        <f>SUMIFS('январь 2026'!$G$2:$G$2684,'январь 2026'!$D$2:$D$2684,$B173,'январь 2026'!$J$2:$J$2684,V$1)</f>
        <v>0</v>
      </c>
      <c r="W173" s="144">
        <f>SUMIFS('январь 2026'!$G$2:$G$2684,'январь 2026'!$D$2:$D$2684,$B173,'январь 2026'!$J$2:$J$2684,W$1)</f>
        <v>0</v>
      </c>
      <c r="X173" s="144">
        <f>SUMIFS('январь 2026'!$G$2:$G$2684,'январь 2026'!$D$2:$D$2684,$B173,'январь 2026'!$J$2:$J$2684,X$1)</f>
        <v>0</v>
      </c>
      <c r="Y173" s="144">
        <f>SUMIFS('январь 2026'!$G$2:$G$2684,'январь 2026'!$D$2:$D$2684,$B173,'январь 2026'!$J$2:$J$2684,Y$1)</f>
        <v>0</v>
      </c>
      <c r="Z173" s="144">
        <f>SUMIFS('январь 2026'!$G$2:$G$2684,'январь 2026'!$D$2:$D$2684,$B173,'январь 2026'!$J$2:$J$2684,Z$1)</f>
        <v>0</v>
      </c>
      <c r="AA173" s="144">
        <f>SUMIFS('январь 2026'!$G$2:$G$2684,'январь 2026'!$D$2:$D$2684,$B173,'январь 2026'!$J$2:$J$2684,AA$1)</f>
        <v>0</v>
      </c>
      <c r="AB173" s="144">
        <f>SUMIFS('январь 2026'!$G$2:$G$2684,'январь 2026'!$D$2:$D$2684,$B173,'январь 2026'!$J$2:$J$2684,AB$1)</f>
        <v>0</v>
      </c>
      <c r="AC173" s="144">
        <f>SUMIFS('январь 2026'!$G$2:$G$2684,'январь 2026'!$D$2:$D$2684,$B173,'январь 2026'!$J$2:$J$2684,AC$1)</f>
        <v>0</v>
      </c>
      <c r="AD173" s="144">
        <f>SUMIFS('январь 2026'!$G$2:$G$2684,'январь 2026'!$D$2:$D$2684,$B173,'январь 2026'!$J$2:$J$2684,AD$1)</f>
        <v>0</v>
      </c>
      <c r="AE173" s="144">
        <f>SUMIFS('январь 2026'!$G$2:$G$2684,'январь 2026'!$D$2:$D$2684,$B173,'январь 2026'!$J$2:$J$2684,AE$1)</f>
        <v>0</v>
      </c>
      <c r="AF173" s="144">
        <f>SUMIFS('январь 2026'!$G$2:$G$2684,'январь 2026'!$D$2:$D$2684,$B173,'январь 2026'!$J$2:$J$2684,AF$1)</f>
        <v>0</v>
      </c>
      <c r="AG173" s="144">
        <f>SUMIFS('январь 2026'!$G$2:$G$2684,'январь 2026'!$D$2:$D$2684,$B173,'январь 2026'!$J$2:$J$2684,AG$1)</f>
        <v>0</v>
      </c>
      <c r="AH173" s="144">
        <f>SUMIFS('январь 2026'!$G$2:$G$2684,'январь 2026'!$D$2:$D$2684,$B173,'январь 2026'!$J$2:$J$2684,AH$1)</f>
        <v>0</v>
      </c>
      <c r="AI173" s="20">
        <f t="shared" si="2"/>
        <v>0</v>
      </c>
    </row>
    <row r="174" spans="2:35" ht="15" customHeight="1" x14ac:dyDescent="0.25">
      <c r="B174" s="82" t="s">
        <v>376</v>
      </c>
      <c r="C174" s="81">
        <v>30</v>
      </c>
      <c r="D174" s="144">
        <f>SUMIFS('январь 2026'!$G$2:$G$2684,'январь 2026'!$D$2:$D$2684,$B174,'январь 2026'!$J$2:$J$2684,D$1)</f>
        <v>0</v>
      </c>
      <c r="E174" s="144">
        <f>SUMIFS('январь 2026'!$G$2:$G$2684,'январь 2026'!$D$2:$D$2684,$B174,'январь 2026'!$J$2:$J$2684,E$1)</f>
        <v>0</v>
      </c>
      <c r="F174" s="144">
        <f>SUMIFS('январь 2026'!$G$2:$G$2684,'январь 2026'!$D$2:$D$2684,$B174,'январь 2026'!$J$2:$J$2684,F$1)</f>
        <v>0</v>
      </c>
      <c r="G174" s="144">
        <f>SUMIFS('январь 2026'!$G$2:$G$2684,'январь 2026'!$D$2:$D$2684,$B174,'январь 2026'!$J$2:$J$2684,G$1)</f>
        <v>0</v>
      </c>
      <c r="H174" s="144">
        <f>SUMIFS('январь 2026'!$G$2:$G$2684,'январь 2026'!$D$2:$D$2684,$B174,'январь 2026'!$J$2:$J$2684,H$1)</f>
        <v>0</v>
      </c>
      <c r="I174" s="144">
        <f>SUMIFS('январь 2026'!$G$2:$G$2684,'январь 2026'!$D$2:$D$2684,$B174,'январь 2026'!$J$2:$J$2684,I$1)</f>
        <v>0</v>
      </c>
      <c r="J174" s="144">
        <f>SUMIFS('январь 2026'!$G$2:$G$2684,'январь 2026'!$D$2:$D$2684,$B174,'январь 2026'!$J$2:$J$2684,J$1)</f>
        <v>0</v>
      </c>
      <c r="K174" s="144">
        <f>SUMIFS('январь 2026'!$G$2:$G$2684,'январь 2026'!$D$2:$D$2684,$B174,'январь 2026'!$J$2:$J$2684,K$1)</f>
        <v>0</v>
      </c>
      <c r="L174" s="144">
        <f>SUMIFS('январь 2026'!$G$2:$G$2684,'январь 2026'!$D$2:$D$2684,$B174,'январь 2026'!$J$2:$J$2684,L$1)</f>
        <v>0</v>
      </c>
      <c r="M174" s="144">
        <f>SUMIFS('январь 2026'!$G$2:$G$2684,'январь 2026'!$D$2:$D$2684,$B174,'январь 2026'!$J$2:$J$2684,M$1)</f>
        <v>0</v>
      </c>
      <c r="N174" s="144">
        <f>SUMIFS('январь 2026'!$G$2:$G$2684,'январь 2026'!$D$2:$D$2684,$B174,'январь 2026'!$J$2:$J$2684,N$1)</f>
        <v>0</v>
      </c>
      <c r="O174" s="144">
        <f>SUMIFS('январь 2026'!$G$2:$G$2684,'январь 2026'!$D$2:$D$2684,$B174,'январь 2026'!$J$2:$J$2684,O$1)</f>
        <v>0</v>
      </c>
      <c r="P174" s="144">
        <f>SUMIFS('январь 2026'!$G$2:$G$2684,'январь 2026'!$D$2:$D$2684,$B174,'январь 2026'!$J$2:$J$2684,P$1)</f>
        <v>0</v>
      </c>
      <c r="Q174" s="144">
        <f>SUMIFS('январь 2026'!$G$2:$G$2684,'январь 2026'!$D$2:$D$2684,$B174,'январь 2026'!$J$2:$J$2684,Q$1)</f>
        <v>0</v>
      </c>
      <c r="R174" s="144">
        <f>SUMIFS('январь 2026'!$G$2:$G$2684,'январь 2026'!$D$2:$D$2684,$B174,'январь 2026'!$J$2:$J$2684,R$1)</f>
        <v>0</v>
      </c>
      <c r="S174" s="144">
        <f>SUMIFS('январь 2026'!$G$2:$G$2684,'январь 2026'!$D$2:$D$2684,$B174,'январь 2026'!$J$2:$J$2684,S$1)</f>
        <v>0</v>
      </c>
      <c r="T174" s="144">
        <f>SUMIFS('январь 2026'!$G$2:$G$2684,'январь 2026'!$D$2:$D$2684,$B174,'январь 2026'!$J$2:$J$2684,T$1)</f>
        <v>0</v>
      </c>
      <c r="U174" s="144">
        <f>SUMIFS('январь 2026'!$G$2:$G$2684,'январь 2026'!$D$2:$D$2684,$B174,'январь 2026'!$J$2:$J$2684,U$1)</f>
        <v>0</v>
      </c>
      <c r="V174" s="144">
        <f>SUMIFS('январь 2026'!$G$2:$G$2684,'январь 2026'!$D$2:$D$2684,$B174,'январь 2026'!$J$2:$J$2684,V$1)</f>
        <v>0</v>
      </c>
      <c r="W174" s="144">
        <f>SUMIFS('январь 2026'!$G$2:$G$2684,'январь 2026'!$D$2:$D$2684,$B174,'январь 2026'!$J$2:$J$2684,W$1)</f>
        <v>0</v>
      </c>
      <c r="X174" s="144">
        <f>SUMIFS('январь 2026'!$G$2:$G$2684,'январь 2026'!$D$2:$D$2684,$B174,'январь 2026'!$J$2:$J$2684,X$1)</f>
        <v>0</v>
      </c>
      <c r="Y174" s="144">
        <f>SUMIFS('январь 2026'!$G$2:$G$2684,'январь 2026'!$D$2:$D$2684,$B174,'январь 2026'!$J$2:$J$2684,Y$1)</f>
        <v>0</v>
      </c>
      <c r="Z174" s="144">
        <f>SUMIFS('январь 2026'!$G$2:$G$2684,'январь 2026'!$D$2:$D$2684,$B174,'январь 2026'!$J$2:$J$2684,Z$1)</f>
        <v>0</v>
      </c>
      <c r="AA174" s="144">
        <f>SUMIFS('январь 2026'!$G$2:$G$2684,'январь 2026'!$D$2:$D$2684,$B174,'январь 2026'!$J$2:$J$2684,AA$1)</f>
        <v>0</v>
      </c>
      <c r="AB174" s="144">
        <f>SUMIFS('январь 2026'!$G$2:$G$2684,'январь 2026'!$D$2:$D$2684,$B174,'январь 2026'!$J$2:$J$2684,AB$1)</f>
        <v>0</v>
      </c>
      <c r="AC174" s="144">
        <f>SUMIFS('январь 2026'!$G$2:$G$2684,'январь 2026'!$D$2:$D$2684,$B174,'январь 2026'!$J$2:$J$2684,AC$1)</f>
        <v>0</v>
      </c>
      <c r="AD174" s="144">
        <f>SUMIFS('январь 2026'!$G$2:$G$2684,'январь 2026'!$D$2:$D$2684,$B174,'январь 2026'!$J$2:$J$2684,AD$1)</f>
        <v>0</v>
      </c>
      <c r="AE174" s="144">
        <f>SUMIFS('январь 2026'!$G$2:$G$2684,'январь 2026'!$D$2:$D$2684,$B174,'январь 2026'!$J$2:$J$2684,AE$1)</f>
        <v>0</v>
      </c>
      <c r="AF174" s="144">
        <f>SUMIFS('январь 2026'!$G$2:$G$2684,'январь 2026'!$D$2:$D$2684,$B174,'январь 2026'!$J$2:$J$2684,AF$1)</f>
        <v>0</v>
      </c>
      <c r="AG174" s="144">
        <f>SUMIFS('январь 2026'!$G$2:$G$2684,'январь 2026'!$D$2:$D$2684,$B174,'январь 2026'!$J$2:$J$2684,AG$1)</f>
        <v>0</v>
      </c>
      <c r="AH174" s="144">
        <f>SUMIFS('январь 2026'!$G$2:$G$2684,'январь 2026'!$D$2:$D$2684,$B174,'январь 2026'!$J$2:$J$2684,AH$1)</f>
        <v>0</v>
      </c>
      <c r="AI174" s="20">
        <f t="shared" si="2"/>
        <v>0</v>
      </c>
    </row>
    <row r="175" spans="2:35" ht="15" customHeight="1" x14ac:dyDescent="0.25">
      <c r="B175" s="82"/>
      <c r="C175" s="81"/>
      <c r="D175" s="144" t="e">
        <f>SUMIFS(#REF!,#REF!,$B175,#REF!,D$1)</f>
        <v>#REF!</v>
      </c>
      <c r="E175" s="144" t="e">
        <f>SUMIFS(#REF!,#REF!,$B175,#REF!,E$1)</f>
        <v>#REF!</v>
      </c>
      <c r="F175" s="144" t="e">
        <f>SUMIFS(#REF!,#REF!,$B175,#REF!,F$1)</f>
        <v>#REF!</v>
      </c>
      <c r="G175" s="144" t="e">
        <f>SUMIFS(#REF!,#REF!,$B175,#REF!,G$1)</f>
        <v>#REF!</v>
      </c>
      <c r="H175" s="144" t="e">
        <f>SUMIFS(#REF!,#REF!,$B175,#REF!,H$1)</f>
        <v>#REF!</v>
      </c>
      <c r="I175" s="144" t="e">
        <f>SUMIFS(#REF!,#REF!,$B175,#REF!,I$1)</f>
        <v>#REF!</v>
      </c>
      <c r="J175" s="144" t="e">
        <f>SUMIFS(#REF!,#REF!,$B175,#REF!,J$1)</f>
        <v>#REF!</v>
      </c>
      <c r="K175" s="144" t="e">
        <f>SUMIFS(#REF!,#REF!,$B175,#REF!,K$1)</f>
        <v>#REF!</v>
      </c>
      <c r="L175" s="144" t="e">
        <f>SUMIFS(#REF!,#REF!,$B175,#REF!,L$1)</f>
        <v>#REF!</v>
      </c>
      <c r="M175" s="144" t="e">
        <f>SUMIFS(#REF!,#REF!,$B175,#REF!,M$1)</f>
        <v>#REF!</v>
      </c>
      <c r="N175" s="144" t="e">
        <f>SUMIFS(#REF!,#REF!,$B175,#REF!,N$1)</f>
        <v>#REF!</v>
      </c>
      <c r="O175" s="144" t="e">
        <f>SUMIFS(#REF!,#REF!,$B175,#REF!,O$1)</f>
        <v>#REF!</v>
      </c>
      <c r="P175" s="144" t="e">
        <f>SUMIFS(#REF!,#REF!,$B175,#REF!,P$1)</f>
        <v>#REF!</v>
      </c>
      <c r="Q175" s="144" t="e">
        <f>SUMIFS(#REF!,#REF!,$B175,#REF!,Q$1)</f>
        <v>#REF!</v>
      </c>
      <c r="R175" s="144" t="e">
        <f>SUMIFS(#REF!,#REF!,$B175,#REF!,R$1)</f>
        <v>#REF!</v>
      </c>
      <c r="S175" s="144" t="e">
        <f>SUMIFS(#REF!,#REF!,$B175,#REF!,S$1)</f>
        <v>#REF!</v>
      </c>
      <c r="T175" s="144" t="e">
        <f>SUMIFS(#REF!,#REF!,$B175,#REF!,T$1)</f>
        <v>#REF!</v>
      </c>
      <c r="U175" s="144" t="e">
        <f>SUMIFS(#REF!,#REF!,$B175,#REF!,U$1)</f>
        <v>#REF!</v>
      </c>
      <c r="V175" s="144" t="e">
        <f>SUMIFS(#REF!,#REF!,$B175,#REF!,V$1)</f>
        <v>#REF!</v>
      </c>
      <c r="W175" s="144" t="e">
        <f>SUMIFS(#REF!,#REF!,$B175,#REF!,W$1)</f>
        <v>#REF!</v>
      </c>
      <c r="X175" s="144" t="e">
        <f>SUMIFS(#REF!,#REF!,$B175,#REF!,X$1)</f>
        <v>#REF!</v>
      </c>
      <c r="Y175" s="144" t="e">
        <f>SUMIFS(#REF!,#REF!,$B175,#REF!,Y$1)</f>
        <v>#REF!</v>
      </c>
      <c r="Z175" s="144" t="e">
        <f>SUMIFS(#REF!,#REF!,$B175,#REF!,Z$1)</f>
        <v>#REF!</v>
      </c>
      <c r="AA175" s="144" t="e">
        <f>SUMIFS(#REF!,#REF!,$B175,#REF!,AA$1)</f>
        <v>#REF!</v>
      </c>
      <c r="AB175" s="144" t="e">
        <f>SUMIFS(#REF!,#REF!,$B175,#REF!,AB$1)</f>
        <v>#REF!</v>
      </c>
      <c r="AC175" s="144" t="e">
        <f>SUMIFS(#REF!,#REF!,$B175,#REF!,AC$1)</f>
        <v>#REF!</v>
      </c>
      <c r="AD175" s="144" t="e">
        <f>SUMIFS(#REF!,#REF!,$B175,#REF!,AD$1)</f>
        <v>#REF!</v>
      </c>
      <c r="AE175" s="144" t="e">
        <f>SUMIFS(#REF!,#REF!,$B175,#REF!,AE$1)</f>
        <v>#REF!</v>
      </c>
      <c r="AF175" s="144" t="e">
        <f>SUMIFS(#REF!,#REF!,$B175,#REF!,AF$1)</f>
        <v>#REF!</v>
      </c>
      <c r="AG175" s="144" t="e">
        <f>SUMIFS(#REF!,#REF!,$B175,#REF!,AG$1)</f>
        <v>#REF!</v>
      </c>
      <c r="AH175" s="144" t="e">
        <f>SUMIFS(#REF!,#REF!,$B175,#REF!,AH$1)</f>
        <v>#REF!</v>
      </c>
      <c r="AI175" s="20"/>
    </row>
    <row r="176" spans="2:35" ht="15" customHeight="1" x14ac:dyDescent="0.25">
      <c r="B176" s="82"/>
      <c r="C176" s="81"/>
      <c r="D176" s="144" t="e">
        <f>SUMIFS(#REF!,#REF!,$B176,#REF!,D$1)</f>
        <v>#REF!</v>
      </c>
      <c r="E176" s="144" t="e">
        <f>SUMIFS(#REF!,#REF!,$B176,#REF!,E$1)</f>
        <v>#REF!</v>
      </c>
      <c r="F176" s="144" t="e">
        <f>SUMIFS(#REF!,#REF!,$B176,#REF!,F$1)</f>
        <v>#REF!</v>
      </c>
      <c r="G176" s="144" t="e">
        <f>SUMIFS(#REF!,#REF!,$B176,#REF!,G$1)</f>
        <v>#REF!</v>
      </c>
      <c r="H176" s="144" t="e">
        <f>SUMIFS(#REF!,#REF!,$B176,#REF!,H$1)</f>
        <v>#REF!</v>
      </c>
      <c r="I176" s="144" t="e">
        <f>SUMIFS(#REF!,#REF!,$B176,#REF!,I$1)</f>
        <v>#REF!</v>
      </c>
      <c r="J176" s="144" t="e">
        <f>SUMIFS(#REF!,#REF!,$B176,#REF!,J$1)</f>
        <v>#REF!</v>
      </c>
      <c r="K176" s="144" t="e">
        <f>SUMIFS(#REF!,#REF!,$B176,#REF!,K$1)</f>
        <v>#REF!</v>
      </c>
      <c r="L176" s="144" t="e">
        <f>SUMIFS(#REF!,#REF!,$B176,#REF!,L$1)</f>
        <v>#REF!</v>
      </c>
      <c r="M176" s="144" t="e">
        <f>SUMIFS(#REF!,#REF!,$B176,#REF!,M$1)</f>
        <v>#REF!</v>
      </c>
      <c r="N176" s="144" t="e">
        <f>SUMIFS(#REF!,#REF!,$B176,#REF!,N$1)</f>
        <v>#REF!</v>
      </c>
      <c r="O176" s="144" t="e">
        <f>SUMIFS(#REF!,#REF!,$B176,#REF!,O$1)</f>
        <v>#REF!</v>
      </c>
      <c r="P176" s="144" t="e">
        <f>SUMIFS(#REF!,#REF!,$B176,#REF!,P$1)</f>
        <v>#REF!</v>
      </c>
      <c r="Q176" s="144" t="e">
        <f>SUMIFS(#REF!,#REF!,$B176,#REF!,Q$1)</f>
        <v>#REF!</v>
      </c>
      <c r="R176" s="144" t="e">
        <f>SUMIFS(#REF!,#REF!,$B176,#REF!,R$1)</f>
        <v>#REF!</v>
      </c>
      <c r="S176" s="144" t="e">
        <f>SUMIFS(#REF!,#REF!,$B176,#REF!,S$1)</f>
        <v>#REF!</v>
      </c>
      <c r="T176" s="144" t="e">
        <f>SUMIFS(#REF!,#REF!,$B176,#REF!,T$1)</f>
        <v>#REF!</v>
      </c>
      <c r="U176" s="144" t="e">
        <f>SUMIFS(#REF!,#REF!,$B176,#REF!,U$1)</f>
        <v>#REF!</v>
      </c>
      <c r="V176" s="144" t="e">
        <f>SUMIFS(#REF!,#REF!,$B176,#REF!,V$1)</f>
        <v>#REF!</v>
      </c>
      <c r="W176" s="144" t="e">
        <f>SUMIFS(#REF!,#REF!,$B176,#REF!,W$1)</f>
        <v>#REF!</v>
      </c>
      <c r="X176" s="144" t="e">
        <f>SUMIFS(#REF!,#REF!,$B176,#REF!,X$1)</f>
        <v>#REF!</v>
      </c>
      <c r="Y176" s="144" t="e">
        <f>SUMIFS(#REF!,#REF!,$B176,#REF!,Y$1)</f>
        <v>#REF!</v>
      </c>
      <c r="Z176" s="144" t="e">
        <f>SUMIFS(#REF!,#REF!,$B176,#REF!,Z$1)</f>
        <v>#REF!</v>
      </c>
      <c r="AA176" s="144" t="e">
        <f>SUMIFS(#REF!,#REF!,$B176,#REF!,AA$1)</f>
        <v>#REF!</v>
      </c>
      <c r="AB176" s="144" t="e">
        <f>SUMIFS(#REF!,#REF!,$B176,#REF!,AB$1)</f>
        <v>#REF!</v>
      </c>
      <c r="AC176" s="144" t="e">
        <f>SUMIFS(#REF!,#REF!,$B176,#REF!,AC$1)</f>
        <v>#REF!</v>
      </c>
      <c r="AD176" s="144" t="e">
        <f>SUMIFS(#REF!,#REF!,$B176,#REF!,AD$1)</f>
        <v>#REF!</v>
      </c>
      <c r="AE176" s="144" t="e">
        <f>SUMIFS(#REF!,#REF!,$B176,#REF!,AE$1)</f>
        <v>#REF!</v>
      </c>
      <c r="AF176" s="144" t="e">
        <f>SUMIFS(#REF!,#REF!,$B176,#REF!,AF$1)</f>
        <v>#REF!</v>
      </c>
      <c r="AG176" s="144" t="e">
        <f>SUMIFS(#REF!,#REF!,$B176,#REF!,AG$1)</f>
        <v>#REF!</v>
      </c>
      <c r="AH176" s="144" t="e">
        <f>SUMIFS(#REF!,#REF!,$B176,#REF!,AH$1)</f>
        <v>#REF!</v>
      </c>
      <c r="AI176" s="20"/>
    </row>
    <row r="177" spans="2:35" ht="15" customHeight="1" x14ac:dyDescent="0.25">
      <c r="B177" s="82"/>
      <c r="C177" s="81"/>
      <c r="D177" s="144" t="e">
        <f>SUMIFS(#REF!,#REF!,$B177,#REF!,D$1)</f>
        <v>#REF!</v>
      </c>
      <c r="E177" s="144" t="e">
        <f>SUMIFS(#REF!,#REF!,$B177,#REF!,E$1)</f>
        <v>#REF!</v>
      </c>
      <c r="F177" s="144" t="e">
        <f>SUMIFS(#REF!,#REF!,$B177,#REF!,F$1)</f>
        <v>#REF!</v>
      </c>
      <c r="G177" s="144" t="e">
        <f>SUMIFS(#REF!,#REF!,$B177,#REF!,G$1)</f>
        <v>#REF!</v>
      </c>
      <c r="H177" s="144" t="e">
        <f>SUMIFS(#REF!,#REF!,$B177,#REF!,H$1)</f>
        <v>#REF!</v>
      </c>
      <c r="I177" s="144" t="e">
        <f>SUMIFS(#REF!,#REF!,$B177,#REF!,I$1)</f>
        <v>#REF!</v>
      </c>
      <c r="J177" s="144" t="e">
        <f>SUMIFS(#REF!,#REF!,$B177,#REF!,J$1)</f>
        <v>#REF!</v>
      </c>
      <c r="K177" s="144" t="e">
        <f>SUMIFS(#REF!,#REF!,$B177,#REF!,K$1)</f>
        <v>#REF!</v>
      </c>
      <c r="L177" s="144" t="e">
        <f>SUMIFS(#REF!,#REF!,$B177,#REF!,L$1)</f>
        <v>#REF!</v>
      </c>
      <c r="M177" s="144" t="e">
        <f>SUMIFS(#REF!,#REF!,$B177,#REF!,M$1)</f>
        <v>#REF!</v>
      </c>
      <c r="N177" s="144" t="e">
        <f>SUMIFS(#REF!,#REF!,$B177,#REF!,N$1)</f>
        <v>#REF!</v>
      </c>
      <c r="O177" s="144" t="e">
        <f>SUMIFS(#REF!,#REF!,$B177,#REF!,O$1)</f>
        <v>#REF!</v>
      </c>
      <c r="P177" s="144" t="e">
        <f>SUMIFS(#REF!,#REF!,$B177,#REF!,P$1)</f>
        <v>#REF!</v>
      </c>
      <c r="Q177" s="144" t="e">
        <f>SUMIFS(#REF!,#REF!,$B177,#REF!,Q$1)</f>
        <v>#REF!</v>
      </c>
      <c r="R177" s="144" t="e">
        <f>SUMIFS(#REF!,#REF!,$B177,#REF!,R$1)</f>
        <v>#REF!</v>
      </c>
      <c r="S177" s="144" t="e">
        <f>SUMIFS(#REF!,#REF!,$B177,#REF!,S$1)</f>
        <v>#REF!</v>
      </c>
      <c r="T177" s="144" t="e">
        <f>SUMIFS(#REF!,#REF!,$B177,#REF!,T$1)</f>
        <v>#REF!</v>
      </c>
      <c r="U177" s="144" t="e">
        <f>SUMIFS(#REF!,#REF!,$B177,#REF!,U$1)</f>
        <v>#REF!</v>
      </c>
      <c r="V177" s="144" t="e">
        <f>SUMIFS(#REF!,#REF!,$B177,#REF!,V$1)</f>
        <v>#REF!</v>
      </c>
      <c r="W177" s="144" t="e">
        <f>SUMIFS(#REF!,#REF!,$B177,#REF!,W$1)</f>
        <v>#REF!</v>
      </c>
      <c r="X177" s="144" t="e">
        <f>SUMIFS(#REF!,#REF!,$B177,#REF!,X$1)</f>
        <v>#REF!</v>
      </c>
      <c r="Y177" s="144" t="e">
        <f>SUMIFS(#REF!,#REF!,$B177,#REF!,Y$1)</f>
        <v>#REF!</v>
      </c>
      <c r="Z177" s="144" t="e">
        <f>SUMIFS(#REF!,#REF!,$B177,#REF!,Z$1)</f>
        <v>#REF!</v>
      </c>
      <c r="AA177" s="144" t="e">
        <f>SUMIFS(#REF!,#REF!,$B177,#REF!,AA$1)</f>
        <v>#REF!</v>
      </c>
      <c r="AB177" s="144" t="e">
        <f>SUMIFS(#REF!,#REF!,$B177,#REF!,AB$1)</f>
        <v>#REF!</v>
      </c>
      <c r="AC177" s="144" t="e">
        <f>SUMIFS(#REF!,#REF!,$B177,#REF!,AC$1)</f>
        <v>#REF!</v>
      </c>
      <c r="AD177" s="144" t="e">
        <f>SUMIFS(#REF!,#REF!,$B177,#REF!,AD$1)</f>
        <v>#REF!</v>
      </c>
      <c r="AE177" s="144" t="e">
        <f>SUMIFS(#REF!,#REF!,$B177,#REF!,AE$1)</f>
        <v>#REF!</v>
      </c>
      <c r="AF177" s="144" t="e">
        <f>SUMIFS(#REF!,#REF!,$B177,#REF!,AF$1)</f>
        <v>#REF!</v>
      </c>
      <c r="AG177" s="144" t="e">
        <f>SUMIFS(#REF!,#REF!,$B177,#REF!,AG$1)</f>
        <v>#REF!</v>
      </c>
      <c r="AH177" s="144" t="e">
        <f>SUMIFS(#REF!,#REF!,$B177,#REF!,AH$1)</f>
        <v>#REF!</v>
      </c>
      <c r="AI177" s="20"/>
    </row>
    <row r="178" spans="2:35" ht="15" customHeight="1" x14ac:dyDescent="0.25">
      <c r="B178" s="82"/>
      <c r="C178" s="81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20"/>
    </row>
    <row r="179" spans="2:35" ht="15" customHeight="1" x14ac:dyDescent="0.25">
      <c r="B179" s="82"/>
      <c r="C179" s="81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20"/>
    </row>
    <row r="180" spans="2:35" ht="15" customHeight="1" x14ac:dyDescent="0.25">
      <c r="B180" s="82"/>
      <c r="C180" s="81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20"/>
    </row>
    <row r="181" spans="2:35" ht="15" customHeight="1" x14ac:dyDescent="0.25">
      <c r="B181" s="82"/>
      <c r="C181" s="81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20"/>
    </row>
    <row r="182" spans="2:35" ht="15" customHeight="1" x14ac:dyDescent="0.25">
      <c r="B182" s="82"/>
      <c r="C182" s="81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.75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.75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.75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.75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.75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справочник!$E$2:$E$174</xm:f>
          </x14:formula1>
          <xm:sqref>B3:B237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4</vt:i4>
      </vt:variant>
    </vt:vector>
  </HeadingPairs>
  <TitlesOfParts>
    <vt:vector size="15" baseType="lpstr">
      <vt:lpstr>апрель 2026</vt:lpstr>
      <vt:lpstr>март 2026</vt:lpstr>
      <vt:lpstr>февраль 2026</vt:lpstr>
      <vt:lpstr>январь 2026</vt:lpstr>
      <vt:lpstr>справочник</vt:lpstr>
      <vt:lpstr>промеж.06</vt:lpstr>
      <vt:lpstr>промеж.</vt:lpstr>
      <vt:lpstr>промеж.04.26</vt:lpstr>
      <vt:lpstr>промеж.03.26</vt:lpstr>
      <vt:lpstr>промеж.02.26</vt:lpstr>
      <vt:lpstr>промеж.01.26</vt:lpstr>
      <vt:lpstr>'апрель 2026'!Область_печати</vt:lpstr>
      <vt:lpstr>'март 2026'!Область_печати</vt:lpstr>
      <vt:lpstr>'февраль 2026'!Область_печати</vt:lpstr>
      <vt:lpstr>'январь 2026'!Область_печати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2026-04-14T08:58:09Z</dcterms:modified>
</cp:coreProperties>
</file>